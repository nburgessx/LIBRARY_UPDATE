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9980" windowHeight="7665" tabRatio="703" activeTab="1"/>
  </bookViews>
  <sheets>
    <sheet name="Instructions" sheetId="39" r:id="rId1"/>
    <sheet name="SwapSchedule" sheetId="37" r:id="rId2"/>
  </sheets>
  <definedNames>
    <definedName name="AsOfDate">SwapSchedule!$C$3</definedName>
    <definedName name="EffectiveLag">SwapSchedule!$C$4</definedName>
    <definedName name="FixedAmortization">SwapSchedule!$G$4</definedName>
    <definedName name="FixedAmortizationFrequency">SwapSchedule!$G$5</definedName>
    <definedName name="FixedNotional">SwapSchedule!$G$3</definedName>
    <definedName name="FloatAmortization">SwapSchedule!$Q$4</definedName>
    <definedName name="FloatAmortizationFrequency">SwapSchedule!$Q$5</definedName>
    <definedName name="FloatNotional">SwapSchedule!$Q$3</definedName>
    <definedName name="MaturityDate">SwapSchedule!$C$5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9" i="37" l="1"/>
  <c r="C29" i="37"/>
  <c r="C3" i="37"/>
  <c r="C8" i="37"/>
  <c r="C28" i="37"/>
  <c r="H8" i="37" l="1" a="1"/>
  <c r="R8" i="37" a="1"/>
  <c r="V100" i="37" l="1"/>
  <c r="R41" i="37"/>
  <c r="P41" i="37" s="1"/>
  <c r="R20" i="37"/>
  <c r="S141" i="37"/>
  <c r="U214" i="37"/>
  <c r="S484" i="37"/>
  <c r="S301" i="37"/>
  <c r="S486" i="37"/>
  <c r="U153" i="37"/>
  <c r="R476" i="37"/>
  <c r="P476" i="37" s="1"/>
  <c r="U466" i="37"/>
  <c r="T65" i="37"/>
  <c r="U431" i="37"/>
  <c r="V99" i="37"/>
  <c r="R74" i="37"/>
  <c r="P74" i="37" s="1"/>
  <c r="U150" i="37"/>
  <c r="U22" i="37"/>
  <c r="W255" i="37"/>
  <c r="R382" i="37"/>
  <c r="P382" i="37" s="1"/>
  <c r="S435" i="37"/>
  <c r="V248" i="37"/>
  <c r="W117" i="37"/>
  <c r="R206" i="37"/>
  <c r="P206" i="37" s="1"/>
  <c r="V461" i="37"/>
  <c r="S223" i="37"/>
  <c r="W86" i="37"/>
  <c r="R114" i="37"/>
  <c r="P114" i="37" s="1"/>
  <c r="V236" i="37"/>
  <c r="R277" i="37"/>
  <c r="P277" i="37" s="1"/>
  <c r="W471" i="37"/>
  <c r="S351" i="37"/>
  <c r="S391" i="37"/>
  <c r="W393" i="37"/>
  <c r="U368" i="37"/>
  <c r="U199" i="37"/>
  <c r="U44" i="37"/>
  <c r="V312" i="37"/>
  <c r="U92" i="37"/>
  <c r="W140" i="37"/>
  <c r="W482" i="37"/>
  <c r="R400" i="37"/>
  <c r="P400" i="37" s="1"/>
  <c r="V325" i="37"/>
  <c r="W358" i="37"/>
  <c r="T115" i="37"/>
  <c r="W295" i="37"/>
  <c r="S279" i="37"/>
  <c r="R52" i="37"/>
  <c r="P52" i="37" s="1"/>
  <c r="R260" i="37"/>
  <c r="P260" i="37" s="1"/>
  <c r="V397" i="37"/>
  <c r="U85" i="37"/>
  <c r="R79" i="37"/>
  <c r="P79" i="37" s="1"/>
  <c r="V298" i="37"/>
  <c r="W376" i="37"/>
  <c r="S284" i="37"/>
  <c r="W25" i="37"/>
  <c r="T398" i="37"/>
  <c r="S71" i="37"/>
  <c r="V408" i="37"/>
  <c r="T455" i="37"/>
  <c r="U417" i="37"/>
  <c r="T425" i="37"/>
  <c r="W167" i="37"/>
  <c r="V43" i="37"/>
  <c r="T98" i="37"/>
  <c r="W107" i="37"/>
  <c r="T318" i="37"/>
  <c r="R267" i="37"/>
  <c r="P267" i="37" s="1"/>
  <c r="W83" i="37"/>
  <c r="T84" i="37"/>
  <c r="T185" i="37"/>
  <c r="T246" i="37"/>
  <c r="U17" i="37"/>
  <c r="S327" i="37"/>
  <c r="W313" i="37"/>
  <c r="U28" i="37"/>
  <c r="S425" i="37"/>
  <c r="T213" i="37"/>
  <c r="V32" i="37"/>
  <c r="S85" i="37"/>
  <c r="S359" i="37"/>
  <c r="R23" i="37"/>
  <c r="U439" i="37"/>
  <c r="U429" i="37"/>
  <c r="R230" i="37"/>
  <c r="P230" i="37" s="1"/>
  <c r="S461" i="37"/>
  <c r="V8" i="37"/>
  <c r="V198" i="37"/>
  <c r="W420" i="37"/>
  <c r="U136" i="37"/>
  <c r="S181" i="37"/>
  <c r="V167" i="37"/>
  <c r="T95" i="37"/>
  <c r="V294" i="37"/>
  <c r="S300" i="37"/>
  <c r="R185" i="37"/>
  <c r="P185" i="37" s="1"/>
  <c r="R62" i="37"/>
  <c r="P62" i="37" s="1"/>
  <c r="U119" i="37"/>
  <c r="S219" i="37"/>
  <c r="V182" i="37"/>
  <c r="S142" i="37"/>
  <c r="R372" i="37"/>
  <c r="P372" i="37" s="1"/>
  <c r="W485" i="37"/>
  <c r="R328" i="37"/>
  <c r="P328" i="37" s="1"/>
  <c r="V415" i="37"/>
  <c r="T105" i="37"/>
  <c r="T90" i="37"/>
  <c r="W456" i="37"/>
  <c r="U447" i="37"/>
  <c r="W23" i="37"/>
  <c r="T109" i="37"/>
  <c r="W186" i="37"/>
  <c r="V33" i="37"/>
  <c r="W467" i="37"/>
  <c r="W262" i="37"/>
  <c r="R201" i="37"/>
  <c r="P201" i="37" s="1"/>
  <c r="V190" i="37"/>
  <c r="T150" i="37"/>
  <c r="U178" i="37"/>
  <c r="S234" i="37"/>
  <c r="S63" i="37"/>
  <c r="V138" i="37"/>
  <c r="S65" i="37"/>
  <c r="R305" i="37"/>
  <c r="P305" i="37" s="1"/>
  <c r="R129" i="37"/>
  <c r="P129" i="37" s="1"/>
  <c r="W331" i="37"/>
  <c r="U100" i="37"/>
  <c r="S305" i="37"/>
  <c r="U212" i="37"/>
  <c r="U101" i="37"/>
  <c r="T139" i="37"/>
  <c r="V137" i="37"/>
  <c r="S414" i="37"/>
  <c r="S41" i="37"/>
  <c r="R190" i="37"/>
  <c r="P190" i="37" s="1"/>
  <c r="V187" i="37"/>
  <c r="U227" i="37"/>
  <c r="T141" i="37"/>
  <c r="W267" i="37"/>
  <c r="T203" i="37"/>
  <c r="S337" i="37"/>
  <c r="R35" i="37"/>
  <c r="P35" i="37" s="1"/>
  <c r="T298" i="37"/>
  <c r="V303" i="37"/>
  <c r="T397" i="37"/>
  <c r="V23" i="37"/>
  <c r="S76" i="37"/>
  <c r="W257" i="37"/>
  <c r="U88" i="37"/>
  <c r="U109" i="37"/>
  <c r="W108" i="37"/>
  <c r="V97" i="37"/>
  <c r="S482" i="37"/>
  <c r="U282" i="37"/>
  <c r="V128" i="37"/>
  <c r="U362" i="37"/>
  <c r="W212" i="37"/>
  <c r="V359" i="37"/>
  <c r="W106" i="37"/>
  <c r="U49" i="37"/>
  <c r="S508" i="37"/>
  <c r="U419" i="37"/>
  <c r="T374" i="37"/>
  <c r="S191" i="37"/>
  <c r="U117" i="37"/>
  <c r="T104" i="37"/>
  <c r="V345" i="37"/>
  <c r="R34" i="37"/>
  <c r="P34" i="37" s="1"/>
  <c r="R187" i="37"/>
  <c r="P187" i="37" s="1"/>
  <c r="T254" i="37"/>
  <c r="U112" i="37"/>
  <c r="T361" i="37"/>
  <c r="V231" i="37"/>
  <c r="R233" i="37"/>
  <c r="P233" i="37" s="1"/>
  <c r="V414" i="37"/>
  <c r="U321" i="37"/>
  <c r="U400" i="37"/>
  <c r="U244" i="37"/>
  <c r="W30" i="37"/>
  <c r="S132" i="37"/>
  <c r="T224" i="37"/>
  <c r="R102" i="37"/>
  <c r="P102" i="37" s="1"/>
  <c r="W459" i="37"/>
  <c r="U392" i="37"/>
  <c r="U295" i="37"/>
  <c r="U68" i="37"/>
  <c r="U75" i="37"/>
  <c r="T17" i="37"/>
  <c r="U265" i="37"/>
  <c r="W41" i="37"/>
  <c r="T67" i="37"/>
  <c r="R151" i="37"/>
  <c r="P151" i="37" s="1"/>
  <c r="T323" i="37"/>
  <c r="T247" i="37"/>
  <c r="V342" i="37"/>
  <c r="W329" i="37"/>
  <c r="W219" i="37"/>
  <c r="U128" i="37"/>
  <c r="W104" i="37"/>
  <c r="U191" i="37"/>
  <c r="V136" i="37"/>
  <c r="S405" i="37"/>
  <c r="V491" i="37"/>
  <c r="U257" i="37"/>
  <c r="T94" i="37"/>
  <c r="U306" i="37"/>
  <c r="W368" i="37"/>
  <c r="U200" i="37"/>
  <c r="S229" i="37"/>
  <c r="S197" i="37"/>
  <c r="R221" i="37"/>
  <c r="P221" i="37" s="1"/>
  <c r="V69" i="37"/>
  <c r="U426" i="37"/>
  <c r="W193" i="37"/>
  <c r="V466" i="37"/>
  <c r="R105" i="37"/>
  <c r="P105" i="37" s="1"/>
  <c r="R483" i="37"/>
  <c r="P483" i="37" s="1"/>
  <c r="V304" i="37"/>
  <c r="T112" i="37"/>
  <c r="W356" i="37"/>
  <c r="W311" i="37"/>
  <c r="R246" i="37"/>
  <c r="P246" i="37" s="1"/>
  <c r="T8" i="37"/>
  <c r="U494" i="37"/>
  <c r="T232" i="37"/>
  <c r="R143" i="37"/>
  <c r="P143" i="37" s="1"/>
  <c r="S316" i="37"/>
  <c r="W244" i="37"/>
  <c r="S503" i="37"/>
  <c r="T45" i="37"/>
  <c r="S164" i="37"/>
  <c r="W85" i="37"/>
  <c r="U356" i="37"/>
  <c r="S214" i="37"/>
  <c r="R385" i="37"/>
  <c r="P385" i="37" s="1"/>
  <c r="U270" i="37"/>
  <c r="W349" i="37"/>
  <c r="R103" i="37"/>
  <c r="P103" i="37" s="1"/>
  <c r="T474" i="37"/>
  <c r="W423" i="37"/>
  <c r="S143" i="37"/>
  <c r="S385" i="37"/>
  <c r="U34" i="37"/>
  <c r="V79" i="37"/>
  <c r="R424" i="37"/>
  <c r="P424" i="37" s="1"/>
  <c r="S123" i="37"/>
  <c r="R85" i="37"/>
  <c r="P85" i="37" s="1"/>
  <c r="U296" i="37"/>
  <c r="V367" i="37"/>
  <c r="S369" i="37"/>
  <c r="S55" i="37"/>
  <c r="T386" i="37"/>
  <c r="S162" i="37"/>
  <c r="W27" i="37"/>
  <c r="R410" i="37"/>
  <c r="P410" i="37" s="1"/>
  <c r="S241" i="37"/>
  <c r="R156" i="37"/>
  <c r="P156" i="37" s="1"/>
  <c r="W421" i="37"/>
  <c r="V193" i="37"/>
  <c r="W29" i="37"/>
  <c r="T215" i="37"/>
  <c r="W436" i="37"/>
  <c r="V224" i="37"/>
  <c r="S50" i="37"/>
  <c r="W354" i="37"/>
  <c r="S442" i="37"/>
  <c r="V177" i="37"/>
  <c r="S54" i="37"/>
  <c r="T83" i="37"/>
  <c r="V284" i="37"/>
  <c r="V233" i="37"/>
  <c r="U479" i="37"/>
  <c r="W490" i="37"/>
  <c r="R47" i="37"/>
  <c r="P47" i="37" s="1"/>
  <c r="V498" i="37"/>
  <c r="T91" i="37"/>
  <c r="S297" i="37"/>
  <c r="S148" i="37"/>
  <c r="R136" i="37"/>
  <c r="P136" i="37" s="1"/>
  <c r="U339" i="37"/>
  <c r="T267" i="37"/>
  <c r="R109" i="37"/>
  <c r="P109" i="37" s="1"/>
  <c r="T52" i="37"/>
  <c r="W12" i="37"/>
  <c r="T195" i="37"/>
  <c r="S225" i="37"/>
  <c r="W45" i="37"/>
  <c r="S413" i="37"/>
  <c r="W416" i="37"/>
  <c r="R493" i="37"/>
  <c r="P493" i="37" s="1"/>
  <c r="S78" i="37"/>
  <c r="V228" i="37"/>
  <c r="U39" i="37"/>
  <c r="W260" i="37"/>
  <c r="S47" i="37"/>
  <c r="R49" i="37"/>
  <c r="P49" i="37" s="1"/>
  <c r="S204" i="37"/>
  <c r="W429" i="37"/>
  <c r="T81" i="37"/>
  <c r="V251" i="37"/>
  <c r="W139" i="37"/>
  <c r="T55" i="37"/>
  <c r="W419" i="37"/>
  <c r="S19" i="37"/>
  <c r="S222" i="37"/>
  <c r="S272" i="37"/>
  <c r="S240" i="37"/>
  <c r="T116" i="37"/>
  <c r="W268" i="37"/>
  <c r="S504" i="37"/>
  <c r="V204" i="37"/>
  <c r="S83" i="37"/>
  <c r="S493" i="37"/>
  <c r="S406" i="37"/>
  <c r="U77" i="37"/>
  <c r="T66" i="37"/>
  <c r="T20" i="37"/>
  <c r="R391" i="37"/>
  <c r="P391" i="37" s="1"/>
  <c r="T177" i="37"/>
  <c r="U165" i="37"/>
  <c r="S436" i="37"/>
  <c r="S485" i="37"/>
  <c r="T319" i="37"/>
  <c r="R204" i="37"/>
  <c r="P204" i="37" s="1"/>
  <c r="V365" i="37"/>
  <c r="R505" i="37"/>
  <c r="P505" i="37" s="1"/>
  <c r="S331" i="37"/>
  <c r="T59" i="37"/>
  <c r="S87" i="37"/>
  <c r="R334" i="37"/>
  <c r="P334" i="37" s="1"/>
  <c r="R13" i="37"/>
  <c r="R70" i="37"/>
  <c r="P70" i="37" s="1"/>
  <c r="V470" i="37"/>
  <c r="V453" i="37"/>
  <c r="V221" i="37"/>
  <c r="T137" i="37"/>
  <c r="W254" i="37"/>
  <c r="U495" i="37"/>
  <c r="W39" i="37"/>
  <c r="W352" i="37"/>
  <c r="T431" i="37"/>
  <c r="W270" i="37"/>
  <c r="S290" i="37"/>
  <c r="R474" i="37"/>
  <c r="P474" i="37" s="1"/>
  <c r="S294" i="37"/>
  <c r="W360" i="37"/>
  <c r="R490" i="37"/>
  <c r="P490" i="37" s="1"/>
  <c r="R344" i="37"/>
  <c r="P344" i="37" s="1"/>
  <c r="U354" i="37"/>
  <c r="V114" i="37"/>
  <c r="V168" i="37"/>
  <c r="U441" i="37"/>
  <c r="R488" i="37"/>
  <c r="P488" i="37" s="1"/>
  <c r="V502" i="37"/>
  <c r="V35" i="37"/>
  <c r="W69" i="37"/>
  <c r="V379" i="37"/>
  <c r="U176" i="37"/>
  <c r="R312" i="37"/>
  <c r="P312" i="37" s="1"/>
  <c r="W181" i="37"/>
  <c r="R216" i="37"/>
  <c r="P216" i="37" s="1"/>
  <c r="T178" i="37"/>
  <c r="R278" i="37"/>
  <c r="P278" i="37" s="1"/>
  <c r="V113" i="37"/>
  <c r="T72" i="37"/>
  <c r="R214" i="37"/>
  <c r="P214" i="37" s="1"/>
  <c r="W201" i="37"/>
  <c r="V321" i="37"/>
  <c r="V362" i="37"/>
  <c r="U283" i="37"/>
  <c r="T48" i="37"/>
  <c r="R82" i="37"/>
  <c r="P82" i="37" s="1"/>
  <c r="V143" i="37"/>
  <c r="T151" i="37"/>
  <c r="T290" i="37"/>
  <c r="S184" i="37"/>
  <c r="R92" i="37"/>
  <c r="P92" i="37" s="1"/>
  <c r="R38" i="37"/>
  <c r="P38" i="37" s="1"/>
  <c r="V257" i="37"/>
  <c r="W133" i="37"/>
  <c r="W57" i="37"/>
  <c r="T445" i="37"/>
  <c r="V60" i="37"/>
  <c r="R32" i="37"/>
  <c r="P32" i="37" s="1"/>
  <c r="T183" i="37"/>
  <c r="R135" i="37"/>
  <c r="P135" i="37" s="1"/>
  <c r="W179" i="37"/>
  <c r="W327" i="37"/>
  <c r="U274" i="37"/>
  <c r="S256" i="37"/>
  <c r="R273" i="37"/>
  <c r="P273" i="37" s="1"/>
  <c r="U487" i="37"/>
  <c r="W496" i="37"/>
  <c r="U498" i="37"/>
  <c r="T277" i="37"/>
  <c r="W378" i="37"/>
  <c r="S122" i="37"/>
  <c r="R84" i="37"/>
  <c r="P84" i="37" s="1"/>
  <c r="W113" i="37"/>
  <c r="W148" i="37"/>
  <c r="R50" i="37"/>
  <c r="P50" i="37" s="1"/>
  <c r="S190" i="37"/>
  <c r="S356" i="37"/>
  <c r="S280" i="37"/>
  <c r="R409" i="37"/>
  <c r="P409" i="37" s="1"/>
  <c r="R448" i="37"/>
  <c r="P448" i="37" s="1"/>
  <c r="T156" i="37"/>
  <c r="W333" i="37"/>
  <c r="W338" i="37"/>
  <c r="V485" i="37"/>
  <c r="V440" i="37"/>
  <c r="T225" i="37"/>
  <c r="V21" i="37"/>
  <c r="R31" i="37"/>
  <c r="P31" i="37" s="1"/>
  <c r="R317" i="37"/>
  <c r="P317" i="37" s="1"/>
  <c r="S377" i="37"/>
  <c r="V401" i="37"/>
  <c r="S506" i="37"/>
  <c r="T13" i="37"/>
  <c r="R332" i="37"/>
  <c r="P332" i="37" s="1"/>
  <c r="V445" i="37"/>
  <c r="V416" i="37"/>
  <c r="V310" i="37"/>
  <c r="W87" i="37"/>
  <c r="S172" i="37"/>
  <c r="U381" i="37"/>
  <c r="U273" i="37"/>
  <c r="W501" i="37"/>
  <c r="R451" i="37"/>
  <c r="P451" i="37" s="1"/>
  <c r="T56" i="37"/>
  <c r="S419" i="37"/>
  <c r="T257" i="37"/>
  <c r="W97" i="37"/>
  <c r="T394" i="37"/>
  <c r="S347" i="37"/>
  <c r="U449" i="37"/>
  <c r="S362" i="37"/>
  <c r="U450" i="37"/>
  <c r="S166" i="37"/>
  <c r="W425" i="37"/>
  <c r="T261" i="37"/>
  <c r="R503" i="37"/>
  <c r="P503" i="37" s="1"/>
  <c r="R463" i="37"/>
  <c r="P463" i="37" s="1"/>
  <c r="T57" i="37"/>
  <c r="T299" i="37"/>
  <c r="W96" i="37"/>
  <c r="V386" i="37"/>
  <c r="V323" i="37"/>
  <c r="V46" i="37"/>
  <c r="R257" i="37"/>
  <c r="P257" i="37" s="1"/>
  <c r="R78" i="37"/>
  <c r="P78" i="37" s="1"/>
  <c r="R121" i="37"/>
  <c r="P121" i="37" s="1"/>
  <c r="W156" i="37"/>
  <c r="V493" i="37"/>
  <c r="R94" i="37"/>
  <c r="P94" i="37" s="1"/>
  <c r="V370" i="37"/>
  <c r="W474" i="37"/>
  <c r="W505" i="37"/>
  <c r="W171" i="37"/>
  <c r="S211" i="37"/>
  <c r="R80" i="37"/>
  <c r="P80" i="37" s="1"/>
  <c r="V289" i="37"/>
  <c r="W52" i="37"/>
  <c r="V110" i="37"/>
  <c r="V44" i="37"/>
  <c r="W469" i="37"/>
  <c r="U268" i="37"/>
  <c r="R351" i="37"/>
  <c r="P351" i="37" s="1"/>
  <c r="V29" i="37"/>
  <c r="U307" i="37"/>
  <c r="T339" i="37"/>
  <c r="W231" i="37"/>
  <c r="U436" i="37"/>
  <c r="S157" i="37"/>
  <c r="T466" i="37"/>
  <c r="R377" i="37"/>
  <c r="P377" i="37" s="1"/>
  <c r="U388" i="37"/>
  <c r="T494" i="37"/>
  <c r="V293" i="37"/>
  <c r="U47" i="37"/>
  <c r="V34" i="37"/>
  <c r="V217" i="37"/>
  <c r="S340" i="37"/>
  <c r="R134" i="37"/>
  <c r="P134" i="37" s="1"/>
  <c r="S108" i="37"/>
  <c r="R370" i="37"/>
  <c r="P370" i="37" s="1"/>
  <c r="S239" i="37"/>
  <c r="R208" i="37"/>
  <c r="P208" i="37" s="1"/>
  <c r="T214" i="37"/>
  <c r="T242" i="37"/>
  <c r="U486" i="37"/>
  <c r="S495" i="37"/>
  <c r="S267" i="37"/>
  <c r="T295" i="37"/>
  <c r="R416" i="37"/>
  <c r="P416" i="37" s="1"/>
  <c r="T352" i="37"/>
  <c r="S93" i="37"/>
  <c r="U194" i="37"/>
  <c r="U312" i="37"/>
  <c r="W298" i="37"/>
  <c r="T505" i="37"/>
  <c r="W18" i="37"/>
  <c r="W265" i="37"/>
  <c r="R61" i="37"/>
  <c r="P61" i="37" s="1"/>
  <c r="V443" i="37"/>
  <c r="V241" i="37"/>
  <c r="U116" i="37"/>
  <c r="V161" i="37"/>
  <c r="T378" i="37"/>
  <c r="T315" i="37"/>
  <c r="S24" i="37"/>
  <c r="V176" i="37"/>
  <c r="T248" i="37"/>
  <c r="U472" i="37"/>
  <c r="V188" i="37"/>
  <c r="U372" i="37"/>
  <c r="U461" i="37"/>
  <c r="R442" i="37"/>
  <c r="P442" i="37" s="1"/>
  <c r="U173" i="37"/>
  <c r="T229" i="37"/>
  <c r="V331" i="37"/>
  <c r="V81" i="37"/>
  <c r="T331" i="37"/>
  <c r="S454" i="37"/>
  <c r="U240" i="37"/>
  <c r="V281" i="37"/>
  <c r="U317" i="37"/>
  <c r="V130" i="37"/>
  <c r="U228" i="37"/>
  <c r="W353" i="37"/>
  <c r="S397" i="37"/>
  <c r="T271" i="37"/>
  <c r="V38" i="37"/>
  <c r="R459" i="37"/>
  <c r="P459" i="37" s="1"/>
  <c r="V256" i="37"/>
  <c r="V349" i="37"/>
  <c r="V266" i="37"/>
  <c r="W279" i="37"/>
  <c r="V40" i="37"/>
  <c r="T496" i="37"/>
  <c r="T231" i="37"/>
  <c r="U446" i="37"/>
  <c r="U275" i="37"/>
  <c r="U169" i="37"/>
  <c r="U497" i="37"/>
  <c r="W73" i="37"/>
  <c r="T265" i="37"/>
  <c r="S387" i="37"/>
  <c r="W197" i="37"/>
  <c r="W315" i="37"/>
  <c r="S77" i="37"/>
  <c r="U57" i="37"/>
  <c r="R227" i="37"/>
  <c r="P227" i="37" s="1"/>
  <c r="V75" i="37"/>
  <c r="V406" i="37"/>
  <c r="W224" i="37"/>
  <c r="T300" i="37"/>
  <c r="R381" i="37"/>
  <c r="P381" i="37" s="1"/>
  <c r="S349" i="37"/>
  <c r="U139" i="37"/>
  <c r="W271" i="37"/>
  <c r="T501" i="37"/>
  <c r="R284" i="37"/>
  <c r="P284" i="37" s="1"/>
  <c r="U292" i="37"/>
  <c r="W508" i="37"/>
  <c r="S84" i="37"/>
  <c r="T123" i="37"/>
  <c r="U502" i="37"/>
  <c r="U120" i="37"/>
  <c r="W285" i="37"/>
  <c r="T49" i="37"/>
  <c r="R211" i="37"/>
  <c r="P211" i="37" s="1"/>
  <c r="W275" i="37"/>
  <c r="R177" i="37"/>
  <c r="P177" i="37" s="1"/>
  <c r="W37" i="37"/>
  <c r="R131" i="37"/>
  <c r="P131" i="37" s="1"/>
  <c r="S296" i="37"/>
  <c r="S179" i="37"/>
  <c r="R120" i="37"/>
  <c r="P120" i="37" s="1"/>
  <c r="V472" i="37"/>
  <c r="R148" i="37"/>
  <c r="P148" i="37" s="1"/>
  <c r="U451" i="37"/>
  <c r="R297" i="37"/>
  <c r="P297" i="37" s="1"/>
  <c r="R123" i="37"/>
  <c r="P123" i="37" s="1"/>
  <c r="U229" i="37"/>
  <c r="S98" i="37"/>
  <c r="W48" i="37"/>
  <c r="V120" i="37"/>
  <c r="T86" i="37"/>
  <c r="W14" i="37"/>
  <c r="R253" i="37"/>
  <c r="P253" i="37" s="1"/>
  <c r="S344" i="37"/>
  <c r="V354" i="37"/>
  <c r="S242" i="37"/>
  <c r="S320" i="37"/>
  <c r="V76" i="37"/>
  <c r="S156" i="37"/>
  <c r="W246" i="37"/>
  <c r="U422" i="37"/>
  <c r="W102" i="37"/>
  <c r="T41" i="37"/>
  <c r="S23" i="37"/>
  <c r="U341" i="37"/>
  <c r="V84" i="37"/>
  <c r="W80" i="37"/>
  <c r="W235" i="37"/>
  <c r="T322" i="37"/>
  <c r="U177" i="37"/>
  <c r="R73" i="37"/>
  <c r="P73" i="37" s="1"/>
  <c r="U308" i="37"/>
  <c r="T393" i="37"/>
  <c r="U181" i="37"/>
  <c r="U319" i="37"/>
  <c r="V174" i="37"/>
  <c r="W372" i="37"/>
  <c r="W126" i="37"/>
  <c r="S281" i="37"/>
  <c r="W180" i="37"/>
  <c r="R435" i="37"/>
  <c r="P435" i="37" s="1"/>
  <c r="T371" i="37"/>
  <c r="W301" i="37"/>
  <c r="U184" i="37"/>
  <c r="R207" i="37"/>
  <c r="P207" i="37" s="1"/>
  <c r="W325" i="37"/>
  <c r="W452" i="37"/>
  <c r="U141" i="37"/>
  <c r="S324" i="37"/>
  <c r="S444" i="37"/>
  <c r="V163" i="37"/>
  <c r="W432" i="37"/>
  <c r="W175" i="37"/>
  <c r="U87" i="37"/>
  <c r="R186" i="37"/>
  <c r="P186" i="37" s="1"/>
  <c r="U56" i="37"/>
  <c r="R335" i="37"/>
  <c r="P335" i="37" s="1"/>
  <c r="W32" i="37"/>
  <c r="W230" i="37"/>
  <c r="S318" i="37"/>
  <c r="T180" i="37"/>
  <c r="V45" i="37"/>
  <c r="V155" i="37"/>
  <c r="S354" i="37"/>
  <c r="W13" i="37"/>
  <c r="T460" i="37"/>
  <c r="V246" i="37"/>
  <c r="S120" i="37"/>
  <c r="R191" i="37"/>
  <c r="P191" i="37" s="1"/>
  <c r="U224" i="37"/>
  <c r="W390" i="37"/>
  <c r="V343" i="37"/>
  <c r="W192" i="37"/>
  <c r="U32" i="37"/>
  <c r="S335" i="37"/>
  <c r="S153" i="37"/>
  <c r="W302" i="37"/>
  <c r="V317" i="37"/>
  <c r="V339" i="37"/>
  <c r="W293" i="37"/>
  <c r="W468" i="37"/>
  <c r="W21" i="37"/>
  <c r="V488" i="37"/>
  <c r="W68" i="37"/>
  <c r="R427" i="37"/>
  <c r="P427" i="37" s="1"/>
  <c r="S145" i="37"/>
  <c r="R118" i="37"/>
  <c r="P118" i="37" s="1"/>
  <c r="S161" i="37"/>
  <c r="W324" i="37"/>
  <c r="U162" i="37"/>
  <c r="V91" i="37"/>
  <c r="R76" i="37"/>
  <c r="P76" i="37" s="1"/>
  <c r="V211" i="37"/>
  <c r="T9" i="37"/>
  <c r="W202" i="37"/>
  <c r="U304" i="37"/>
  <c r="W98" i="37"/>
  <c r="T424" i="37"/>
  <c r="T206" i="37"/>
  <c r="W394" i="37"/>
  <c r="R261" i="37"/>
  <c r="P261" i="37" s="1"/>
  <c r="R130" i="37"/>
  <c r="P130" i="37" s="1"/>
  <c r="T255" i="37"/>
  <c r="T507" i="37"/>
  <c r="T42" i="37"/>
  <c r="T46" i="37"/>
  <c r="W198" i="37"/>
  <c r="W347" i="37"/>
  <c r="U134" i="37"/>
  <c r="T459" i="37"/>
  <c r="T165" i="37"/>
  <c r="U31" i="37"/>
  <c r="U185" i="37"/>
  <c r="R110" i="37"/>
  <c r="P110" i="37" s="1"/>
  <c r="W79" i="37"/>
  <c r="S247" i="37"/>
  <c r="S416" i="37"/>
  <c r="R21" i="37"/>
  <c r="V72" i="37"/>
  <c r="W43" i="37"/>
  <c r="R363" i="37"/>
  <c r="P363" i="37" s="1"/>
  <c r="V152" i="37"/>
  <c r="U454" i="37"/>
  <c r="V170" i="37"/>
  <c r="S209" i="37"/>
  <c r="V125" i="37"/>
  <c r="R146" i="37"/>
  <c r="P146" i="37" s="1"/>
  <c r="V47" i="37"/>
  <c r="R69" i="37"/>
  <c r="P69" i="37" s="1"/>
  <c r="W455" i="37"/>
  <c r="U359" i="37"/>
  <c r="T423" i="37"/>
  <c r="S310" i="37"/>
  <c r="U192" i="37"/>
  <c r="V201" i="37"/>
  <c r="R422" i="37"/>
  <c r="P422" i="37" s="1"/>
  <c r="T311" i="37"/>
  <c r="V344" i="37"/>
  <c r="U20" i="37"/>
  <c r="U93" i="37"/>
  <c r="W164" i="37"/>
  <c r="S105" i="37"/>
  <c r="V149" i="37"/>
  <c r="S226" i="37"/>
  <c r="W346" i="37"/>
  <c r="R251" i="37"/>
  <c r="P251" i="37" s="1"/>
  <c r="R22" i="37"/>
  <c r="S62" i="37"/>
  <c r="V276" i="37"/>
  <c r="U394" i="37"/>
  <c r="S437" i="37"/>
  <c r="W440" i="37"/>
  <c r="S165" i="37"/>
  <c r="R460" i="37"/>
  <c r="P460" i="37" s="1"/>
  <c r="V53" i="37"/>
  <c r="V467" i="37"/>
  <c r="R323" i="37"/>
  <c r="P323" i="37" s="1"/>
  <c r="R243" i="37"/>
  <c r="P243" i="37" s="1"/>
  <c r="W245" i="37"/>
  <c r="V283" i="37"/>
  <c r="T360" i="37"/>
  <c r="T120" i="37"/>
  <c r="S38" i="37"/>
  <c r="W109" i="37"/>
  <c r="S395" i="37"/>
  <c r="U66" i="37"/>
  <c r="R58" i="37"/>
  <c r="P58" i="37" s="1"/>
  <c r="V458" i="37"/>
  <c r="V475" i="37"/>
  <c r="T147" i="37"/>
  <c r="S115" i="37"/>
  <c r="U377" i="37"/>
  <c r="T375" i="37"/>
  <c r="R128" i="37"/>
  <c r="P128" i="37" s="1"/>
  <c r="T38" i="37"/>
  <c r="V368" i="37"/>
  <c r="R289" i="37"/>
  <c r="P289" i="37" s="1"/>
  <c r="R485" i="37"/>
  <c r="P485" i="37" s="1"/>
  <c r="W26" i="37"/>
  <c r="S99" i="37"/>
  <c r="S431" i="37"/>
  <c r="W248" i="37"/>
  <c r="W89" i="37"/>
  <c r="W403" i="37"/>
  <c r="V426" i="37"/>
  <c r="V487" i="37"/>
  <c r="U475" i="37"/>
  <c r="V56" i="37"/>
  <c r="V249" i="37"/>
  <c r="T238" i="37"/>
  <c r="V104" i="37"/>
  <c r="S288" i="37"/>
  <c r="S507" i="37"/>
  <c r="T483" i="37"/>
  <c r="R311" i="37"/>
  <c r="P311" i="37" s="1"/>
  <c r="U94" i="37"/>
  <c r="R205" i="37"/>
  <c r="P205" i="37" s="1"/>
  <c r="S426" i="37"/>
  <c r="W93" i="37"/>
  <c r="T21" i="37"/>
  <c r="V225" i="37"/>
  <c r="U19" i="37"/>
  <c r="U271" i="37"/>
  <c r="S45" i="37"/>
  <c r="R499" i="37"/>
  <c r="P499" i="37" s="1"/>
  <c r="T310" i="37"/>
  <c r="U198" i="37"/>
  <c r="T349" i="37"/>
  <c r="W78" i="37"/>
  <c r="U29" i="37"/>
  <c r="T96" i="37"/>
  <c r="S268" i="37"/>
  <c r="W334" i="37"/>
  <c r="V351" i="37"/>
  <c r="S259" i="37"/>
  <c r="U465" i="37"/>
  <c r="W427" i="37"/>
  <c r="R462" i="37"/>
  <c r="P462" i="37" s="1"/>
  <c r="U16" i="37"/>
  <c r="V55" i="37"/>
  <c r="R115" i="37"/>
  <c r="P115" i="37" s="1"/>
  <c r="W176" i="37"/>
  <c r="T12" i="37"/>
  <c r="T73" i="37"/>
  <c r="T103" i="37"/>
  <c r="V80" i="37"/>
  <c r="V74" i="37"/>
  <c r="V411" i="37"/>
  <c r="V58" i="37"/>
  <c r="V330" i="37"/>
  <c r="R365" i="37"/>
  <c r="P365" i="37" s="1"/>
  <c r="R193" i="37"/>
  <c r="P193" i="37" s="1"/>
  <c r="S443" i="37"/>
  <c r="U298" i="37"/>
  <c r="R452" i="37"/>
  <c r="P452" i="37" s="1"/>
  <c r="U189" i="37"/>
  <c r="V101" i="37"/>
  <c r="V438" i="37"/>
  <c r="V494" i="37"/>
  <c r="T184" i="37"/>
  <c r="T508" i="37"/>
  <c r="R295" i="37"/>
  <c r="P295" i="37" s="1"/>
  <c r="S82" i="37"/>
  <c r="V184" i="37"/>
  <c r="T44" i="37"/>
  <c r="U206" i="37"/>
  <c r="U145" i="37"/>
  <c r="R235" i="37"/>
  <c r="P235" i="37" s="1"/>
  <c r="W169" i="37"/>
  <c r="T355" i="37"/>
  <c r="U360" i="37"/>
  <c r="W215" i="37"/>
  <c r="R453" i="37"/>
  <c r="P453" i="37" s="1"/>
  <c r="U163" i="37"/>
  <c r="W44" i="37"/>
  <c r="R159" i="37"/>
  <c r="P159" i="37" s="1"/>
  <c r="W19" i="37"/>
  <c r="V469" i="37"/>
  <c r="U203" i="37"/>
  <c r="S154" i="37"/>
  <c r="T342" i="37"/>
  <c r="W137" i="37"/>
  <c r="V30" i="37"/>
  <c r="R392" i="37"/>
  <c r="P392" i="37" s="1"/>
  <c r="V222" i="37"/>
  <c r="W375" i="37"/>
  <c r="R117" i="37"/>
  <c r="P117" i="37" s="1"/>
  <c r="S399" i="37"/>
  <c r="V456" i="37"/>
  <c r="W77" i="37"/>
  <c r="R139" i="37"/>
  <c r="P139" i="37" s="1"/>
  <c r="S345" i="37"/>
  <c r="S136" i="37"/>
  <c r="T454" i="37"/>
  <c r="V267" i="37"/>
  <c r="U201" i="37"/>
  <c r="W451" i="37"/>
  <c r="W284" i="37"/>
  <c r="U255" i="37"/>
  <c r="V269" i="37"/>
  <c r="V320" i="37"/>
  <c r="U262" i="37"/>
  <c r="V122" i="37"/>
  <c r="R11" i="37"/>
  <c r="R86" i="37"/>
  <c r="P86" i="37" s="1"/>
  <c r="W75" i="37"/>
  <c r="T208" i="37"/>
  <c r="R507" i="37"/>
  <c r="P507" i="37" s="1"/>
  <c r="T222" i="37"/>
  <c r="W504" i="37"/>
  <c r="U412" i="37"/>
  <c r="R245" i="37"/>
  <c r="P245" i="37" s="1"/>
  <c r="U146" i="37"/>
  <c r="R259" i="37"/>
  <c r="P259" i="37" s="1"/>
  <c r="R37" i="37"/>
  <c r="P37" i="37" s="1"/>
  <c r="T490" i="37"/>
  <c r="U243" i="37"/>
  <c r="V308" i="37"/>
  <c r="T51" i="37"/>
  <c r="R19" i="37"/>
  <c r="S103" i="37"/>
  <c r="V219" i="37"/>
  <c r="S208" i="37"/>
  <c r="S334" i="37"/>
  <c r="V169" i="37"/>
  <c r="T364" i="37"/>
  <c r="R178" i="37"/>
  <c r="P178" i="37" s="1"/>
  <c r="W81" i="37"/>
  <c r="R42" i="37"/>
  <c r="P42" i="37" s="1"/>
  <c r="R140" i="37"/>
  <c r="P140" i="37" s="1"/>
  <c r="S91" i="37"/>
  <c r="V394" i="37"/>
  <c r="T87" i="37"/>
  <c r="S273" i="37"/>
  <c r="T358" i="37"/>
  <c r="U190" i="37"/>
  <c r="S476" i="37"/>
  <c r="V158" i="37"/>
  <c r="W282" i="37"/>
  <c r="U425" i="37"/>
  <c r="T444" i="37"/>
  <c r="T102" i="37"/>
  <c r="V175" i="37"/>
  <c r="W141" i="37"/>
  <c r="T71" i="37"/>
  <c r="R51" i="37"/>
  <c r="P51" i="37" s="1"/>
  <c r="W105" i="37"/>
  <c r="T142" i="37"/>
  <c r="U182" i="37"/>
  <c r="T366" i="37"/>
  <c r="V431" i="37"/>
  <c r="W442" i="37"/>
  <c r="W223" i="37"/>
  <c r="R106" i="37"/>
  <c r="P106" i="37" s="1"/>
  <c r="T211" i="37"/>
  <c r="S475" i="37"/>
  <c r="W399" i="37"/>
  <c r="W422" i="37"/>
  <c r="V197" i="37"/>
  <c r="U347" i="37"/>
  <c r="R199" i="37"/>
  <c r="P199" i="37" s="1"/>
  <c r="V369" i="37"/>
  <c r="V166" i="37"/>
  <c r="R64" i="37"/>
  <c r="P64" i="37" s="1"/>
  <c r="V68" i="37"/>
  <c r="W411" i="37"/>
  <c r="S303" i="37"/>
  <c r="V378" i="37"/>
  <c r="U36" i="37"/>
  <c r="U186" i="37"/>
  <c r="V376" i="37"/>
  <c r="W114" i="37"/>
  <c r="W184" i="37"/>
  <c r="U209" i="37"/>
  <c r="S198" i="37"/>
  <c r="S88" i="37"/>
  <c r="V435" i="37"/>
  <c r="U499" i="37"/>
  <c r="S392" i="37"/>
  <c r="U221" i="37"/>
  <c r="S428" i="37"/>
  <c r="S332" i="37"/>
  <c r="W242" i="37"/>
  <c r="T404" i="37"/>
  <c r="W249" i="37"/>
  <c r="S69" i="37"/>
  <c r="T274" i="37"/>
  <c r="S423" i="37"/>
  <c r="S102" i="37"/>
  <c r="S96" i="37"/>
  <c r="T463" i="37"/>
  <c r="V13" i="37"/>
  <c r="S33" i="37"/>
  <c r="S30" i="37"/>
  <c r="U9" i="37"/>
  <c r="R357" i="37"/>
  <c r="P357" i="37" s="1"/>
  <c r="V62" i="37"/>
  <c r="V468" i="37"/>
  <c r="S126" i="37"/>
  <c r="W364" i="37"/>
  <c r="V159" i="37"/>
  <c r="S265" i="37"/>
  <c r="U118" i="37"/>
  <c r="S302" i="37"/>
  <c r="T157" i="37"/>
  <c r="U183" i="37"/>
  <c r="T279" i="37"/>
  <c r="T50" i="37"/>
  <c r="S382" i="37"/>
  <c r="R331" i="37"/>
  <c r="P331" i="37" s="1"/>
  <c r="S44" i="37"/>
  <c r="U196" i="37"/>
  <c r="W392" i="37"/>
  <c r="V227" i="37"/>
  <c r="U102" i="37"/>
  <c r="T305" i="37"/>
  <c r="S51" i="37"/>
  <c r="S210" i="37"/>
  <c r="V141" i="37"/>
  <c r="T230" i="37"/>
  <c r="R279" i="37"/>
  <c r="P279" i="37" s="1"/>
  <c r="U279" i="37"/>
  <c r="W237" i="37"/>
  <c r="R324" i="37"/>
  <c r="P324" i="37" s="1"/>
  <c r="R147" i="37"/>
  <c r="P147" i="37" s="1"/>
  <c r="S355" i="37"/>
  <c r="S264" i="37"/>
  <c r="S253" i="37"/>
  <c r="V172" i="37"/>
  <c r="W348" i="37"/>
  <c r="V385" i="37"/>
  <c r="W476" i="37"/>
  <c r="U53" i="37"/>
  <c r="T436" i="37"/>
  <c r="W272" i="37"/>
  <c r="V11" i="37"/>
  <c r="T433" i="37"/>
  <c r="T409" i="37"/>
  <c r="S429" i="37"/>
  <c r="W256" i="37"/>
  <c r="W49" i="37"/>
  <c r="S276" i="37"/>
  <c r="R436" i="37"/>
  <c r="P436" i="37" s="1"/>
  <c r="U164" i="37"/>
  <c r="U148" i="37"/>
  <c r="T97" i="37"/>
  <c r="V489" i="37"/>
  <c r="S460" i="37"/>
  <c r="T145" i="37"/>
  <c r="U62" i="37"/>
  <c r="W478" i="37"/>
  <c r="W153" i="37"/>
  <c r="V234" i="37"/>
  <c r="V390" i="37"/>
  <c r="T338" i="37"/>
  <c r="U72" i="37"/>
  <c r="S380" i="37"/>
  <c r="T469" i="37"/>
  <c r="T418" i="37"/>
  <c r="U54" i="37"/>
  <c r="U8" i="37"/>
  <c r="R308" i="37"/>
  <c r="P308" i="37" s="1"/>
  <c r="U423" i="37"/>
  <c r="U407" i="37"/>
  <c r="S252" i="37"/>
  <c r="U104" i="37"/>
  <c r="U166" i="37"/>
  <c r="S127" i="37"/>
  <c r="R374" i="37"/>
  <c r="P374" i="37" s="1"/>
  <c r="W240" i="37"/>
  <c r="W163" i="37"/>
  <c r="T169" i="37"/>
  <c r="W463" i="37"/>
  <c r="U480" i="37"/>
  <c r="T174" i="37"/>
  <c r="R44" i="37"/>
  <c r="P44" i="37" s="1"/>
  <c r="W294" i="37"/>
  <c r="V48" i="37"/>
  <c r="W299" i="37"/>
  <c r="T237" i="37"/>
  <c r="S271" i="37"/>
  <c r="T363" i="37"/>
  <c r="R234" i="37"/>
  <c r="P234" i="37" s="1"/>
  <c r="T220" i="37"/>
  <c r="V209" i="37"/>
  <c r="T117" i="37"/>
  <c r="T251" i="37"/>
  <c r="S402" i="37"/>
  <c r="T465" i="37"/>
  <c r="U340" i="37"/>
  <c r="V505" i="37"/>
  <c r="T198" i="37"/>
  <c r="R272" i="37"/>
  <c r="P272" i="37" s="1"/>
  <c r="W493" i="37"/>
  <c r="S346" i="37"/>
  <c r="W479" i="37"/>
  <c r="S292" i="37"/>
  <c r="R431" i="37"/>
  <c r="P431" i="37" s="1"/>
  <c r="U492" i="37"/>
  <c r="U440" i="37"/>
  <c r="V64" i="37"/>
  <c r="S338" i="37"/>
  <c r="W195" i="37"/>
  <c r="R469" i="37"/>
  <c r="P469" i="37" s="1"/>
  <c r="U259" i="37"/>
  <c r="T111" i="37"/>
  <c r="V146" i="37"/>
  <c r="V18" i="37"/>
  <c r="U299" i="37"/>
  <c r="U263" i="37"/>
  <c r="T34" i="37"/>
  <c r="R433" i="37"/>
  <c r="P433" i="37" s="1"/>
  <c r="T438" i="37"/>
  <c r="S432" i="37"/>
  <c r="R420" i="37"/>
  <c r="P420" i="37" s="1"/>
  <c r="W36" i="37"/>
  <c r="W11" i="37"/>
  <c r="U330" i="37"/>
  <c r="R358" i="37"/>
  <c r="P358" i="37" s="1"/>
  <c r="S81" i="37"/>
  <c r="S104" i="37"/>
  <c r="V387" i="37"/>
  <c r="W119" i="37"/>
  <c r="U78" i="37"/>
  <c r="T303" i="37"/>
  <c r="V180" i="37"/>
  <c r="R341" i="37"/>
  <c r="P341" i="37" s="1"/>
  <c r="T369" i="37"/>
  <c r="W157" i="37"/>
  <c r="S283" i="37"/>
  <c r="W488" i="37"/>
  <c r="S90" i="37"/>
  <c r="T166" i="37"/>
  <c r="T488" i="37"/>
  <c r="S491" i="37"/>
  <c r="U140" i="37"/>
  <c r="S112" i="37"/>
  <c r="W363" i="37"/>
  <c r="T152" i="37"/>
  <c r="S195" i="37"/>
  <c r="U399" i="37"/>
  <c r="U506" i="37"/>
  <c r="S350" i="37"/>
  <c r="W483" i="37"/>
  <c r="W465" i="37"/>
  <c r="V393" i="37"/>
  <c r="R40" i="37"/>
  <c r="P40" i="37" s="1"/>
  <c r="T181" i="37"/>
  <c r="W191" i="37"/>
  <c r="R172" i="37"/>
  <c r="P172" i="37" s="1"/>
  <c r="W205" i="37"/>
  <c r="W384" i="37"/>
  <c r="U216" i="37"/>
  <c r="R142" i="37"/>
  <c r="P142" i="37" s="1"/>
  <c r="S36" i="37"/>
  <c r="T336" i="37"/>
  <c r="U13" i="37"/>
  <c r="T308" i="37"/>
  <c r="U202" i="37"/>
  <c r="T190" i="37"/>
  <c r="W477" i="37"/>
  <c r="V181" i="37"/>
  <c r="R224" i="37"/>
  <c r="P224" i="37" s="1"/>
  <c r="V450" i="37"/>
  <c r="S119" i="37"/>
  <c r="R236" i="37"/>
  <c r="P236" i="37" s="1"/>
  <c r="U50" i="37"/>
  <c r="R281" i="37"/>
  <c r="P281" i="37" s="1"/>
  <c r="U159" i="37"/>
  <c r="T82" i="37"/>
  <c r="T199" i="37"/>
  <c r="U105" i="37"/>
  <c r="U113" i="37"/>
  <c r="U79" i="37"/>
  <c r="V265" i="37"/>
  <c r="R423" i="37"/>
  <c r="P423" i="37" s="1"/>
  <c r="S34" i="37"/>
  <c r="T440" i="37"/>
  <c r="V306" i="37"/>
  <c r="T457" i="37"/>
  <c r="V279" i="37"/>
  <c r="R506" i="37"/>
  <c r="P506" i="37" s="1"/>
  <c r="S418" i="37"/>
  <c r="W146" i="37"/>
  <c r="R183" i="37"/>
  <c r="P183" i="37" s="1"/>
  <c r="V51" i="37"/>
  <c r="W461" i="37"/>
  <c r="V237" i="37"/>
  <c r="W61" i="37"/>
  <c r="R319" i="37"/>
  <c r="P319" i="37" s="1"/>
  <c r="T223" i="37"/>
  <c r="W317" i="37"/>
  <c r="R162" i="37"/>
  <c r="P162" i="37" s="1"/>
  <c r="W428" i="37"/>
  <c r="U469" i="37"/>
  <c r="T30" i="37"/>
  <c r="W221" i="37"/>
  <c r="V449" i="37"/>
  <c r="W321" i="37"/>
  <c r="S94" i="37"/>
  <c r="W383" i="37"/>
  <c r="W484" i="37"/>
  <c r="R48" i="37"/>
  <c r="P48" i="37" s="1"/>
  <c r="W335" i="37"/>
  <c r="R99" i="37"/>
  <c r="P99" i="37" s="1"/>
  <c r="U432" i="37"/>
  <c r="R45" i="37"/>
  <c r="P45" i="37" s="1"/>
  <c r="R434" i="37"/>
  <c r="P434" i="37" s="1"/>
  <c r="U26" i="37"/>
  <c r="R492" i="37"/>
  <c r="P492" i="37" s="1"/>
  <c r="U188" i="37"/>
  <c r="R405" i="37"/>
  <c r="P405" i="37" s="1"/>
  <c r="S408" i="37"/>
  <c r="W281" i="37"/>
  <c r="V333" i="37"/>
  <c r="W473" i="37"/>
  <c r="T294" i="37"/>
  <c r="S410" i="37"/>
  <c r="S401" i="37"/>
  <c r="U288" i="37"/>
  <c r="V150" i="37"/>
  <c r="W381" i="37"/>
  <c r="U24" i="37"/>
  <c r="T313" i="37"/>
  <c r="V341" i="37"/>
  <c r="U329" i="37"/>
  <c r="V245" i="37"/>
  <c r="V307" i="37"/>
  <c r="R262" i="37"/>
  <c r="P262" i="37" s="1"/>
  <c r="T428" i="37"/>
  <c r="V195" i="37"/>
  <c r="U471" i="37"/>
  <c r="U51" i="37"/>
  <c r="R445" i="37"/>
  <c r="P445" i="37" s="1"/>
  <c r="V41" i="37"/>
  <c r="R111" i="37"/>
  <c r="P111" i="37" s="1"/>
  <c r="T269" i="37"/>
  <c r="W150" i="37"/>
  <c r="U38" i="37"/>
  <c r="U287" i="37"/>
  <c r="U193" i="37"/>
  <c r="R218" i="37"/>
  <c r="P218" i="37" s="1"/>
  <c r="R406" i="37"/>
  <c r="P406" i="37" s="1"/>
  <c r="W134" i="37"/>
  <c r="S106" i="37"/>
  <c r="W8" i="37"/>
  <c r="T353" i="37"/>
  <c r="R364" i="37"/>
  <c r="P364" i="37" s="1"/>
  <c r="W120" i="37"/>
  <c r="T380" i="37"/>
  <c r="V436" i="37"/>
  <c r="U342" i="37"/>
  <c r="V151" i="37"/>
  <c r="V118" i="37"/>
  <c r="W131" i="37"/>
  <c r="T200" i="37"/>
  <c r="T285" i="37"/>
  <c r="U344" i="37"/>
  <c r="R461" i="37"/>
  <c r="P461" i="37" s="1"/>
  <c r="V207" i="37"/>
  <c r="R226" i="37"/>
  <c r="P226" i="37" s="1"/>
  <c r="S224" i="37"/>
  <c r="T410" i="37"/>
  <c r="V451" i="37"/>
  <c r="V384" i="37"/>
  <c r="S26" i="37"/>
  <c r="S133" i="37"/>
  <c r="R30" i="37"/>
  <c r="P30" i="37" s="1"/>
  <c r="U74" i="37"/>
  <c r="T212" i="37"/>
  <c r="R196" i="37"/>
  <c r="P196" i="37" s="1"/>
  <c r="T119" i="37"/>
  <c r="W110" i="37"/>
  <c r="R349" i="37"/>
  <c r="P349" i="37" s="1"/>
  <c r="S494" i="37"/>
  <c r="T341" i="37"/>
  <c r="S182" i="37"/>
  <c r="V37" i="37"/>
  <c r="U14" i="37"/>
  <c r="V412" i="37"/>
  <c r="R258" i="37"/>
  <c r="P258" i="37" s="1"/>
  <c r="S473" i="37"/>
  <c r="U371" i="37"/>
  <c r="T485" i="37"/>
  <c r="T189" i="37"/>
  <c r="R369" i="37"/>
  <c r="P369" i="37" s="1"/>
  <c r="V85" i="37"/>
  <c r="T312" i="37"/>
  <c r="W345" i="37"/>
  <c r="U252" i="37"/>
  <c r="T191" i="37"/>
  <c r="V255" i="37"/>
  <c r="R97" i="37"/>
  <c r="P97" i="37" s="1"/>
  <c r="V115" i="37"/>
  <c r="S342" i="37"/>
  <c r="U477" i="37"/>
  <c r="R112" i="37"/>
  <c r="P112" i="37" s="1"/>
  <c r="R468" i="37"/>
  <c r="P468" i="37" s="1"/>
  <c r="T304" i="37"/>
  <c r="S244" i="37"/>
  <c r="T239" i="37"/>
  <c r="T333" i="37"/>
  <c r="R72" i="37"/>
  <c r="P72" i="37" s="1"/>
  <c r="V437" i="37"/>
  <c r="V57" i="37"/>
  <c r="V481" i="37"/>
  <c r="R222" i="37"/>
  <c r="P222" i="37" s="1"/>
  <c r="R153" i="37"/>
  <c r="P153" i="37" s="1"/>
  <c r="S53" i="37"/>
  <c r="R355" i="37"/>
  <c r="P355" i="37" s="1"/>
  <c r="T346" i="37"/>
  <c r="S59" i="37"/>
  <c r="U291" i="37"/>
  <c r="R274" i="37"/>
  <c r="P274" i="37" s="1"/>
  <c r="R501" i="37"/>
  <c r="P501" i="37" s="1"/>
  <c r="R168" i="37"/>
  <c r="P168" i="37" s="1"/>
  <c r="S400" i="37"/>
  <c r="W343" i="37"/>
  <c r="V277" i="37"/>
  <c r="U248" i="37"/>
  <c r="S455" i="37"/>
  <c r="S472" i="37"/>
  <c r="T182" i="37"/>
  <c r="U467" i="37"/>
  <c r="U395" i="37"/>
  <c r="S248" i="37"/>
  <c r="W391" i="37"/>
  <c r="S193" i="37"/>
  <c r="W129" i="37"/>
  <c r="T253" i="37"/>
  <c r="R189" i="37"/>
  <c r="P189" i="37" s="1"/>
  <c r="R336" i="37"/>
  <c r="P336" i="37" s="1"/>
  <c r="S171" i="37"/>
  <c r="R367" i="37"/>
  <c r="P367" i="37" s="1"/>
  <c r="U96" i="37"/>
  <c r="S403" i="37"/>
  <c r="W398" i="37"/>
  <c r="V212" i="37"/>
  <c r="U331" i="37"/>
  <c r="T108" i="37"/>
  <c r="V388" i="37"/>
  <c r="W185" i="37"/>
  <c r="T412" i="37"/>
  <c r="U158" i="37"/>
  <c r="V290" i="37"/>
  <c r="V429" i="37"/>
  <c r="T500" i="37"/>
  <c r="S258" i="37"/>
  <c r="R165" i="37"/>
  <c r="P165" i="37" s="1"/>
  <c r="V135" i="37"/>
  <c r="W154" i="37"/>
  <c r="W499" i="37"/>
  <c r="T470" i="37"/>
  <c r="U80" i="37"/>
  <c r="V63" i="37"/>
  <c r="U442" i="37"/>
  <c r="R360" i="37"/>
  <c r="P360" i="37" s="1"/>
  <c r="T317" i="37"/>
  <c r="U336" i="37"/>
  <c r="V380" i="37"/>
  <c r="R455" i="37"/>
  <c r="P455" i="37" s="1"/>
  <c r="U18" i="37"/>
  <c r="S477" i="37"/>
  <c r="S31" i="37"/>
  <c r="U281" i="37"/>
  <c r="T250" i="37"/>
  <c r="V432" i="37"/>
  <c r="W306" i="37"/>
  <c r="U272" i="37"/>
  <c r="V126" i="37"/>
  <c r="S231" i="37"/>
  <c r="V73" i="37"/>
  <c r="W187" i="37"/>
  <c r="T292" i="37"/>
  <c r="T24" i="37"/>
  <c r="U156" i="37"/>
  <c r="R119" i="37"/>
  <c r="P119" i="37" s="1"/>
  <c r="T192" i="37"/>
  <c r="R195" i="37"/>
  <c r="P195" i="37" s="1"/>
  <c r="V140" i="37"/>
  <c r="W51" i="37"/>
  <c r="W322" i="37"/>
  <c r="U234" i="37"/>
  <c r="U437" i="37"/>
  <c r="V153" i="37"/>
  <c r="W371" i="37"/>
  <c r="W382" i="37"/>
  <c r="T405" i="37"/>
  <c r="T489" i="37"/>
  <c r="W50" i="37"/>
  <c r="U367" i="37"/>
  <c r="S483" i="37"/>
  <c r="V20" i="37"/>
  <c r="S32" i="37"/>
  <c r="V428" i="37"/>
  <c r="T437" i="37"/>
  <c r="R125" i="37"/>
  <c r="P125" i="37" s="1"/>
  <c r="S465" i="37"/>
  <c r="V144" i="37"/>
  <c r="V232" i="37"/>
  <c r="V288" i="37"/>
  <c r="U370" i="37"/>
  <c r="W247" i="37"/>
  <c r="R498" i="37"/>
  <c r="P498" i="37" s="1"/>
  <c r="U411" i="37"/>
  <c r="V360" i="37"/>
  <c r="S135" i="37"/>
  <c r="R318" i="37"/>
  <c r="P318" i="37" s="1"/>
  <c r="W286" i="37"/>
  <c r="U230" i="37"/>
  <c r="U15" i="37"/>
  <c r="V16" i="37"/>
  <c r="R359" i="37"/>
  <c r="P359" i="37" s="1"/>
  <c r="T43" i="37"/>
  <c r="T168" i="37"/>
  <c r="R95" i="37"/>
  <c r="P95" i="37" s="1"/>
  <c r="V285" i="37"/>
  <c r="T93" i="37"/>
  <c r="S470" i="37"/>
  <c r="S321" i="37"/>
  <c r="S379" i="37"/>
  <c r="T10" i="37"/>
  <c r="S68" i="37"/>
  <c r="S250" i="37"/>
  <c r="R167" i="37"/>
  <c r="P167" i="37" s="1"/>
  <c r="R182" i="37"/>
  <c r="P182" i="37" s="1"/>
  <c r="W445" i="37"/>
  <c r="R57" i="37"/>
  <c r="P57" i="37" s="1"/>
  <c r="S374" i="37"/>
  <c r="V67" i="37"/>
  <c r="V218" i="37"/>
  <c r="R77" i="37"/>
  <c r="P77" i="37" s="1"/>
  <c r="V157" i="37"/>
  <c r="V391" i="37"/>
  <c r="V305" i="37"/>
  <c r="T161" i="37"/>
  <c r="S480" i="37"/>
  <c r="R116" i="37"/>
  <c r="P116" i="37" s="1"/>
  <c r="V409" i="37"/>
  <c r="U175" i="37"/>
  <c r="R388" i="37"/>
  <c r="P388" i="37" s="1"/>
  <c r="R466" i="37"/>
  <c r="P466" i="37" s="1"/>
  <c r="U414" i="37"/>
  <c r="W389" i="37"/>
  <c r="T458" i="37"/>
  <c r="S177" i="37"/>
  <c r="R237" i="37"/>
  <c r="P237" i="37" s="1"/>
  <c r="R16" i="37"/>
  <c r="S29" i="37"/>
  <c r="V403" i="37"/>
  <c r="T32" i="37"/>
  <c r="U12" i="37"/>
  <c r="V242" i="37"/>
  <c r="S42" i="37"/>
  <c r="V319" i="37"/>
  <c r="R10" i="37"/>
  <c r="S60" i="37"/>
  <c r="S58" i="37"/>
  <c r="W60" i="37"/>
  <c r="U249" i="37"/>
  <c r="S109" i="37"/>
  <c r="T287" i="37"/>
  <c r="R155" i="37"/>
  <c r="P155" i="37" s="1"/>
  <c r="V316" i="37"/>
  <c r="V230" i="37"/>
  <c r="W264" i="37"/>
  <c r="U246" i="37"/>
  <c r="V14" i="37"/>
  <c r="T35" i="37"/>
  <c r="R303" i="37"/>
  <c r="P303" i="37" s="1"/>
  <c r="U48" i="37"/>
  <c r="R350" i="37"/>
  <c r="P350" i="37" s="1"/>
  <c r="U98" i="37"/>
  <c r="T138" i="37"/>
  <c r="U210" i="37"/>
  <c r="W410" i="37"/>
  <c r="T399" i="37"/>
  <c r="R294" i="37"/>
  <c r="P294" i="37" s="1"/>
  <c r="S286" i="37"/>
  <c r="U284" i="37"/>
  <c r="U41" i="37"/>
  <c r="R293" i="37"/>
  <c r="P293" i="37" s="1"/>
  <c r="W84" i="37"/>
  <c r="S422" i="37"/>
  <c r="U251" i="37"/>
  <c r="S131" i="37"/>
  <c r="W444" i="37"/>
  <c r="R98" i="37"/>
  <c r="P98" i="37" s="1"/>
  <c r="U61" i="37"/>
  <c r="U313" i="37"/>
  <c r="T179" i="37"/>
  <c r="R292" i="37"/>
  <c r="P292" i="37" s="1"/>
  <c r="W152" i="37"/>
  <c r="U294" i="37"/>
  <c r="W387" i="37"/>
  <c r="R362" i="37"/>
  <c r="P362" i="37" s="1"/>
  <c r="S314" i="37"/>
  <c r="U67" i="37"/>
  <c r="R338" i="37"/>
  <c r="P338" i="37" s="1"/>
  <c r="W203" i="37"/>
  <c r="R132" i="37"/>
  <c r="P132" i="37" s="1"/>
  <c r="W173" i="37"/>
  <c r="W62" i="37"/>
  <c r="U223" i="37"/>
  <c r="U129" i="37"/>
  <c r="V484" i="37"/>
  <c r="U160" i="37"/>
  <c r="T270" i="37"/>
  <c r="S80" i="37"/>
  <c r="V318" i="37"/>
  <c r="W103" i="37"/>
  <c r="S167" i="37"/>
  <c r="W417" i="37"/>
  <c r="R441" i="37"/>
  <c r="P441" i="37" s="1"/>
  <c r="T402" i="37"/>
  <c r="V90" i="37"/>
  <c r="S261" i="37"/>
  <c r="S113" i="37"/>
  <c r="R252" i="37"/>
  <c r="P252" i="37" s="1"/>
  <c r="T19" i="37"/>
  <c r="S40" i="37"/>
  <c r="U65" i="37"/>
  <c r="R75" i="37"/>
  <c r="P75" i="37" s="1"/>
  <c r="W494" i="37"/>
  <c r="U452" i="37"/>
  <c r="R26" i="37"/>
  <c r="T216" i="37"/>
  <c r="T144" i="37"/>
  <c r="T320" i="37"/>
  <c r="W503" i="37"/>
  <c r="U384" i="37"/>
  <c r="U345" i="37"/>
  <c r="W373" i="37"/>
  <c r="S462" i="37"/>
  <c r="T54" i="37"/>
  <c r="S371" i="37"/>
  <c r="W127" i="37"/>
  <c r="S70" i="37"/>
  <c r="U157" i="37"/>
  <c r="R231" i="37"/>
  <c r="P231" i="37" s="1"/>
  <c r="U376" i="37"/>
  <c r="T407" i="37"/>
  <c r="R286" i="37"/>
  <c r="P286" i="37" s="1"/>
  <c r="V94" i="37"/>
  <c r="V399" i="37"/>
  <c r="R396" i="37"/>
  <c r="P396" i="37" s="1"/>
  <c r="R256" i="37"/>
  <c r="P256" i="37" s="1"/>
  <c r="W297" i="37"/>
  <c r="W76" i="37"/>
  <c r="S176" i="37"/>
  <c r="T379" i="37"/>
  <c r="W111" i="37"/>
  <c r="V131" i="37"/>
  <c r="S309" i="37"/>
  <c r="T345" i="37"/>
  <c r="V133" i="37"/>
  <c r="R152" i="37"/>
  <c r="P152" i="37" s="1"/>
  <c r="U358" i="37"/>
  <c r="R197" i="37"/>
  <c r="P197" i="37" s="1"/>
  <c r="V116" i="37"/>
  <c r="R415" i="37"/>
  <c r="P415" i="37" s="1"/>
  <c r="V492" i="37"/>
  <c r="W277" i="37"/>
  <c r="V404" i="37"/>
  <c r="U89" i="37"/>
  <c r="V223" i="37"/>
  <c r="R212" i="37"/>
  <c r="P212" i="37" s="1"/>
  <c r="V448" i="37"/>
  <c r="S278" i="37"/>
  <c r="V274" i="37"/>
  <c r="T356" i="37"/>
  <c r="T113" i="37"/>
  <c r="W495" i="37"/>
  <c r="T419" i="37"/>
  <c r="V382" i="37"/>
  <c r="S221" i="37"/>
  <c r="T36" i="37"/>
  <c r="R354" i="37"/>
  <c r="P354" i="37" s="1"/>
  <c r="U355" i="37"/>
  <c r="T411" i="37"/>
  <c r="V134" i="37"/>
  <c r="S199" i="37"/>
  <c r="U483" i="37"/>
  <c r="U280" i="37"/>
  <c r="T467" i="37"/>
  <c r="U233" i="37"/>
  <c r="V200" i="37"/>
  <c r="U503" i="37"/>
  <c r="V446" i="37"/>
  <c r="V457" i="37"/>
  <c r="U131" i="37"/>
  <c r="T218" i="37"/>
  <c r="S293" i="37"/>
  <c r="U390" i="37"/>
  <c r="U254" i="37"/>
  <c r="R290" i="37"/>
  <c r="P290" i="37" s="1"/>
  <c r="U378" i="37"/>
  <c r="T128" i="37"/>
  <c r="U43" i="37"/>
  <c r="T16" i="37"/>
  <c r="V83" i="37"/>
  <c r="U103" i="37"/>
  <c r="U363" i="37"/>
  <c r="W161" i="37"/>
  <c r="R184" i="37"/>
  <c r="P184" i="37" s="1"/>
  <c r="S74" i="37"/>
  <c r="U453" i="37"/>
  <c r="W305" i="37"/>
  <c r="S205" i="37"/>
  <c r="W155" i="37"/>
  <c r="S266" i="37"/>
  <c r="T197" i="37"/>
  <c r="U241" i="37"/>
  <c r="R477" i="37"/>
  <c r="P477" i="37" s="1"/>
  <c r="W266" i="37"/>
  <c r="U382" i="37"/>
  <c r="T228" i="37"/>
  <c r="S192" i="37"/>
  <c r="U174" i="37"/>
  <c r="R395" i="37"/>
  <c r="P395" i="37" s="1"/>
  <c r="U124" i="37"/>
  <c r="U258" i="37"/>
  <c r="T314" i="37"/>
  <c r="T293" i="37"/>
  <c r="T234" i="37"/>
  <c r="T421" i="37"/>
  <c r="R465" i="37"/>
  <c r="P465" i="37" s="1"/>
  <c r="U302" i="37"/>
  <c r="R283" i="37"/>
  <c r="P283" i="37" s="1"/>
  <c r="R174" i="37"/>
  <c r="P174" i="37" s="1"/>
  <c r="T388" i="37"/>
  <c r="S404" i="37"/>
  <c r="W250" i="37"/>
  <c r="W123" i="37"/>
  <c r="W407" i="37"/>
  <c r="S456" i="37"/>
  <c r="W112" i="37"/>
  <c r="U421" i="37"/>
  <c r="T221" i="37"/>
  <c r="S469" i="37"/>
  <c r="V405" i="37"/>
  <c r="W470" i="37"/>
  <c r="T446" i="37"/>
  <c r="R54" i="37"/>
  <c r="P54" i="37" s="1"/>
  <c r="S67" i="37"/>
  <c r="S101" i="37"/>
  <c r="R275" i="37"/>
  <c r="P275" i="37" s="1"/>
  <c r="V147" i="37"/>
  <c r="T327" i="37"/>
  <c r="S260" i="37"/>
  <c r="R479" i="37"/>
  <c r="P479" i="37" s="1"/>
  <c r="V301" i="37"/>
  <c r="T347" i="37"/>
  <c r="W67" i="37"/>
  <c r="U122" i="37"/>
  <c r="R343" i="37"/>
  <c r="P343" i="37" s="1"/>
  <c r="W172" i="37"/>
  <c r="W90" i="37"/>
  <c r="R113" i="37"/>
  <c r="P113" i="37" s="1"/>
  <c r="T75" i="37"/>
  <c r="R471" i="37"/>
  <c r="P471" i="37" s="1"/>
  <c r="T241" i="37"/>
  <c r="W314" i="37"/>
  <c r="V421" i="37"/>
  <c r="W359" i="37"/>
  <c r="V372" i="37"/>
  <c r="R315" i="37"/>
  <c r="P315" i="37" s="1"/>
  <c r="W415" i="37"/>
  <c r="T497" i="37"/>
  <c r="R495" i="37"/>
  <c r="P495" i="37" s="1"/>
  <c r="T155" i="37"/>
  <c r="R472" i="37"/>
  <c r="P472" i="37" s="1"/>
  <c r="T332" i="37"/>
  <c r="V226" i="37"/>
  <c r="T33" i="37"/>
  <c r="W413" i="37"/>
  <c r="V22" i="37"/>
  <c r="S417" i="37"/>
  <c r="R296" i="37"/>
  <c r="P296" i="37" s="1"/>
  <c r="R176" i="37"/>
  <c r="P176" i="37" s="1"/>
  <c r="R371" i="37"/>
  <c r="P371" i="37" s="1"/>
  <c r="U147" i="37"/>
  <c r="S203" i="37"/>
  <c r="T389" i="37"/>
  <c r="R270" i="37"/>
  <c r="P270" i="37" s="1"/>
  <c r="U374" i="37"/>
  <c r="V270" i="37"/>
  <c r="V154" i="37"/>
  <c r="S352" i="37"/>
  <c r="V148" i="37"/>
  <c r="S237" i="37"/>
  <c r="U383" i="37"/>
  <c r="W366" i="37"/>
  <c r="W273" i="37"/>
  <c r="U207" i="37"/>
  <c r="R309" i="37"/>
  <c r="P309" i="37" s="1"/>
  <c r="W472" i="37"/>
  <c r="S220" i="37"/>
  <c r="R217" i="37"/>
  <c r="P217" i="37" s="1"/>
  <c r="W280" i="37"/>
  <c r="S430" i="37"/>
  <c r="V36" i="37"/>
  <c r="U137" i="37"/>
  <c r="R213" i="37"/>
  <c r="P213" i="37" s="1"/>
  <c r="W31" i="37"/>
  <c r="R43" i="37"/>
  <c r="P43" i="37" s="1"/>
  <c r="S216" i="37"/>
  <c r="T400" i="37"/>
  <c r="U133" i="37"/>
  <c r="T268" i="37"/>
  <c r="W53" i="37"/>
  <c r="R83" i="37"/>
  <c r="P83" i="37" s="1"/>
  <c r="W220" i="37"/>
  <c r="U462" i="37"/>
  <c r="S386" i="37"/>
  <c r="T296" i="37"/>
  <c r="T368" i="37"/>
  <c r="T62" i="37"/>
  <c r="U405" i="37"/>
  <c r="R394" i="37"/>
  <c r="P394" i="37" s="1"/>
  <c r="T275" i="37"/>
  <c r="R66" i="37"/>
  <c r="P66" i="37" s="1"/>
  <c r="W116" i="37"/>
  <c r="U152" i="37"/>
  <c r="S235" i="37"/>
  <c r="T335" i="37"/>
  <c r="U245" i="37"/>
  <c r="S175" i="37"/>
  <c r="T447" i="37"/>
  <c r="T493" i="37"/>
  <c r="R398" i="37"/>
  <c r="P398" i="37" s="1"/>
  <c r="T140" i="37"/>
  <c r="V102" i="37"/>
  <c r="W149" i="37"/>
  <c r="U409" i="37"/>
  <c r="T122" i="37"/>
  <c r="R280" i="37"/>
  <c r="P280" i="37" s="1"/>
  <c r="U25" i="37"/>
  <c r="V441" i="37"/>
  <c r="U343" i="37"/>
  <c r="T289" i="37"/>
  <c r="S238" i="37"/>
  <c r="R188" i="37"/>
  <c r="P188" i="37" s="1"/>
  <c r="V54" i="37"/>
  <c r="V24" i="37"/>
  <c r="T159" i="37"/>
  <c r="W308" i="37"/>
  <c r="S501" i="37"/>
  <c r="S295" i="37"/>
  <c r="S257" i="37"/>
  <c r="S277" i="37"/>
  <c r="R399" i="37"/>
  <c r="P399" i="37" s="1"/>
  <c r="S450" i="37"/>
  <c r="R378" i="37"/>
  <c r="P378" i="37" s="1"/>
  <c r="W252" i="37"/>
  <c r="U323" i="37"/>
  <c r="W263" i="37"/>
  <c r="U334" i="37"/>
  <c r="W309" i="37"/>
  <c r="V322" i="37"/>
  <c r="S21" i="37"/>
  <c r="W196" i="37"/>
  <c r="S16" i="37"/>
  <c r="T100" i="37"/>
  <c r="U373" i="37"/>
  <c r="W234" i="37"/>
  <c r="R304" i="37"/>
  <c r="P304" i="37" s="1"/>
  <c r="W20" i="37"/>
  <c r="S206" i="37"/>
  <c r="T130" i="37"/>
  <c r="V142" i="37"/>
  <c r="R348" i="37"/>
  <c r="P348" i="37" s="1"/>
  <c r="R238" i="37"/>
  <c r="P238" i="37" s="1"/>
  <c r="U205" i="37"/>
  <c r="S168" i="37"/>
  <c r="V398" i="37"/>
  <c r="V258" i="37"/>
  <c r="U300" i="37"/>
  <c r="W402" i="37"/>
  <c r="T416" i="37"/>
  <c r="S329" i="37"/>
  <c r="T278" i="37"/>
  <c r="T186" i="37"/>
  <c r="R271" i="37"/>
  <c r="P271" i="37" s="1"/>
  <c r="W438" i="37"/>
  <c r="R170" i="37"/>
  <c r="P170" i="37" s="1"/>
  <c r="V459" i="37"/>
  <c r="U309" i="37"/>
  <c r="R126" i="37"/>
  <c r="P126" i="37" s="1"/>
  <c r="T382" i="37"/>
  <c r="W312" i="37"/>
  <c r="T69" i="37"/>
  <c r="S440" i="37"/>
  <c r="S498" i="37"/>
  <c r="T383" i="37"/>
  <c r="R403" i="37"/>
  <c r="P403" i="37" s="1"/>
  <c r="R157" i="37"/>
  <c r="P157" i="37" s="1"/>
  <c r="S445" i="37"/>
  <c r="R489" i="37"/>
  <c r="P489" i="37" s="1"/>
  <c r="S479" i="37"/>
  <c r="U396" i="37"/>
  <c r="V17" i="37"/>
  <c r="U490" i="37"/>
  <c r="R389" i="37"/>
  <c r="P389" i="37" s="1"/>
  <c r="R127" i="37"/>
  <c r="P127" i="37" s="1"/>
  <c r="U106" i="37"/>
  <c r="W142" i="37"/>
  <c r="R46" i="37"/>
  <c r="P46" i="37" s="1"/>
  <c r="R171" i="37"/>
  <c r="P171" i="37" s="1"/>
  <c r="U277" i="37"/>
  <c r="V381" i="37"/>
  <c r="W15" i="37"/>
  <c r="U187" i="37"/>
  <c r="W222" i="37"/>
  <c r="R368" i="37"/>
  <c r="P368" i="37" s="1"/>
  <c r="T89" i="37"/>
  <c r="V229" i="37"/>
  <c r="W460" i="37"/>
  <c r="R393" i="37"/>
  <c r="P393" i="37" s="1"/>
  <c r="S489" i="37"/>
  <c r="W350" i="37"/>
  <c r="S217" i="37"/>
  <c r="T106" i="37"/>
  <c r="S312" i="37"/>
  <c r="R215" i="37"/>
  <c r="P215" i="37" s="1"/>
  <c r="U316" i="37"/>
  <c r="S255" i="37"/>
  <c r="W28" i="37"/>
  <c r="R239" i="37"/>
  <c r="P239" i="37" s="1"/>
  <c r="W498" i="37"/>
  <c r="W386" i="37"/>
  <c r="R301" i="37"/>
  <c r="P301" i="37" s="1"/>
  <c r="S373" i="37"/>
  <c r="V132" i="37"/>
  <c r="R96" i="37"/>
  <c r="P96" i="37" s="1"/>
  <c r="R352" i="37"/>
  <c r="P352" i="37" s="1"/>
  <c r="R333" i="37"/>
  <c r="P333" i="37" s="1"/>
  <c r="U264" i="37"/>
  <c r="S27" i="37"/>
  <c r="T376" i="37"/>
  <c r="S79" i="37"/>
  <c r="S39" i="37"/>
  <c r="V430" i="37"/>
  <c r="S200" i="37"/>
  <c r="W70" i="37"/>
  <c r="W56" i="37"/>
  <c r="R366" i="37"/>
  <c r="P366" i="37" s="1"/>
  <c r="W16" i="37"/>
  <c r="W274" i="37"/>
  <c r="S92" i="37"/>
  <c r="U99" i="37"/>
  <c r="T201" i="37"/>
  <c r="R163" i="37"/>
  <c r="P163" i="37" s="1"/>
  <c r="W170" i="37"/>
  <c r="T126" i="37"/>
  <c r="R397" i="37"/>
  <c r="P397" i="37" s="1"/>
  <c r="U236" i="37"/>
  <c r="U428" i="37"/>
  <c r="T196" i="37"/>
  <c r="R242" i="37"/>
  <c r="P242" i="37" s="1"/>
  <c r="S207" i="37"/>
  <c r="S457" i="37"/>
  <c r="W95" i="37"/>
  <c r="U55" i="37"/>
  <c r="S458" i="37"/>
  <c r="T487" i="37"/>
  <c r="V287" i="37"/>
  <c r="W342" i="37"/>
  <c r="T401" i="37"/>
  <c r="U427" i="37"/>
  <c r="U488" i="37"/>
  <c r="W228" i="37"/>
  <c r="S270" i="37"/>
  <c r="V109" i="37"/>
  <c r="W369" i="37"/>
  <c r="S315" i="37"/>
  <c r="R478" i="37"/>
  <c r="P478" i="37" s="1"/>
  <c r="W385" i="37"/>
  <c r="R145" i="37"/>
  <c r="P145" i="37" s="1"/>
  <c r="W40" i="37"/>
  <c r="S254" i="37"/>
  <c r="S155" i="37"/>
  <c r="U478" i="37"/>
  <c r="T272" i="37"/>
  <c r="W507" i="37"/>
  <c r="U276" i="37"/>
  <c r="V96" i="37"/>
  <c r="W243" i="37"/>
  <c r="U197" i="37"/>
  <c r="W449" i="37"/>
  <c r="R325" i="37"/>
  <c r="P325" i="37" s="1"/>
  <c r="V89" i="37"/>
  <c r="V497" i="37"/>
  <c r="V442" i="37"/>
  <c r="U204" i="37"/>
  <c r="R288" i="37"/>
  <c r="P288" i="37" s="1"/>
  <c r="R482" i="37"/>
  <c r="P482" i="37" s="1"/>
  <c r="U250" i="37"/>
  <c r="T486" i="37"/>
  <c r="U70" i="37"/>
  <c r="W208" i="37"/>
  <c r="T426" i="37"/>
  <c r="T259" i="37"/>
  <c r="R229" i="37"/>
  <c r="P229" i="37" s="1"/>
  <c r="W323" i="37"/>
  <c r="T158" i="37"/>
  <c r="T479" i="37"/>
  <c r="U217" i="37"/>
  <c r="V271" i="37"/>
  <c r="S118" i="37"/>
  <c r="W204" i="37"/>
  <c r="R124" i="37"/>
  <c r="P124" i="37" s="1"/>
  <c r="R220" i="37"/>
  <c r="P220" i="37" s="1"/>
  <c r="W339" i="37"/>
  <c r="S459" i="37"/>
  <c r="T282" i="37"/>
  <c r="T23" i="37"/>
  <c r="U237" i="37"/>
  <c r="T205" i="37"/>
  <c r="T249" i="37"/>
  <c r="V423" i="37"/>
  <c r="W454" i="37"/>
  <c r="S398" i="37"/>
  <c r="V15" i="37"/>
  <c r="W159" i="37"/>
  <c r="S188" i="37"/>
  <c r="S363" i="37"/>
  <c r="W9" i="37"/>
  <c r="R380" i="37"/>
  <c r="P380" i="37" s="1"/>
  <c r="T204" i="37"/>
  <c r="V313" i="37"/>
  <c r="S451" i="37"/>
  <c r="R345" i="37"/>
  <c r="P345" i="37" s="1"/>
  <c r="W340" i="37"/>
  <c r="U278" i="37"/>
  <c r="R39" i="37"/>
  <c r="P39" i="37" s="1"/>
  <c r="V263" i="37"/>
  <c r="U328" i="37"/>
  <c r="T413" i="37"/>
  <c r="U456" i="37"/>
  <c r="V465" i="37"/>
  <c r="V275" i="37"/>
  <c r="S497" i="37"/>
  <c r="U485" i="37"/>
  <c r="U501" i="37"/>
  <c r="R179" i="37"/>
  <c r="P179" i="37" s="1"/>
  <c r="T133" i="37"/>
  <c r="U30" i="37"/>
  <c r="V88" i="37"/>
  <c r="R456" i="37"/>
  <c r="P456" i="37" s="1"/>
  <c r="U151" i="37"/>
  <c r="S138" i="37"/>
  <c r="V129" i="37"/>
  <c r="T291" i="37"/>
  <c r="W446" i="37"/>
  <c r="S111" i="37"/>
  <c r="W211" i="37"/>
  <c r="T329" i="37"/>
  <c r="U444" i="37"/>
  <c r="R340" i="37"/>
  <c r="P340" i="37" s="1"/>
  <c r="V473" i="37"/>
  <c r="R502" i="37"/>
  <c r="P502" i="37" s="1"/>
  <c r="T414" i="37"/>
  <c r="S178" i="37"/>
  <c r="W344" i="37"/>
  <c r="V272" i="37"/>
  <c r="S298" i="37"/>
  <c r="U180" i="37"/>
  <c r="R53" i="37"/>
  <c r="P53" i="37" s="1"/>
  <c r="T171" i="37"/>
  <c r="T99" i="37"/>
  <c r="U430" i="37"/>
  <c r="T26" i="37"/>
  <c r="W10" i="37"/>
  <c r="W88" i="37"/>
  <c r="U143" i="37"/>
  <c r="S262" i="37"/>
  <c r="W33" i="37"/>
  <c r="R458" i="37"/>
  <c r="P458" i="37" s="1"/>
  <c r="S449" i="37"/>
  <c r="V65" i="37"/>
  <c r="R25" i="37"/>
  <c r="V19" i="37"/>
  <c r="R55" i="37"/>
  <c r="P55" i="37" s="1"/>
  <c r="W239" i="37"/>
  <c r="R144" i="37"/>
  <c r="P144" i="37" s="1"/>
  <c r="W318" i="37"/>
  <c r="U91" i="37"/>
  <c r="S89" i="37"/>
  <c r="W194" i="37"/>
  <c r="S107" i="37"/>
  <c r="W437" i="37"/>
  <c r="W72" i="37"/>
  <c r="S317" i="37"/>
  <c r="W144" i="37"/>
  <c r="T499" i="37"/>
  <c r="T188" i="37"/>
  <c r="S343" i="37"/>
  <c r="R339" i="37"/>
  <c r="P339" i="37" s="1"/>
  <c r="W365" i="37"/>
  <c r="S163" i="37"/>
  <c r="S323" i="37"/>
  <c r="U211" i="37"/>
  <c r="S468" i="37"/>
  <c r="V424" i="37"/>
  <c r="T167" i="37"/>
  <c r="W374" i="37"/>
  <c r="U266" i="37"/>
  <c r="R60" i="37"/>
  <c r="P60" i="37" s="1"/>
  <c r="S73" i="37"/>
  <c r="U10" i="37"/>
  <c r="T373" i="37"/>
  <c r="U416" i="37"/>
  <c r="V196" i="37"/>
  <c r="S505" i="37"/>
  <c r="V477" i="37"/>
  <c r="W481" i="37"/>
  <c r="S308" i="37"/>
  <c r="T22" i="37"/>
  <c r="W42" i="37"/>
  <c r="T385" i="37"/>
  <c r="T121" i="37"/>
  <c r="W388" i="37"/>
  <c r="T74" i="37"/>
  <c r="T136" i="37"/>
  <c r="W441" i="37"/>
  <c r="R322" i="37"/>
  <c r="P322" i="37" s="1"/>
  <c r="S389" i="37"/>
  <c r="V98" i="37"/>
  <c r="W258" i="37"/>
  <c r="V261" i="37"/>
  <c r="S139" i="37"/>
  <c r="T235" i="37"/>
  <c r="R432" i="37"/>
  <c r="P432" i="37" s="1"/>
  <c r="T367" i="37"/>
  <c r="R390" i="37"/>
  <c r="P390" i="37" s="1"/>
  <c r="W408" i="37"/>
  <c r="T114" i="37"/>
  <c r="U138" i="37"/>
  <c r="V25" i="37"/>
  <c r="T258" i="37"/>
  <c r="S213" i="37"/>
  <c r="U239" i="37"/>
  <c r="U82" i="37"/>
  <c r="V425" i="37"/>
  <c r="W414" i="37"/>
  <c r="R108" i="37"/>
  <c r="P108" i="37" s="1"/>
  <c r="U231" i="37"/>
  <c r="W115" i="37"/>
  <c r="S232" i="37"/>
  <c r="R56" i="37"/>
  <c r="P56" i="37" s="1"/>
  <c r="V280" i="37"/>
  <c r="U391" i="37"/>
  <c r="V355" i="37"/>
  <c r="R430" i="37"/>
  <c r="P430" i="37" s="1"/>
  <c r="R194" i="37"/>
  <c r="P194" i="37" s="1"/>
  <c r="R299" i="37"/>
  <c r="P299" i="37" s="1"/>
  <c r="W122" i="37"/>
  <c r="S375" i="37"/>
  <c r="W367" i="37"/>
  <c r="W475" i="37"/>
  <c r="U500" i="37"/>
  <c r="R87" i="37"/>
  <c r="P87" i="37" s="1"/>
  <c r="W125" i="37"/>
  <c r="W253" i="37"/>
  <c r="W132" i="37"/>
  <c r="T125" i="37"/>
  <c r="W189" i="37"/>
  <c r="S95" i="37"/>
  <c r="V12" i="37"/>
  <c r="R225" i="37"/>
  <c r="P225" i="37" s="1"/>
  <c r="V507" i="37"/>
  <c r="S180" i="37"/>
  <c r="T492" i="37"/>
  <c r="T280" i="37"/>
  <c r="U481" i="37"/>
  <c r="S189" i="37"/>
  <c r="V353" i="37"/>
  <c r="S415" i="37"/>
  <c r="S186" i="37"/>
  <c r="V28" i="37"/>
  <c r="W377" i="37"/>
  <c r="W300" i="37"/>
  <c r="U434" i="37"/>
  <c r="S396" i="37"/>
  <c r="W292" i="37"/>
  <c r="V463" i="37"/>
  <c r="T77" i="37"/>
  <c r="V52" i="37"/>
  <c r="T481" i="37"/>
  <c r="T78" i="37"/>
  <c r="R203" i="37"/>
  <c r="P203" i="37" s="1"/>
  <c r="V206" i="37"/>
  <c r="R248" i="37"/>
  <c r="P248" i="37" s="1"/>
  <c r="T415" i="37"/>
  <c r="W466" i="37"/>
  <c r="U115" i="37"/>
  <c r="W453" i="37"/>
  <c r="U219" i="37"/>
  <c r="V95" i="37"/>
  <c r="R307" i="37"/>
  <c r="P307" i="37" s="1"/>
  <c r="W91" i="37"/>
  <c r="R138" i="37"/>
  <c r="P138" i="37" s="1"/>
  <c r="W480" i="37"/>
  <c r="R150" i="37"/>
  <c r="P150" i="37" s="1"/>
  <c r="W46" i="37"/>
  <c r="V86" i="37"/>
  <c r="R29" i="37"/>
  <c r="P29" i="37" s="1"/>
  <c r="W283" i="37"/>
  <c r="W251" i="37"/>
  <c r="V419" i="37"/>
  <c r="R266" i="37"/>
  <c r="P266" i="37" s="1"/>
  <c r="R247" i="37"/>
  <c r="P247" i="37" s="1"/>
  <c r="T328" i="37"/>
  <c r="W464" i="37"/>
  <c r="W54" i="37"/>
  <c r="T362" i="37"/>
  <c r="U351" i="37"/>
  <c r="T340" i="37"/>
  <c r="S233" i="37"/>
  <c r="W450" i="37"/>
  <c r="U220" i="37"/>
  <c r="V482" i="37"/>
  <c r="V297" i="37"/>
  <c r="R418" i="37"/>
  <c r="P418" i="37" s="1"/>
  <c r="U332" i="37"/>
  <c r="V27" i="37"/>
  <c r="S384" i="37"/>
  <c r="S330" i="37"/>
  <c r="V191" i="37"/>
  <c r="R467" i="37"/>
  <c r="P467" i="37" s="1"/>
  <c r="R28" i="37"/>
  <c r="W400" i="37"/>
  <c r="W357" i="37"/>
  <c r="T210" i="37"/>
  <c r="U108" i="37"/>
  <c r="U76" i="37"/>
  <c r="W71" i="37"/>
  <c r="R210" i="37"/>
  <c r="P210" i="37" s="1"/>
  <c r="W487" i="37"/>
  <c r="T468" i="37"/>
  <c r="S311" i="37"/>
  <c r="T240" i="37"/>
  <c r="W426" i="37"/>
  <c r="R160" i="37"/>
  <c r="P160" i="37" s="1"/>
  <c r="T148" i="37"/>
  <c r="V309" i="37"/>
  <c r="T449" i="37"/>
  <c r="W431" i="37"/>
  <c r="R356" i="37"/>
  <c r="P356" i="37" s="1"/>
  <c r="W101" i="37"/>
  <c r="S439" i="37"/>
  <c r="V474" i="37"/>
  <c r="R141" i="37"/>
  <c r="P141" i="37" s="1"/>
  <c r="V471" i="37"/>
  <c r="S144" i="37"/>
  <c r="W289" i="37"/>
  <c r="R240" i="37"/>
  <c r="P240" i="37" s="1"/>
  <c r="W404" i="37"/>
  <c r="S357" i="37"/>
  <c r="U123" i="37"/>
  <c r="V357" i="37"/>
  <c r="T491" i="37"/>
  <c r="V395" i="37"/>
  <c r="V156" i="37"/>
  <c r="W304" i="37"/>
  <c r="W259" i="37"/>
  <c r="R379" i="37"/>
  <c r="P379" i="37" s="1"/>
  <c r="S412" i="37"/>
  <c r="V78" i="37"/>
  <c r="R449" i="37"/>
  <c r="P449" i="37" s="1"/>
  <c r="V213" i="37"/>
  <c r="W506" i="37"/>
  <c r="T63" i="37"/>
  <c r="U320" i="37"/>
  <c r="U327" i="37"/>
  <c r="T18" i="37"/>
  <c r="U69" i="37"/>
  <c r="R161" i="37"/>
  <c r="P161" i="37" s="1"/>
  <c r="T266" i="37"/>
  <c r="V366" i="37"/>
  <c r="V26" i="37"/>
  <c r="R291" i="37"/>
  <c r="P291" i="37" s="1"/>
  <c r="U37" i="37"/>
  <c r="S158" i="37"/>
  <c r="S201" i="37"/>
  <c r="S202" i="37"/>
  <c r="S10" i="37"/>
  <c r="R475" i="37"/>
  <c r="P475" i="37" s="1"/>
  <c r="T85" i="37"/>
  <c r="V286" i="37"/>
  <c r="V383" i="37"/>
  <c r="T153" i="37"/>
  <c r="R497" i="37"/>
  <c r="P497" i="37" s="1"/>
  <c r="W174" i="37"/>
  <c r="U333" i="37"/>
  <c r="R464" i="37"/>
  <c r="P464" i="37" s="1"/>
  <c r="T172" i="37"/>
  <c r="T359" i="37"/>
  <c r="S12" i="37"/>
  <c r="T392" i="37"/>
  <c r="V361" i="37"/>
  <c r="S160" i="37"/>
  <c r="W458" i="37"/>
  <c r="U496" i="37"/>
  <c r="W59" i="37"/>
  <c r="V400" i="37"/>
  <c r="V189" i="37"/>
  <c r="W135" i="37"/>
  <c r="T131" i="37"/>
  <c r="W497" i="37"/>
  <c r="T14" i="37"/>
  <c r="V199" i="37"/>
  <c r="R12" i="37"/>
  <c r="S376" i="37"/>
  <c r="T478" i="37"/>
  <c r="T422" i="37"/>
  <c r="W74" i="37"/>
  <c r="V476" i="37"/>
  <c r="U459" i="37"/>
  <c r="W434" i="37"/>
  <c r="T387" i="37"/>
  <c r="S215" i="37"/>
  <c r="W278" i="37"/>
  <c r="R81" i="37"/>
  <c r="P81" i="37" s="1"/>
  <c r="V66" i="37"/>
  <c r="U168" i="37"/>
  <c r="U267" i="37"/>
  <c r="U213" i="37"/>
  <c r="U386" i="37"/>
  <c r="S218" i="37"/>
  <c r="U238" i="37"/>
  <c r="W17" i="37"/>
  <c r="R232" i="37"/>
  <c r="P232" i="37" s="1"/>
  <c r="T162" i="37"/>
  <c r="U460" i="37"/>
  <c r="U303" i="37"/>
  <c r="V244" i="37"/>
  <c r="T252" i="37"/>
  <c r="V247" i="37"/>
  <c r="T453" i="37"/>
  <c r="W178" i="37"/>
  <c r="R329" i="37"/>
  <c r="P329" i="37" s="1"/>
  <c r="R59" i="37"/>
  <c r="P59" i="37" s="1"/>
  <c r="U84" i="37"/>
  <c r="T472" i="37"/>
  <c r="U33" i="37"/>
  <c r="V123" i="37"/>
  <c r="T27" i="37"/>
  <c r="S174" i="37"/>
  <c r="V205" i="37"/>
  <c r="R327" i="37"/>
  <c r="P327" i="37" s="1"/>
  <c r="V238" i="37"/>
  <c r="T110" i="37"/>
  <c r="T37" i="37"/>
  <c r="T209" i="37"/>
  <c r="U35" i="37"/>
  <c r="V220" i="37"/>
  <c r="V392" i="37"/>
  <c r="S125" i="37"/>
  <c r="V179" i="37"/>
  <c r="R414" i="37"/>
  <c r="P414" i="37" s="1"/>
  <c r="T207" i="37"/>
  <c r="R154" i="37"/>
  <c r="P154" i="37" s="1"/>
  <c r="U46" i="37"/>
  <c r="U387" i="37"/>
  <c r="V250" i="37"/>
  <c r="W143" i="37"/>
  <c r="V340" i="37"/>
  <c r="V455" i="37"/>
  <c r="V61" i="37"/>
  <c r="W341" i="37"/>
  <c r="R411" i="37"/>
  <c r="P411" i="37" s="1"/>
  <c r="R412" i="37"/>
  <c r="P412" i="37" s="1"/>
  <c r="S97" i="37"/>
  <c r="R198" i="37"/>
  <c r="P198" i="37" s="1"/>
  <c r="W241" i="37"/>
  <c r="W236" i="37"/>
  <c r="S370" i="37"/>
  <c r="T502" i="37"/>
  <c r="V363" i="37"/>
  <c r="W99" i="37"/>
  <c r="S64" i="37"/>
  <c r="T350" i="37"/>
  <c r="U154" i="37"/>
  <c r="T504" i="37"/>
  <c r="V103" i="37"/>
  <c r="U171" i="37"/>
  <c r="T464" i="37"/>
  <c r="R27" i="37"/>
  <c r="R494" i="37"/>
  <c r="P494" i="37" s="1"/>
  <c r="U261" i="37"/>
  <c r="W218" i="37"/>
  <c r="U380" i="37"/>
  <c r="S407" i="37"/>
  <c r="V300" i="37"/>
  <c r="R15" i="37"/>
  <c r="V347" i="37"/>
  <c r="W165" i="37"/>
  <c r="U404" i="37"/>
  <c r="S368" i="37"/>
  <c r="W326" i="37"/>
  <c r="R421" i="37"/>
  <c r="P421" i="37" s="1"/>
  <c r="U286" i="37"/>
  <c r="R402" i="37"/>
  <c r="P402" i="37" s="1"/>
  <c r="T263" i="37"/>
  <c r="U170" i="37"/>
  <c r="V273" i="37"/>
  <c r="S169" i="37"/>
  <c r="T276" i="37"/>
  <c r="U215" i="37"/>
  <c r="U403" i="37"/>
  <c r="V31" i="37"/>
  <c r="V268" i="37"/>
  <c r="R306" i="37"/>
  <c r="P306" i="37" s="1"/>
  <c r="U293" i="37"/>
  <c r="R173" i="37"/>
  <c r="P173" i="37" s="1"/>
  <c r="R426" i="37"/>
  <c r="P426" i="37" s="1"/>
  <c r="W227" i="37"/>
  <c r="U338" i="37"/>
  <c r="W168" i="37"/>
  <c r="U172" i="37"/>
  <c r="W65" i="37"/>
  <c r="T160" i="37"/>
  <c r="W430" i="37"/>
  <c r="V59" i="37"/>
  <c r="W287" i="37"/>
  <c r="R470" i="37"/>
  <c r="P470" i="37" s="1"/>
  <c r="U508" i="37"/>
  <c r="R17" i="37"/>
  <c r="V454" i="37"/>
  <c r="R264" i="37"/>
  <c r="P264" i="37" s="1"/>
  <c r="V504" i="37"/>
  <c r="V186" i="37"/>
  <c r="R438" i="37"/>
  <c r="P438" i="37" s="1"/>
  <c r="U107" i="37"/>
  <c r="T451" i="37"/>
  <c r="S22" i="37"/>
  <c r="U369" i="37"/>
  <c r="U507" i="37"/>
  <c r="T64" i="37"/>
  <c r="T25" i="37"/>
  <c r="T60" i="37"/>
  <c r="R250" i="37"/>
  <c r="P250" i="37" s="1"/>
  <c r="U130" i="37"/>
  <c r="U232" i="37"/>
  <c r="S490" i="37"/>
  <c r="V315" i="37"/>
  <c r="R63" i="37"/>
  <c r="P63" i="37" s="1"/>
  <c r="S66" i="37"/>
  <c r="V105" i="37"/>
  <c r="V486" i="37"/>
  <c r="S367" i="37"/>
  <c r="S424" i="37"/>
  <c r="U397" i="37"/>
  <c r="W58" i="37"/>
  <c r="W462" i="37"/>
  <c r="T170" i="37"/>
  <c r="U11" i="37"/>
  <c r="S372" i="37"/>
  <c r="T53" i="37"/>
  <c r="S146" i="37"/>
  <c r="T406" i="37"/>
  <c r="V295" i="37"/>
  <c r="T316" i="37"/>
  <c r="U420" i="37"/>
  <c r="W124" i="37"/>
  <c r="T427" i="37"/>
  <c r="S471" i="37"/>
  <c r="V418" i="37"/>
  <c r="S333" i="37"/>
  <c r="U353" i="37"/>
  <c r="V162" i="37"/>
  <c r="V501" i="37"/>
  <c r="V215" i="37"/>
  <c r="S433" i="37"/>
  <c r="W330" i="37"/>
  <c r="V410" i="37"/>
  <c r="R353" i="37"/>
  <c r="P353" i="37" s="1"/>
  <c r="R24" i="37"/>
  <c r="R202" i="37"/>
  <c r="P202" i="37" s="1"/>
  <c r="R313" i="37"/>
  <c r="P313" i="37" s="1"/>
  <c r="S159" i="37"/>
  <c r="V260" i="37"/>
  <c r="R285" i="37"/>
  <c r="P285" i="37" s="1"/>
  <c r="W24" i="37"/>
  <c r="U445" i="37"/>
  <c r="U457" i="37"/>
  <c r="S448" i="37"/>
  <c r="U311" i="37"/>
  <c r="W362" i="37"/>
  <c r="W216" i="37"/>
  <c r="T227" i="37"/>
  <c r="W303" i="37"/>
  <c r="W209" i="37"/>
  <c r="V124" i="37"/>
  <c r="T503" i="37"/>
  <c r="V121" i="37"/>
  <c r="T343" i="37"/>
  <c r="S378" i="37"/>
  <c r="R269" i="37"/>
  <c r="P269" i="37" s="1"/>
  <c r="U58" i="37"/>
  <c r="V203" i="37"/>
  <c r="W361" i="37"/>
  <c r="U470" i="37"/>
  <c r="V324" i="37"/>
  <c r="W433" i="37"/>
  <c r="R209" i="37"/>
  <c r="P209" i="37" s="1"/>
  <c r="R8" i="37"/>
  <c r="V70" i="37"/>
  <c r="S187" i="37"/>
  <c r="U40" i="37"/>
  <c r="V171" i="37"/>
  <c r="W229" i="37"/>
  <c r="W401" i="37"/>
  <c r="W336" i="37"/>
  <c r="U413" i="37"/>
  <c r="S72" i="37"/>
  <c r="T256" i="37"/>
  <c r="V299" i="37"/>
  <c r="V178" i="37"/>
  <c r="V371" i="37"/>
  <c r="W396" i="37"/>
  <c r="R89" i="37"/>
  <c r="P89" i="37" s="1"/>
  <c r="W38" i="37"/>
  <c r="V478" i="37"/>
  <c r="R192" i="37"/>
  <c r="P192" i="37" s="1"/>
  <c r="R446" i="37"/>
  <c r="P446" i="37" s="1"/>
  <c r="S56" i="37"/>
  <c r="S20" i="37"/>
  <c r="W307" i="37"/>
  <c r="V396" i="37"/>
  <c r="S13" i="37"/>
  <c r="V117" i="37"/>
  <c r="S411" i="37"/>
  <c r="R387" i="37"/>
  <c r="P387" i="37" s="1"/>
  <c r="R9" i="37"/>
  <c r="P9" i="37" s="1"/>
  <c r="T260" i="37"/>
  <c r="U349" i="37"/>
  <c r="R181" i="37"/>
  <c r="P181" i="37" s="1"/>
  <c r="V145" i="37"/>
  <c r="W226" i="37"/>
  <c r="S48" i="37"/>
  <c r="V462" i="37"/>
  <c r="W188" i="37"/>
  <c r="S121" i="37"/>
  <c r="W500" i="37"/>
  <c r="V243" i="37"/>
  <c r="T146" i="37"/>
  <c r="T309" i="37"/>
  <c r="T442" i="37"/>
  <c r="V235" i="37"/>
  <c r="R18" i="37"/>
  <c r="V460" i="37"/>
  <c r="T396" i="37"/>
  <c r="T88" i="37"/>
  <c r="V356" i="37"/>
  <c r="U127" i="37"/>
  <c r="R450" i="37"/>
  <c r="P450" i="37" s="1"/>
  <c r="V352" i="37"/>
  <c r="T173" i="37"/>
  <c r="T456" i="37"/>
  <c r="R101" i="37"/>
  <c r="P101" i="37" s="1"/>
  <c r="S446" i="37"/>
  <c r="S361" i="37"/>
  <c r="S467" i="37"/>
  <c r="T284" i="37"/>
  <c r="U464" i="37"/>
  <c r="S11" i="37"/>
  <c r="S194" i="37"/>
  <c r="T194" i="37"/>
  <c r="S263" i="37"/>
  <c r="W491" i="37"/>
  <c r="U59" i="37"/>
  <c r="S37" i="37"/>
  <c r="R346" i="37"/>
  <c r="P346" i="37" s="1"/>
  <c r="R104" i="37"/>
  <c r="P104" i="37" s="1"/>
  <c r="T429" i="37"/>
  <c r="T226" i="37"/>
  <c r="W424" i="37"/>
  <c r="T264" i="37"/>
  <c r="U361" i="37"/>
  <c r="S52" i="37"/>
  <c r="R244" i="37"/>
  <c r="P244" i="37" s="1"/>
  <c r="S452" i="37"/>
  <c r="T403" i="37"/>
  <c r="R133" i="37"/>
  <c r="P133" i="37" s="1"/>
  <c r="R223" i="37"/>
  <c r="P223" i="37" s="1"/>
  <c r="S289" i="37"/>
  <c r="S274" i="37"/>
  <c r="T476" i="37"/>
  <c r="W435" i="37"/>
  <c r="V434" i="37"/>
  <c r="S393" i="37"/>
  <c r="U435" i="37"/>
  <c r="W92" i="37"/>
  <c r="S287" i="37"/>
  <c r="T432" i="37"/>
  <c r="S313" i="37"/>
  <c r="S227" i="37"/>
  <c r="S325" i="37"/>
  <c r="U83" i="37"/>
  <c r="V496" i="37"/>
  <c r="U385" i="37"/>
  <c r="S128" i="37"/>
  <c r="R276" i="37"/>
  <c r="P276" i="37" s="1"/>
  <c r="V254" i="37"/>
  <c r="T29" i="37"/>
  <c r="U352" i="37"/>
  <c r="V420" i="37"/>
  <c r="S306" i="37"/>
  <c r="S185" i="37"/>
  <c r="U242" i="37"/>
  <c r="V282" i="37"/>
  <c r="R457" i="37"/>
  <c r="P457" i="37" s="1"/>
  <c r="S388" i="37"/>
  <c r="R386" i="37"/>
  <c r="P386" i="37" s="1"/>
  <c r="W328" i="37"/>
  <c r="R265" i="37"/>
  <c r="P265" i="37" s="1"/>
  <c r="R93" i="37"/>
  <c r="P93" i="37" s="1"/>
  <c r="W379" i="37"/>
  <c r="R300" i="37"/>
  <c r="P300" i="37" s="1"/>
  <c r="R437" i="37"/>
  <c r="P437" i="37" s="1"/>
  <c r="W166" i="37"/>
  <c r="T354" i="37"/>
  <c r="U64" i="37"/>
  <c r="V334" i="37"/>
  <c r="V433" i="37"/>
  <c r="R302" i="37"/>
  <c r="P302" i="37" s="1"/>
  <c r="T307" i="37"/>
  <c r="T40" i="37"/>
  <c r="S447" i="37"/>
  <c r="T129" i="37"/>
  <c r="T480" i="37"/>
  <c r="V444" i="37"/>
  <c r="V346" i="37"/>
  <c r="W439" i="37"/>
  <c r="T452" i="37"/>
  <c r="V82" i="37"/>
  <c r="V77" i="37"/>
  <c r="V107" i="37"/>
  <c r="S285" i="37"/>
  <c r="T175" i="37"/>
  <c r="V291" i="37"/>
  <c r="U474" i="37"/>
  <c r="R444" i="37"/>
  <c r="P444" i="37" s="1"/>
  <c r="S61" i="37"/>
  <c r="S364" i="37"/>
  <c r="R480" i="37"/>
  <c r="P480" i="37" s="1"/>
  <c r="R166" i="37"/>
  <c r="P166" i="37" s="1"/>
  <c r="U389" i="37"/>
  <c r="R361" i="37"/>
  <c r="P361" i="37" s="1"/>
  <c r="U218" i="37"/>
  <c r="V214" i="37"/>
  <c r="V292" i="37"/>
  <c r="T324" i="37"/>
  <c r="V50" i="37"/>
  <c r="S57" i="37"/>
  <c r="R330" i="37"/>
  <c r="P330" i="37" s="1"/>
  <c r="U493" i="37"/>
  <c r="S381" i="37"/>
  <c r="T163" i="37"/>
  <c r="W233" i="37"/>
  <c r="W448" i="37"/>
  <c r="V499" i="37"/>
  <c r="S474" i="37"/>
  <c r="S322" i="37"/>
  <c r="T498" i="37"/>
  <c r="S420" i="37"/>
  <c r="R268" i="37"/>
  <c r="P268" i="37" s="1"/>
  <c r="W100" i="37"/>
  <c r="V240" i="37"/>
  <c r="W406" i="37"/>
  <c r="T302" i="37"/>
  <c r="W310" i="37"/>
  <c r="V377" i="37"/>
  <c r="S100" i="37"/>
  <c r="W214" i="37"/>
  <c r="V239" i="37"/>
  <c r="R419" i="37"/>
  <c r="P419" i="37" s="1"/>
  <c r="U375" i="37"/>
  <c r="T325" i="37"/>
  <c r="U90" i="37"/>
  <c r="W34" i="37"/>
  <c r="T408" i="37"/>
  <c r="T420" i="37"/>
  <c r="S326" i="37"/>
  <c r="S341" i="37"/>
  <c r="V92" i="37"/>
  <c r="R282" i="37"/>
  <c r="P282" i="37" s="1"/>
  <c r="V111" i="37"/>
  <c r="R65" i="37"/>
  <c r="P65" i="37" s="1"/>
  <c r="R36" i="37"/>
  <c r="P36" i="37" s="1"/>
  <c r="V336" i="37"/>
  <c r="T217" i="37"/>
  <c r="U111" i="37"/>
  <c r="W206" i="37"/>
  <c r="W22" i="37"/>
  <c r="V329" i="37"/>
  <c r="T484" i="37"/>
  <c r="T417" i="37"/>
  <c r="U491" i="37"/>
  <c r="W160" i="37"/>
  <c r="W232" i="37"/>
  <c r="T482" i="37"/>
  <c r="S500" i="37"/>
  <c r="U126" i="37"/>
  <c r="S434" i="37"/>
  <c r="T351" i="37"/>
  <c r="V42" i="37"/>
  <c r="S492" i="37"/>
  <c r="R14" i="37"/>
  <c r="S348" i="37"/>
  <c r="W138" i="37"/>
  <c r="V483" i="37"/>
  <c r="S124" i="37"/>
  <c r="R401" i="37"/>
  <c r="P401" i="37" s="1"/>
  <c r="U142" i="37"/>
  <c r="V106" i="37"/>
  <c r="R486" i="37"/>
  <c r="P486" i="37" s="1"/>
  <c r="U406" i="37"/>
  <c r="W121" i="37"/>
  <c r="U366" i="37"/>
  <c r="T243" i="37"/>
  <c r="T164" i="37"/>
  <c r="T372" i="37"/>
  <c r="T233" i="37"/>
  <c r="T273" i="37"/>
  <c r="R443" i="37"/>
  <c r="P443" i="37" s="1"/>
  <c r="V208" i="37"/>
  <c r="T68" i="37"/>
  <c r="U337" i="37"/>
  <c r="S117" i="37"/>
  <c r="U418" i="37"/>
  <c r="S291" i="37"/>
  <c r="V49" i="37"/>
  <c r="U398" i="37"/>
  <c r="T450" i="37"/>
  <c r="U289" i="37"/>
  <c r="W405" i="37"/>
  <c r="W82" i="37"/>
  <c r="S18" i="37"/>
  <c r="R71" i="37"/>
  <c r="P71" i="37" s="1"/>
  <c r="T344" i="37"/>
  <c r="S360" i="37"/>
  <c r="W457" i="37"/>
  <c r="W418" i="37"/>
  <c r="T377" i="37"/>
  <c r="V447" i="37"/>
  <c r="S390" i="37"/>
  <c r="W370" i="37"/>
  <c r="W63" i="37"/>
  <c r="U179" i="37"/>
  <c r="S17" i="37"/>
  <c r="U97" i="37"/>
  <c r="T134" i="37"/>
  <c r="R439" i="37"/>
  <c r="P439" i="37" s="1"/>
  <c r="T439" i="37"/>
  <c r="T286" i="37"/>
  <c r="V112" i="37"/>
  <c r="T193" i="37"/>
  <c r="W486" i="37"/>
  <c r="U463" i="37"/>
  <c r="V327" i="37"/>
  <c r="W337" i="37"/>
  <c r="R100" i="37"/>
  <c r="P100" i="37" s="1"/>
  <c r="S463" i="37"/>
  <c r="U305" i="37"/>
  <c r="T384" i="37"/>
  <c r="T441" i="37"/>
  <c r="W489" i="37"/>
  <c r="S502" i="37"/>
  <c r="R508" i="37"/>
  <c r="P508" i="37" s="1"/>
  <c r="T154" i="37"/>
  <c r="S173" i="37"/>
  <c r="S409" i="37"/>
  <c r="T306" i="37"/>
  <c r="S130" i="37"/>
  <c r="V375" i="37"/>
  <c r="U455" i="37"/>
  <c r="V252" i="37"/>
  <c r="U63" i="37"/>
  <c r="R428" i="37"/>
  <c r="P428" i="37" s="1"/>
  <c r="S75" i="37"/>
  <c r="W502" i="37"/>
  <c r="S464" i="37"/>
  <c r="U310" i="37"/>
  <c r="T61" i="37"/>
  <c r="R337" i="37"/>
  <c r="P337" i="37" s="1"/>
  <c r="T357" i="37"/>
  <c r="U226" i="37"/>
  <c r="R320" i="37"/>
  <c r="P320" i="37" s="1"/>
  <c r="U443" i="37"/>
  <c r="U318" i="37"/>
  <c r="R404" i="37"/>
  <c r="P404" i="37" s="1"/>
  <c r="U60" i="37"/>
  <c r="U301" i="37"/>
  <c r="U335" i="37"/>
  <c r="R90" i="37"/>
  <c r="P90" i="37" s="1"/>
  <c r="V173" i="37"/>
  <c r="U408" i="37"/>
  <c r="S328" i="37"/>
  <c r="U504" i="37"/>
  <c r="V417" i="37"/>
  <c r="S147" i="37"/>
  <c r="U95" i="37"/>
  <c r="V373" i="37"/>
  <c r="V348" i="37"/>
  <c r="S25" i="37"/>
  <c r="R408" i="37"/>
  <c r="P408" i="37" s="1"/>
  <c r="U21" i="37"/>
  <c r="V490" i="37"/>
  <c r="T149" i="37"/>
  <c r="V364" i="37"/>
  <c r="R413" i="37"/>
  <c r="P413" i="37" s="1"/>
  <c r="W158" i="37"/>
  <c r="U135" i="37"/>
  <c r="T127" i="37"/>
  <c r="R310" i="37"/>
  <c r="P310" i="37" s="1"/>
  <c r="T236" i="37"/>
  <c r="V10" i="37"/>
  <c r="V427" i="37"/>
  <c r="R481" i="37"/>
  <c r="P481" i="37" s="1"/>
  <c r="S183" i="37"/>
  <c r="V503" i="37"/>
  <c r="T202" i="37"/>
  <c r="V93" i="37"/>
  <c r="S43" i="37"/>
  <c r="R200" i="37"/>
  <c r="P200" i="37" s="1"/>
  <c r="T219" i="37"/>
  <c r="U315" i="37"/>
  <c r="V119" i="37"/>
  <c r="S339" i="37"/>
  <c r="T92" i="37"/>
  <c r="R347" i="37"/>
  <c r="P347" i="37" s="1"/>
  <c r="V259" i="37"/>
  <c r="S212" i="37"/>
  <c r="R228" i="37"/>
  <c r="P228" i="37" s="1"/>
  <c r="R440" i="37"/>
  <c r="P440" i="37" s="1"/>
  <c r="V335" i="37"/>
  <c r="U326" i="37"/>
  <c r="S251" i="37"/>
  <c r="U482" i="37"/>
  <c r="U438" i="37"/>
  <c r="S421" i="37"/>
  <c r="W225" i="37"/>
  <c r="R375" i="37"/>
  <c r="P375" i="37" s="1"/>
  <c r="S307" i="37"/>
  <c r="U346" i="37"/>
  <c r="U155" i="37"/>
  <c r="T391" i="37"/>
  <c r="U424" i="37"/>
  <c r="W320" i="37"/>
  <c r="R321" i="37"/>
  <c r="P321" i="37" s="1"/>
  <c r="V464" i="37"/>
  <c r="W443" i="37"/>
  <c r="U45" i="37"/>
  <c r="R67" i="37"/>
  <c r="P67" i="37" s="1"/>
  <c r="S275" i="37"/>
  <c r="T283" i="37"/>
  <c r="U52" i="37"/>
  <c r="R33" i="37"/>
  <c r="P33" i="37" s="1"/>
  <c r="T337" i="37"/>
  <c r="R68" i="37"/>
  <c r="P68" i="37" s="1"/>
  <c r="T448" i="37"/>
  <c r="T118" i="37"/>
  <c r="T495" i="37"/>
  <c r="W35" i="37"/>
  <c r="T390" i="37"/>
  <c r="U285" i="37"/>
  <c r="W397" i="37"/>
  <c r="V439" i="37"/>
  <c r="R454" i="37"/>
  <c r="P454" i="37" s="1"/>
  <c r="T471" i="37"/>
  <c r="S299" i="37"/>
  <c r="V165" i="37"/>
  <c r="V202" i="37"/>
  <c r="W151" i="37"/>
  <c r="U401" i="37"/>
  <c r="R484" i="37"/>
  <c r="P484" i="37" s="1"/>
  <c r="R149" i="37"/>
  <c r="P149" i="37" s="1"/>
  <c r="R425" i="37"/>
  <c r="P425" i="37" s="1"/>
  <c r="V127" i="37"/>
  <c r="U247" i="37"/>
  <c r="V160" i="37"/>
  <c r="W207" i="37"/>
  <c r="S15" i="37"/>
  <c r="U23" i="37"/>
  <c r="U73" i="37"/>
  <c r="W261" i="37"/>
  <c r="V328" i="37"/>
  <c r="W296" i="37"/>
  <c r="U42" i="37"/>
  <c r="V407" i="37"/>
  <c r="V314" i="37"/>
  <c r="W136" i="37"/>
  <c r="U208" i="37"/>
  <c r="U433" i="37"/>
  <c r="S170" i="37"/>
  <c r="S8" i="37"/>
  <c r="S319" i="37"/>
  <c r="R500" i="37"/>
  <c r="P500" i="37" s="1"/>
  <c r="W199" i="37"/>
  <c r="T461" i="37"/>
  <c r="S282" i="37"/>
  <c r="W492" i="37"/>
  <c r="U260" i="37"/>
  <c r="T288" i="37"/>
  <c r="W130" i="37"/>
  <c r="V39" i="37"/>
  <c r="V87" i="37"/>
  <c r="T70" i="37"/>
  <c r="W190" i="37"/>
  <c r="W332" i="37"/>
  <c r="W269" i="37"/>
  <c r="U297" i="37"/>
  <c r="V139" i="37"/>
  <c r="T107" i="37"/>
  <c r="W200" i="37"/>
  <c r="S304" i="37"/>
  <c r="R407" i="37"/>
  <c r="P407" i="37" s="1"/>
  <c r="U350" i="37"/>
  <c r="S129" i="37"/>
  <c r="R254" i="37"/>
  <c r="P254" i="37" s="1"/>
  <c r="V508" i="37"/>
  <c r="T477" i="37"/>
  <c r="R241" i="37"/>
  <c r="P241" i="37" s="1"/>
  <c r="U476" i="37"/>
  <c r="U325" i="37"/>
  <c r="V350" i="37"/>
  <c r="R298" i="37"/>
  <c r="P298" i="37" s="1"/>
  <c r="T124" i="37"/>
  <c r="W47" i="37"/>
  <c r="S249" i="37"/>
  <c r="T430" i="37"/>
  <c r="V262" i="37"/>
  <c r="R88" i="37"/>
  <c r="P88" i="37" s="1"/>
  <c r="T28" i="37"/>
  <c r="W319" i="37"/>
  <c r="S151" i="37"/>
  <c r="U195" i="37"/>
  <c r="S487" i="37"/>
  <c r="S496" i="37"/>
  <c r="U222" i="37"/>
  <c r="V495" i="37"/>
  <c r="V500" i="37"/>
  <c r="W412" i="37"/>
  <c r="S28" i="37"/>
  <c r="V452" i="37"/>
  <c r="V479" i="37"/>
  <c r="R314" i="37"/>
  <c r="P314" i="37" s="1"/>
  <c r="V216" i="37"/>
  <c r="U110" i="37"/>
  <c r="R107" i="37"/>
  <c r="P107" i="37" s="1"/>
  <c r="R180" i="37"/>
  <c r="P180" i="37" s="1"/>
  <c r="W162" i="37"/>
  <c r="T334" i="37"/>
  <c r="U167" i="37"/>
  <c r="V302" i="37"/>
  <c r="V311" i="37"/>
  <c r="U125" i="37"/>
  <c r="S9" i="37"/>
  <c r="V278" i="37"/>
  <c r="R122" i="37"/>
  <c r="P122" i="37" s="1"/>
  <c r="S383" i="37"/>
  <c r="U253" i="37"/>
  <c r="U314" i="37"/>
  <c r="R326" i="37"/>
  <c r="P326" i="37" s="1"/>
  <c r="V422" i="37"/>
  <c r="V71" i="37"/>
  <c r="T101" i="37"/>
  <c r="R429" i="37"/>
  <c r="P429" i="37" s="1"/>
  <c r="U121" i="37"/>
  <c r="T462" i="37"/>
  <c r="W177" i="37"/>
  <c r="S114" i="37"/>
  <c r="W183" i="37"/>
  <c r="R255" i="37"/>
  <c r="P255" i="37" s="1"/>
  <c r="W316" i="37"/>
  <c r="W94" i="37"/>
  <c r="V506" i="37"/>
  <c r="W276" i="37"/>
  <c r="S394" i="37"/>
  <c r="T58" i="37"/>
  <c r="V326" i="37"/>
  <c r="U484" i="37"/>
  <c r="T365" i="37"/>
  <c r="U379" i="37"/>
  <c r="U489" i="37"/>
  <c r="T443" i="37"/>
  <c r="W291" i="37"/>
  <c r="W380" i="37"/>
  <c r="S140" i="37"/>
  <c r="S228" i="37"/>
  <c r="T47" i="37"/>
  <c r="S466" i="37"/>
  <c r="S152" i="37"/>
  <c r="S358" i="37"/>
  <c r="S481" i="37"/>
  <c r="T39" i="37"/>
  <c r="R504" i="37"/>
  <c r="P504" i="37" s="1"/>
  <c r="T395" i="37"/>
  <c r="S230" i="37"/>
  <c r="S243" i="37"/>
  <c r="V358" i="37"/>
  <c r="W351" i="37"/>
  <c r="S149" i="37"/>
  <c r="R473" i="37"/>
  <c r="P473" i="37" s="1"/>
  <c r="T297" i="37"/>
  <c r="W213" i="37"/>
  <c r="R287" i="37"/>
  <c r="P287" i="37" s="1"/>
  <c r="R316" i="37"/>
  <c r="P316" i="37" s="1"/>
  <c r="S336" i="37"/>
  <c r="U132" i="37"/>
  <c r="T244" i="37"/>
  <c r="T262" i="37"/>
  <c r="R376" i="37"/>
  <c r="P376" i="37" s="1"/>
  <c r="V374" i="37"/>
  <c r="U235" i="37"/>
  <c r="S196" i="37"/>
  <c r="U324" i="37"/>
  <c r="U149" i="37"/>
  <c r="W210" i="37"/>
  <c r="V332" i="37"/>
  <c r="W182" i="37"/>
  <c r="T348" i="37"/>
  <c r="R137" i="37"/>
  <c r="P137" i="37" s="1"/>
  <c r="S365" i="37"/>
  <c r="T475" i="37"/>
  <c r="W288" i="37"/>
  <c r="U114" i="37"/>
  <c r="R491" i="37"/>
  <c r="P491" i="37" s="1"/>
  <c r="T301" i="37"/>
  <c r="S499" i="37"/>
  <c r="U505" i="37"/>
  <c r="R91" i="37"/>
  <c r="P91" i="37" s="1"/>
  <c r="U365" i="37"/>
  <c r="S14" i="37"/>
  <c r="U86" i="37"/>
  <c r="T435" i="37"/>
  <c r="U415" i="37"/>
  <c r="T330" i="37"/>
  <c r="W395" i="37"/>
  <c r="T326" i="37"/>
  <c r="U458" i="37"/>
  <c r="R219" i="37"/>
  <c r="P219" i="37" s="1"/>
  <c r="S427" i="37"/>
  <c r="V185" i="37"/>
  <c r="T143" i="37"/>
  <c r="S353" i="37"/>
  <c r="U357" i="37"/>
  <c r="S150" i="37"/>
  <c r="S438" i="37"/>
  <c r="S137" i="37"/>
  <c r="S134" i="37"/>
  <c r="V108" i="37"/>
  <c r="T473" i="37"/>
  <c r="S488" i="37"/>
  <c r="W290" i="37"/>
  <c r="T506" i="37"/>
  <c r="R496" i="37"/>
  <c r="P496" i="37" s="1"/>
  <c r="V337" i="37"/>
  <c r="S366" i="37"/>
  <c r="U393" i="37"/>
  <c r="U256" i="37"/>
  <c r="T281" i="37"/>
  <c r="R383" i="37"/>
  <c r="P383" i="37" s="1"/>
  <c r="S245" i="37"/>
  <c r="T321" i="37"/>
  <c r="R175" i="37"/>
  <c r="P175" i="37" s="1"/>
  <c r="W409" i="37"/>
  <c r="T381" i="37"/>
  <c r="R373" i="37"/>
  <c r="P373" i="37" s="1"/>
  <c r="V389" i="37"/>
  <c r="W55" i="37"/>
  <c r="V253" i="37"/>
  <c r="S478" i="37"/>
  <c r="S246" i="37"/>
  <c r="V164" i="37"/>
  <c r="R169" i="37"/>
  <c r="P169" i="37" s="1"/>
  <c r="R164" i="37"/>
  <c r="P164" i="37" s="1"/>
  <c r="S49" i="37"/>
  <c r="S46" i="37"/>
  <c r="U364" i="37"/>
  <c r="T245" i="37"/>
  <c r="U322" i="37"/>
  <c r="T15" i="37"/>
  <c r="U161" i="37"/>
  <c r="T80" i="37"/>
  <c r="R384" i="37"/>
  <c r="P384" i="37" s="1"/>
  <c r="U290" i="37"/>
  <c r="V402" i="37"/>
  <c r="S35" i="37"/>
  <c r="U27" i="37"/>
  <c r="R342" i="37"/>
  <c r="P342" i="37" s="1"/>
  <c r="U448" i="37"/>
  <c r="W64" i="37"/>
  <c r="V183" i="37"/>
  <c r="S269" i="37"/>
  <c r="V264" i="37"/>
  <c r="S86" i="37"/>
  <c r="W128" i="37"/>
  <c r="W66" i="37"/>
  <c r="W355" i="37"/>
  <c r="U410" i="37"/>
  <c r="S453" i="37"/>
  <c r="V480" i="37"/>
  <c r="S236" i="37"/>
  <c r="T370" i="37"/>
  <c r="R417" i="37"/>
  <c r="P417" i="37" s="1"/>
  <c r="U71" i="37"/>
  <c r="T434" i="37"/>
  <c r="T31" i="37"/>
  <c r="V210" i="37"/>
  <c r="W118" i="37"/>
  <c r="V296" i="37"/>
  <c r="W447" i="37"/>
  <c r="U402" i="37"/>
  <c r="U144" i="37"/>
  <c r="R487" i="37"/>
  <c r="P487" i="37" s="1"/>
  <c r="T132" i="37"/>
  <c r="V9" i="37"/>
  <c r="U81" i="37"/>
  <c r="T76" i="37"/>
  <c r="T135" i="37"/>
  <c r="V192" i="37"/>
  <c r="U468" i="37"/>
  <c r="W238" i="37"/>
  <c r="V338" i="37"/>
  <c r="W217" i="37"/>
  <c r="S110" i="37"/>
  <c r="R158" i="37"/>
  <c r="P158" i="37" s="1"/>
  <c r="R263" i="37"/>
  <c r="P263" i="37" s="1"/>
  <c r="T187" i="37"/>
  <c r="T176" i="37"/>
  <c r="R447" i="37"/>
  <c r="P447" i="37" s="1"/>
  <c r="T11" i="37"/>
  <c r="T79" i="37"/>
  <c r="U269" i="37"/>
  <c r="W147" i="37"/>
  <c r="W145" i="37"/>
  <c r="U348" i="37"/>
  <c r="V413" i="37"/>
  <c r="U225" i="37"/>
  <c r="S116" i="37"/>
  <c r="U473" i="37"/>
  <c r="S441" i="37"/>
  <c r="V194" i="37"/>
  <c r="R249" i="37"/>
  <c r="P249" i="37" s="1"/>
  <c r="H13" i="37"/>
  <c r="H437" i="37"/>
  <c r="F437" i="37" s="1"/>
  <c r="M104" i="37"/>
  <c r="I325" i="37"/>
  <c r="H168" i="37"/>
  <c r="F168" i="37" s="1"/>
  <c r="J355" i="37"/>
  <c r="K315" i="37"/>
  <c r="L265" i="37"/>
  <c r="I210" i="37"/>
  <c r="K292" i="37"/>
  <c r="L70" i="37"/>
  <c r="L254" i="37"/>
  <c r="I202" i="37"/>
  <c r="I433" i="37"/>
  <c r="M274" i="37"/>
  <c r="H136" i="37"/>
  <c r="F136" i="37" s="1"/>
  <c r="H417" i="37"/>
  <c r="F417" i="37" s="1"/>
  <c r="M83" i="37"/>
  <c r="L319" i="37"/>
  <c r="J46" i="37"/>
  <c r="H94" i="37"/>
  <c r="F94" i="37" s="1"/>
  <c r="K26" i="37"/>
  <c r="J236" i="37"/>
  <c r="M158" i="37"/>
  <c r="J233" i="37"/>
  <c r="L73" i="37"/>
  <c r="L76" i="37"/>
  <c r="I180" i="37"/>
  <c r="K350" i="37"/>
  <c r="L156" i="37"/>
  <c r="L128" i="37"/>
  <c r="H148" i="37"/>
  <c r="F148" i="37" s="1"/>
  <c r="J13" i="37"/>
  <c r="L139" i="37"/>
  <c r="L351" i="37"/>
  <c r="K93" i="37"/>
  <c r="H128" i="37"/>
  <c r="F128" i="37" s="1"/>
  <c r="L191" i="37"/>
  <c r="J138" i="37"/>
  <c r="K145" i="37"/>
  <c r="L415" i="37"/>
  <c r="M209" i="37"/>
  <c r="M60" i="37"/>
  <c r="M113" i="37"/>
  <c r="J169" i="37"/>
  <c r="H42" i="37"/>
  <c r="F42" i="37" s="1"/>
  <c r="J75" i="37"/>
  <c r="M478" i="37"/>
  <c r="H485" i="37"/>
  <c r="F485" i="37" s="1"/>
  <c r="L293" i="37"/>
  <c r="M108" i="37"/>
  <c r="M85" i="37"/>
  <c r="M252" i="37"/>
  <c r="H250" i="37"/>
  <c r="F250" i="37" s="1"/>
  <c r="J29" i="37"/>
  <c r="M287" i="37"/>
  <c r="M301" i="37"/>
  <c r="J108" i="37"/>
  <c r="J179" i="37"/>
  <c r="H76" i="37"/>
  <c r="F76" i="37" s="1"/>
  <c r="K204" i="37"/>
  <c r="H115" i="37"/>
  <c r="F115" i="37" s="1"/>
  <c r="M16" i="37"/>
  <c r="J239" i="37"/>
  <c r="M115" i="37"/>
  <c r="K141" i="37"/>
  <c r="M92" i="37"/>
  <c r="J17" i="37"/>
  <c r="H112" i="37"/>
  <c r="F112" i="37" s="1"/>
  <c r="J143" i="37"/>
  <c r="H357" i="37"/>
  <c r="F357" i="37" s="1"/>
  <c r="I460" i="37"/>
  <c r="I316" i="37"/>
  <c r="I136" i="37"/>
  <c r="H40" i="37"/>
  <c r="F40" i="37" s="1"/>
  <c r="J336" i="37"/>
  <c r="J157" i="37"/>
  <c r="L173" i="37"/>
  <c r="J287" i="37"/>
  <c r="H29" i="37"/>
  <c r="F29" i="37" s="1"/>
  <c r="M103" i="37"/>
  <c r="H144" i="37"/>
  <c r="F144" i="37" s="1"/>
  <c r="J147" i="37"/>
  <c r="M160" i="37"/>
  <c r="J154" i="37"/>
  <c r="L481" i="37"/>
  <c r="H449" i="37"/>
  <c r="F449" i="37" s="1"/>
  <c r="L207" i="37"/>
  <c r="L38" i="37"/>
  <c r="H172" i="37"/>
  <c r="F172" i="37" s="1"/>
  <c r="M46" i="37"/>
  <c r="L388" i="37"/>
  <c r="I353" i="37"/>
  <c r="M111" i="37"/>
  <c r="H421" i="37"/>
  <c r="F421" i="37" s="1"/>
  <c r="H274" i="37"/>
  <c r="F274" i="37" s="1"/>
  <c r="L42" i="37"/>
  <c r="K185" i="37"/>
  <c r="K380" i="37"/>
  <c r="J413" i="37"/>
  <c r="L294" i="37"/>
  <c r="L414" i="37"/>
  <c r="J203" i="37"/>
  <c r="H87" i="37"/>
  <c r="F87" i="37" s="1"/>
  <c r="J369" i="37"/>
  <c r="J67" i="37"/>
  <c r="J346" i="37"/>
  <c r="I28" i="37"/>
  <c r="J16" i="37"/>
  <c r="H390" i="37"/>
  <c r="F390" i="37" s="1"/>
  <c r="L133" i="37"/>
  <c r="L310" i="37"/>
  <c r="K200" i="37"/>
  <c r="H420" i="37"/>
  <c r="F420" i="37" s="1"/>
  <c r="I452" i="37"/>
  <c r="H284" i="37"/>
  <c r="F284" i="37" s="1"/>
  <c r="I271" i="37"/>
  <c r="H346" i="37"/>
  <c r="F346" i="37" s="1"/>
  <c r="I232" i="37"/>
  <c r="L178" i="37"/>
  <c r="M436" i="37"/>
  <c r="J62" i="37"/>
  <c r="M328" i="37"/>
  <c r="L491" i="37"/>
  <c r="H34" i="37"/>
  <c r="F34" i="37" s="1"/>
  <c r="H402" i="37"/>
  <c r="F402" i="37" s="1"/>
  <c r="M165" i="37"/>
  <c r="L190" i="37"/>
  <c r="L72" i="37"/>
  <c r="M168" i="37"/>
  <c r="I29" i="37"/>
  <c r="K147" i="37"/>
  <c r="L120" i="37"/>
  <c r="K421" i="37"/>
  <c r="I219" i="37"/>
  <c r="M10" i="37"/>
  <c r="K179" i="37"/>
  <c r="H161" i="37"/>
  <c r="F161" i="37" s="1"/>
  <c r="J228" i="37"/>
  <c r="K65" i="37"/>
  <c r="L332" i="37"/>
  <c r="M38" i="37"/>
  <c r="L258" i="37"/>
  <c r="K166" i="37"/>
  <c r="J66" i="37"/>
  <c r="L25" i="37"/>
  <c r="L267" i="37"/>
  <c r="J421" i="37"/>
  <c r="M143" i="37"/>
  <c r="L223" i="37"/>
  <c r="I194" i="37"/>
  <c r="J397" i="37"/>
  <c r="K311" i="37"/>
  <c r="J247" i="37"/>
  <c r="L313" i="37"/>
  <c r="H260" i="37"/>
  <c r="F260" i="37" s="1"/>
  <c r="J338" i="37"/>
  <c r="I150" i="37"/>
  <c r="H289" i="37"/>
  <c r="F289" i="37" s="1"/>
  <c r="L445" i="37"/>
  <c r="M504" i="37"/>
  <c r="I492" i="37"/>
  <c r="I429" i="37"/>
  <c r="J45" i="37"/>
  <c r="K363" i="37"/>
  <c r="L467" i="37"/>
  <c r="M366" i="37"/>
  <c r="H134" i="37"/>
  <c r="F134" i="37" s="1"/>
  <c r="M75" i="37"/>
  <c r="I263" i="37"/>
  <c r="H478" i="37"/>
  <c r="F478" i="37" s="1"/>
  <c r="I214" i="37"/>
  <c r="H448" i="37"/>
  <c r="F448" i="37" s="1"/>
  <c r="K306" i="37"/>
  <c r="I20" i="37"/>
  <c r="M251" i="37"/>
  <c r="L48" i="37"/>
  <c r="K298" i="37"/>
  <c r="H409" i="37"/>
  <c r="F409" i="37" s="1"/>
  <c r="I179" i="37"/>
  <c r="I156" i="37"/>
  <c r="L123" i="37"/>
  <c r="L203" i="37"/>
  <c r="L355" i="37"/>
  <c r="K381" i="37"/>
  <c r="J410" i="37"/>
  <c r="K18" i="37"/>
  <c r="M82" i="37"/>
  <c r="K94" i="37"/>
  <c r="K140" i="37"/>
  <c r="K132" i="37"/>
  <c r="I31" i="37"/>
  <c r="M204" i="37"/>
  <c r="I350" i="37"/>
  <c r="L217" i="37"/>
  <c r="K58" i="37"/>
  <c r="L420" i="37"/>
  <c r="M339" i="37"/>
  <c r="L100" i="37"/>
  <c r="I279" i="37"/>
  <c r="H490" i="37"/>
  <c r="F490" i="37" s="1"/>
  <c r="H28" i="37"/>
  <c r="F28" i="37" s="1"/>
  <c r="J444" i="37"/>
  <c r="K85" i="37"/>
  <c r="K217" i="37"/>
  <c r="M270" i="37"/>
  <c r="I143" i="37"/>
  <c r="K223" i="37"/>
  <c r="H285" i="37"/>
  <c r="F285" i="37" s="1"/>
  <c r="I118" i="37"/>
  <c r="J132" i="37"/>
  <c r="L20" i="37"/>
  <c r="H364" i="37"/>
  <c r="F364" i="37" s="1"/>
  <c r="H453" i="37"/>
  <c r="F453" i="37" s="1"/>
  <c r="K178" i="37"/>
  <c r="L196" i="37"/>
  <c r="I164" i="37"/>
  <c r="I281" i="37"/>
  <c r="J70" i="37"/>
  <c r="I107" i="37"/>
  <c r="I178" i="37"/>
  <c r="K27" i="37"/>
  <c r="K187" i="37"/>
  <c r="K229" i="37"/>
  <c r="M265" i="37"/>
  <c r="H133" i="37"/>
  <c r="F133" i="37" s="1"/>
  <c r="M508" i="37"/>
  <c r="M330" i="37"/>
  <c r="L482" i="37"/>
  <c r="J85" i="37"/>
  <c r="M156" i="37"/>
  <c r="J91" i="37"/>
  <c r="J47" i="37"/>
  <c r="K226" i="37"/>
  <c r="H194" i="37"/>
  <c r="F194" i="37" s="1"/>
  <c r="L337" i="37"/>
  <c r="J41" i="37"/>
  <c r="I267" i="37"/>
  <c r="I504" i="37"/>
  <c r="L320" i="37"/>
  <c r="K183" i="37"/>
  <c r="H111" i="37"/>
  <c r="F111" i="37" s="1"/>
  <c r="L57" i="37"/>
  <c r="L124" i="37"/>
  <c r="L172" i="37"/>
  <c r="H109" i="37"/>
  <c r="F109" i="37" s="1"/>
  <c r="K275" i="37"/>
  <c r="H217" i="37"/>
  <c r="F217" i="37" s="1"/>
  <c r="H101" i="37"/>
  <c r="F101" i="37" s="1"/>
  <c r="H114" i="37"/>
  <c r="F114" i="37" s="1"/>
  <c r="J279" i="37"/>
  <c r="K136" i="37"/>
  <c r="J260" i="37"/>
  <c r="M244" i="37"/>
  <c r="M250" i="37"/>
  <c r="M362" i="37"/>
  <c r="L365" i="37"/>
  <c r="I461" i="37"/>
  <c r="L480" i="37"/>
  <c r="K283" i="37"/>
  <c r="L136" i="37"/>
  <c r="H166" i="37"/>
  <c r="F166" i="37" s="1"/>
  <c r="J255" i="37"/>
  <c r="K424" i="37"/>
  <c r="M212" i="37"/>
  <c r="J251" i="37"/>
  <c r="J252" i="37"/>
  <c r="K92" i="37"/>
  <c r="H466" i="37"/>
  <c r="F466" i="37" s="1"/>
  <c r="J321" i="37"/>
  <c r="I248" i="37"/>
  <c r="I381" i="37"/>
  <c r="M121" i="37"/>
  <c r="H504" i="37"/>
  <c r="F504" i="37" s="1"/>
  <c r="M359" i="37"/>
  <c r="M438" i="37"/>
  <c r="K425" i="37"/>
  <c r="J242" i="37"/>
  <c r="M89" i="37"/>
  <c r="L32" i="37"/>
  <c r="K496" i="37"/>
  <c r="L50" i="37"/>
  <c r="M51" i="37"/>
  <c r="I177" i="37"/>
  <c r="I373" i="37"/>
  <c r="H323" i="37"/>
  <c r="F323" i="37" s="1"/>
  <c r="K91" i="37"/>
  <c r="L390" i="37"/>
  <c r="J301" i="37"/>
  <c r="M317" i="37"/>
  <c r="I401" i="37"/>
  <c r="J27" i="37"/>
  <c r="L99" i="37"/>
  <c r="J294" i="37"/>
  <c r="J446" i="37"/>
  <c r="M200" i="37"/>
  <c r="L264" i="37"/>
  <c r="I69" i="37"/>
  <c r="I223" i="37"/>
  <c r="L84" i="37"/>
  <c r="J163" i="37"/>
  <c r="K80" i="37"/>
  <c r="M203" i="37"/>
  <c r="K159" i="37"/>
  <c r="K356" i="37"/>
  <c r="K126" i="37"/>
  <c r="I84" i="37"/>
  <c r="I109" i="37"/>
  <c r="J280" i="37"/>
  <c r="J471" i="37"/>
  <c r="K384" i="37"/>
  <c r="K243" i="37"/>
  <c r="M472" i="37"/>
  <c r="K413" i="37"/>
  <c r="L195" i="37"/>
  <c r="L386" i="37"/>
  <c r="M285" i="37"/>
  <c r="J221" i="37"/>
  <c r="K116" i="37"/>
  <c r="J95" i="37"/>
  <c r="L166" i="37"/>
  <c r="J245" i="37"/>
  <c r="L479" i="37"/>
  <c r="L78" i="37"/>
  <c r="L237" i="37"/>
  <c r="H33" i="37"/>
  <c r="F33" i="37" s="1"/>
  <c r="J177" i="37"/>
  <c r="J470" i="37"/>
  <c r="H116" i="37"/>
  <c r="F116" i="37" s="1"/>
  <c r="H84" i="37"/>
  <c r="F84" i="37" s="1"/>
  <c r="H331" i="37"/>
  <c r="F331" i="37" s="1"/>
  <c r="H151" i="37"/>
  <c r="F151" i="37" s="1"/>
  <c r="L465" i="37"/>
  <c r="J192" i="37"/>
  <c r="J112" i="37"/>
  <c r="L213" i="37"/>
  <c r="I302" i="37"/>
  <c r="H127" i="37"/>
  <c r="F127" i="37" s="1"/>
  <c r="H74" i="37"/>
  <c r="F74" i="37" s="1"/>
  <c r="L144" i="37"/>
  <c r="L180" i="37"/>
  <c r="J60" i="37"/>
  <c r="I42" i="37"/>
  <c r="K286" i="37"/>
  <c r="H280" i="37"/>
  <c r="F280" i="37" s="1"/>
  <c r="I359" i="37"/>
  <c r="K195" i="37"/>
  <c r="M53" i="37"/>
  <c r="I100" i="37"/>
  <c r="H164" i="37"/>
  <c r="F164" i="37" s="1"/>
  <c r="J142" i="37"/>
  <c r="J495" i="37"/>
  <c r="L71" i="37"/>
  <c r="L251" i="37"/>
  <c r="M318" i="37"/>
  <c r="K198" i="37"/>
  <c r="K117" i="37"/>
  <c r="I455" i="37"/>
  <c r="H188" i="37"/>
  <c r="F188" i="37" s="1"/>
  <c r="J463" i="37"/>
  <c r="J256" i="37"/>
  <c r="L46" i="37"/>
  <c r="L330" i="37"/>
  <c r="M31" i="37"/>
  <c r="K308" i="37"/>
  <c r="K171" i="37"/>
  <c r="I304" i="37"/>
  <c r="M66" i="37"/>
  <c r="J319" i="37"/>
  <c r="J326" i="37"/>
  <c r="L453" i="37"/>
  <c r="J378" i="37"/>
  <c r="H17" i="37"/>
  <c r="H181" i="37"/>
  <c r="F181" i="37" s="1"/>
  <c r="H249" i="37"/>
  <c r="F249" i="37" s="1"/>
  <c r="M199" i="37"/>
  <c r="H419" i="37"/>
  <c r="F419" i="37" s="1"/>
  <c r="L175" i="37"/>
  <c r="L272" i="37"/>
  <c r="K24" i="37"/>
  <c r="J42" i="37"/>
  <c r="K49" i="37"/>
  <c r="J56" i="37"/>
  <c r="J341" i="37"/>
  <c r="I238" i="37"/>
  <c r="J97" i="37"/>
  <c r="H489" i="37"/>
  <c r="F489" i="37" s="1"/>
  <c r="K62" i="37"/>
  <c r="I108" i="37"/>
  <c r="K310" i="37"/>
  <c r="J31" i="37"/>
  <c r="J92" i="37"/>
  <c r="J488" i="37"/>
  <c r="M195" i="37"/>
  <c r="K216" i="37"/>
  <c r="H377" i="37"/>
  <c r="F377" i="37" s="1"/>
  <c r="I295" i="37"/>
  <c r="H81" i="37"/>
  <c r="F81" i="37" s="1"/>
  <c r="K320" i="37"/>
  <c r="M220" i="37"/>
  <c r="L490" i="37"/>
  <c r="H153" i="37"/>
  <c r="F153" i="37" s="1"/>
  <c r="H304" i="37"/>
  <c r="F304" i="37" s="1"/>
  <c r="I12" i="37"/>
  <c r="J101" i="37"/>
  <c r="J212" i="37"/>
  <c r="M224" i="37"/>
  <c r="H118" i="37"/>
  <c r="F118" i="37" s="1"/>
  <c r="J164" i="37"/>
  <c r="K69" i="37"/>
  <c r="M261" i="37"/>
  <c r="K225" i="37"/>
  <c r="K344" i="37"/>
  <c r="M281" i="37"/>
  <c r="H352" i="37"/>
  <c r="F352" i="37" s="1"/>
  <c r="K163" i="37"/>
  <c r="J362" i="37"/>
  <c r="L130" i="37"/>
  <c r="J262" i="37"/>
  <c r="H27" i="37"/>
  <c r="F27" i="37" s="1"/>
  <c r="H317" i="37"/>
  <c r="F317" i="37" s="1"/>
  <c r="I246" i="37"/>
  <c r="H486" i="37"/>
  <c r="F486" i="37" s="1"/>
  <c r="M222" i="37"/>
  <c r="J82" i="37"/>
  <c r="I216" i="37"/>
  <c r="M358" i="37"/>
  <c r="M302" i="37"/>
  <c r="M289" i="37"/>
  <c r="J390" i="37"/>
  <c r="J21" i="37"/>
  <c r="K230" i="37"/>
  <c r="I47" i="37"/>
  <c r="M376" i="37"/>
  <c r="H343" i="37"/>
  <c r="F343" i="37" s="1"/>
  <c r="L284" i="37"/>
  <c r="J261" i="37"/>
  <c r="M253" i="37"/>
  <c r="M456" i="37"/>
  <c r="K296" i="37"/>
  <c r="I176" i="37"/>
  <c r="H333" i="37"/>
  <c r="F333" i="37" s="1"/>
  <c r="K197" i="37"/>
  <c r="L97" i="37"/>
  <c r="L201" i="37"/>
  <c r="K260" i="37"/>
  <c r="J149" i="37"/>
  <c r="M141" i="37"/>
  <c r="L211" i="37"/>
  <c r="K13" i="37"/>
  <c r="M431" i="37"/>
  <c r="L154" i="37"/>
  <c r="J462" i="37"/>
  <c r="K498" i="37"/>
  <c r="M19" i="37"/>
  <c r="H396" i="37"/>
  <c r="F396" i="37" s="1"/>
  <c r="I475" i="37"/>
  <c r="J436" i="37"/>
  <c r="I400" i="37"/>
  <c r="M357" i="37"/>
  <c r="M316" i="37"/>
  <c r="K150" i="37"/>
  <c r="I322" i="37"/>
  <c r="L321" i="37"/>
  <c r="I336" i="37"/>
  <c r="H122" i="37"/>
  <c r="F122" i="37" s="1"/>
  <c r="K155" i="37"/>
  <c r="H182" i="37"/>
  <c r="F182" i="37" s="1"/>
  <c r="L181" i="37"/>
  <c r="I326" i="37"/>
  <c r="J426" i="37"/>
  <c r="J183" i="37"/>
  <c r="M394" i="37"/>
  <c r="H398" i="37"/>
  <c r="F398" i="37" s="1"/>
  <c r="K235" i="37"/>
  <c r="L55" i="37"/>
  <c r="M229" i="37"/>
  <c r="I481" i="37"/>
  <c r="I226" i="37"/>
  <c r="M137" i="37"/>
  <c r="H247" i="37"/>
  <c r="F247" i="37" s="1"/>
  <c r="H150" i="37"/>
  <c r="F150" i="37" s="1"/>
  <c r="I157" i="37"/>
  <c r="M122" i="37"/>
  <c r="J33" i="37"/>
  <c r="J442" i="37"/>
  <c r="I39" i="37"/>
  <c r="I78" i="37"/>
  <c r="H75" i="37"/>
  <c r="F75" i="37" s="1"/>
  <c r="I329" i="37"/>
  <c r="K490" i="37"/>
  <c r="M310" i="37"/>
  <c r="L33" i="37"/>
  <c r="I376" i="37"/>
  <c r="L318" i="37"/>
  <c r="H207" i="37"/>
  <c r="F207" i="37" s="1"/>
  <c r="J388" i="37"/>
  <c r="M193" i="37"/>
  <c r="K268" i="37"/>
  <c r="K122" i="37"/>
  <c r="K19" i="37"/>
  <c r="L471" i="37"/>
  <c r="K129" i="37"/>
  <c r="H353" i="37"/>
  <c r="F353" i="37" s="1"/>
  <c r="L47" i="37"/>
  <c r="J269" i="37"/>
  <c r="I337" i="37"/>
  <c r="J305" i="37"/>
  <c r="K338" i="37"/>
  <c r="K460" i="37"/>
  <c r="M266" i="37"/>
  <c r="I191" i="37"/>
  <c r="M291" i="37"/>
  <c r="H121" i="37"/>
  <c r="F121" i="37" s="1"/>
  <c r="J286" i="37"/>
  <c r="K222" i="37"/>
  <c r="I224" i="37"/>
  <c r="K192" i="37"/>
  <c r="J366" i="37"/>
  <c r="K376" i="37"/>
  <c r="L141" i="37"/>
  <c r="H412" i="37"/>
  <c r="F412" i="37" s="1"/>
  <c r="M343" i="37"/>
  <c r="H457" i="37"/>
  <c r="F457" i="37" s="1"/>
  <c r="M112" i="37"/>
  <c r="J427" i="37"/>
  <c r="H30" i="37"/>
  <c r="F30" i="37" s="1"/>
  <c r="K64" i="37"/>
  <c r="K153" i="37"/>
  <c r="K84" i="37"/>
  <c r="K149" i="37"/>
  <c r="M198" i="37"/>
  <c r="H68" i="37"/>
  <c r="F68" i="37" s="1"/>
  <c r="L16" i="37"/>
  <c r="J266" i="37"/>
  <c r="M234" i="37"/>
  <c r="J43" i="37"/>
  <c r="K358" i="37"/>
  <c r="I443" i="37"/>
  <c r="I467" i="37"/>
  <c r="K257" i="37"/>
  <c r="J248" i="37"/>
  <c r="M348" i="37"/>
  <c r="L163" i="37"/>
  <c r="I342" i="37"/>
  <c r="J265" i="37"/>
  <c r="H401" i="37"/>
  <c r="F401" i="37" s="1"/>
  <c r="I480" i="37"/>
  <c r="I364" i="37"/>
  <c r="J396" i="37"/>
  <c r="H55" i="37"/>
  <c r="F55" i="37" s="1"/>
  <c r="H154" i="37"/>
  <c r="F154" i="37" s="1"/>
  <c r="H160" i="37"/>
  <c r="F160" i="37" s="1"/>
  <c r="J297" i="37"/>
  <c r="J333" i="37"/>
  <c r="L413" i="37"/>
  <c r="H406" i="37"/>
  <c r="F406" i="37" s="1"/>
  <c r="J25" i="37"/>
  <c r="I289" i="37"/>
  <c r="M232" i="37"/>
  <c r="H428" i="37"/>
  <c r="F428" i="37" s="1"/>
  <c r="I14" i="37"/>
  <c r="H88" i="37"/>
  <c r="F88" i="37" s="1"/>
  <c r="L155" i="37"/>
  <c r="L208" i="37"/>
  <c r="L95" i="37"/>
  <c r="J352" i="37"/>
  <c r="H66" i="37"/>
  <c r="F66" i="37" s="1"/>
  <c r="J36" i="37"/>
  <c r="M256" i="37"/>
  <c r="K405" i="37"/>
  <c r="K48" i="37"/>
  <c r="L348" i="37"/>
  <c r="J52" i="37"/>
  <c r="L184" i="37"/>
  <c r="J84" i="37"/>
  <c r="M417" i="37"/>
  <c r="I425" i="37"/>
  <c r="I393" i="37"/>
  <c r="I464" i="37"/>
  <c r="I140" i="37"/>
  <c r="L273" i="37"/>
  <c r="L384" i="37"/>
  <c r="J386" i="37"/>
  <c r="J395" i="37"/>
  <c r="K32" i="37"/>
  <c r="L395" i="37"/>
  <c r="K194" i="37"/>
  <c r="I456" i="37"/>
  <c r="L111" i="37"/>
  <c r="M464" i="37"/>
  <c r="J437" i="37"/>
  <c r="K301" i="37"/>
  <c r="L439" i="37"/>
  <c r="I32" i="37"/>
  <c r="M102" i="37"/>
  <c r="J71" i="37"/>
  <c r="H198" i="37"/>
  <c r="F198" i="37" s="1"/>
  <c r="H60" i="37"/>
  <c r="F60" i="37" s="1"/>
  <c r="K439" i="37"/>
  <c r="J171" i="37"/>
  <c r="L87" i="37"/>
  <c r="I161" i="37"/>
  <c r="M63" i="37"/>
  <c r="M125" i="37"/>
  <c r="I370" i="37"/>
  <c r="M52" i="37"/>
  <c r="L88" i="37"/>
  <c r="J22" i="37"/>
  <c r="H67" i="37"/>
  <c r="F67" i="37" s="1"/>
  <c r="J453" i="37"/>
  <c r="H130" i="37"/>
  <c r="F130" i="37" s="1"/>
  <c r="J197" i="37"/>
  <c r="H165" i="37"/>
  <c r="F165" i="37" s="1"/>
  <c r="H307" i="37"/>
  <c r="F307" i="37" s="1"/>
  <c r="I90" i="37"/>
  <c r="J146" i="37"/>
  <c r="H123" i="37"/>
  <c r="F123" i="37" s="1"/>
  <c r="M426" i="37"/>
  <c r="J113" i="37"/>
  <c r="J195" i="37"/>
  <c r="M489" i="37"/>
  <c r="L429" i="37"/>
  <c r="I153" i="37"/>
  <c r="I278" i="37"/>
  <c r="L325" i="37"/>
  <c r="K9" i="37"/>
  <c r="J429" i="37"/>
  <c r="H45" i="37"/>
  <c r="F45" i="37" s="1"/>
  <c r="H282" i="37"/>
  <c r="F282" i="37" s="1"/>
  <c r="M380" i="37"/>
  <c r="I284" i="37"/>
  <c r="L161" i="37"/>
  <c r="I125" i="37"/>
  <c r="I64" i="37"/>
  <c r="H209" i="37"/>
  <c r="F209" i="37" s="1"/>
  <c r="I418" i="37"/>
  <c r="I314" i="37"/>
  <c r="H467" i="37"/>
  <c r="F467" i="37" s="1"/>
  <c r="M145" i="37"/>
  <c r="H156" i="37"/>
  <c r="F156" i="37" s="1"/>
  <c r="H290" i="37"/>
  <c r="F290" i="37" s="1"/>
  <c r="J49" i="37"/>
  <c r="M68" i="37"/>
  <c r="H503" i="37"/>
  <c r="F503" i="37" s="1"/>
  <c r="J109" i="37"/>
  <c r="I439" i="37"/>
  <c r="I340" i="37"/>
  <c r="L432" i="37"/>
  <c r="K250" i="37"/>
  <c r="H245" i="37"/>
  <c r="F245" i="37" s="1"/>
  <c r="H310" i="37"/>
  <c r="F310" i="37" s="1"/>
  <c r="K98" i="37"/>
  <c r="H387" i="37"/>
  <c r="F387" i="37" s="1"/>
  <c r="I217" i="37"/>
  <c r="H113" i="37"/>
  <c r="F113" i="37" s="1"/>
  <c r="H11" i="37"/>
  <c r="J168" i="37"/>
  <c r="L497" i="37"/>
  <c r="M275" i="37"/>
  <c r="I121" i="37"/>
  <c r="I387" i="37"/>
  <c r="L91" i="37"/>
  <c r="J9" i="37"/>
  <c r="L185" i="37"/>
  <c r="M314" i="37"/>
  <c r="M293" i="37"/>
  <c r="H208" i="37"/>
  <c r="F208" i="37" s="1"/>
  <c r="K480" i="37"/>
  <c r="J116" i="37"/>
  <c r="L470" i="37"/>
  <c r="H174" i="37"/>
  <c r="F174" i="37" s="1"/>
  <c r="L382" i="37"/>
  <c r="M184" i="37"/>
  <c r="L306" i="37"/>
  <c r="K459" i="37"/>
  <c r="L477" i="37"/>
  <c r="L277" i="37"/>
  <c r="L363" i="37"/>
  <c r="M84" i="37"/>
  <c r="I24" i="37"/>
  <c r="L37" i="37"/>
  <c r="J273" i="37"/>
  <c r="H464" i="37"/>
  <c r="F464" i="37" s="1"/>
  <c r="M469" i="37"/>
  <c r="M439" i="37"/>
  <c r="H43" i="37"/>
  <c r="F43" i="37" s="1"/>
  <c r="L301" i="37"/>
  <c r="K54" i="37"/>
  <c r="H64" i="37"/>
  <c r="F64" i="37" s="1"/>
  <c r="L206" i="37"/>
  <c r="I332" i="37"/>
  <c r="M405" i="37"/>
  <c r="L327" i="37"/>
  <c r="I453" i="37"/>
  <c r="H431" i="37"/>
  <c r="F431" i="37" s="1"/>
  <c r="L121" i="37"/>
  <c r="J503" i="37"/>
  <c r="J292" i="37"/>
  <c r="I392" i="37"/>
  <c r="K127" i="37"/>
  <c r="I434" i="37"/>
  <c r="K385" i="37"/>
  <c r="L504" i="37"/>
  <c r="I389" i="37"/>
  <c r="H38" i="37"/>
  <c r="F38" i="37" s="1"/>
  <c r="K169" i="37"/>
  <c r="I38" i="37"/>
  <c r="H201" i="37"/>
  <c r="F201" i="37" s="1"/>
  <c r="J379" i="37"/>
  <c r="K186" i="37"/>
  <c r="K336" i="37"/>
  <c r="J135" i="37"/>
  <c r="I73" i="37"/>
  <c r="J38" i="37"/>
  <c r="J89" i="37"/>
  <c r="H408" i="37"/>
  <c r="F408" i="37" s="1"/>
  <c r="J129" i="37"/>
  <c r="H85" i="37"/>
  <c r="F85" i="37" s="1"/>
  <c r="K73" i="37"/>
  <c r="H340" i="37"/>
  <c r="F340" i="37" s="1"/>
  <c r="J122" i="37"/>
  <c r="M336" i="37"/>
  <c r="M79" i="37"/>
  <c r="J213" i="37"/>
  <c r="H309" i="37"/>
  <c r="F309" i="37" s="1"/>
  <c r="L418" i="37"/>
  <c r="H149" i="37"/>
  <c r="F149" i="37" s="1"/>
  <c r="M34" i="37"/>
  <c r="J339" i="37"/>
  <c r="M473" i="37"/>
  <c r="L352" i="37"/>
  <c r="I368" i="37"/>
  <c r="J411" i="37"/>
  <c r="M106" i="37"/>
  <c r="I264" i="37"/>
  <c r="K143" i="37"/>
  <c r="I431" i="37"/>
  <c r="L79" i="37"/>
  <c r="I134" i="37"/>
  <c r="K203" i="37"/>
  <c r="I261" i="37"/>
  <c r="M208" i="37"/>
  <c r="H494" i="37"/>
  <c r="F494" i="37" s="1"/>
  <c r="M259" i="37"/>
  <c r="H311" i="37"/>
  <c r="F311" i="37" s="1"/>
  <c r="L137" i="37"/>
  <c r="H83" i="37"/>
  <c r="F83" i="37" s="1"/>
  <c r="M377" i="37"/>
  <c r="K146" i="37"/>
  <c r="H20" i="37"/>
  <c r="F20" i="37" s="1"/>
  <c r="I231" i="37"/>
  <c r="L410" i="37"/>
  <c r="L159" i="37"/>
  <c r="H199" i="37"/>
  <c r="F199" i="37" s="1"/>
  <c r="M57" i="37"/>
  <c r="I128" i="37"/>
  <c r="L282" i="37"/>
  <c r="M28" i="37"/>
  <c r="J130" i="37"/>
  <c r="I318" i="37"/>
  <c r="L508" i="37"/>
  <c r="H426" i="37"/>
  <c r="F426" i="37" s="1"/>
  <c r="K16" i="37"/>
  <c r="K359" i="37"/>
  <c r="M144" i="37"/>
  <c r="M172" i="37"/>
  <c r="J218" i="37"/>
  <c r="L417" i="37"/>
  <c r="J434" i="37"/>
  <c r="J449" i="37"/>
  <c r="M15" i="37"/>
  <c r="M364" i="37"/>
  <c r="I41" i="37"/>
  <c r="I89" i="37"/>
  <c r="J472" i="37"/>
  <c r="L22" i="37"/>
  <c r="I360" i="37"/>
  <c r="K466" i="37"/>
  <c r="K361" i="37"/>
  <c r="J220" i="37"/>
  <c r="I22" i="37"/>
  <c r="H479" i="37"/>
  <c r="F479" i="37" s="1"/>
  <c r="H505" i="37"/>
  <c r="F505" i="37" s="1"/>
  <c r="H8" i="37"/>
  <c r="K135" i="37"/>
  <c r="M58" i="37"/>
  <c r="L216" i="37"/>
  <c r="I303" i="37"/>
  <c r="H425" i="37"/>
  <c r="F425" i="37" s="1"/>
  <c r="J393" i="37"/>
  <c r="I46" i="37"/>
  <c r="M182" i="37"/>
  <c r="L317" i="37"/>
  <c r="I129" i="37"/>
  <c r="K479" i="37"/>
  <c r="M74" i="37"/>
  <c r="M54" i="37"/>
  <c r="K199" i="37"/>
  <c r="I93" i="37"/>
  <c r="J272" i="37"/>
  <c r="H171" i="37"/>
  <c r="F171" i="37" s="1"/>
  <c r="I411" i="37"/>
  <c r="K333" i="37"/>
  <c r="H385" i="37"/>
  <c r="F385" i="37" s="1"/>
  <c r="L344" i="37"/>
  <c r="I430" i="37"/>
  <c r="I351" i="37"/>
  <c r="H49" i="37"/>
  <c r="F49" i="37" s="1"/>
  <c r="L375" i="37"/>
  <c r="I200" i="37"/>
  <c r="J506" i="37"/>
  <c r="M487" i="37"/>
  <c r="I487" i="37"/>
  <c r="I403" i="37"/>
  <c r="M40" i="37"/>
  <c r="J28" i="37"/>
  <c r="M164" i="37"/>
  <c r="M152" i="37"/>
  <c r="I50" i="37"/>
  <c r="K446" i="37"/>
  <c r="L266" i="37"/>
  <c r="L431" i="37"/>
  <c r="I299" i="37"/>
  <c r="K420" i="37"/>
  <c r="M444" i="37"/>
  <c r="M449" i="37"/>
  <c r="H238" i="37"/>
  <c r="F238" i="37" s="1"/>
  <c r="M307" i="37"/>
  <c r="J264" i="37"/>
  <c r="L103" i="37"/>
  <c r="K184" i="37"/>
  <c r="K60" i="37"/>
  <c r="K89" i="37"/>
  <c r="I369" i="37"/>
  <c r="M401" i="37"/>
  <c r="J508" i="37"/>
  <c r="H372" i="37"/>
  <c r="F372" i="37" s="1"/>
  <c r="J232" i="37"/>
  <c r="K144" i="37"/>
  <c r="K228" i="37"/>
  <c r="H37" i="37"/>
  <c r="F37" i="37" s="1"/>
  <c r="I203" i="37"/>
  <c r="H500" i="37"/>
  <c r="F500" i="37" s="1"/>
  <c r="I396" i="37"/>
  <c r="L256" i="37"/>
  <c r="I86" i="37"/>
  <c r="M277" i="37"/>
  <c r="H107" i="37"/>
  <c r="F107" i="37" s="1"/>
  <c r="K232" i="37"/>
  <c r="I306" i="37"/>
  <c r="J93" i="37"/>
  <c r="H41" i="37"/>
  <c r="F41" i="37" s="1"/>
  <c r="M296" i="37"/>
  <c r="L292" i="37"/>
  <c r="I112" i="37"/>
  <c r="K432" i="37"/>
  <c r="I230" i="37"/>
  <c r="K465" i="37"/>
  <c r="K415" i="37"/>
  <c r="L367" i="37"/>
  <c r="I8" i="37"/>
  <c r="K164" i="37"/>
  <c r="J504" i="37"/>
  <c r="H235" i="37"/>
  <c r="F235" i="37" s="1"/>
  <c r="I250" i="37"/>
  <c r="H16" i="37"/>
  <c r="J86" i="37"/>
  <c r="H178" i="37"/>
  <c r="F178" i="37" s="1"/>
  <c r="K196" i="37"/>
  <c r="L396" i="37"/>
  <c r="M173" i="37"/>
  <c r="J246" i="37"/>
  <c r="K90" i="37"/>
  <c r="I85" i="37"/>
  <c r="H433" i="37"/>
  <c r="F433" i="37" s="1"/>
  <c r="J134" i="37"/>
  <c r="M389" i="37"/>
  <c r="I501" i="37"/>
  <c r="I508" i="37"/>
  <c r="J372" i="37"/>
  <c r="L86" i="37"/>
  <c r="I208" i="37"/>
  <c r="K161" i="37"/>
  <c r="I94" i="37"/>
  <c r="J270" i="37"/>
  <c r="H110" i="37"/>
  <c r="F110" i="37" s="1"/>
  <c r="L110" i="37"/>
  <c r="M105" i="37"/>
  <c r="J309" i="37"/>
  <c r="L198" i="37"/>
  <c r="L336" i="37"/>
  <c r="I402" i="37"/>
  <c r="M248" i="37"/>
  <c r="H270" i="37"/>
  <c r="F270" i="37" s="1"/>
  <c r="L153" i="37"/>
  <c r="H125" i="37"/>
  <c r="F125" i="37" s="1"/>
  <c r="K475" i="37"/>
  <c r="J160" i="37"/>
  <c r="K491" i="37"/>
  <c r="I427" i="37"/>
  <c r="M24" i="37"/>
  <c r="M23" i="37"/>
  <c r="I321" i="37"/>
  <c r="J20" i="37"/>
  <c r="J422" i="37"/>
  <c r="J226" i="37"/>
  <c r="K271" i="37"/>
  <c r="L271" i="37"/>
  <c r="J131" i="37"/>
  <c r="M453" i="37"/>
  <c r="L274" i="37"/>
  <c r="I377" i="37"/>
  <c r="H472" i="37"/>
  <c r="F472" i="37" s="1"/>
  <c r="K38" i="37"/>
  <c r="M153" i="37"/>
  <c r="M71" i="37"/>
  <c r="L399" i="37"/>
  <c r="L94" i="37"/>
  <c r="M409" i="37"/>
  <c r="J402" i="37"/>
  <c r="J144" i="37"/>
  <c r="I477" i="37"/>
  <c r="L426" i="37"/>
  <c r="H365" i="37"/>
  <c r="F365" i="37" s="1"/>
  <c r="I293" i="37"/>
  <c r="L457" i="37"/>
  <c r="I198" i="37"/>
  <c r="I242" i="37"/>
  <c r="K505" i="37"/>
  <c r="K374" i="37"/>
  <c r="J176" i="37"/>
  <c r="M190" i="37"/>
  <c r="H10" i="37"/>
  <c r="H135" i="37"/>
  <c r="F135" i="37" s="1"/>
  <c r="L416" i="37"/>
  <c r="K168" i="37"/>
  <c r="H56" i="37"/>
  <c r="F56" i="37" s="1"/>
  <c r="H271" i="37"/>
  <c r="F271" i="37" s="1"/>
  <c r="K233" i="37"/>
  <c r="I257" i="37"/>
  <c r="I446" i="37"/>
  <c r="L234" i="37"/>
  <c r="I251" i="37"/>
  <c r="M215" i="37"/>
  <c r="K448" i="37"/>
  <c r="M22" i="37"/>
  <c r="H216" i="37"/>
  <c r="F216" i="37" s="1"/>
  <c r="I44" i="37"/>
  <c r="M45" i="37"/>
  <c r="L219" i="37"/>
  <c r="H345" i="37"/>
  <c r="F345" i="37" s="1"/>
  <c r="M269" i="37"/>
  <c r="J278" i="37"/>
  <c r="K44" i="37"/>
  <c r="L151" i="37"/>
  <c r="H253" i="37"/>
  <c r="F253" i="37" s="1"/>
  <c r="M226" i="37"/>
  <c r="M468" i="37"/>
  <c r="K55" i="37"/>
  <c r="M388" i="37"/>
  <c r="L162" i="37"/>
  <c r="L373" i="37"/>
  <c r="J271" i="37"/>
  <c r="I506" i="37"/>
  <c r="M484" i="37"/>
  <c r="K457" i="37"/>
  <c r="K35" i="37"/>
  <c r="I34" i="37"/>
  <c r="M443" i="37"/>
  <c r="M70" i="37"/>
  <c r="I19" i="37"/>
  <c r="M459" i="37"/>
  <c r="L63" i="37"/>
  <c r="I40" i="37"/>
  <c r="I468" i="37"/>
  <c r="H445" i="37"/>
  <c r="F445" i="37" s="1"/>
  <c r="H103" i="37"/>
  <c r="F103" i="37" s="1"/>
  <c r="I91" i="37"/>
  <c r="H314" i="37"/>
  <c r="F314" i="37" s="1"/>
  <c r="J370" i="37"/>
  <c r="I405" i="37"/>
  <c r="I349" i="37"/>
  <c r="M282" i="37"/>
  <c r="L360" i="37"/>
  <c r="J348" i="37"/>
  <c r="K106" i="37"/>
  <c r="I478" i="37"/>
  <c r="K293" i="37"/>
  <c r="K346" i="37"/>
  <c r="M189" i="37"/>
  <c r="M425" i="37"/>
  <c r="H240" i="37"/>
  <c r="F240" i="37" s="1"/>
  <c r="J57" i="37"/>
  <c r="J476" i="37"/>
  <c r="J126" i="37"/>
  <c r="L112" i="37"/>
  <c r="K189" i="37"/>
  <c r="L199" i="37"/>
  <c r="I473" i="37"/>
  <c r="K314" i="37"/>
  <c r="L104" i="37"/>
  <c r="I95" i="37"/>
  <c r="L17" i="37"/>
  <c r="K289" i="37"/>
  <c r="H105" i="37"/>
  <c r="F105" i="37" s="1"/>
  <c r="H371" i="37"/>
  <c r="F371" i="37" s="1"/>
  <c r="M216" i="37"/>
  <c r="I254" i="37"/>
  <c r="K357" i="37"/>
  <c r="M413" i="37"/>
  <c r="L61" i="37"/>
  <c r="L435" i="37"/>
  <c r="I170" i="37"/>
  <c r="H430" i="37"/>
  <c r="F430" i="37" s="1"/>
  <c r="M457" i="37"/>
  <c r="K121" i="37"/>
  <c r="H108" i="37"/>
  <c r="F108" i="37" s="1"/>
  <c r="L450" i="37"/>
  <c r="K123" i="37"/>
  <c r="K277" i="37"/>
  <c r="I253" i="37"/>
  <c r="M507" i="37"/>
  <c r="M284" i="37"/>
  <c r="I372" i="37"/>
  <c r="J30" i="37"/>
  <c r="M167" i="37"/>
  <c r="I437" i="37"/>
  <c r="H339" i="37"/>
  <c r="F339" i="37" s="1"/>
  <c r="J461" i="37"/>
  <c r="L248" i="37"/>
  <c r="M355" i="37"/>
  <c r="L12" i="37"/>
  <c r="H197" i="37"/>
  <c r="F197" i="37" s="1"/>
  <c r="I70" i="37"/>
  <c r="M486" i="37"/>
  <c r="J253" i="37"/>
  <c r="H502" i="37"/>
  <c r="F502" i="37" s="1"/>
  <c r="K10" i="37"/>
  <c r="L377" i="37"/>
  <c r="M446" i="37"/>
  <c r="K375" i="37"/>
  <c r="M385" i="37"/>
  <c r="I30" i="37"/>
  <c r="J37" i="37"/>
  <c r="H86" i="37"/>
  <c r="F86" i="37" s="1"/>
  <c r="M178" i="37"/>
  <c r="H62" i="37"/>
  <c r="F62" i="37" s="1"/>
  <c r="K207" i="37"/>
  <c r="L419" i="37"/>
  <c r="M491" i="37"/>
  <c r="K300" i="37"/>
  <c r="K201" i="37"/>
  <c r="J194" i="37"/>
  <c r="M114" i="37"/>
  <c r="L474" i="37"/>
  <c r="L205" i="37"/>
  <c r="K8" i="37"/>
  <c r="H24" i="37"/>
  <c r="F24" i="37" s="1"/>
  <c r="L138" i="37"/>
  <c r="H221" i="37"/>
  <c r="F221" i="37" s="1"/>
  <c r="J373" i="37"/>
  <c r="H386" i="37"/>
  <c r="F386" i="37" s="1"/>
  <c r="I277" i="37"/>
  <c r="M399" i="37"/>
  <c r="M400" i="37"/>
  <c r="L226" i="37"/>
  <c r="M147" i="37"/>
  <c r="H470" i="37"/>
  <c r="F470" i="37" s="1"/>
  <c r="J380" i="37"/>
  <c r="I68" i="37"/>
  <c r="H436" i="37"/>
  <c r="F436" i="37" s="1"/>
  <c r="I167" i="37"/>
  <c r="J78" i="37"/>
  <c r="J39" i="37"/>
  <c r="I409" i="37"/>
  <c r="J229" i="37"/>
  <c r="J153" i="37"/>
  <c r="M279" i="37"/>
  <c r="J100" i="37"/>
  <c r="I286" i="37"/>
  <c r="J118" i="37"/>
  <c r="M471" i="37"/>
  <c r="J54" i="37"/>
  <c r="M228" i="37"/>
  <c r="I106" i="37"/>
  <c r="K75" i="37"/>
  <c r="I285" i="37"/>
  <c r="L324" i="37"/>
  <c r="M332" i="37"/>
  <c r="L43" i="37"/>
  <c r="I327" i="37"/>
  <c r="H255" i="37"/>
  <c r="F255" i="37" s="1"/>
  <c r="I502" i="37"/>
  <c r="H434" i="37"/>
  <c r="F434" i="37" s="1"/>
  <c r="K47" i="37"/>
  <c r="M372" i="37"/>
  <c r="L441" i="37"/>
  <c r="J99" i="37"/>
  <c r="I190" i="37"/>
  <c r="M390" i="37"/>
  <c r="J136" i="37"/>
  <c r="K464" i="37"/>
  <c r="L257" i="37"/>
  <c r="K66" i="37"/>
  <c r="K337" i="37"/>
  <c r="L487" i="37"/>
  <c r="M32" i="37"/>
  <c r="L290" i="37"/>
  <c r="L31" i="37"/>
  <c r="L289" i="37"/>
  <c r="J387" i="37"/>
  <c r="L118" i="37"/>
  <c r="H459" i="37"/>
  <c r="F459" i="37" s="1"/>
  <c r="L350" i="37"/>
  <c r="M292" i="37"/>
  <c r="I119" i="37"/>
  <c r="L89" i="37"/>
  <c r="M17" i="37"/>
  <c r="J473" i="37"/>
  <c r="H145" i="37"/>
  <c r="F145" i="37" s="1"/>
  <c r="M434" i="37"/>
  <c r="K290" i="37"/>
  <c r="I173" i="37"/>
  <c r="M219" i="37"/>
  <c r="L119" i="37"/>
  <c r="L433" i="37"/>
  <c r="H52" i="37"/>
  <c r="F52" i="37" s="1"/>
  <c r="J501" i="37"/>
  <c r="J40" i="37"/>
  <c r="K481" i="37"/>
  <c r="J401" i="37"/>
  <c r="M429" i="37"/>
  <c r="K182" i="37"/>
  <c r="H71" i="37"/>
  <c r="F71" i="37" s="1"/>
  <c r="M161" i="37"/>
  <c r="J365" i="37"/>
  <c r="H376" i="37"/>
  <c r="F376" i="37" s="1"/>
  <c r="K287" i="37"/>
  <c r="H233" i="37"/>
  <c r="F233" i="37" s="1"/>
  <c r="M80" i="37"/>
  <c r="K461" i="37"/>
  <c r="I221" i="37"/>
  <c r="I227" i="37"/>
  <c r="H228" i="37"/>
  <c r="F228" i="37" s="1"/>
  <c r="I479" i="37"/>
  <c r="H215" i="37"/>
  <c r="F215" i="37" s="1"/>
  <c r="K316" i="37"/>
  <c r="K128" i="37"/>
  <c r="J210" i="37"/>
  <c r="L167" i="37"/>
  <c r="I87" i="37"/>
  <c r="M503" i="37"/>
  <c r="M142" i="37"/>
  <c r="J403" i="37"/>
  <c r="K210" i="37"/>
  <c r="I346" i="37"/>
  <c r="L437" i="37"/>
  <c r="H248" i="37"/>
  <c r="F248" i="37" s="1"/>
  <c r="H266" i="37"/>
  <c r="F266" i="37" s="1"/>
  <c r="H407" i="37"/>
  <c r="F407" i="37" s="1"/>
  <c r="K272" i="37"/>
  <c r="J12" i="37"/>
  <c r="L383" i="37"/>
  <c r="L148" i="37"/>
  <c r="I145" i="37"/>
  <c r="K332" i="37"/>
  <c r="H319" i="37"/>
  <c r="F319" i="37" s="1"/>
  <c r="K368" i="37"/>
  <c r="H322" i="37"/>
  <c r="F322" i="37" s="1"/>
  <c r="I361" i="37"/>
  <c r="J412" i="37"/>
  <c r="M342" i="37"/>
  <c r="J173" i="37"/>
  <c r="H92" i="37"/>
  <c r="F92" i="37" s="1"/>
  <c r="I53" i="37"/>
  <c r="M139" i="37"/>
  <c r="M206" i="37"/>
  <c r="J500" i="37"/>
  <c r="K167" i="37"/>
  <c r="H435" i="37"/>
  <c r="F435" i="37" s="1"/>
  <c r="H456" i="37"/>
  <c r="F456" i="37" s="1"/>
  <c r="I500" i="37"/>
  <c r="I313" i="37"/>
  <c r="I341" i="37"/>
  <c r="K408" i="37"/>
  <c r="L59" i="37"/>
  <c r="M77" i="37"/>
  <c r="L259" i="37"/>
  <c r="I82" i="37"/>
  <c r="J181" i="37"/>
  <c r="J407" i="37"/>
  <c r="J151" i="37"/>
  <c r="H203" i="37"/>
  <c r="F203" i="37" s="1"/>
  <c r="I175" i="37"/>
  <c r="M11" i="37"/>
  <c r="M175" i="37"/>
  <c r="L438" i="37"/>
  <c r="M442" i="37"/>
  <c r="I484" i="37"/>
  <c r="J487" i="37"/>
  <c r="L147" i="37"/>
  <c r="I310" i="37"/>
  <c r="I132" i="37"/>
  <c r="I204" i="37"/>
  <c r="I406" i="37"/>
  <c r="H338" i="37"/>
  <c r="F338" i="37" s="1"/>
  <c r="H424" i="37"/>
  <c r="F424" i="37" s="1"/>
  <c r="L315" i="37"/>
  <c r="L345" i="37"/>
  <c r="H268" i="37"/>
  <c r="F268" i="37" s="1"/>
  <c r="L333" i="37"/>
  <c r="K387" i="37"/>
  <c r="L347" i="37"/>
  <c r="K109" i="37"/>
  <c r="M81" i="37"/>
  <c r="K173" i="37"/>
  <c r="I398" i="37"/>
  <c r="K367" i="37"/>
  <c r="J398" i="37"/>
  <c r="I390" i="37"/>
  <c r="L204" i="37"/>
  <c r="K212" i="37"/>
  <c r="K398" i="37"/>
  <c r="I16" i="37"/>
  <c r="I330" i="37"/>
  <c r="I96" i="37"/>
  <c r="K28" i="37"/>
  <c r="L98" i="37"/>
  <c r="I33" i="37"/>
  <c r="H162" i="37"/>
  <c r="F162" i="37" s="1"/>
  <c r="I10" i="37"/>
  <c r="L83" i="37"/>
  <c r="L220" i="37"/>
  <c r="M351" i="37"/>
  <c r="K353" i="37"/>
  <c r="I382" i="37"/>
  <c r="M246" i="37"/>
  <c r="L500" i="37"/>
  <c r="L436" i="37"/>
  <c r="M223" i="37"/>
  <c r="I394" i="37"/>
  <c r="L295" i="37"/>
  <c r="J484" i="37"/>
  <c r="K245" i="37"/>
  <c r="M378" i="37"/>
  <c r="K138" i="37"/>
  <c r="K345" i="37"/>
  <c r="L158" i="37"/>
  <c r="L458" i="37"/>
  <c r="K31" i="37"/>
  <c r="L109" i="37"/>
  <c r="H315" i="37"/>
  <c r="F315" i="37" s="1"/>
  <c r="L240" i="37"/>
  <c r="I282" i="37"/>
  <c r="J374" i="37"/>
  <c r="M482" i="37"/>
  <c r="H93" i="37"/>
  <c r="F93" i="37" s="1"/>
  <c r="H458" i="37"/>
  <c r="F458" i="37" s="1"/>
  <c r="M412" i="37"/>
  <c r="L8" i="37"/>
  <c r="I476" i="37"/>
  <c r="M225" i="37"/>
  <c r="I260" i="37"/>
  <c r="J55" i="37"/>
  <c r="J416" i="37"/>
  <c r="J150" i="37"/>
  <c r="M475" i="37"/>
  <c r="M461" i="37"/>
  <c r="K15" i="37"/>
  <c r="H501" i="37"/>
  <c r="F501" i="37" s="1"/>
  <c r="M411" i="37"/>
  <c r="H484" i="37"/>
  <c r="F484" i="37" s="1"/>
  <c r="I319" i="37"/>
  <c r="L35" i="37"/>
  <c r="L403" i="37"/>
  <c r="J257" i="37"/>
  <c r="L11" i="37"/>
  <c r="K12" i="37"/>
  <c r="I127" i="37"/>
  <c r="J349" i="37"/>
  <c r="M187" i="37"/>
  <c r="I258" i="37"/>
  <c r="J404" i="37"/>
  <c r="K247" i="37"/>
  <c r="H129" i="37"/>
  <c r="F129" i="37" s="1"/>
  <c r="I471" i="37"/>
  <c r="L356" i="37"/>
  <c r="I397" i="37"/>
  <c r="J76" i="37"/>
  <c r="K305" i="37"/>
  <c r="J376" i="37"/>
  <c r="M454" i="37"/>
  <c r="H138" i="37"/>
  <c r="F138" i="37" s="1"/>
  <c r="K349" i="37"/>
  <c r="J299" i="37"/>
  <c r="I104" i="37"/>
  <c r="H98" i="37"/>
  <c r="F98" i="37" s="1"/>
  <c r="H36" i="37"/>
  <c r="F36" i="37" s="1"/>
  <c r="J10" i="37"/>
  <c r="I99" i="37"/>
  <c r="J394" i="37"/>
  <c r="H23" i="37"/>
  <c r="F23" i="37" s="1"/>
  <c r="J224" i="37"/>
  <c r="L407" i="37"/>
  <c r="H423" i="37"/>
  <c r="F423" i="37" s="1"/>
  <c r="M135" i="37"/>
  <c r="K450" i="37"/>
  <c r="I358" i="37"/>
  <c r="L334" i="37"/>
  <c r="I420" i="37"/>
  <c r="H368" i="37"/>
  <c r="F368" i="37" s="1"/>
  <c r="I62" i="37"/>
  <c r="L434" i="37"/>
  <c r="M313" i="37"/>
  <c r="J114" i="37"/>
  <c r="J140" i="37"/>
  <c r="L359" i="37"/>
  <c r="I172" i="37"/>
  <c r="K231" i="37"/>
  <c r="K34" i="37"/>
  <c r="I259" i="37"/>
  <c r="I233" i="37"/>
  <c r="M349" i="37"/>
  <c r="M217" i="37"/>
  <c r="H415" i="37"/>
  <c r="F415" i="37" s="1"/>
  <c r="L80" i="37"/>
  <c r="I123" i="37"/>
  <c r="K497" i="37"/>
  <c r="K51" i="37"/>
  <c r="M118" i="37"/>
  <c r="K244" i="37"/>
  <c r="M320" i="37"/>
  <c r="K131" i="37"/>
  <c r="H124" i="37"/>
  <c r="F124" i="37" s="1"/>
  <c r="M148" i="37"/>
  <c r="L379" i="37"/>
  <c r="K148" i="37"/>
  <c r="L307" i="37"/>
  <c r="I445" i="37"/>
  <c r="H173" i="37"/>
  <c r="F173" i="37" s="1"/>
  <c r="I275" i="37"/>
  <c r="H131" i="37"/>
  <c r="F131" i="37" s="1"/>
  <c r="K462" i="37"/>
  <c r="L15" i="37"/>
  <c r="L503" i="37"/>
  <c r="J259" i="37"/>
  <c r="L53" i="37"/>
  <c r="I26" i="37"/>
  <c r="L311" i="37"/>
  <c r="L82" i="37"/>
  <c r="K264" i="37"/>
  <c r="M155" i="37"/>
  <c r="L193" i="37"/>
  <c r="J59" i="37"/>
  <c r="H139" i="37"/>
  <c r="F139" i="37" s="1"/>
  <c r="L58" i="37"/>
  <c r="K263" i="37"/>
  <c r="I312" i="37"/>
  <c r="L291" i="37"/>
  <c r="H219" i="37"/>
  <c r="F219" i="37" s="1"/>
  <c r="K53" i="37"/>
  <c r="J117" i="37"/>
  <c r="M157" i="37"/>
  <c r="I311" i="37"/>
  <c r="I419" i="37"/>
  <c r="L143" i="37"/>
  <c r="J111" i="37"/>
  <c r="L56" i="37"/>
  <c r="M312" i="37"/>
  <c r="M29" i="37"/>
  <c r="I116" i="37"/>
  <c r="M64" i="37"/>
  <c r="H389" i="37"/>
  <c r="F389" i="37" s="1"/>
  <c r="I234" i="37"/>
  <c r="H90" i="37"/>
  <c r="F90" i="37" s="1"/>
  <c r="J35" i="37"/>
  <c r="I462" i="37"/>
  <c r="M440" i="37"/>
  <c r="H102" i="37"/>
  <c r="F102" i="37" s="1"/>
  <c r="J367" i="37"/>
  <c r="L142" i="37"/>
  <c r="J186" i="37"/>
  <c r="L391" i="37"/>
  <c r="J290" i="37"/>
  <c r="H227" i="37"/>
  <c r="F227" i="37" s="1"/>
  <c r="I54" i="37"/>
  <c r="J347" i="37"/>
  <c r="K438" i="37"/>
  <c r="J330" i="37"/>
  <c r="K437" i="37"/>
  <c r="I122" i="37"/>
  <c r="H44" i="37"/>
  <c r="F44" i="37" s="1"/>
  <c r="K105" i="37"/>
  <c r="K224" i="37"/>
  <c r="I43" i="37"/>
  <c r="M505" i="37"/>
  <c r="I181" i="37"/>
  <c r="L409" i="37"/>
  <c r="J72" i="37"/>
  <c r="H22" i="37"/>
  <c r="F22" i="37" s="1"/>
  <c r="M230" i="37"/>
  <c r="L189" i="37"/>
  <c r="K256" i="37"/>
  <c r="K42" i="37"/>
  <c r="H100" i="37"/>
  <c r="F100" i="37" s="1"/>
  <c r="I188" i="37"/>
  <c r="L472" i="37"/>
  <c r="K14" i="37"/>
  <c r="K419" i="37"/>
  <c r="L221" i="37"/>
  <c r="J234" i="37"/>
  <c r="K441" i="37"/>
  <c r="J368" i="37"/>
  <c r="J502" i="37"/>
  <c r="I158" i="37"/>
  <c r="J281" i="37"/>
  <c r="I88" i="37"/>
  <c r="M33" i="37"/>
  <c r="J88" i="37"/>
  <c r="M247" i="37"/>
  <c r="J48" i="37"/>
  <c r="I244" i="37"/>
  <c r="M65" i="37"/>
  <c r="J74" i="37"/>
  <c r="I49" i="37"/>
  <c r="J187" i="37"/>
  <c r="M323" i="37"/>
  <c r="M346" i="37"/>
  <c r="M422" i="37"/>
  <c r="K489" i="37"/>
  <c r="L170" i="37"/>
  <c r="L387" i="37"/>
  <c r="L430" i="37"/>
  <c r="I155" i="37"/>
  <c r="K341" i="37"/>
  <c r="H57" i="37"/>
  <c r="F57" i="37" s="1"/>
  <c r="H91" i="37"/>
  <c r="F91" i="37" s="1"/>
  <c r="L116" i="37"/>
  <c r="I457" i="37"/>
  <c r="L405" i="37"/>
  <c r="L496" i="37"/>
  <c r="K41" i="37"/>
  <c r="K151" i="37"/>
  <c r="L335" i="37"/>
  <c r="H9" i="37"/>
  <c r="F9" i="37" s="1"/>
  <c r="L68" i="37"/>
  <c r="K211" i="37"/>
  <c r="K274" i="37"/>
  <c r="I320" i="37"/>
  <c r="H61" i="37"/>
  <c r="F61" i="37" s="1"/>
  <c r="H441" i="37"/>
  <c r="F441" i="37" s="1"/>
  <c r="J32" i="37"/>
  <c r="K395" i="37"/>
  <c r="K342" i="37"/>
  <c r="M308" i="37"/>
  <c r="H210" i="37"/>
  <c r="F210" i="37" s="1"/>
  <c r="J34" i="37"/>
  <c r="L278" i="37"/>
  <c r="H158" i="37"/>
  <c r="F158" i="37" s="1"/>
  <c r="J102" i="37"/>
  <c r="I182" i="37"/>
  <c r="L44" i="37"/>
  <c r="M227" i="37"/>
  <c r="H399" i="37"/>
  <c r="F399" i="37" s="1"/>
  <c r="H300" i="37"/>
  <c r="F300" i="37" s="1"/>
  <c r="I206" i="37"/>
  <c r="M140" i="37"/>
  <c r="I448" i="37"/>
  <c r="M116" i="37"/>
  <c r="I137" i="37"/>
  <c r="L394" i="37"/>
  <c r="L108" i="37"/>
  <c r="J15" i="37"/>
  <c r="M419" i="37"/>
  <c r="M373" i="37"/>
  <c r="M207" i="37"/>
  <c r="M67" i="37"/>
  <c r="K104" i="37"/>
  <c r="J494" i="37"/>
  <c r="M128" i="37"/>
  <c r="K267" i="37"/>
  <c r="L114" i="37"/>
  <c r="K67" i="37"/>
  <c r="H213" i="37"/>
  <c r="F213" i="37" s="1"/>
  <c r="I215" i="37"/>
  <c r="J418" i="37"/>
  <c r="L312" i="37"/>
  <c r="I391" i="37"/>
  <c r="K433" i="37"/>
  <c r="I130" i="37"/>
  <c r="L29" i="37"/>
  <c r="M205" i="37"/>
  <c r="K507" i="37"/>
  <c r="H427" i="37"/>
  <c r="F427" i="37" s="1"/>
  <c r="H78" i="37"/>
  <c r="F78" i="37" s="1"/>
  <c r="I131" i="37"/>
  <c r="I76" i="37"/>
  <c r="I296" i="37"/>
  <c r="J208" i="37"/>
  <c r="K118" i="37"/>
  <c r="J156" i="37"/>
  <c r="L160" i="37"/>
  <c r="H152" i="37"/>
  <c r="F152" i="37" s="1"/>
  <c r="H262" i="37"/>
  <c r="F262" i="37" s="1"/>
  <c r="H414" i="37"/>
  <c r="F414" i="37" s="1"/>
  <c r="K165" i="37"/>
  <c r="K215" i="37"/>
  <c r="H312" i="37"/>
  <c r="F312" i="37" s="1"/>
  <c r="H465" i="37"/>
  <c r="F465" i="37" s="1"/>
  <c r="K57" i="37"/>
  <c r="L34" i="37"/>
  <c r="I262" i="37"/>
  <c r="I412" i="37"/>
  <c r="H383" i="37"/>
  <c r="F383" i="37" s="1"/>
  <c r="L14" i="37"/>
  <c r="I52" i="37"/>
  <c r="M353" i="37"/>
  <c r="I288" i="37"/>
  <c r="I417" i="37"/>
  <c r="L302" i="37"/>
  <c r="I362" i="37"/>
  <c r="I139" i="37"/>
  <c r="J207" i="37"/>
  <c r="K499" i="37"/>
  <c r="M181" i="37"/>
  <c r="H48" i="37"/>
  <c r="F48" i="37" s="1"/>
  <c r="L85" i="37"/>
  <c r="I146" i="37"/>
  <c r="H14" i="37"/>
  <c r="K410" i="37"/>
  <c r="I117" i="37"/>
  <c r="K83" i="37"/>
  <c r="H277" i="37"/>
  <c r="F277" i="37" s="1"/>
  <c r="H454" i="37"/>
  <c r="F454" i="37" s="1"/>
  <c r="H362" i="37"/>
  <c r="F362" i="37" s="1"/>
  <c r="K103" i="37"/>
  <c r="I25" i="37"/>
  <c r="H292" i="37"/>
  <c r="F292" i="37" s="1"/>
  <c r="K81" i="37"/>
  <c r="J375" i="37"/>
  <c r="I74" i="37"/>
  <c r="K445" i="37"/>
  <c r="K477" i="37"/>
  <c r="I83" i="37"/>
  <c r="H440" i="37"/>
  <c r="F440" i="37" s="1"/>
  <c r="L134" i="37"/>
  <c r="J289" i="37"/>
  <c r="I220" i="37"/>
  <c r="M268" i="37"/>
  <c r="I152" i="37"/>
  <c r="H497" i="37"/>
  <c r="F497" i="37" s="1"/>
  <c r="M278" i="37"/>
  <c r="L152" i="37"/>
  <c r="L378" i="37"/>
  <c r="J311" i="37"/>
  <c r="J433" i="37"/>
  <c r="K416" i="37"/>
  <c r="J483" i="37"/>
  <c r="J432" i="37"/>
  <c r="H463" i="37"/>
  <c r="F463" i="37" s="1"/>
  <c r="H276" i="37"/>
  <c r="F276" i="37" s="1"/>
  <c r="M202" i="37"/>
  <c r="J180" i="37"/>
  <c r="H411" i="37"/>
  <c r="F411" i="37" s="1"/>
  <c r="L227" i="37"/>
  <c r="H471" i="37"/>
  <c r="F471" i="37" s="1"/>
  <c r="K429" i="37"/>
  <c r="H506" i="37"/>
  <c r="F506" i="37" s="1"/>
  <c r="K501" i="37"/>
  <c r="I154" i="37"/>
  <c r="H163" i="37"/>
  <c r="F163" i="37" s="1"/>
  <c r="H439" i="37"/>
  <c r="F439" i="37" s="1"/>
  <c r="K206" i="37"/>
  <c r="I505" i="37"/>
  <c r="M333" i="37"/>
  <c r="J69" i="37"/>
  <c r="K366" i="37"/>
  <c r="K447" i="37"/>
  <c r="I442" i="37"/>
  <c r="M280" i="37"/>
  <c r="K471" i="37"/>
  <c r="H58" i="37"/>
  <c r="F58" i="37" s="1"/>
  <c r="K70" i="37"/>
  <c r="M151" i="37"/>
  <c r="K253" i="37"/>
  <c r="K180" i="37"/>
  <c r="J288" i="37"/>
  <c r="M126" i="37"/>
  <c r="H185" i="37"/>
  <c r="F185" i="37" s="1"/>
  <c r="M56" i="37"/>
  <c r="M460" i="37"/>
  <c r="L146" i="37"/>
  <c r="K191" i="37"/>
  <c r="K255" i="37"/>
  <c r="J119" i="37"/>
  <c r="H397" i="37"/>
  <c r="F397" i="37" s="1"/>
  <c r="J282" i="37"/>
  <c r="H211" i="37"/>
  <c r="F211" i="37" s="1"/>
  <c r="L448" i="37"/>
  <c r="K409" i="37"/>
  <c r="H380" i="37"/>
  <c r="F380" i="37" s="1"/>
  <c r="M306" i="37"/>
  <c r="J198" i="37"/>
  <c r="H32" i="37"/>
  <c r="F32" i="37" s="1"/>
  <c r="K63" i="37"/>
  <c r="J316" i="37"/>
  <c r="L298" i="37"/>
  <c r="H196" i="37"/>
  <c r="F196" i="37" s="1"/>
  <c r="H189" i="37"/>
  <c r="F189" i="37" s="1"/>
  <c r="K423" i="37"/>
  <c r="I201" i="37"/>
  <c r="K391" i="37"/>
  <c r="K428" i="37"/>
  <c r="L463" i="37"/>
  <c r="J440" i="37"/>
  <c r="H252" i="37"/>
  <c r="F252" i="37" s="1"/>
  <c r="J381" i="37"/>
  <c r="L242" i="37"/>
  <c r="L218" i="37"/>
  <c r="I18" i="37"/>
  <c r="L27" i="37"/>
  <c r="L188" i="37"/>
  <c r="H278" i="37"/>
  <c r="F278" i="37" s="1"/>
  <c r="J359" i="37"/>
  <c r="K362" i="37"/>
  <c r="L381" i="37"/>
  <c r="I472" i="37"/>
  <c r="K430" i="37"/>
  <c r="I331" i="37"/>
  <c r="J363" i="37"/>
  <c r="J121" i="37"/>
  <c r="J137" i="37"/>
  <c r="I305" i="37"/>
  <c r="L129" i="37"/>
  <c r="K403" i="37"/>
  <c r="M119" i="37"/>
  <c r="M218" i="37"/>
  <c r="H218" i="37"/>
  <c r="F218" i="37" s="1"/>
  <c r="I491" i="37"/>
  <c r="J496" i="37"/>
  <c r="I416" i="37"/>
  <c r="J325" i="37"/>
  <c r="M303" i="37"/>
  <c r="J127" i="37"/>
  <c r="H275" i="37"/>
  <c r="F275" i="37" s="1"/>
  <c r="H89" i="37"/>
  <c r="F89" i="37" s="1"/>
  <c r="M466" i="37"/>
  <c r="M290" i="37"/>
  <c r="J329" i="37"/>
  <c r="I298" i="37"/>
  <c r="H363" i="37"/>
  <c r="F363" i="37" s="1"/>
  <c r="I15" i="37"/>
  <c r="L131" i="37"/>
  <c r="K312" i="37"/>
  <c r="L488" i="37"/>
  <c r="H444" i="37"/>
  <c r="F444" i="37" s="1"/>
  <c r="M288" i="37"/>
  <c r="K454" i="37"/>
  <c r="M170" i="37"/>
  <c r="I236" i="37"/>
  <c r="H183" i="37"/>
  <c r="F183" i="37" s="1"/>
  <c r="L506" i="37"/>
  <c r="I265" i="37"/>
  <c r="K88" i="37"/>
  <c r="J165" i="37"/>
  <c r="I168" i="37"/>
  <c r="J268" i="37"/>
  <c r="L117" i="37"/>
  <c r="K17" i="37"/>
  <c r="J145" i="37"/>
  <c r="K258" i="37"/>
  <c r="L440" i="37"/>
  <c r="K249" i="37"/>
  <c r="J360" i="37"/>
  <c r="H481" i="37"/>
  <c r="F481" i="37" s="1"/>
  <c r="J274" i="37"/>
  <c r="J320" i="37"/>
  <c r="M402" i="37"/>
  <c r="K322" i="37"/>
  <c r="L229" i="37"/>
  <c r="L495" i="37"/>
  <c r="I438" i="37"/>
  <c r="H237" i="37"/>
  <c r="F237" i="37" s="1"/>
  <c r="M254" i="37"/>
  <c r="K239" i="37"/>
  <c r="J300" i="37"/>
  <c r="M162" i="37"/>
  <c r="H316" i="37"/>
  <c r="F316" i="37" s="1"/>
  <c r="J209" i="37"/>
  <c r="K284" i="37"/>
  <c r="J185" i="37"/>
  <c r="K323" i="37"/>
  <c r="H244" i="37"/>
  <c r="F244" i="37" s="1"/>
  <c r="M150" i="37"/>
  <c r="M236" i="37"/>
  <c r="I489" i="37"/>
  <c r="I187" i="37"/>
  <c r="K371" i="37"/>
  <c r="M95" i="37"/>
  <c r="H204" i="37"/>
  <c r="F204" i="37" s="1"/>
  <c r="M387" i="37"/>
  <c r="H432" i="37"/>
  <c r="F432" i="37" s="1"/>
  <c r="L260" i="37"/>
  <c r="J191" i="37"/>
  <c r="K399" i="37"/>
  <c r="H378" i="37"/>
  <c r="F378" i="37" s="1"/>
  <c r="H442" i="37"/>
  <c r="F442" i="37" s="1"/>
  <c r="I75" i="37"/>
  <c r="L244" i="37"/>
  <c r="L200" i="37"/>
  <c r="H65" i="37"/>
  <c r="F65" i="37" s="1"/>
  <c r="M495" i="37"/>
  <c r="L374" i="37"/>
  <c r="J216" i="37"/>
  <c r="M123" i="37"/>
  <c r="J275" i="37"/>
  <c r="M455" i="37"/>
  <c r="M44" i="37"/>
  <c r="J430" i="37"/>
  <c r="L473" i="37"/>
  <c r="M211" i="37"/>
  <c r="L279" i="37"/>
  <c r="K495" i="37"/>
  <c r="J258" i="37"/>
  <c r="L186" i="37"/>
  <c r="I21" i="37"/>
  <c r="J431" i="37"/>
  <c r="I463" i="37"/>
  <c r="H384" i="37"/>
  <c r="F384" i="37" s="1"/>
  <c r="I469" i="37"/>
  <c r="L343" i="37"/>
  <c r="M338" i="37"/>
  <c r="M13" i="37"/>
  <c r="L69" i="37"/>
  <c r="K71" i="37"/>
  <c r="K158" i="37"/>
  <c r="L364" i="37"/>
  <c r="K326" i="37"/>
  <c r="K237" i="37"/>
  <c r="M21" i="37"/>
  <c r="K302" i="37"/>
  <c r="H54" i="37"/>
  <c r="F54" i="37" s="1"/>
  <c r="J474" i="37"/>
  <c r="M368" i="37"/>
  <c r="I147" i="37"/>
  <c r="K273" i="37"/>
  <c r="I503" i="37"/>
  <c r="L366" i="37"/>
  <c r="K282" i="37"/>
  <c r="J104" i="37"/>
  <c r="M262" i="37"/>
  <c r="K181" i="37"/>
  <c r="L296" i="37"/>
  <c r="H413" i="37"/>
  <c r="F413" i="37" s="1"/>
  <c r="K139" i="37"/>
  <c r="L96" i="37"/>
  <c r="J63" i="37"/>
  <c r="K96" i="37"/>
  <c r="I80" i="37"/>
  <c r="H320" i="37"/>
  <c r="F320" i="37" s="1"/>
  <c r="L102" i="37"/>
  <c r="K340" i="37"/>
  <c r="K488" i="37"/>
  <c r="M9" i="37"/>
  <c r="H327" i="37"/>
  <c r="F327" i="37" s="1"/>
  <c r="L455" i="37"/>
  <c r="I110" i="37"/>
  <c r="J489" i="37"/>
  <c r="K435" i="37"/>
  <c r="K262" i="37"/>
  <c r="L412" i="37"/>
  <c r="K317" i="37"/>
  <c r="K469" i="37"/>
  <c r="J240" i="37"/>
  <c r="M344" i="37"/>
  <c r="M72" i="37"/>
  <c r="J94" i="37"/>
  <c r="H220" i="37"/>
  <c r="F220" i="37" s="1"/>
  <c r="M264" i="37"/>
  <c r="J105" i="37"/>
  <c r="J298" i="37"/>
  <c r="I465" i="37"/>
  <c r="J110" i="37"/>
  <c r="M120" i="37"/>
  <c r="K241" i="37"/>
  <c r="I426" i="37"/>
  <c r="M498" i="37"/>
  <c r="J322" i="37"/>
  <c r="J159" i="37"/>
  <c r="K101" i="37"/>
  <c r="H82" i="37"/>
  <c r="F82" i="37" s="1"/>
  <c r="M154" i="37"/>
  <c r="J469" i="37"/>
  <c r="I102" i="37"/>
  <c r="H296" i="37"/>
  <c r="F296" i="37" s="1"/>
  <c r="M12" i="37"/>
  <c r="M493" i="37"/>
  <c r="K119" i="37"/>
  <c r="M375" i="37"/>
  <c r="M88" i="37"/>
  <c r="J457" i="37"/>
  <c r="J214" i="37"/>
  <c r="I294" i="37"/>
  <c r="L228" i="37"/>
  <c r="L21" i="37"/>
  <c r="H177" i="37"/>
  <c r="F177" i="37" s="1"/>
  <c r="L370" i="37"/>
  <c r="M367" i="37"/>
  <c r="I270" i="37"/>
  <c r="L150" i="37"/>
  <c r="L483" i="37"/>
  <c r="M197" i="37"/>
  <c r="J152" i="37"/>
  <c r="J383" i="37"/>
  <c r="H313" i="37"/>
  <c r="F313" i="37" s="1"/>
  <c r="M494" i="37"/>
  <c r="K252" i="37"/>
  <c r="H120" i="37"/>
  <c r="F120" i="37" s="1"/>
  <c r="L60" i="37"/>
  <c r="K124" i="37"/>
  <c r="M179" i="37"/>
  <c r="M109" i="37"/>
  <c r="J358" i="37"/>
  <c r="I211" i="37"/>
  <c r="H205" i="37"/>
  <c r="F205" i="37" s="1"/>
  <c r="H366" i="37"/>
  <c r="F366" i="37" s="1"/>
  <c r="I17" i="37"/>
  <c r="K304" i="37"/>
  <c r="L316" i="37"/>
  <c r="I61" i="37"/>
  <c r="M237" i="37"/>
  <c r="L28" i="37"/>
  <c r="L380" i="37"/>
  <c r="I367" i="37"/>
  <c r="L498" i="37"/>
  <c r="J353" i="37"/>
  <c r="K254" i="37"/>
  <c r="K50" i="37"/>
  <c r="J215" i="37"/>
  <c r="H302" i="37"/>
  <c r="F302" i="37" s="1"/>
  <c r="L252" i="37"/>
  <c r="I287" i="37"/>
  <c r="M441" i="37"/>
  <c r="I213" i="37"/>
  <c r="J303" i="37"/>
  <c r="H117" i="37"/>
  <c r="F117" i="37" s="1"/>
  <c r="L176" i="37"/>
  <c r="L253" i="37"/>
  <c r="K21" i="37"/>
  <c r="I241" i="37"/>
  <c r="M379" i="37"/>
  <c r="J439" i="37"/>
  <c r="I111" i="37"/>
  <c r="M98" i="37"/>
  <c r="K56" i="37"/>
  <c r="K324" i="37"/>
  <c r="H369" i="37"/>
  <c r="F369" i="37" s="1"/>
  <c r="H99" i="37"/>
  <c r="F99" i="37" s="1"/>
  <c r="M415" i="37"/>
  <c r="K120" i="37"/>
  <c r="I11" i="37"/>
  <c r="I162" i="37"/>
  <c r="I63" i="37"/>
  <c r="H487" i="37"/>
  <c r="F487" i="37" s="1"/>
  <c r="M163" i="37"/>
  <c r="K234" i="37"/>
  <c r="I256" i="37"/>
  <c r="M488" i="37"/>
  <c r="K74" i="37"/>
  <c r="H157" i="37"/>
  <c r="F157" i="37" s="1"/>
  <c r="K352" i="37"/>
  <c r="L451" i="37"/>
  <c r="M169" i="37"/>
  <c r="I507" i="37"/>
  <c r="K360" i="37"/>
  <c r="I388" i="37"/>
  <c r="K400" i="37"/>
  <c r="J478" i="37"/>
  <c r="J128" i="37"/>
  <c r="K339" i="37"/>
  <c r="K177" i="37"/>
  <c r="L462" i="37"/>
  <c r="J284" i="37"/>
  <c r="I45" i="37"/>
  <c r="J125" i="37"/>
  <c r="H146" i="37"/>
  <c r="F146" i="37" s="1"/>
  <c r="K412" i="37"/>
  <c r="M214" i="37"/>
  <c r="J308" i="37"/>
  <c r="K172" i="37"/>
  <c r="H287" i="37"/>
  <c r="F287" i="37" s="1"/>
  <c r="H170" i="37"/>
  <c r="F170" i="37" s="1"/>
  <c r="J53" i="37"/>
  <c r="L476" i="37"/>
  <c r="J454" i="37"/>
  <c r="K285" i="37"/>
  <c r="L398" i="37"/>
  <c r="L197" i="37"/>
  <c r="J58" i="37"/>
  <c r="J497" i="37"/>
  <c r="I399" i="37"/>
  <c r="K113" i="37"/>
  <c r="M447" i="37"/>
  <c r="M267" i="37"/>
  <c r="H438" i="37"/>
  <c r="F438" i="37" s="1"/>
  <c r="M41" i="37"/>
  <c r="I144" i="37"/>
  <c r="K39" i="37"/>
  <c r="M448" i="37"/>
  <c r="K508" i="37"/>
  <c r="I459" i="37"/>
  <c r="H180" i="37"/>
  <c r="F180" i="37" s="1"/>
  <c r="K270" i="37"/>
  <c r="I174" i="37"/>
  <c r="H473" i="37"/>
  <c r="F473" i="37" s="1"/>
  <c r="M462" i="37"/>
  <c r="H350" i="37"/>
  <c r="F350" i="37" s="1"/>
  <c r="L456" i="37"/>
  <c r="L314" i="37"/>
  <c r="M117" i="37"/>
  <c r="H379" i="37"/>
  <c r="F379" i="37" s="1"/>
  <c r="L268" i="37"/>
  <c r="I451" i="37"/>
  <c r="H288" i="37"/>
  <c r="F288" i="37" s="1"/>
  <c r="K492" i="37"/>
  <c r="M321" i="37"/>
  <c r="H281" i="37"/>
  <c r="F281" i="37" s="1"/>
  <c r="I66" i="37"/>
  <c r="K157" i="37"/>
  <c r="M238" i="37"/>
  <c r="M276" i="37"/>
  <c r="I435" i="37"/>
  <c r="J174" i="37"/>
  <c r="H190" i="37"/>
  <c r="F190" i="37" s="1"/>
  <c r="K265" i="37"/>
  <c r="M26" i="37"/>
  <c r="M305" i="37"/>
  <c r="M304" i="37"/>
  <c r="I207" i="37"/>
  <c r="J323" i="37"/>
  <c r="I92" i="37"/>
  <c r="M393" i="37"/>
  <c r="H347" i="37"/>
  <c r="F347" i="37" s="1"/>
  <c r="M365" i="37"/>
  <c r="K504" i="37"/>
  <c r="M458" i="37"/>
  <c r="I292" i="37"/>
  <c r="M499" i="37"/>
  <c r="M138" i="37"/>
  <c r="M25" i="37"/>
  <c r="J64" i="37"/>
  <c r="L484" i="37"/>
  <c r="J79" i="37"/>
  <c r="J141" i="37"/>
  <c r="H175" i="37"/>
  <c r="F175" i="37" s="1"/>
  <c r="J196" i="37"/>
  <c r="H264" i="37"/>
  <c r="F264" i="37" s="1"/>
  <c r="K463" i="37"/>
  <c r="J420" i="37"/>
  <c r="H455" i="37"/>
  <c r="F455" i="37" s="1"/>
  <c r="I27" i="37"/>
  <c r="H226" i="37"/>
  <c r="F226" i="37" s="1"/>
  <c r="K486" i="37"/>
  <c r="J377" i="37"/>
  <c r="L183" i="37"/>
  <c r="K354" i="37"/>
  <c r="L270" i="37"/>
  <c r="J182" i="37"/>
  <c r="M286" i="37"/>
  <c r="M452" i="37"/>
  <c r="J283" i="37"/>
  <c r="K389" i="37"/>
  <c r="L215" i="37"/>
  <c r="L493" i="37"/>
  <c r="H73" i="37"/>
  <c r="F73" i="37" s="1"/>
  <c r="H325" i="37"/>
  <c r="F325" i="37" s="1"/>
  <c r="K294" i="37"/>
  <c r="M59" i="37"/>
  <c r="J479" i="37"/>
  <c r="J237" i="37"/>
  <c r="J507" i="37"/>
  <c r="H50" i="37"/>
  <c r="F50" i="37" s="1"/>
  <c r="M396" i="37"/>
  <c r="I352" i="37"/>
  <c r="M435" i="37"/>
  <c r="M61" i="37"/>
  <c r="J244" i="37"/>
  <c r="J243" i="37"/>
  <c r="L194" i="37"/>
  <c r="H507" i="37"/>
  <c r="F507" i="37" s="1"/>
  <c r="K30" i="37"/>
  <c r="I114" i="37"/>
  <c r="J205" i="37"/>
  <c r="J350" i="37"/>
  <c r="I363" i="37"/>
  <c r="H305" i="37"/>
  <c r="F305" i="37" s="1"/>
  <c r="L23" i="37"/>
  <c r="H167" i="37"/>
  <c r="F167" i="37" s="1"/>
  <c r="H15" i="37"/>
  <c r="K309" i="37"/>
  <c r="H59" i="37"/>
  <c r="F59" i="37" s="1"/>
  <c r="L246" i="37"/>
  <c r="M243" i="37"/>
  <c r="M196" i="37"/>
  <c r="I58" i="37"/>
  <c r="M8" i="37"/>
  <c r="H258" i="37"/>
  <c r="F258" i="37" s="1"/>
  <c r="L64" i="37"/>
  <c r="L281" i="37"/>
  <c r="J26" i="37"/>
  <c r="L222" i="37"/>
  <c r="M50" i="37"/>
  <c r="I421" i="37"/>
  <c r="H382" i="37"/>
  <c r="F382" i="37" s="1"/>
  <c r="L235" i="37"/>
  <c r="J50" i="37"/>
  <c r="L501" i="37"/>
  <c r="L93" i="37"/>
  <c r="M315" i="37"/>
  <c r="L339" i="37"/>
  <c r="H231" i="37"/>
  <c r="F231" i="37" s="1"/>
  <c r="H257" i="37"/>
  <c r="F257" i="37" s="1"/>
  <c r="M241" i="37"/>
  <c r="H234" i="37"/>
  <c r="F234" i="37" s="1"/>
  <c r="H77" i="37"/>
  <c r="F77" i="37" s="1"/>
  <c r="M39" i="37"/>
  <c r="K407" i="37"/>
  <c r="L288" i="37"/>
  <c r="K82" i="37"/>
  <c r="J314" i="37"/>
  <c r="M134" i="37"/>
  <c r="M90" i="37"/>
  <c r="J148" i="37"/>
  <c r="K335" i="37"/>
  <c r="I35" i="37"/>
  <c r="H70" i="37"/>
  <c r="F70" i="37" s="1"/>
  <c r="J211" i="37"/>
  <c r="L169" i="37"/>
  <c r="M257" i="37"/>
  <c r="H491" i="37"/>
  <c r="F491" i="37" s="1"/>
  <c r="L177" i="37"/>
  <c r="J389" i="37"/>
  <c r="J456" i="37"/>
  <c r="J417" i="37"/>
  <c r="K86" i="37"/>
  <c r="H370" i="37"/>
  <c r="F370" i="37" s="1"/>
  <c r="J178" i="37"/>
  <c r="K401" i="37"/>
  <c r="H251" i="37"/>
  <c r="F251" i="37" s="1"/>
  <c r="K313" i="37"/>
  <c r="M36" i="37"/>
  <c r="J491" i="37"/>
  <c r="L372" i="37"/>
  <c r="I166" i="37"/>
  <c r="K279" i="37"/>
  <c r="H360" i="37"/>
  <c r="F360" i="37" s="1"/>
  <c r="K160" i="37"/>
  <c r="L326" i="37"/>
  <c r="J11" i="37"/>
  <c r="M433" i="37"/>
  <c r="H119" i="37"/>
  <c r="F119" i="37" s="1"/>
  <c r="H21" i="37"/>
  <c r="F21" i="37" s="1"/>
  <c r="M30" i="37"/>
  <c r="M337" i="37"/>
  <c r="H294" i="37"/>
  <c r="F294" i="37" s="1"/>
  <c r="M300" i="37"/>
  <c r="M325" i="37"/>
  <c r="J80" i="37"/>
  <c r="J19" i="37"/>
  <c r="L243" i="37"/>
  <c r="I57" i="37"/>
  <c r="H263" i="37"/>
  <c r="F263" i="37" s="1"/>
  <c r="L245" i="37"/>
  <c r="J277" i="37"/>
  <c r="I490" i="37"/>
  <c r="K321" i="37"/>
  <c r="K434" i="37"/>
  <c r="M180" i="37"/>
  <c r="I120" i="37"/>
  <c r="J65" i="37"/>
  <c r="H18" i="37"/>
  <c r="J448" i="37"/>
  <c r="K431" i="37"/>
  <c r="K472" i="37"/>
  <c r="M397" i="37"/>
  <c r="K114" i="37"/>
  <c r="H356" i="37"/>
  <c r="F356" i="37" s="1"/>
  <c r="J460" i="37"/>
  <c r="M73" i="37"/>
  <c r="I240" i="37"/>
  <c r="I309" i="37"/>
  <c r="J364" i="37"/>
  <c r="I185" i="37"/>
  <c r="M294" i="37"/>
  <c r="J361" i="37"/>
  <c r="L249" i="37"/>
  <c r="H80" i="37"/>
  <c r="F80" i="37" s="1"/>
  <c r="J313" i="37"/>
  <c r="J296" i="37"/>
  <c r="I141" i="37"/>
  <c r="I422" i="37"/>
  <c r="K473" i="37"/>
  <c r="K266" i="37"/>
  <c r="I245" i="37"/>
  <c r="M20" i="37"/>
  <c r="L52" i="37"/>
  <c r="H477" i="37"/>
  <c r="F477" i="37" s="1"/>
  <c r="I163" i="37"/>
  <c r="M14" i="37"/>
  <c r="L460" i="37"/>
  <c r="L447" i="37"/>
  <c r="I466" i="37"/>
  <c r="L232" i="37"/>
  <c r="J490" i="37"/>
  <c r="M101" i="37"/>
  <c r="K394" i="37"/>
  <c r="I408" i="37"/>
  <c r="M502" i="37"/>
  <c r="M391" i="37"/>
  <c r="I103" i="37"/>
  <c r="L45" i="37"/>
  <c r="L65" i="37"/>
  <c r="I239" i="37"/>
  <c r="J200" i="37"/>
  <c r="J447" i="37"/>
  <c r="M476" i="37"/>
  <c r="L362" i="37"/>
  <c r="I348" i="37"/>
  <c r="H443" i="37"/>
  <c r="F443" i="37" s="1"/>
  <c r="H96" i="37"/>
  <c r="F96" i="37" s="1"/>
  <c r="H239" i="37"/>
  <c r="F239" i="37" s="1"/>
  <c r="H344" i="37"/>
  <c r="F344" i="37" s="1"/>
  <c r="H329" i="37"/>
  <c r="F329" i="37" s="1"/>
  <c r="H169" i="37"/>
  <c r="F169" i="37" s="1"/>
  <c r="H63" i="37"/>
  <c r="F63" i="37" s="1"/>
  <c r="H330" i="37"/>
  <c r="F330" i="37" s="1"/>
  <c r="I237" i="37"/>
  <c r="K397" i="37"/>
  <c r="M258" i="37"/>
  <c r="L231" i="37"/>
  <c r="L346" i="37"/>
  <c r="I493" i="37"/>
  <c r="J230" i="37"/>
  <c r="J324" i="37"/>
  <c r="L446" i="37"/>
  <c r="L236" i="37"/>
  <c r="J139" i="37"/>
  <c r="I384" i="37"/>
  <c r="I212" i="37"/>
  <c r="K502" i="37"/>
  <c r="L239" i="37"/>
  <c r="J354" i="37"/>
  <c r="I113" i="37"/>
  <c r="H358" i="37"/>
  <c r="F358" i="37" s="1"/>
  <c r="J227" i="37"/>
  <c r="J400" i="37"/>
  <c r="K242" i="37"/>
  <c r="I9" i="37"/>
  <c r="M48" i="37"/>
  <c r="I486" i="37"/>
  <c r="L328" i="37"/>
  <c r="M255" i="37"/>
  <c r="H321" i="37"/>
  <c r="F321" i="37" s="1"/>
  <c r="L338" i="37"/>
  <c r="L489" i="37"/>
  <c r="J201" i="37"/>
  <c r="I343" i="37"/>
  <c r="M451" i="37"/>
  <c r="H132" i="37"/>
  <c r="F132" i="37" s="1"/>
  <c r="I13" i="37"/>
  <c r="H318" i="37"/>
  <c r="F318" i="37" s="1"/>
  <c r="K348" i="37"/>
  <c r="J103" i="37"/>
  <c r="H206" i="37"/>
  <c r="F206" i="37" s="1"/>
  <c r="J498" i="37"/>
  <c r="J414" i="37"/>
  <c r="I482" i="37"/>
  <c r="J222" i="37"/>
  <c r="K209" i="37"/>
  <c r="H95" i="37"/>
  <c r="F95" i="37" s="1"/>
  <c r="M331" i="37"/>
  <c r="M272" i="37"/>
  <c r="I138" i="37"/>
  <c r="K288" i="37"/>
  <c r="I423" i="37"/>
  <c r="L349" i="37"/>
  <c r="J23" i="37"/>
  <c r="I124" i="37"/>
  <c r="K152" i="37"/>
  <c r="M420" i="37"/>
  <c r="K494" i="37"/>
  <c r="K343" i="37"/>
  <c r="H269" i="37"/>
  <c r="F269" i="37" s="1"/>
  <c r="J458" i="37"/>
  <c r="K483" i="37"/>
  <c r="H47" i="37"/>
  <c r="F47" i="37" s="1"/>
  <c r="J295" i="37"/>
  <c r="J371" i="37"/>
  <c r="L428" i="37"/>
  <c r="H51" i="37"/>
  <c r="F51" i="37" s="1"/>
  <c r="I269" i="37"/>
  <c r="K72" i="37"/>
  <c r="I101" i="37"/>
  <c r="I268" i="37"/>
  <c r="M334" i="37"/>
  <c r="M27" i="37"/>
  <c r="M492" i="37"/>
  <c r="J435" i="37"/>
  <c r="H469" i="37"/>
  <c r="F469" i="37" s="1"/>
  <c r="K396" i="37"/>
  <c r="M171" i="37"/>
  <c r="J285" i="37"/>
  <c r="I300" i="37"/>
  <c r="I347" i="37"/>
  <c r="L464" i="37"/>
  <c r="J204" i="37"/>
  <c r="H355" i="37"/>
  <c r="F355" i="37" s="1"/>
  <c r="H375" i="37"/>
  <c r="F375" i="37" s="1"/>
  <c r="J334" i="37"/>
  <c r="K453" i="37"/>
  <c r="I48" i="37"/>
  <c r="J115" i="37"/>
  <c r="I195" i="37"/>
  <c r="J343" i="37"/>
  <c r="J267" i="37"/>
  <c r="K370" i="37"/>
  <c r="J241" i="37"/>
  <c r="K227" i="37"/>
  <c r="H416" i="37"/>
  <c r="F416" i="37" s="1"/>
  <c r="K23" i="37"/>
  <c r="J235" i="37"/>
  <c r="K318" i="37"/>
  <c r="M371" i="37"/>
  <c r="K328" i="37"/>
  <c r="L329" i="37"/>
  <c r="K25" i="37"/>
  <c r="K393" i="37"/>
  <c r="K482" i="37"/>
  <c r="J77" i="37"/>
  <c r="I378" i="37"/>
  <c r="I345" i="37"/>
  <c r="H349" i="37"/>
  <c r="F349" i="37" s="1"/>
  <c r="I266" i="37"/>
  <c r="L444" i="37"/>
  <c r="J133" i="37"/>
  <c r="K476" i="37"/>
  <c r="K378" i="37"/>
  <c r="L230" i="37"/>
  <c r="I297" i="37"/>
  <c r="K130" i="37"/>
  <c r="I308" i="37"/>
  <c r="K77" i="37"/>
  <c r="H184" i="37"/>
  <c r="F184" i="37" s="1"/>
  <c r="K29" i="37"/>
  <c r="M352" i="37"/>
  <c r="K251" i="37"/>
  <c r="I380" i="37"/>
  <c r="J382" i="37"/>
  <c r="K240" i="37"/>
  <c r="M283" i="37"/>
  <c r="M110" i="37"/>
  <c r="H187" i="37"/>
  <c r="F187" i="37" s="1"/>
  <c r="K20" i="37"/>
  <c r="K261" i="37"/>
  <c r="M326" i="37"/>
  <c r="K458" i="37"/>
  <c r="K377" i="37"/>
  <c r="I291" i="37"/>
  <c r="J492" i="37"/>
  <c r="K76" i="37"/>
  <c r="L30" i="37"/>
  <c r="H141" i="37"/>
  <c r="F141" i="37" s="1"/>
  <c r="J199" i="37"/>
  <c r="K156" i="37"/>
  <c r="K411" i="37"/>
  <c r="K221" i="37"/>
  <c r="I222" i="37"/>
  <c r="K176" i="37"/>
  <c r="M133" i="37"/>
  <c r="K307" i="37"/>
  <c r="H388" i="37"/>
  <c r="F388" i="37" s="1"/>
  <c r="K455" i="37"/>
  <c r="H341" i="37"/>
  <c r="F341" i="37" s="1"/>
  <c r="L422" i="37"/>
  <c r="L135" i="37"/>
  <c r="L478" i="37"/>
  <c r="K79" i="37"/>
  <c r="I323" i="37"/>
  <c r="L192" i="37"/>
  <c r="K427" i="37"/>
  <c r="M470" i="37"/>
  <c r="M341" i="37"/>
  <c r="M93" i="37"/>
  <c r="L125" i="37"/>
  <c r="L276" i="37"/>
  <c r="L368" i="37"/>
  <c r="H334" i="37"/>
  <c r="F334" i="37" s="1"/>
  <c r="M345" i="37"/>
  <c r="H155" i="37"/>
  <c r="F155" i="37" s="1"/>
  <c r="L250" i="37"/>
  <c r="H283" i="37"/>
  <c r="F283" i="37" s="1"/>
  <c r="L322" i="37"/>
  <c r="J68" i="37"/>
  <c r="L361" i="37"/>
  <c r="I375" i="37"/>
  <c r="I415" i="37"/>
  <c r="J423" i="37"/>
  <c r="I344" i="37"/>
  <c r="J408" i="37"/>
  <c r="L369" i="37"/>
  <c r="I444" i="37"/>
  <c r="H272" i="37"/>
  <c r="F272" i="37" s="1"/>
  <c r="J158" i="37"/>
  <c r="M210" i="37"/>
  <c r="I307" i="37"/>
  <c r="M382" i="37"/>
  <c r="I441" i="37"/>
  <c r="M299" i="37"/>
  <c r="I273" i="37"/>
  <c r="I324" i="37"/>
  <c r="H495" i="37"/>
  <c r="F495" i="37" s="1"/>
  <c r="J419" i="37"/>
  <c r="K503" i="37"/>
  <c r="M463" i="37"/>
  <c r="I165" i="37"/>
  <c r="J391" i="37"/>
  <c r="L107" i="37"/>
  <c r="K112" i="37"/>
  <c r="H447" i="37"/>
  <c r="F447" i="37" s="1"/>
  <c r="H483" i="37"/>
  <c r="F483" i="37" s="1"/>
  <c r="J315" i="37"/>
  <c r="L469" i="37"/>
  <c r="M340" i="37"/>
  <c r="L354" i="37"/>
  <c r="J425" i="37"/>
  <c r="L214" i="37"/>
  <c r="H303" i="37"/>
  <c r="F303" i="37" s="1"/>
  <c r="K449" i="37"/>
  <c r="I290" i="37"/>
  <c r="J438" i="37"/>
  <c r="K500" i="37"/>
  <c r="K202" i="37"/>
  <c r="H225" i="37"/>
  <c r="F225" i="37" s="1"/>
  <c r="M194" i="37"/>
  <c r="H126" i="37"/>
  <c r="F126" i="37" s="1"/>
  <c r="H223" i="37"/>
  <c r="F223" i="37" s="1"/>
  <c r="I171" i="37"/>
  <c r="M500" i="37"/>
  <c r="K474" i="37"/>
  <c r="L241" i="37"/>
  <c r="M271" i="37"/>
  <c r="I328" i="37"/>
  <c r="J90" i="37"/>
  <c r="M416" i="37"/>
  <c r="K417" i="37"/>
  <c r="K46" i="37"/>
  <c r="L285" i="37"/>
  <c r="M406" i="37"/>
  <c r="J331" i="37"/>
  <c r="J466" i="37"/>
  <c r="J124" i="37"/>
  <c r="L202" i="37"/>
  <c r="H301" i="37"/>
  <c r="F301" i="37" s="1"/>
  <c r="K485" i="37"/>
  <c r="K440" i="37"/>
  <c r="M177" i="37"/>
  <c r="L51" i="37"/>
  <c r="H273" i="37"/>
  <c r="F273" i="37" s="1"/>
  <c r="J385" i="37"/>
  <c r="M450" i="37"/>
  <c r="L187" i="37"/>
  <c r="J202" i="37"/>
  <c r="L283" i="37"/>
  <c r="L393" i="37"/>
  <c r="L468" i="37"/>
  <c r="J406" i="37"/>
  <c r="L452" i="37"/>
  <c r="K214" i="37"/>
  <c r="K137" i="37"/>
  <c r="J452" i="37"/>
  <c r="L132" i="37"/>
  <c r="K36" i="37"/>
  <c r="L171" i="37"/>
  <c r="L505" i="37"/>
  <c r="K436" i="37"/>
  <c r="M76" i="37"/>
  <c r="K355" i="37"/>
  <c r="L126" i="37"/>
  <c r="I386" i="37"/>
  <c r="I72" i="37"/>
  <c r="I365" i="37"/>
  <c r="K386" i="37"/>
  <c r="M91" i="37"/>
  <c r="L492" i="37"/>
  <c r="M47" i="37"/>
  <c r="H403" i="37"/>
  <c r="F403" i="37" s="1"/>
  <c r="J310" i="37"/>
  <c r="I67" i="37"/>
  <c r="K11" i="37"/>
  <c r="J96" i="37"/>
  <c r="J184" i="37"/>
  <c r="K404" i="37"/>
  <c r="H306" i="37"/>
  <c r="F306" i="37" s="1"/>
  <c r="L408" i="37"/>
  <c r="M249" i="37"/>
  <c r="H106" i="37"/>
  <c r="F106" i="37" s="1"/>
  <c r="M201" i="37"/>
  <c r="J206" i="37"/>
  <c r="H348" i="37"/>
  <c r="F348" i="37" s="1"/>
  <c r="I355" i="37"/>
  <c r="K278" i="37"/>
  <c r="J166" i="37"/>
  <c r="L454" i="37"/>
  <c r="H381" i="37"/>
  <c r="F381" i="37" s="1"/>
  <c r="K281" i="37"/>
  <c r="M370" i="37"/>
  <c r="H476" i="37"/>
  <c r="F476" i="37" s="1"/>
  <c r="I432" i="37"/>
  <c r="K442" i="37"/>
  <c r="H373" i="37"/>
  <c r="F373" i="37" s="1"/>
  <c r="I449" i="37"/>
  <c r="J505" i="37"/>
  <c r="L499" i="37"/>
  <c r="H328" i="37"/>
  <c r="F328" i="37" s="1"/>
  <c r="J51" i="37"/>
  <c r="M424" i="37"/>
  <c r="M497" i="37"/>
  <c r="M260" i="37"/>
  <c r="L39" i="37"/>
  <c r="J175" i="37"/>
  <c r="M188" i="37"/>
  <c r="L209" i="37"/>
  <c r="L263" i="37"/>
  <c r="I105" i="37"/>
  <c r="J335" i="37"/>
  <c r="M43" i="37"/>
  <c r="H176" i="37"/>
  <c r="F176" i="37" s="1"/>
  <c r="H297" i="37"/>
  <c r="F297" i="37" s="1"/>
  <c r="J83" i="37"/>
  <c r="J481" i="37"/>
  <c r="J342" i="37"/>
  <c r="L341" i="37"/>
  <c r="J225" i="37"/>
  <c r="L19" i="37"/>
  <c r="K478" i="37"/>
  <c r="H202" i="37"/>
  <c r="F202" i="37" s="1"/>
  <c r="L404" i="37"/>
  <c r="L269" i="37"/>
  <c r="M398" i="37"/>
  <c r="H493" i="37"/>
  <c r="F493" i="37" s="1"/>
  <c r="I410" i="37"/>
  <c r="H147" i="37"/>
  <c r="F147" i="37" s="1"/>
  <c r="J340" i="37"/>
  <c r="L49" i="37"/>
  <c r="J219" i="37"/>
  <c r="I228" i="37"/>
  <c r="H31" i="37"/>
  <c r="F31" i="37" s="1"/>
  <c r="M407" i="37"/>
  <c r="K107" i="37"/>
  <c r="I334" i="37"/>
  <c r="K142" i="37"/>
  <c r="L145" i="37"/>
  <c r="M213" i="37"/>
  <c r="H446" i="37"/>
  <c r="F446" i="37" s="1"/>
  <c r="I450" i="37"/>
  <c r="M78" i="37"/>
  <c r="L309" i="37"/>
  <c r="J254" i="37"/>
  <c r="H26" i="37"/>
  <c r="F26" i="37" s="1"/>
  <c r="L18" i="37"/>
  <c r="M191" i="37"/>
  <c r="K219" i="37"/>
  <c r="M485" i="37"/>
  <c r="I148" i="37"/>
  <c r="J392" i="37"/>
  <c r="J14" i="37"/>
  <c r="H200" i="37"/>
  <c r="F200" i="37" s="1"/>
  <c r="K37" i="37"/>
  <c r="H230" i="37"/>
  <c r="F230" i="37" s="1"/>
  <c r="M96" i="37"/>
  <c r="J477" i="37"/>
  <c r="L247" i="37"/>
  <c r="K303" i="37"/>
  <c r="I209" i="37"/>
  <c r="M384" i="37"/>
  <c r="K456" i="37"/>
  <c r="M327" i="37"/>
  <c r="L62" i="37"/>
  <c r="K59" i="37"/>
  <c r="K347" i="37"/>
  <c r="L105" i="37"/>
  <c r="H243" i="37"/>
  <c r="F243" i="37" s="1"/>
  <c r="K372" i="37"/>
  <c r="M395" i="37"/>
  <c r="M263" i="37"/>
  <c r="M100" i="37"/>
  <c r="H332" i="37"/>
  <c r="F332" i="37" s="1"/>
  <c r="K133" i="37"/>
  <c r="H229" i="37"/>
  <c r="F229" i="37" s="1"/>
  <c r="M324" i="37"/>
  <c r="J8" i="37"/>
  <c r="K95" i="37"/>
  <c r="M18" i="37"/>
  <c r="H72" i="37"/>
  <c r="F72" i="37" s="1"/>
  <c r="H422" i="37"/>
  <c r="F422" i="37" s="1"/>
  <c r="M297" i="37"/>
  <c r="H418" i="37"/>
  <c r="F418" i="37" s="1"/>
  <c r="J231" i="37"/>
  <c r="L233" i="37"/>
  <c r="M129" i="37"/>
  <c r="I36" i="37"/>
  <c r="M432" i="37"/>
  <c r="K87" i="37"/>
  <c r="H191" i="37"/>
  <c r="F191" i="37" s="1"/>
  <c r="K443" i="37"/>
  <c r="H508" i="37"/>
  <c r="F508" i="37" s="1"/>
  <c r="H195" i="37"/>
  <c r="F195" i="37" s="1"/>
  <c r="J327" i="37"/>
  <c r="L77" i="37"/>
  <c r="I301" i="37"/>
  <c r="L392" i="37"/>
  <c r="K193" i="37"/>
  <c r="M311" i="37"/>
  <c r="J61" i="37"/>
  <c r="I126" i="37"/>
  <c r="K110" i="37"/>
  <c r="H324" i="37"/>
  <c r="F324" i="37" s="1"/>
  <c r="H293" i="37"/>
  <c r="F293" i="37" s="1"/>
  <c r="H496" i="37"/>
  <c r="F496" i="37" s="1"/>
  <c r="I149" i="37"/>
  <c r="H279" i="37"/>
  <c r="F279" i="37" s="1"/>
  <c r="J304" i="37"/>
  <c r="I404" i="37"/>
  <c r="I55" i="37"/>
  <c r="M245" i="37"/>
  <c r="J475" i="37"/>
  <c r="J337" i="37"/>
  <c r="M418" i="37"/>
  <c r="L507" i="37"/>
  <c r="L101" i="37"/>
  <c r="J467" i="37"/>
  <c r="H326" i="37"/>
  <c r="F326" i="37" s="1"/>
  <c r="J155" i="37"/>
  <c r="M35" i="37"/>
  <c r="M107" i="37"/>
  <c r="L90" i="37"/>
  <c r="I454" i="37"/>
  <c r="K78" i="37"/>
  <c r="K426" i="37"/>
  <c r="H354" i="37"/>
  <c r="F354" i="37" s="1"/>
  <c r="I407" i="37"/>
  <c r="K22" i="37"/>
  <c r="M235" i="37"/>
  <c r="I383" i="37"/>
  <c r="M329" i="37"/>
  <c r="M427" i="37"/>
  <c r="H224" i="37"/>
  <c r="F224" i="37" s="1"/>
  <c r="L225" i="37"/>
  <c r="J189" i="37"/>
  <c r="I247" i="37"/>
  <c r="M356" i="37"/>
  <c r="J120" i="37"/>
  <c r="L425" i="37"/>
  <c r="I385" i="37"/>
  <c r="M231" i="37"/>
  <c r="J249" i="37"/>
  <c r="K487" i="37"/>
  <c r="M86" i="37"/>
  <c r="J351" i="37"/>
  <c r="H475" i="37"/>
  <c r="F475" i="37" s="1"/>
  <c r="L424" i="37"/>
  <c r="K390" i="37"/>
  <c r="H179" i="37"/>
  <c r="F179" i="37" s="1"/>
  <c r="I338" i="37"/>
  <c r="L122" i="37"/>
  <c r="K452" i="37"/>
  <c r="I205" i="37"/>
  <c r="M481" i="37"/>
  <c r="H374" i="37"/>
  <c r="F374" i="37" s="1"/>
  <c r="L299" i="37"/>
  <c r="I280" i="37"/>
  <c r="H69" i="37"/>
  <c r="F69" i="37" s="1"/>
  <c r="K190" i="37"/>
  <c r="K170" i="37"/>
  <c r="M233" i="37"/>
  <c r="H53" i="37"/>
  <c r="F53" i="37" s="1"/>
  <c r="L26" i="37"/>
  <c r="K299" i="37"/>
  <c r="H79" i="37"/>
  <c r="F79" i="37" s="1"/>
  <c r="J293" i="37"/>
  <c r="I440" i="37"/>
  <c r="H246" i="37"/>
  <c r="F246" i="37" s="1"/>
  <c r="K418" i="37"/>
  <c r="K100" i="37"/>
  <c r="L212" i="37"/>
  <c r="H232" i="37"/>
  <c r="F232" i="37" s="1"/>
  <c r="L81" i="37"/>
  <c r="M185" i="37"/>
  <c r="L140" i="37"/>
  <c r="M166" i="37"/>
  <c r="M474" i="37"/>
  <c r="M423" i="37"/>
  <c r="M480" i="37"/>
  <c r="H12" i="37"/>
  <c r="L67" i="37"/>
  <c r="J450" i="37"/>
  <c r="M239" i="37"/>
  <c r="L406" i="37"/>
  <c r="K33" i="37"/>
  <c r="H35" i="37"/>
  <c r="F35" i="37" s="1"/>
  <c r="I218" i="37"/>
  <c r="L389" i="37"/>
  <c r="L13" i="37"/>
  <c r="K280" i="37"/>
  <c r="K68" i="37"/>
  <c r="I447" i="37"/>
  <c r="I255" i="37"/>
  <c r="I183" i="37"/>
  <c r="H295" i="37"/>
  <c r="F295" i="37" s="1"/>
  <c r="I71" i="37"/>
  <c r="I272" i="37"/>
  <c r="H337" i="37"/>
  <c r="F337" i="37" s="1"/>
  <c r="K369" i="37"/>
  <c r="H335" i="37"/>
  <c r="F335" i="37" s="1"/>
  <c r="M298" i="37"/>
  <c r="L443" i="37"/>
  <c r="J424" i="37"/>
  <c r="J238" i="37"/>
  <c r="K108" i="37"/>
  <c r="K134" i="37"/>
  <c r="L423" i="37"/>
  <c r="H236" i="37"/>
  <c r="F236" i="37" s="1"/>
  <c r="H142" i="37"/>
  <c r="F142" i="37" s="1"/>
  <c r="L179" i="37"/>
  <c r="I498" i="37"/>
  <c r="L106" i="37"/>
  <c r="L157" i="37"/>
  <c r="K327" i="37"/>
  <c r="K205" i="37"/>
  <c r="H299" i="37"/>
  <c r="F299" i="37" s="1"/>
  <c r="M136" i="37"/>
  <c r="J307" i="37"/>
  <c r="M183" i="37"/>
  <c r="H404" i="37"/>
  <c r="F404" i="37" s="1"/>
  <c r="J485" i="37"/>
  <c r="I315" i="37"/>
  <c r="J317" i="37"/>
  <c r="H400" i="37"/>
  <c r="F400" i="37" s="1"/>
  <c r="M381" i="37"/>
  <c r="K208" i="37"/>
  <c r="J44" i="37"/>
  <c r="I51" i="37"/>
  <c r="L54" i="37"/>
  <c r="M159" i="37"/>
  <c r="L275" i="37"/>
  <c r="H482" i="37"/>
  <c r="F482" i="37" s="1"/>
  <c r="I56" i="37"/>
  <c r="I197" i="37"/>
  <c r="M319" i="37"/>
  <c r="I252" i="37"/>
  <c r="J345" i="37"/>
  <c r="L300" i="37"/>
  <c r="M49" i="37"/>
  <c r="I159" i="37"/>
  <c r="H452" i="37"/>
  <c r="F452" i="37" s="1"/>
  <c r="L502" i="37"/>
  <c r="L75" i="37"/>
  <c r="J263" i="37"/>
  <c r="I133" i="37"/>
  <c r="J455" i="37"/>
  <c r="H392" i="37"/>
  <c r="F392" i="37" s="1"/>
  <c r="L342" i="37"/>
  <c r="L459" i="37"/>
  <c r="L461" i="37"/>
  <c r="M354" i="37"/>
  <c r="I470" i="37"/>
  <c r="H159" i="37"/>
  <c r="F159" i="37" s="1"/>
  <c r="I485" i="37"/>
  <c r="M174" i="37"/>
  <c r="L397" i="37"/>
  <c r="M374" i="37"/>
  <c r="L475" i="37"/>
  <c r="J445" i="37"/>
  <c r="M335" i="37"/>
  <c r="H395" i="37"/>
  <c r="F395" i="37" s="1"/>
  <c r="K406" i="37"/>
  <c r="J162" i="37"/>
  <c r="I98" i="37"/>
  <c r="I199" i="37"/>
  <c r="I357" i="37"/>
  <c r="K40" i="37"/>
  <c r="L357" i="37"/>
  <c r="M410" i="37"/>
  <c r="L371" i="37"/>
  <c r="M437" i="37"/>
  <c r="H19" i="37"/>
  <c r="F19" i="37" s="1"/>
  <c r="I413" i="37"/>
  <c r="H474" i="37"/>
  <c r="F474" i="37" s="1"/>
  <c r="H265" i="37"/>
  <c r="F265" i="37" s="1"/>
  <c r="L353" i="37"/>
  <c r="J190" i="37"/>
  <c r="M87" i="37"/>
  <c r="M403" i="37"/>
  <c r="L449" i="37"/>
  <c r="J302" i="37"/>
  <c r="J188" i="37"/>
  <c r="M414" i="37"/>
  <c r="M347" i="37"/>
  <c r="I496" i="37"/>
  <c r="M465" i="37"/>
  <c r="H241" i="37"/>
  <c r="F241" i="37" s="1"/>
  <c r="M146" i="37"/>
  <c r="I189" i="37"/>
  <c r="H104" i="37"/>
  <c r="F104" i="37" s="1"/>
  <c r="K444" i="37"/>
  <c r="J405" i="37"/>
  <c r="L358" i="37"/>
  <c r="H254" i="37"/>
  <c r="F254" i="37" s="1"/>
  <c r="J482" i="37"/>
  <c r="J106" i="37"/>
  <c r="I196" i="37"/>
  <c r="H488" i="37"/>
  <c r="F488" i="37" s="1"/>
  <c r="M430" i="37"/>
  <c r="I424" i="37"/>
  <c r="H46" i="37"/>
  <c r="F46" i="37" s="1"/>
  <c r="J356" i="37"/>
  <c r="L24" i="37"/>
  <c r="M309" i="37"/>
  <c r="K43" i="37"/>
  <c r="I276" i="37"/>
  <c r="L305" i="37"/>
  <c r="H468" i="37"/>
  <c r="F468" i="37" s="1"/>
  <c r="H393" i="37"/>
  <c r="F393" i="37" s="1"/>
  <c r="H367" i="37"/>
  <c r="F367" i="37" s="1"/>
  <c r="K175" i="37"/>
  <c r="J98" i="37"/>
  <c r="K379" i="37"/>
  <c r="K162" i="37"/>
  <c r="I414" i="37"/>
  <c r="M130" i="37"/>
  <c r="J172" i="37"/>
  <c r="M350" i="37"/>
  <c r="L40" i="37"/>
  <c r="I499" i="37"/>
  <c r="M69" i="37"/>
  <c r="K220" i="37"/>
  <c r="H450" i="37"/>
  <c r="F450" i="37" s="1"/>
  <c r="H214" i="37"/>
  <c r="F214" i="37" s="1"/>
  <c r="K506" i="37"/>
  <c r="L74" i="37"/>
  <c r="H342" i="37"/>
  <c r="F342" i="37" s="1"/>
  <c r="M483" i="37"/>
  <c r="M131" i="37"/>
  <c r="K154" i="37"/>
  <c r="L149" i="37"/>
  <c r="H461" i="37"/>
  <c r="F461" i="37" s="1"/>
  <c r="J123" i="37"/>
  <c r="K388" i="37"/>
  <c r="L303" i="37"/>
  <c r="L323" i="37"/>
  <c r="M467" i="37"/>
  <c r="H361" i="37"/>
  <c r="F361" i="37" s="1"/>
  <c r="M124" i="37"/>
  <c r="J223" i="37"/>
  <c r="J318" i="37"/>
  <c r="J344" i="37"/>
  <c r="J480" i="37"/>
  <c r="I229" i="37"/>
  <c r="L401" i="37"/>
  <c r="J18" i="37"/>
  <c r="K218" i="37"/>
  <c r="K276" i="37"/>
  <c r="L287" i="37"/>
  <c r="M490" i="37"/>
  <c r="H267" i="37"/>
  <c r="F267" i="37" s="1"/>
  <c r="H451" i="37"/>
  <c r="F451" i="37" s="1"/>
  <c r="K319" i="37"/>
  <c r="J291" i="37"/>
  <c r="M479" i="37"/>
  <c r="M421" i="37"/>
  <c r="H222" i="37"/>
  <c r="F222" i="37" s="1"/>
  <c r="L280" i="37"/>
  <c r="K188" i="37"/>
  <c r="H499" i="37"/>
  <c r="F499" i="37" s="1"/>
  <c r="L494" i="37"/>
  <c r="K102" i="37"/>
  <c r="L411" i="37"/>
  <c r="L168" i="37"/>
  <c r="L286" i="37"/>
  <c r="I115" i="37"/>
  <c r="L400" i="37"/>
  <c r="K52" i="37"/>
  <c r="M404" i="37"/>
  <c r="L92" i="37"/>
  <c r="I186" i="37"/>
  <c r="I135" i="37"/>
  <c r="K213" i="37"/>
  <c r="I243" i="37"/>
  <c r="I436" i="37"/>
  <c r="L36" i="37"/>
  <c r="K246" i="37"/>
  <c r="I495" i="37"/>
  <c r="H193" i="37"/>
  <c r="F193" i="37" s="1"/>
  <c r="H480" i="37"/>
  <c r="F480" i="37" s="1"/>
  <c r="J415" i="37"/>
  <c r="M386" i="37"/>
  <c r="I283" i="37"/>
  <c r="M477" i="37"/>
  <c r="J107" i="37"/>
  <c r="K493" i="37"/>
  <c r="I317" i="37"/>
  <c r="H359" i="37"/>
  <c r="F359" i="37" s="1"/>
  <c r="K248" i="37"/>
  <c r="M428" i="37"/>
  <c r="K259" i="37"/>
  <c r="M240" i="37"/>
  <c r="L66" i="37"/>
  <c r="L113" i="37"/>
  <c r="L485" i="37"/>
  <c r="K331" i="37"/>
  <c r="H140" i="37"/>
  <c r="F140" i="37" s="1"/>
  <c r="I60" i="37"/>
  <c r="H492" i="37"/>
  <c r="F492" i="37" s="1"/>
  <c r="M496" i="37"/>
  <c r="L442" i="37"/>
  <c r="L210" i="37"/>
  <c r="H25" i="37"/>
  <c r="F25" i="37" s="1"/>
  <c r="J306" i="37"/>
  <c r="J24" i="37"/>
  <c r="I428" i="37"/>
  <c r="H298" i="37"/>
  <c r="F298" i="37" s="1"/>
  <c r="M192" i="37"/>
  <c r="I65" i="37"/>
  <c r="I249" i="37"/>
  <c r="I235" i="37"/>
  <c r="I333" i="37"/>
  <c r="M369" i="37"/>
  <c r="H97" i="37"/>
  <c r="F97" i="37" s="1"/>
  <c r="J73" i="37"/>
  <c r="L174" i="37"/>
  <c r="J217" i="37"/>
  <c r="J409" i="37"/>
  <c r="K383" i="37"/>
  <c r="K451" i="37"/>
  <c r="K484" i="37"/>
  <c r="H308" i="37"/>
  <c r="F308" i="37" s="1"/>
  <c r="I151" i="37"/>
  <c r="I192" i="37"/>
  <c r="L304" i="37"/>
  <c r="K334" i="37"/>
  <c r="J464" i="37"/>
  <c r="K330" i="37"/>
  <c r="I488" i="37"/>
  <c r="K467" i="37"/>
  <c r="I97" i="37"/>
  <c r="K364" i="37"/>
  <c r="I374" i="37"/>
  <c r="L402" i="37"/>
  <c r="J443" i="37"/>
  <c r="M363" i="37"/>
  <c r="M99" i="37"/>
  <c r="J328" i="37"/>
  <c r="K382" i="37"/>
  <c r="M94" i="37"/>
  <c r="K373" i="37"/>
  <c r="K111" i="37"/>
  <c r="L262" i="37"/>
  <c r="I184" i="37"/>
  <c r="M132" i="37"/>
  <c r="I458" i="37"/>
  <c r="M37" i="37"/>
  <c r="M501" i="37"/>
  <c r="J384" i="37"/>
  <c r="K470" i="37"/>
  <c r="K402" i="37"/>
  <c r="H394" i="37"/>
  <c r="F394" i="37" s="1"/>
  <c r="J193" i="37"/>
  <c r="K351" i="37"/>
  <c r="K422" i="37"/>
  <c r="H212" i="37"/>
  <c r="F212" i="37" s="1"/>
  <c r="L385" i="37"/>
  <c r="K291" i="37"/>
  <c r="M361" i="37"/>
  <c r="J465" i="37"/>
  <c r="M445" i="37"/>
  <c r="J441" i="37"/>
  <c r="I193" i="37"/>
  <c r="K392" i="37"/>
  <c r="M383" i="37"/>
  <c r="M392" i="37"/>
  <c r="I274" i="37"/>
  <c r="L182" i="37"/>
  <c r="K329" i="37"/>
  <c r="K414" i="37"/>
  <c r="L427" i="37"/>
  <c r="J399" i="37"/>
  <c r="M295" i="37"/>
  <c r="J170" i="37"/>
  <c r="H137" i="37"/>
  <c r="F137" i="37" s="1"/>
  <c r="J468" i="37"/>
  <c r="L9" i="37"/>
  <c r="I379" i="37"/>
  <c r="I225" i="37"/>
  <c r="H351" i="37"/>
  <c r="F351" i="37" s="1"/>
  <c r="J332" i="37"/>
  <c r="M42" i="37"/>
  <c r="I366" i="37"/>
  <c r="H256" i="37"/>
  <c r="F256" i="37" s="1"/>
  <c r="I483" i="37"/>
  <c r="L261" i="37"/>
  <c r="M408" i="37"/>
  <c r="L466" i="37"/>
  <c r="H286" i="37"/>
  <c r="F286" i="37" s="1"/>
  <c r="I59" i="37"/>
  <c r="H498" i="37"/>
  <c r="F498" i="37" s="1"/>
  <c r="H143" i="37"/>
  <c r="F143" i="37" s="1"/>
  <c r="I371" i="37"/>
  <c r="H460" i="37"/>
  <c r="F460" i="37" s="1"/>
  <c r="H261" i="37"/>
  <c r="F261" i="37" s="1"/>
  <c r="M97" i="37"/>
  <c r="M55" i="37"/>
  <c r="I142" i="37"/>
  <c r="L224" i="37"/>
  <c r="I37" i="37"/>
  <c r="M221" i="37"/>
  <c r="K115" i="37"/>
  <c r="L255" i="37"/>
  <c r="J493" i="37"/>
  <c r="M506" i="37"/>
  <c r="H336" i="37"/>
  <c r="F336" i="37" s="1"/>
  <c r="M360" i="37"/>
  <c r="I494" i="37"/>
  <c r="J459" i="37"/>
  <c r="J486" i="37"/>
  <c r="M273" i="37"/>
  <c r="J357" i="37"/>
  <c r="H462" i="37"/>
  <c r="F462" i="37" s="1"/>
  <c r="K468" i="37"/>
  <c r="K365" i="37"/>
  <c r="J161" i="37"/>
  <c r="I160" i="37"/>
  <c r="L308" i="37"/>
  <c r="L115" i="37"/>
  <c r="K295" i="37"/>
  <c r="H259" i="37"/>
  <c r="F259" i="37" s="1"/>
  <c r="I79" i="37"/>
  <c r="L127" i="37"/>
  <c r="K238" i="37"/>
  <c r="L10" i="37"/>
  <c r="H410" i="37"/>
  <c r="F410" i="37" s="1"/>
  <c r="K297" i="37"/>
  <c r="K269" i="37"/>
  <c r="I497" i="37"/>
  <c r="J451" i="37"/>
  <c r="K99" i="37"/>
  <c r="L340" i="37"/>
  <c r="L421" i="37"/>
  <c r="J499" i="37"/>
  <c r="I77" i="37"/>
  <c r="K125" i="37"/>
  <c r="M176" i="37"/>
  <c r="I81" i="37"/>
  <c r="L41" i="37"/>
  <c r="J428" i="37"/>
  <c r="I169" i="37"/>
  <c r="L297" i="37"/>
  <c r="I339" i="37"/>
  <c r="M242" i="37"/>
  <c r="I23" i="37"/>
  <c r="H429" i="37"/>
  <c r="F429" i="37" s="1"/>
  <c r="M322" i="37"/>
  <c r="L164" i="37"/>
  <c r="L331" i="37"/>
  <c r="J276" i="37"/>
  <c r="K325" i="37"/>
  <c r="H39" i="37"/>
  <c r="F39" i="37" s="1"/>
  <c r="M62" i="37"/>
  <c r="I474" i="37"/>
  <c r="I356" i="37"/>
  <c r="H242" i="37"/>
  <c r="F242" i="37" s="1"/>
  <c r="L486" i="37"/>
  <c r="K45" i="37"/>
  <c r="I395" i="37"/>
  <c r="M186" i="37"/>
  <c r="I335" i="37"/>
  <c r="J167" i="37"/>
  <c r="J312" i="37"/>
  <c r="J87" i="37"/>
  <c r="H405" i="37"/>
  <c r="F405" i="37" s="1"/>
  <c r="L238" i="37"/>
  <c r="H186" i="37"/>
  <c r="F186" i="37" s="1"/>
  <c r="L376" i="37"/>
  <c r="J250" i="37"/>
  <c r="K97" i="37"/>
  <c r="H291" i="37"/>
  <c r="F291" i="37" s="1"/>
  <c r="M127" i="37"/>
  <c r="H391" i="37"/>
  <c r="F391" i="37" s="1"/>
  <c r="H192" i="37"/>
  <c r="F192" i="37" s="1"/>
  <c r="M149" i="37"/>
  <c r="K236" i="37"/>
  <c r="K61" i="37"/>
  <c r="K174" i="37"/>
  <c r="L165" i="37"/>
  <c r="J81" i="37"/>
  <c r="I354" i="37"/>
  <c r="P10" i="37" l="1"/>
  <c r="P11" i="37" s="1"/>
  <c r="P12" i="37" s="1"/>
  <c r="P13" i="37" s="1"/>
  <c r="P14" i="37" s="1"/>
  <c r="P15" i="37" s="1"/>
  <c r="P16" i="37" s="1"/>
  <c r="P17" i="37" s="1"/>
  <c r="P18" i="37" s="1"/>
  <c r="P19" i="37" s="1"/>
  <c r="P20" i="37" s="1"/>
  <c r="P21" i="37" s="1"/>
  <c r="P22" i="37" s="1"/>
  <c r="P23" i="37" s="1"/>
  <c r="P24" i="37" s="1"/>
  <c r="P25" i="37" s="1"/>
  <c r="P26" i="37" s="1"/>
  <c r="P27" i="37" s="1"/>
  <c r="P28" i="37" s="1"/>
  <c r="F10" i="37"/>
  <c r="F11" i="37" s="1"/>
  <c r="F12" i="37" s="1"/>
  <c r="F13" i="37" s="1"/>
  <c r="F14" i="37" s="1"/>
  <c r="F15" i="37" s="1"/>
  <c r="F16" i="37" s="1"/>
  <c r="F17" i="37" s="1"/>
  <c r="F18" i="37" s="1"/>
</calcChain>
</file>

<file path=xl/sharedStrings.xml><?xml version="1.0" encoding="utf-8"?>
<sst xmlns="http://schemas.openxmlformats.org/spreadsheetml/2006/main" count="1618" uniqueCount="49">
  <si>
    <t>TGT</t>
  </si>
  <si>
    <t xml:space="preserve"> </t>
  </si>
  <si>
    <t>ACT/360</t>
  </si>
  <si>
    <t>AsOfDate</t>
  </si>
  <si>
    <t>30/360</t>
  </si>
  <si>
    <t>MOD_FOLLOWING</t>
  </si>
  <si>
    <t>Annual</t>
  </si>
  <si>
    <t>Frequency</t>
  </si>
  <si>
    <t>10Y</t>
  </si>
  <si>
    <t>Semi-Annual</t>
  </si>
  <si>
    <t>Notional</t>
  </si>
  <si>
    <t>0D</t>
  </si>
  <si>
    <t>ShortStart</t>
  </si>
  <si>
    <t>2D</t>
  </si>
  <si>
    <t>EffectiveDate</t>
  </si>
  <si>
    <t>MaturityDate</t>
  </si>
  <si>
    <t>EffectiveLag</t>
  </si>
  <si>
    <t>AccrualFrequency</t>
  </si>
  <si>
    <t>AccrualBusinessDayAdjustment</t>
  </si>
  <si>
    <t>AccrualCalendar</t>
  </si>
  <si>
    <t>PaymentFrequency</t>
  </si>
  <si>
    <t>PaymentBusinessDayAdjustment</t>
  </si>
  <si>
    <t>PaymentCalendar</t>
  </si>
  <si>
    <t>PaymentLag</t>
  </si>
  <si>
    <t>FixingBusinessDayAdjustment</t>
  </si>
  <si>
    <t>FixingCalendar</t>
  </si>
  <si>
    <t>FixingLag</t>
  </si>
  <si>
    <t>FixingAdvanceOrArrear</t>
  </si>
  <si>
    <t>ADVANCE</t>
  </si>
  <si>
    <t>FirstStubDate</t>
  </si>
  <si>
    <t>LastStubDate</t>
  </si>
  <si>
    <t>RollDay</t>
  </si>
  <si>
    <t>Float Leg</t>
  </si>
  <si>
    <t>Fixed Leg</t>
  </si>
  <si>
    <t>Float Leg Specification</t>
  </si>
  <si>
    <t>Fixed Leg Specification</t>
  </si>
  <si>
    <t>AccrualDaycount</t>
  </si>
  <si>
    <t>Schedule Generator</t>
  </si>
  <si>
    <t>StubType</t>
  </si>
  <si>
    <t>Row</t>
  </si>
  <si>
    <t>Amortization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</si>
  <si>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</si>
  <si>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&lt;&lt;&lt;</t>
    </r>
  </si>
  <si>
    <t>&lt;&lt;&lt; Set to Zero for No Amortization</t>
  </si>
  <si>
    <t>INSTRUCTIONS</t>
  </si>
  <si>
    <t>2.  On the 'SwapSchedule' worksheet populate the cells in yellow</t>
  </si>
  <si>
    <t>3.  Refresh the Schedules using Shift-F9</t>
  </si>
  <si>
    <t>1.  Load the MLIB Global Analytics Excel Add-In</t>
  </si>
  <si>
    <t>Override Notional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</si>
</sst>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00"/>
    <numFmt numFmtId="165" formatCode="ddd\,\ d\-mmm\-yy"/>
    <numFmt numFmtId="166" formatCode="#,##0.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70">
    <xf numFmtId="0" fontId="0" fillId="0" borderId="0" xfId="0"/>
    <xf numFmtId="0" fontId="0" fillId="0" borderId="0" xfId="0"/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4" borderId="2" xfId="0" applyFont="1" applyFill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9" fontId="3" fillId="0" borderId="2" xfId="0" quotePrefix="1" applyNumberFormat="1" applyFont="1" applyBorder="1" applyAlignment="1">
      <alignment horizontal="center" vertical="center"/>
    </xf>
    <xf numFmtId="0" fontId="0" fillId="2" borderId="14" xfId="0" applyFill="1" applyBorder="1"/>
    <xf numFmtId="0" fontId="0" fillId="2" borderId="13" xfId="0" applyFill="1" applyBorder="1"/>
    <xf numFmtId="0" fontId="10" fillId="0" borderId="0" xfId="0" applyFont="1"/>
    <xf numFmtId="0" fontId="12" fillId="0" borderId="0" xfId="0" applyFont="1"/>
    <xf numFmtId="14" fontId="6" fillId="2" borderId="6" xfId="0" applyNumberFormat="1" applyFont="1" applyFill="1" applyBorder="1" applyAlignment="1">
      <alignment horizontal="center" vertical="center"/>
    </xf>
    <xf numFmtId="3" fontId="6" fillId="2" borderId="6" xfId="0" applyNumberFormat="1" applyFont="1" applyFill="1" applyBorder="1" applyAlignment="1">
      <alignment horizontal="center" vertical="center"/>
    </xf>
    <xf numFmtId="164" fontId="6" fillId="2" borderId="6" xfId="0" applyNumberFormat="1" applyFont="1" applyFill="1" applyBorder="1" applyAlignment="1">
      <alignment horizontal="center" vertical="center"/>
    </xf>
    <xf numFmtId="14" fontId="6" fillId="2" borderId="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/>
    </xf>
    <xf numFmtId="3" fontId="6" fillId="2" borderId="12" xfId="0" applyNumberFormat="1" applyFont="1" applyFill="1" applyBorder="1" applyAlignment="1">
      <alignment horizontal="center"/>
    </xf>
    <xf numFmtId="0" fontId="11" fillId="2" borderId="15" xfId="0" applyFont="1" applyFill="1" applyBorder="1" applyAlignment="1">
      <alignment horizontal="left" vertical="center"/>
    </xf>
    <xf numFmtId="3" fontId="12" fillId="3" borderId="15" xfId="0" applyNumberFormat="1" applyFont="1" applyFill="1" applyBorder="1" applyAlignment="1">
      <alignment horizontal="center" vertical="center"/>
    </xf>
    <xf numFmtId="3" fontId="12" fillId="3" borderId="14" xfId="0" applyNumberFormat="1" applyFont="1" applyFill="1" applyBorder="1" applyAlignment="1">
      <alignment horizontal="center" vertical="center"/>
    </xf>
    <xf numFmtId="3" fontId="12" fillId="3" borderId="13" xfId="0" applyNumberFormat="1" applyFont="1" applyFill="1" applyBorder="1" applyAlignment="1">
      <alignment horizontal="center" vertical="center"/>
    </xf>
    <xf numFmtId="0" fontId="5" fillId="0" borderId="0" xfId="0" applyFont="1"/>
    <xf numFmtId="165" fontId="6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/>
    </xf>
    <xf numFmtId="166" fontId="6" fillId="2" borderId="0" xfId="0" applyNumberFormat="1" applyFont="1" applyFill="1" applyBorder="1" applyAlignment="1">
      <alignment horizontal="center" vertical="center"/>
    </xf>
    <xf numFmtId="165" fontId="6" fillId="2" borderId="9" xfId="0" applyNumberFormat="1" applyFont="1" applyFill="1" applyBorder="1" applyAlignment="1">
      <alignment horizontal="center" vertical="center"/>
    </xf>
    <xf numFmtId="166" fontId="6" fillId="2" borderId="0" xfId="0" applyNumberFormat="1" applyFont="1" applyFill="1" applyBorder="1" applyAlignment="1">
      <alignment horizontal="center"/>
    </xf>
    <xf numFmtId="165" fontId="6" fillId="2" borderId="9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6" fillId="2" borderId="12" xfId="0" applyNumberFormat="1" applyFont="1" applyFill="1" applyBorder="1" applyAlignment="1">
      <alignment horizontal="center"/>
    </xf>
    <xf numFmtId="166" fontId="6" fillId="2" borderId="12" xfId="0" applyNumberFormat="1" applyFont="1" applyFill="1" applyBorder="1" applyAlignment="1">
      <alignment horizontal="center"/>
    </xf>
    <xf numFmtId="165" fontId="6" fillId="2" borderId="10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5" fontId="8" fillId="2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13" fillId="3" borderId="16" xfId="0" applyNumberFormat="1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/>
    </xf>
    <xf numFmtId="0" fontId="13" fillId="3" borderId="18" xfId="0" applyFont="1" applyFill="1" applyBorder="1" applyAlignment="1">
      <alignment horizontal="center" vertical="center"/>
    </xf>
    <xf numFmtId="15" fontId="8" fillId="2" borderId="2" xfId="0" applyNumberFormat="1" applyFont="1" applyFill="1" applyBorder="1" applyAlignment="1">
      <alignment horizontal="center" vertical="center"/>
    </xf>
    <xf numFmtId="0" fontId="11" fillId="2" borderId="14" xfId="0" applyFont="1" applyFill="1" applyBorder="1"/>
    <xf numFmtId="0" fontId="11" fillId="2" borderId="13" xfId="0" applyFont="1" applyFill="1" applyBorder="1"/>
    <xf numFmtId="0" fontId="11" fillId="2" borderId="5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9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11" fillId="2" borderId="10" xfId="0" applyFont="1" applyFill="1" applyBorder="1" applyAlignment="1">
      <alignment horizontal="left" vertical="center"/>
    </xf>
    <xf numFmtId="165" fontId="14" fillId="2" borderId="0" xfId="0" applyNumberFormat="1" applyFont="1" applyFill="1" applyBorder="1" applyAlignment="1">
      <alignment horizontal="center" vertical="center"/>
    </xf>
    <xf numFmtId="165" fontId="14" fillId="2" borderId="0" xfId="0" applyNumberFormat="1" applyFont="1" applyFill="1" applyBorder="1" applyAlignment="1">
      <alignment horizontal="center"/>
    </xf>
    <xf numFmtId="165" fontId="14" fillId="2" borderId="12" xfId="0" applyNumberFormat="1" applyFont="1" applyFill="1" applyBorder="1" applyAlignment="1">
      <alignment horizontal="center"/>
    </xf>
    <xf numFmtId="164" fontId="3" fillId="3" borderId="6" xfId="0" applyNumberFormat="1" applyFont="1" applyFill="1" applyBorder="1" applyAlignment="1">
      <alignment horizontal="center" vertical="center"/>
    </xf>
    <xf numFmtId="3" fontId="3" fillId="3" borderId="0" xfId="0" applyNumberFormat="1" applyFont="1" applyFill="1" applyBorder="1" applyAlignment="1">
      <alignment horizontal="center" vertical="center"/>
    </xf>
    <xf numFmtId="3" fontId="3" fillId="3" borderId="0" xfId="0" applyNumberFormat="1" applyFont="1" applyFill="1" applyBorder="1" applyAlignment="1">
      <alignment horizontal="center"/>
    </xf>
    <xf numFmtId="3" fontId="3" fillId="3" borderId="12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B6"/>
  <sheetViews>
    <sheetView showGridLines="0" workbookViewId="0"/>
  </sheetViews>
  <sheetFormatPr defaultRowHeight="15" x14ac:dyDescent="0.25"/>
  <sheetData>
    <row r="2" spans="2:2" x14ac:dyDescent="0.25">
      <c r="B2" s="4" t="s">
        <v>44</v>
      </c>
    </row>
    <row r="4" spans="2:2" x14ac:dyDescent="0.25">
      <c r="B4" t="s">
        <v>47</v>
      </c>
    </row>
    <row r="5" spans="2:2" x14ac:dyDescent="0.25">
      <c r="B5" t="s">
        <v>45</v>
      </c>
    </row>
    <row r="6" spans="2:2" x14ac:dyDescent="0.25">
      <c r="B6" t="s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/>
  </sheetPr>
  <dimension ref="A1:X512"/>
  <sheetViews>
    <sheetView showGridLines="0" tabSelected="1" zoomScaleNormal="100" workbookViewId="0"/>
  </sheetViews>
  <sheetFormatPr defaultRowHeight="15" outlineLevelCol="1" x14ac:dyDescent="0.25"/>
  <cols>
    <col min="1" max="1" width="9.140625" style="1" customWidth="1"/>
    <col min="2" max="2" width="31" style="1" bestFit="1" customWidth="1"/>
    <col min="3" max="3" width="25.7109375" style="1" customWidth="1"/>
    <col min="4" max="4" width="9.140625" style="1" customWidth="1"/>
    <col min="5" max="5" width="4.7109375" style="1" customWidth="1" outlineLevel="1"/>
    <col min="6" max="8" width="18.7109375" style="1" customWidth="1" outlineLevel="1"/>
    <col min="9" max="11" width="15.7109375" style="1" customWidth="1" outlineLevel="1"/>
    <col min="12" max="12" width="20.42578125" style="1" customWidth="1" outlineLevel="1"/>
    <col min="13" max="13" width="15.7109375" style="1" customWidth="1" outlineLevel="1"/>
    <col min="14" max="14" width="16.28515625" style="1" bestFit="1" customWidth="1"/>
    <col min="15" max="15" width="4.7109375" style="1" customWidth="1" outlineLevel="1"/>
    <col min="16" max="18" width="18.7109375" style="1" customWidth="1" outlineLevel="1"/>
    <col min="19" max="21" width="15.7109375" style="1" customWidth="1" outlineLevel="1"/>
    <col min="22" max="22" width="20.42578125" style="1" customWidth="1" outlineLevel="1"/>
    <col min="23" max="23" width="15.7109375" style="1" customWidth="1" outlineLevel="1"/>
    <col min="24" max="24" width="15.85546875" style="1" bestFit="1" customWidth="1"/>
    <col min="25" max="16384" width="9.140625" style="1"/>
  </cols>
  <sheetData>
    <row r="1" spans="1:24" x14ac:dyDescent="0.25">
      <c r="N1" s="45" t="s">
        <v>41</v>
      </c>
      <c r="X1" s="45" t="s">
        <v>42</v>
      </c>
    </row>
    <row r="2" spans="1:24" s="19" customFormat="1" ht="18.75" x14ac:dyDescent="0.3">
      <c r="B2" s="19" t="s">
        <v>37</v>
      </c>
      <c r="E2" s="19" t="s">
        <v>33</v>
      </c>
      <c r="O2" s="19" t="s">
        <v>32</v>
      </c>
    </row>
    <row r="3" spans="1:24" s="19" customFormat="1" ht="18.75" x14ac:dyDescent="0.3">
      <c r="B3" s="27" t="s">
        <v>3</v>
      </c>
      <c r="C3" s="50">
        <f ca="1">TODAY()</f>
        <v>42608</v>
      </c>
      <c r="E3" s="56" t="s">
        <v>10</v>
      </c>
      <c r="F3" s="57"/>
      <c r="G3" s="28">
        <v>10000000</v>
      </c>
      <c r="O3" s="56" t="s">
        <v>10</v>
      </c>
      <c r="P3" s="57"/>
      <c r="Q3" s="28">
        <v>10000000</v>
      </c>
    </row>
    <row r="4" spans="1:24" s="19" customFormat="1" ht="18.75" x14ac:dyDescent="0.3">
      <c r="B4" s="54" t="s">
        <v>16</v>
      </c>
      <c r="C4" s="51" t="s">
        <v>13</v>
      </c>
      <c r="E4" s="58" t="s">
        <v>40</v>
      </c>
      <c r="F4" s="59"/>
      <c r="G4" s="29">
        <v>1000000</v>
      </c>
      <c r="H4" s="18" t="s">
        <v>43</v>
      </c>
      <c r="O4" s="58" t="s">
        <v>40</v>
      </c>
      <c r="P4" s="59"/>
      <c r="Q4" s="29">
        <v>1000000</v>
      </c>
      <c r="R4" s="18" t="s">
        <v>43</v>
      </c>
    </row>
    <row r="5" spans="1:24" s="19" customFormat="1" ht="18.75" x14ac:dyDescent="0.3">
      <c r="B5" s="55" t="s">
        <v>15</v>
      </c>
      <c r="C5" s="52" t="s">
        <v>8</v>
      </c>
      <c r="E5" s="60" t="s">
        <v>7</v>
      </c>
      <c r="F5" s="61"/>
      <c r="G5" s="30">
        <v>1</v>
      </c>
      <c r="H5" s="18" t="s">
        <v>43</v>
      </c>
      <c r="O5" s="60" t="s">
        <v>7</v>
      </c>
      <c r="P5" s="61"/>
      <c r="Q5" s="30">
        <v>2</v>
      </c>
      <c r="R5" s="18" t="s">
        <v>43</v>
      </c>
    </row>
    <row r="7" spans="1:24" x14ac:dyDescent="0.25">
      <c r="B7" s="4" t="s">
        <v>35</v>
      </c>
      <c r="F7" s="4"/>
      <c r="G7" s="4"/>
      <c r="P7" s="4"/>
      <c r="Q7" s="4"/>
    </row>
    <row r="8" spans="1:24" ht="15" customHeight="1" x14ac:dyDescent="0.25">
      <c r="A8" s="2"/>
      <c r="B8" s="9" t="s">
        <v>14</v>
      </c>
      <c r="C8" s="46">
        <f ca="1">_xll.meDateFromTenor(AsOfDate,EffectiveLag,C12,C13)</f>
        <v>42612</v>
      </c>
      <c r="D8" s="5" t="s">
        <v>1</v>
      </c>
      <c r="E8" s="42" t="s">
        <v>39</v>
      </c>
      <c r="F8" s="24" t="s">
        <v>10</v>
      </c>
      <c r="G8" s="65" t="s">
        <v>48</v>
      </c>
      <c r="H8" s="20" t="str">
        <f t="array" aca="1" ref="H8:M508" ca="1">_xll.meProductSwapSchedule(_xll.meUtilityLVB(B8:C25))</f>
        <v>Fixing Date</v>
      </c>
      <c r="I8" s="20" t="str">
        <f ca="1"/>
        <v>Accrual Start</v>
      </c>
      <c r="J8" s="20" t="str">
        <f ca="1"/>
        <v>Accrual End</v>
      </c>
      <c r="K8" s="21" t="str">
        <f ca="1"/>
        <v>Accrual Days</v>
      </c>
      <c r="L8" s="22" t="str">
        <f ca="1"/>
        <v>Accrual Year Fractions</v>
      </c>
      <c r="M8" s="23" t="str">
        <f ca="1"/>
        <v>Payment Date</v>
      </c>
      <c r="N8" s="3" t="s">
        <v>1</v>
      </c>
      <c r="O8" s="42" t="s">
        <v>39</v>
      </c>
      <c r="P8" s="24" t="s">
        <v>10</v>
      </c>
      <c r="Q8" s="65" t="s">
        <v>48</v>
      </c>
      <c r="R8" s="20" t="str">
        <f t="array" aca="1" ref="R8:W508" ca="1">_xll.meProductSwapSchedule(_xll.meUtilityLVB(B28:C45))</f>
        <v>Fixing Date</v>
      </c>
      <c r="S8" s="20" t="str">
        <f ca="1"/>
        <v>Accrual Start</v>
      </c>
      <c r="T8" s="20" t="str">
        <f ca="1"/>
        <v>Accrual End</v>
      </c>
      <c r="U8" s="21" t="str">
        <f ca="1"/>
        <v>Accrual Days</v>
      </c>
      <c r="V8" s="22" t="str">
        <f ca="1"/>
        <v>Accrual Year Fractions</v>
      </c>
      <c r="W8" s="23" t="str">
        <f ca="1"/>
        <v>Payment Date</v>
      </c>
      <c r="X8" s="5" t="s">
        <v>1</v>
      </c>
    </row>
    <row r="9" spans="1:24" ht="15" customHeight="1" x14ac:dyDescent="0.25">
      <c r="B9" s="10" t="s">
        <v>15</v>
      </c>
      <c r="C9" s="53" t="str">
        <f ca="1">MaturityDate</f>
        <v>10Y</v>
      </c>
      <c r="D9" s="5" t="s">
        <v>1</v>
      </c>
      <c r="E9" s="43">
        <v>1</v>
      </c>
      <c r="F9" s="8">
        <f ca="1">IF(ISNA(H9),NA(),IF(ISBLANK(G9),FixedNotional,G9))</f>
        <v>10000000</v>
      </c>
      <c r="G9" s="66"/>
      <c r="H9" s="62">
        <f ca="1"/>
        <v>42612</v>
      </c>
      <c r="I9" s="32">
        <f ca="1"/>
        <v>42612</v>
      </c>
      <c r="J9" s="32">
        <f ca="1"/>
        <v>42977</v>
      </c>
      <c r="K9" s="8">
        <f ca="1"/>
        <v>365</v>
      </c>
      <c r="L9" s="34">
        <f ca="1"/>
        <v>1</v>
      </c>
      <c r="M9" s="35">
        <f ca="1"/>
        <v>42977</v>
      </c>
      <c r="N9" s="3" t="s">
        <v>1</v>
      </c>
      <c r="O9" s="43">
        <v>1</v>
      </c>
      <c r="P9" s="8">
        <f ca="1">IF(ISNA(R9),NA(),IF(ISBLANK(Q9),FloatNotional,Q9))</f>
        <v>10000000</v>
      </c>
      <c r="Q9" s="66"/>
      <c r="R9" s="32">
        <f ca="1"/>
        <v>42608</v>
      </c>
      <c r="S9" s="32">
        <f ca="1"/>
        <v>42612</v>
      </c>
      <c r="T9" s="32">
        <f ca="1"/>
        <v>42794</v>
      </c>
      <c r="U9" s="8">
        <f ca="1"/>
        <v>182</v>
      </c>
      <c r="V9" s="34">
        <f ca="1"/>
        <v>0.50555555555555554</v>
      </c>
      <c r="W9" s="35">
        <f ca="1"/>
        <v>42794</v>
      </c>
      <c r="X9" s="5" t="s">
        <v>1</v>
      </c>
    </row>
    <row r="10" spans="1:24" x14ac:dyDescent="0.25">
      <c r="B10" s="10" t="s">
        <v>36</v>
      </c>
      <c r="C10" s="6" t="s">
        <v>4</v>
      </c>
      <c r="D10" s="5" t="s">
        <v>1</v>
      </c>
      <c r="E10" s="43">
        <v>2</v>
      </c>
      <c r="F10" s="8">
        <f ca="1">IF(ISNA(H10),NA(),IF(ISBLANK(G10),IF(FixedAmortizationFrequency=0,F9,IF(MOD((E10-1),FixedAmortizationFrequency)&lt;&gt;0,F9,F9-FixedAmortization)),G10))</f>
        <v>9000000</v>
      </c>
      <c r="G10" s="66"/>
      <c r="H10" s="62">
        <f ca="1"/>
        <v>42977</v>
      </c>
      <c r="I10" s="32">
        <f ca="1"/>
        <v>42977</v>
      </c>
      <c r="J10" s="32">
        <f ca="1"/>
        <v>43342</v>
      </c>
      <c r="K10" s="8">
        <f ca="1"/>
        <v>365</v>
      </c>
      <c r="L10" s="34">
        <f ca="1"/>
        <v>1</v>
      </c>
      <c r="M10" s="35">
        <f ca="1"/>
        <v>43342</v>
      </c>
      <c r="N10" s="3" t="s">
        <v>1</v>
      </c>
      <c r="O10" s="43">
        <v>2</v>
      </c>
      <c r="P10" s="8">
        <f ca="1">IF(ISNA(R10),NA(),IF(ISBLANK(Q10),IF(FloatAmortizationFrequency=0,P9,IF(MOD((O10-1),FloatAmortizationFrequency)&lt;&gt;0,P9,P9-FloatAmortization)),Q10))</f>
        <v>10000000</v>
      </c>
      <c r="Q10" s="66"/>
      <c r="R10" s="32">
        <f ca="1"/>
        <v>42790</v>
      </c>
      <c r="S10" s="32">
        <f ca="1"/>
        <v>42794</v>
      </c>
      <c r="T10" s="32">
        <f ca="1"/>
        <v>42977</v>
      </c>
      <c r="U10" s="8">
        <f ca="1"/>
        <v>183</v>
      </c>
      <c r="V10" s="34">
        <f ca="1"/>
        <v>0.5083333333333333</v>
      </c>
      <c r="W10" s="35">
        <f ca="1"/>
        <v>42977</v>
      </c>
      <c r="X10" s="5" t="s">
        <v>1</v>
      </c>
    </row>
    <row r="11" spans="1:24" x14ac:dyDescent="0.25">
      <c r="B11" s="10" t="s">
        <v>17</v>
      </c>
      <c r="C11" s="47" t="s">
        <v>6</v>
      </c>
      <c r="D11" s="5" t="s">
        <v>1</v>
      </c>
      <c r="E11" s="43">
        <v>3</v>
      </c>
      <c r="F11" s="8">
        <f ca="1">IF(ISNA(H11),NA(),IF(ISBLANK(G11),IF(FixedAmortizationFrequency=0,F10,IF(MOD((E11-1),FixedAmortizationFrequency)&lt;&gt;0,F10,F10-FixedAmortization)),G11))</f>
        <v>8000000</v>
      </c>
      <c r="G11" s="66"/>
      <c r="H11" s="62">
        <f ca="1"/>
        <v>43342</v>
      </c>
      <c r="I11" s="32">
        <f ca="1"/>
        <v>43342</v>
      </c>
      <c r="J11" s="32">
        <f ca="1"/>
        <v>43707</v>
      </c>
      <c r="K11" s="8">
        <f ca="1"/>
        <v>365</v>
      </c>
      <c r="L11" s="34">
        <f ca="1"/>
        <v>1</v>
      </c>
      <c r="M11" s="35">
        <f ca="1"/>
        <v>43707</v>
      </c>
      <c r="N11" s="3" t="s">
        <v>1</v>
      </c>
      <c r="O11" s="43">
        <v>3</v>
      </c>
      <c r="P11" s="8">
        <f ca="1">IF(ISNA(R11),NA(),IF(ISBLANK(Q11),IF(FloatAmortizationFrequency=0,P10,IF(MOD((O11-1),FloatAmortizationFrequency)&lt;&gt;0,P10,P10-FloatAmortization)),Q11))</f>
        <v>9000000</v>
      </c>
      <c r="Q11" s="66"/>
      <c r="R11" s="32">
        <f ca="1"/>
        <v>42975</v>
      </c>
      <c r="S11" s="32">
        <f ca="1"/>
        <v>42977</v>
      </c>
      <c r="T11" s="32">
        <f ca="1"/>
        <v>43159</v>
      </c>
      <c r="U11" s="8">
        <f ca="1"/>
        <v>182</v>
      </c>
      <c r="V11" s="34">
        <f ca="1"/>
        <v>0.50555555555555554</v>
      </c>
      <c r="W11" s="35">
        <f ca="1"/>
        <v>43159</v>
      </c>
      <c r="X11" s="5" t="s">
        <v>1</v>
      </c>
    </row>
    <row r="12" spans="1:24" x14ac:dyDescent="0.25">
      <c r="B12" s="10" t="s">
        <v>18</v>
      </c>
      <c r="C12" s="11" t="s">
        <v>5</v>
      </c>
      <c r="D12" s="5" t="s">
        <v>1</v>
      </c>
      <c r="E12" s="43">
        <v>4</v>
      </c>
      <c r="F12" s="8">
        <f ca="1">IF(ISNA(H12),NA(),IF(ISBLANK(G12),IF(FixedAmortizationFrequency=0,F11,IF(MOD((E12-1),FixedAmortizationFrequency)&lt;&gt;0,F11,F11-FixedAmortization)),G12))</f>
        <v>7000000</v>
      </c>
      <c r="G12" s="66"/>
      <c r="H12" s="62">
        <f ca="1"/>
        <v>43707</v>
      </c>
      <c r="I12" s="32">
        <f ca="1"/>
        <v>43707</v>
      </c>
      <c r="J12" s="32">
        <f ca="1"/>
        <v>44074</v>
      </c>
      <c r="K12" s="8">
        <f ca="1"/>
        <v>367</v>
      </c>
      <c r="L12" s="34">
        <f ca="1"/>
        <v>1</v>
      </c>
      <c r="M12" s="35">
        <f ca="1"/>
        <v>44074</v>
      </c>
      <c r="N12" s="3" t="s">
        <v>1</v>
      </c>
      <c r="O12" s="43">
        <v>4</v>
      </c>
      <c r="P12" s="8">
        <f ca="1">IF(ISNA(R12),NA(),IF(ISBLANK(Q12),IF(FloatAmortizationFrequency=0,P11,IF(MOD((O12-1),FloatAmortizationFrequency)&lt;&gt;0,P11,P11-FloatAmortization)),Q12))</f>
        <v>9000000</v>
      </c>
      <c r="Q12" s="66"/>
      <c r="R12" s="32">
        <f ca="1"/>
        <v>43157</v>
      </c>
      <c r="S12" s="32">
        <f ca="1"/>
        <v>43159</v>
      </c>
      <c r="T12" s="32">
        <f ca="1"/>
        <v>43342</v>
      </c>
      <c r="U12" s="8">
        <f ca="1"/>
        <v>183</v>
      </c>
      <c r="V12" s="34">
        <f ca="1"/>
        <v>0.5083333333333333</v>
      </c>
      <c r="W12" s="35">
        <f ca="1"/>
        <v>43342</v>
      </c>
      <c r="X12" s="5" t="s">
        <v>1</v>
      </c>
    </row>
    <row r="13" spans="1:24" x14ac:dyDescent="0.25">
      <c r="B13" s="10" t="s">
        <v>19</v>
      </c>
      <c r="C13" s="12" t="s">
        <v>0</v>
      </c>
      <c r="D13" s="5" t="s">
        <v>1</v>
      </c>
      <c r="E13" s="43">
        <v>5</v>
      </c>
      <c r="F13" s="8">
        <f ca="1">IF(ISNA(H13),NA(),IF(ISBLANK(G13),IF(FixedAmortizationFrequency=0,F12,IF(MOD((E13-1),FixedAmortizationFrequency)&lt;&gt;0,F12,F12-FixedAmortization)),G13))</f>
        <v>6000000</v>
      </c>
      <c r="G13" s="66"/>
      <c r="H13" s="62">
        <f ca="1"/>
        <v>44074</v>
      </c>
      <c r="I13" s="32">
        <f ca="1"/>
        <v>44074</v>
      </c>
      <c r="J13" s="32">
        <f ca="1"/>
        <v>44438</v>
      </c>
      <c r="K13" s="8">
        <f ca="1"/>
        <v>364</v>
      </c>
      <c r="L13" s="34">
        <f ca="1"/>
        <v>1</v>
      </c>
      <c r="M13" s="35">
        <f ca="1"/>
        <v>44438</v>
      </c>
      <c r="N13" s="3" t="s">
        <v>1</v>
      </c>
      <c r="O13" s="43">
        <v>5</v>
      </c>
      <c r="P13" s="8">
        <f ca="1">IF(ISNA(R13),NA(),IF(ISBLANK(Q13),IF(FloatAmortizationFrequency=0,P12,IF(MOD((O13-1),FloatAmortizationFrequency)&lt;&gt;0,P12,P12-FloatAmortization)),Q13))</f>
        <v>8000000</v>
      </c>
      <c r="Q13" s="66"/>
      <c r="R13" s="32">
        <f ca="1"/>
        <v>43340</v>
      </c>
      <c r="S13" s="32">
        <f ca="1"/>
        <v>43342</v>
      </c>
      <c r="T13" s="32">
        <f ca="1"/>
        <v>43524</v>
      </c>
      <c r="U13" s="8">
        <f ca="1"/>
        <v>182</v>
      </c>
      <c r="V13" s="34">
        <f ca="1"/>
        <v>0.50555555555555554</v>
      </c>
      <c r="W13" s="35">
        <f ca="1"/>
        <v>43524</v>
      </c>
      <c r="X13" s="5" t="s">
        <v>1</v>
      </c>
    </row>
    <row r="14" spans="1:24" x14ac:dyDescent="0.25">
      <c r="B14" s="10" t="s">
        <v>20</v>
      </c>
      <c r="C14" s="47" t="s">
        <v>6</v>
      </c>
      <c r="D14" s="5" t="s">
        <v>1</v>
      </c>
      <c r="E14" s="43">
        <v>6</v>
      </c>
      <c r="F14" s="8">
        <f ca="1">IF(ISNA(H14),NA(),IF(ISBLANK(G14),IF(FixedAmortizationFrequency=0,F13,IF(MOD((E14-1),FixedAmortizationFrequency)&lt;&gt;0,F13,F13-FixedAmortization)),G14))</f>
        <v>5000000</v>
      </c>
      <c r="G14" s="66"/>
      <c r="H14" s="62">
        <f ca="1"/>
        <v>44438</v>
      </c>
      <c r="I14" s="32">
        <f ca="1"/>
        <v>44438</v>
      </c>
      <c r="J14" s="32">
        <f ca="1"/>
        <v>44803</v>
      </c>
      <c r="K14" s="8">
        <f ca="1"/>
        <v>365</v>
      </c>
      <c r="L14" s="34">
        <f ca="1"/>
        <v>1</v>
      </c>
      <c r="M14" s="35">
        <f ca="1"/>
        <v>44803</v>
      </c>
      <c r="N14" s="3" t="s">
        <v>1</v>
      </c>
      <c r="O14" s="43">
        <v>6</v>
      </c>
      <c r="P14" s="8">
        <f ca="1">IF(ISNA(R14),NA(),IF(ISBLANK(Q14),IF(FloatAmortizationFrequency=0,P13,IF(MOD((O14-1),FloatAmortizationFrequency)&lt;&gt;0,P13,P13-FloatAmortization)),Q14))</f>
        <v>8000000</v>
      </c>
      <c r="Q14" s="66"/>
      <c r="R14" s="32">
        <f ca="1"/>
        <v>43522</v>
      </c>
      <c r="S14" s="32">
        <f ca="1"/>
        <v>43524</v>
      </c>
      <c r="T14" s="32">
        <f ca="1"/>
        <v>43707</v>
      </c>
      <c r="U14" s="8">
        <f ca="1"/>
        <v>183</v>
      </c>
      <c r="V14" s="34">
        <f ca="1"/>
        <v>0.5083333333333333</v>
      </c>
      <c r="W14" s="35">
        <f ca="1"/>
        <v>43707</v>
      </c>
      <c r="X14" s="5" t="s">
        <v>1</v>
      </c>
    </row>
    <row r="15" spans="1:24" x14ac:dyDescent="0.25">
      <c r="B15" s="10" t="s">
        <v>21</v>
      </c>
      <c r="C15" s="11" t="s">
        <v>5</v>
      </c>
      <c r="D15" s="5" t="s">
        <v>1</v>
      </c>
      <c r="E15" s="43">
        <v>7</v>
      </c>
      <c r="F15" s="8">
        <f ca="1">IF(ISNA(H15),NA(),IF(ISBLANK(G15),IF(FixedAmortizationFrequency=0,F14,IF(MOD((E15-1),FixedAmortizationFrequency)&lt;&gt;0,F14,F14-FixedAmortization)),G15))</f>
        <v>4000000</v>
      </c>
      <c r="G15" s="66"/>
      <c r="H15" s="62">
        <f ca="1"/>
        <v>44803</v>
      </c>
      <c r="I15" s="32">
        <f ca="1"/>
        <v>44803</v>
      </c>
      <c r="J15" s="32">
        <f ca="1"/>
        <v>45168</v>
      </c>
      <c r="K15" s="8">
        <f ca="1"/>
        <v>365</v>
      </c>
      <c r="L15" s="34">
        <f ca="1"/>
        <v>1</v>
      </c>
      <c r="M15" s="35">
        <f ca="1"/>
        <v>45168</v>
      </c>
      <c r="N15" s="3" t="s">
        <v>1</v>
      </c>
      <c r="O15" s="43">
        <v>7</v>
      </c>
      <c r="P15" s="8">
        <f ca="1">IF(ISNA(R15),NA(),IF(ISBLANK(Q15),IF(FloatAmortizationFrequency=0,P14,IF(MOD((O15-1),FloatAmortizationFrequency)&lt;&gt;0,P14,P14-FloatAmortization)),Q15))</f>
        <v>7000000</v>
      </c>
      <c r="Q15" s="66"/>
      <c r="R15" s="32">
        <f ca="1"/>
        <v>43705</v>
      </c>
      <c r="S15" s="32">
        <f ca="1"/>
        <v>43707</v>
      </c>
      <c r="T15" s="32">
        <f ca="1"/>
        <v>43889</v>
      </c>
      <c r="U15" s="8">
        <f ca="1"/>
        <v>182</v>
      </c>
      <c r="V15" s="34">
        <f ca="1"/>
        <v>0.50555555555555554</v>
      </c>
      <c r="W15" s="35">
        <f ca="1"/>
        <v>43889</v>
      </c>
      <c r="X15" s="5" t="s">
        <v>1</v>
      </c>
    </row>
    <row r="16" spans="1:24" x14ac:dyDescent="0.25">
      <c r="B16" s="10" t="s">
        <v>22</v>
      </c>
      <c r="C16" s="11" t="s">
        <v>0</v>
      </c>
      <c r="D16" s="5" t="s">
        <v>1</v>
      </c>
      <c r="E16" s="43">
        <v>8</v>
      </c>
      <c r="F16" s="8">
        <f ca="1">IF(ISNA(H16),NA(),IF(ISBLANK(G16),IF(FixedAmortizationFrequency=0,F15,IF(MOD((E16-1),FixedAmortizationFrequency)&lt;&gt;0,F15,F15-FixedAmortization)),G16))</f>
        <v>3000000</v>
      </c>
      <c r="G16" s="66"/>
      <c r="H16" s="62">
        <f ca="1"/>
        <v>45168</v>
      </c>
      <c r="I16" s="32">
        <f ca="1"/>
        <v>45168</v>
      </c>
      <c r="J16" s="32">
        <f ca="1"/>
        <v>45534</v>
      </c>
      <c r="K16" s="8">
        <f ca="1"/>
        <v>366</v>
      </c>
      <c r="L16" s="34">
        <f ca="1"/>
        <v>1</v>
      </c>
      <c r="M16" s="35">
        <f ca="1"/>
        <v>45534</v>
      </c>
      <c r="N16" s="3" t="s">
        <v>1</v>
      </c>
      <c r="O16" s="43">
        <v>8</v>
      </c>
      <c r="P16" s="8">
        <f ca="1">IF(ISNA(R16),NA(),IF(ISBLANK(Q16),IF(FloatAmortizationFrequency=0,P15,IF(MOD((O16-1),FloatAmortizationFrequency)&lt;&gt;0,P15,P15-FloatAmortization)),Q16))</f>
        <v>7000000</v>
      </c>
      <c r="Q16" s="66"/>
      <c r="R16" s="32">
        <f ca="1"/>
        <v>43887</v>
      </c>
      <c r="S16" s="32">
        <f ca="1"/>
        <v>43889</v>
      </c>
      <c r="T16" s="32">
        <f ca="1"/>
        <v>44074</v>
      </c>
      <c r="U16" s="8">
        <f ca="1"/>
        <v>185</v>
      </c>
      <c r="V16" s="34">
        <f ca="1"/>
        <v>0.51388888888888884</v>
      </c>
      <c r="W16" s="35">
        <f ca="1"/>
        <v>44074</v>
      </c>
      <c r="X16" s="5" t="s">
        <v>1</v>
      </c>
    </row>
    <row r="17" spans="2:24" x14ac:dyDescent="0.25">
      <c r="B17" s="10" t="s">
        <v>23</v>
      </c>
      <c r="C17" s="13" t="s">
        <v>11</v>
      </c>
      <c r="D17" s="5" t="s">
        <v>1</v>
      </c>
      <c r="E17" s="43">
        <v>9</v>
      </c>
      <c r="F17" s="8">
        <f ca="1">IF(ISNA(H17),NA(),IF(ISBLANK(G17),IF(FixedAmortizationFrequency=0,F16,IF(MOD((E17-1),FixedAmortizationFrequency)&lt;&gt;0,F16,F16-FixedAmortization)),G17))</f>
        <v>2000000</v>
      </c>
      <c r="G17" s="66"/>
      <c r="H17" s="62">
        <f ca="1"/>
        <v>45534</v>
      </c>
      <c r="I17" s="32">
        <f ca="1"/>
        <v>45534</v>
      </c>
      <c r="J17" s="32">
        <f ca="1"/>
        <v>45898</v>
      </c>
      <c r="K17" s="8">
        <f ca="1"/>
        <v>364</v>
      </c>
      <c r="L17" s="34">
        <f ca="1"/>
        <v>0.99722222222222223</v>
      </c>
      <c r="M17" s="35">
        <f ca="1"/>
        <v>45898</v>
      </c>
      <c r="N17" s="3" t="s">
        <v>1</v>
      </c>
      <c r="O17" s="43">
        <v>9</v>
      </c>
      <c r="P17" s="8">
        <f ca="1">IF(ISNA(R17),NA(),IF(ISBLANK(Q17),IF(FloatAmortizationFrequency=0,P16,IF(MOD((O17-1),FloatAmortizationFrequency)&lt;&gt;0,P16,P16-FloatAmortization)),Q17))</f>
        <v>6000000</v>
      </c>
      <c r="Q17" s="66"/>
      <c r="R17" s="32">
        <f ca="1"/>
        <v>44070</v>
      </c>
      <c r="S17" s="32">
        <f ca="1"/>
        <v>44074</v>
      </c>
      <c r="T17" s="32">
        <f ca="1"/>
        <v>44253</v>
      </c>
      <c r="U17" s="8">
        <f ca="1"/>
        <v>179</v>
      </c>
      <c r="V17" s="34">
        <f ca="1"/>
        <v>0.49722222222222223</v>
      </c>
      <c r="W17" s="35">
        <f ca="1"/>
        <v>44253</v>
      </c>
      <c r="X17" s="5" t="s">
        <v>1</v>
      </c>
    </row>
    <row r="18" spans="2:24" x14ac:dyDescent="0.25">
      <c r="B18" s="10" t="s">
        <v>24</v>
      </c>
      <c r="C18" s="14" t="s">
        <v>5</v>
      </c>
      <c r="D18" s="5" t="s">
        <v>1</v>
      </c>
      <c r="E18" s="43">
        <v>10</v>
      </c>
      <c r="F18" s="8">
        <f ca="1">IF(ISNA(H18),NA(),IF(ISBLANK(G18),IF(FixedAmortizationFrequency=0,F17,IF(MOD((E18-1),FixedAmortizationFrequency)&lt;&gt;0,F17,F17-FixedAmortization)),G18))</f>
        <v>1000000</v>
      </c>
      <c r="G18" s="66"/>
      <c r="H18" s="62">
        <f ca="1"/>
        <v>45898</v>
      </c>
      <c r="I18" s="32">
        <f ca="1"/>
        <v>45898</v>
      </c>
      <c r="J18" s="32">
        <f ca="1"/>
        <v>46265</v>
      </c>
      <c r="K18" s="8">
        <f ca="1"/>
        <v>367</v>
      </c>
      <c r="L18" s="34">
        <f ca="1"/>
        <v>1.0055555555555555</v>
      </c>
      <c r="M18" s="35">
        <f ca="1"/>
        <v>46265</v>
      </c>
      <c r="N18" s="3" t="s">
        <v>1</v>
      </c>
      <c r="O18" s="43">
        <v>10</v>
      </c>
      <c r="P18" s="8">
        <f ca="1">IF(ISNA(R18),NA(),IF(ISBLANK(Q18),IF(FloatAmortizationFrequency=0,P17,IF(MOD((O18-1),FloatAmortizationFrequency)&lt;&gt;0,P17,P17-FloatAmortization)),Q18))</f>
        <v>6000000</v>
      </c>
      <c r="Q18" s="66"/>
      <c r="R18" s="32">
        <f ca="1"/>
        <v>44251</v>
      </c>
      <c r="S18" s="32">
        <f ca="1"/>
        <v>44253</v>
      </c>
      <c r="T18" s="32">
        <f ca="1"/>
        <v>44438</v>
      </c>
      <c r="U18" s="8">
        <f ca="1"/>
        <v>185</v>
      </c>
      <c r="V18" s="34">
        <f ca="1"/>
        <v>0.51388888888888884</v>
      </c>
      <c r="W18" s="35">
        <f ca="1"/>
        <v>44438</v>
      </c>
      <c r="X18" s="5" t="s">
        <v>1</v>
      </c>
    </row>
    <row r="19" spans="2:24" x14ac:dyDescent="0.25">
      <c r="B19" s="10" t="s">
        <v>25</v>
      </c>
      <c r="C19" s="11" t="s">
        <v>0</v>
      </c>
      <c r="D19" s="5" t="s">
        <v>1</v>
      </c>
      <c r="E19" s="43">
        <v>11</v>
      </c>
      <c r="F19" s="8" t="e">
        <f ca="1">IF(ISNA(H19),NA(),IF(ISBLANK(G19),IF(FixedAmortizationFrequency=0,F18,IF(MOD((E19-1),FixedAmortizationFrequency)&lt;&gt;0,F18,F18-FixedAmortization)),G19))</f>
        <v>#N/A</v>
      </c>
      <c r="G19" s="66"/>
      <c r="H19" s="62" t="e">
        <f ca="1"/>
        <v>#N/A</v>
      </c>
      <c r="I19" s="32" t="e">
        <f ca="1"/>
        <v>#N/A</v>
      </c>
      <c r="J19" s="32" t="e">
        <f ca="1"/>
        <v>#N/A</v>
      </c>
      <c r="K19" s="8" t="e">
        <f ca="1"/>
        <v>#N/A</v>
      </c>
      <c r="L19" s="34" t="e">
        <f ca="1"/>
        <v>#N/A</v>
      </c>
      <c r="M19" s="35" t="e">
        <f ca="1"/>
        <v>#N/A</v>
      </c>
      <c r="N19" s="3" t="s">
        <v>1</v>
      </c>
      <c r="O19" s="43">
        <v>11</v>
      </c>
      <c r="P19" s="8">
        <f ca="1">IF(ISNA(R19),NA(),IF(ISBLANK(Q19),IF(FloatAmortizationFrequency=0,P18,IF(MOD((O19-1),FloatAmortizationFrequency)&lt;&gt;0,P18,P18-FloatAmortization)),Q19))</f>
        <v>5000000</v>
      </c>
      <c r="Q19" s="66"/>
      <c r="R19" s="32">
        <f ca="1"/>
        <v>44434</v>
      </c>
      <c r="S19" s="32">
        <f ca="1"/>
        <v>44438</v>
      </c>
      <c r="T19" s="32">
        <f ca="1"/>
        <v>44620</v>
      </c>
      <c r="U19" s="8">
        <f ca="1"/>
        <v>182</v>
      </c>
      <c r="V19" s="34">
        <f ca="1"/>
        <v>0.50555555555555554</v>
      </c>
      <c r="W19" s="35">
        <f ca="1"/>
        <v>44620</v>
      </c>
      <c r="X19" s="5" t="s">
        <v>1</v>
      </c>
    </row>
    <row r="20" spans="2:24" x14ac:dyDescent="0.25">
      <c r="B20" s="10" t="s">
        <v>26</v>
      </c>
      <c r="C20" s="15" t="s">
        <v>11</v>
      </c>
      <c r="D20" s="5" t="s">
        <v>1</v>
      </c>
      <c r="E20" s="43">
        <v>12</v>
      </c>
      <c r="F20" s="8" t="e">
        <f ca="1">IF(ISNA(H20),NA(),IF(ISBLANK(G20),IF(FixedAmortizationFrequency=0,F19,IF(MOD((E20-1),FixedAmortizationFrequency)&lt;&gt;0,F19,F19-FixedAmortization)),G20))</f>
        <v>#N/A</v>
      </c>
      <c r="G20" s="66"/>
      <c r="H20" s="62" t="e">
        <f ca="1"/>
        <v>#N/A</v>
      </c>
      <c r="I20" s="32" t="e">
        <f ca="1"/>
        <v>#N/A</v>
      </c>
      <c r="J20" s="32" t="e">
        <f ca="1"/>
        <v>#N/A</v>
      </c>
      <c r="K20" s="8" t="e">
        <f ca="1"/>
        <v>#N/A</v>
      </c>
      <c r="L20" s="34" t="e">
        <f ca="1"/>
        <v>#N/A</v>
      </c>
      <c r="M20" s="35" t="e">
        <f ca="1"/>
        <v>#N/A</v>
      </c>
      <c r="N20" s="3" t="s">
        <v>1</v>
      </c>
      <c r="O20" s="43">
        <v>12</v>
      </c>
      <c r="P20" s="8">
        <f ca="1">IF(ISNA(R20),NA(),IF(ISBLANK(Q20),IF(FloatAmortizationFrequency=0,P19,IF(MOD((O20-1),FloatAmortizationFrequency)&lt;&gt;0,P19,P19-FloatAmortization)),Q20))</f>
        <v>5000000</v>
      </c>
      <c r="Q20" s="66"/>
      <c r="R20" s="32">
        <f ca="1"/>
        <v>44616</v>
      </c>
      <c r="S20" s="32">
        <f ca="1"/>
        <v>44620</v>
      </c>
      <c r="T20" s="32">
        <f ca="1"/>
        <v>44803</v>
      </c>
      <c r="U20" s="8">
        <f ca="1"/>
        <v>183</v>
      </c>
      <c r="V20" s="34">
        <f ca="1"/>
        <v>0.5083333333333333</v>
      </c>
      <c r="W20" s="35">
        <f ca="1"/>
        <v>44803</v>
      </c>
      <c r="X20" s="5" t="s">
        <v>1</v>
      </c>
    </row>
    <row r="21" spans="2:24" x14ac:dyDescent="0.25">
      <c r="B21" s="10" t="s">
        <v>27</v>
      </c>
      <c r="C21" s="12" t="s">
        <v>28</v>
      </c>
      <c r="D21" s="5" t="s">
        <v>1</v>
      </c>
      <c r="E21" s="43">
        <v>13</v>
      </c>
      <c r="F21" s="8" t="e">
        <f ca="1">IF(ISNA(H21),NA(),IF(ISBLANK(G21),IF(FixedAmortizationFrequency=0,F20,IF(MOD((E21-1),FixedAmortizationFrequency)&lt;&gt;0,F20,F20-FixedAmortization)),G21))</f>
        <v>#N/A</v>
      </c>
      <c r="G21" s="66"/>
      <c r="H21" s="62" t="e">
        <f ca="1"/>
        <v>#N/A</v>
      </c>
      <c r="I21" s="32" t="e">
        <f ca="1"/>
        <v>#N/A</v>
      </c>
      <c r="J21" s="32" t="e">
        <f ca="1"/>
        <v>#N/A</v>
      </c>
      <c r="K21" s="8" t="e">
        <f ca="1"/>
        <v>#N/A</v>
      </c>
      <c r="L21" s="34" t="e">
        <f ca="1"/>
        <v>#N/A</v>
      </c>
      <c r="M21" s="35" t="e">
        <f ca="1"/>
        <v>#N/A</v>
      </c>
      <c r="N21" s="3" t="s">
        <v>1</v>
      </c>
      <c r="O21" s="43">
        <v>13</v>
      </c>
      <c r="P21" s="8">
        <f ca="1">IF(ISNA(R21),NA(),IF(ISBLANK(Q21),IF(FloatAmortizationFrequency=0,P20,IF(MOD((O21-1),FloatAmortizationFrequency)&lt;&gt;0,P20,P20-FloatAmortization)),Q21))</f>
        <v>4000000</v>
      </c>
      <c r="Q21" s="66"/>
      <c r="R21" s="32">
        <f ca="1"/>
        <v>44799</v>
      </c>
      <c r="S21" s="32">
        <f ca="1"/>
        <v>44803</v>
      </c>
      <c r="T21" s="32">
        <f ca="1"/>
        <v>44985</v>
      </c>
      <c r="U21" s="8">
        <f ca="1"/>
        <v>182</v>
      </c>
      <c r="V21" s="34">
        <f ca="1"/>
        <v>0.50555555555555554</v>
      </c>
      <c r="W21" s="35">
        <f ca="1"/>
        <v>44985</v>
      </c>
      <c r="X21" s="5" t="s">
        <v>1</v>
      </c>
    </row>
    <row r="22" spans="2:24" x14ac:dyDescent="0.25">
      <c r="B22" s="10" t="s">
        <v>29</v>
      </c>
      <c r="C22" s="7"/>
      <c r="D22" s="5" t="s">
        <v>1</v>
      </c>
      <c r="E22" s="43">
        <v>14</v>
      </c>
      <c r="F22" s="8" t="e">
        <f ca="1">IF(ISNA(H22),NA(),IF(ISBLANK(G22),IF(FixedAmortizationFrequency=0,F21,IF(MOD((E22-1),FixedAmortizationFrequency)&lt;&gt;0,F21,F21-FixedAmortization)),G22))</f>
        <v>#N/A</v>
      </c>
      <c r="G22" s="66"/>
      <c r="H22" s="62" t="e">
        <f ca="1"/>
        <v>#N/A</v>
      </c>
      <c r="I22" s="32" t="e">
        <f ca="1"/>
        <v>#N/A</v>
      </c>
      <c r="J22" s="32" t="e">
        <f ca="1"/>
        <v>#N/A</v>
      </c>
      <c r="K22" s="8" t="e">
        <f ca="1"/>
        <v>#N/A</v>
      </c>
      <c r="L22" s="34" t="e">
        <f ca="1"/>
        <v>#N/A</v>
      </c>
      <c r="M22" s="35" t="e">
        <f ca="1"/>
        <v>#N/A</v>
      </c>
      <c r="N22" s="3" t="s">
        <v>1</v>
      </c>
      <c r="O22" s="43">
        <v>14</v>
      </c>
      <c r="P22" s="8">
        <f ca="1">IF(ISNA(R22),NA(),IF(ISBLANK(Q22),IF(FloatAmortizationFrequency=0,P21,IF(MOD((O22-1),FloatAmortizationFrequency)&lt;&gt;0,P21,P21-FloatAmortization)),Q22))</f>
        <v>4000000</v>
      </c>
      <c r="Q22" s="66"/>
      <c r="R22" s="32">
        <f ca="1"/>
        <v>44981</v>
      </c>
      <c r="S22" s="32">
        <f ca="1"/>
        <v>44985</v>
      </c>
      <c r="T22" s="32">
        <f ca="1"/>
        <v>45168</v>
      </c>
      <c r="U22" s="8">
        <f ca="1"/>
        <v>183</v>
      </c>
      <c r="V22" s="34">
        <f ca="1"/>
        <v>0.5083333333333333</v>
      </c>
      <c r="W22" s="35">
        <f ca="1"/>
        <v>45168</v>
      </c>
      <c r="X22" s="5" t="s">
        <v>1</v>
      </c>
    </row>
    <row r="23" spans="2:24" x14ac:dyDescent="0.25">
      <c r="B23" s="10" t="s">
        <v>30</v>
      </c>
      <c r="C23" s="7"/>
      <c r="D23" s="5" t="s">
        <v>1</v>
      </c>
      <c r="E23" s="43">
        <v>15</v>
      </c>
      <c r="F23" s="8" t="e">
        <f ca="1">IF(ISNA(H23),NA(),IF(ISBLANK(G23),IF(FixedAmortizationFrequency=0,F22,IF(MOD((E23-1),FixedAmortizationFrequency)&lt;&gt;0,F22,F22-FixedAmortization)),G23))</f>
        <v>#N/A</v>
      </c>
      <c r="G23" s="66"/>
      <c r="H23" s="62" t="e">
        <f ca="1"/>
        <v>#N/A</v>
      </c>
      <c r="I23" s="32" t="e">
        <f ca="1"/>
        <v>#N/A</v>
      </c>
      <c r="J23" s="32" t="e">
        <f ca="1"/>
        <v>#N/A</v>
      </c>
      <c r="K23" s="8" t="e">
        <f ca="1"/>
        <v>#N/A</v>
      </c>
      <c r="L23" s="34" t="e">
        <f ca="1"/>
        <v>#N/A</v>
      </c>
      <c r="M23" s="35" t="e">
        <f ca="1"/>
        <v>#N/A</v>
      </c>
      <c r="N23" s="3" t="s">
        <v>1</v>
      </c>
      <c r="O23" s="43">
        <v>15</v>
      </c>
      <c r="P23" s="8">
        <f ca="1">IF(ISNA(R23),NA(),IF(ISBLANK(Q23),IF(FloatAmortizationFrequency=0,P22,IF(MOD((O23-1),FloatAmortizationFrequency)&lt;&gt;0,P22,P22-FloatAmortization)),Q23))</f>
        <v>3000000</v>
      </c>
      <c r="Q23" s="66"/>
      <c r="R23" s="32">
        <f ca="1"/>
        <v>45166</v>
      </c>
      <c r="S23" s="32">
        <f ca="1"/>
        <v>45168</v>
      </c>
      <c r="T23" s="32">
        <f ca="1"/>
        <v>45351</v>
      </c>
      <c r="U23" s="8">
        <f ca="1"/>
        <v>183</v>
      </c>
      <c r="V23" s="34">
        <f ca="1"/>
        <v>0.5083333333333333</v>
      </c>
      <c r="W23" s="35">
        <f ca="1"/>
        <v>45351</v>
      </c>
      <c r="X23" s="5" t="s">
        <v>1</v>
      </c>
    </row>
    <row r="24" spans="2:24" x14ac:dyDescent="0.25">
      <c r="B24" s="16" t="s">
        <v>31</v>
      </c>
      <c r="C24" s="48"/>
      <c r="D24" s="5" t="s">
        <v>1</v>
      </c>
      <c r="E24" s="43">
        <v>16</v>
      </c>
      <c r="F24" s="8" t="e">
        <f ca="1">IF(ISNA(H24),NA(),IF(ISBLANK(G24),IF(FixedAmortizationFrequency=0,F23,IF(MOD((E24-1),FixedAmortizationFrequency)&lt;&gt;0,F23,F23-FixedAmortization)),G24))</f>
        <v>#N/A</v>
      </c>
      <c r="G24" s="66"/>
      <c r="H24" s="62" t="e">
        <f ca="1"/>
        <v>#N/A</v>
      </c>
      <c r="I24" s="32" t="e">
        <f ca="1"/>
        <v>#N/A</v>
      </c>
      <c r="J24" s="32" t="e">
        <f ca="1"/>
        <v>#N/A</v>
      </c>
      <c r="K24" s="8" t="e">
        <f ca="1"/>
        <v>#N/A</v>
      </c>
      <c r="L24" s="34" t="e">
        <f ca="1"/>
        <v>#N/A</v>
      </c>
      <c r="M24" s="35" t="e">
        <f ca="1"/>
        <v>#N/A</v>
      </c>
      <c r="N24" s="3" t="s">
        <v>1</v>
      </c>
      <c r="O24" s="43">
        <v>16</v>
      </c>
      <c r="P24" s="8">
        <f ca="1">IF(ISNA(R24),NA(),IF(ISBLANK(Q24),IF(FloatAmortizationFrequency=0,P23,IF(MOD((O24-1),FloatAmortizationFrequency)&lt;&gt;0,P23,P23-FloatAmortization)),Q24))</f>
        <v>3000000</v>
      </c>
      <c r="Q24" s="66"/>
      <c r="R24" s="32">
        <f ca="1"/>
        <v>45349</v>
      </c>
      <c r="S24" s="32">
        <f ca="1"/>
        <v>45351</v>
      </c>
      <c r="T24" s="32">
        <f ca="1"/>
        <v>45534</v>
      </c>
      <c r="U24" s="8">
        <f ca="1"/>
        <v>183</v>
      </c>
      <c r="V24" s="34">
        <f ca="1"/>
        <v>0.5083333333333333</v>
      </c>
      <c r="W24" s="35">
        <f ca="1"/>
        <v>45534</v>
      </c>
      <c r="X24" s="5" t="s">
        <v>1</v>
      </c>
    </row>
    <row r="25" spans="2:24" x14ac:dyDescent="0.25">
      <c r="B25" s="17" t="s">
        <v>38</v>
      </c>
      <c r="C25" s="49" t="s">
        <v>12</v>
      </c>
      <c r="D25" s="5" t="s">
        <v>1</v>
      </c>
      <c r="E25" s="43">
        <v>17</v>
      </c>
      <c r="F25" s="8" t="e">
        <f ca="1">IF(ISNA(H25),NA(),IF(ISBLANK(G25),IF(FixedAmortizationFrequency=0,F24,IF(MOD((E25-1),FixedAmortizationFrequency)&lt;&gt;0,F24,F24-FixedAmortization)),G25))</f>
        <v>#N/A</v>
      </c>
      <c r="G25" s="66"/>
      <c r="H25" s="62" t="e">
        <f ca="1"/>
        <v>#N/A</v>
      </c>
      <c r="I25" s="32" t="e">
        <f ca="1"/>
        <v>#N/A</v>
      </c>
      <c r="J25" s="32" t="e">
        <f ca="1"/>
        <v>#N/A</v>
      </c>
      <c r="K25" s="8" t="e">
        <f ca="1"/>
        <v>#N/A</v>
      </c>
      <c r="L25" s="34" t="e">
        <f ca="1"/>
        <v>#N/A</v>
      </c>
      <c r="M25" s="35" t="e">
        <f ca="1"/>
        <v>#N/A</v>
      </c>
      <c r="N25" s="3" t="s">
        <v>1</v>
      </c>
      <c r="O25" s="43">
        <v>17</v>
      </c>
      <c r="P25" s="8">
        <f ca="1">IF(ISNA(R25),NA(),IF(ISBLANK(Q25),IF(FloatAmortizationFrequency=0,P24,IF(MOD((O25-1),FloatAmortizationFrequency)&lt;&gt;0,P24,P24-FloatAmortization)),Q25))</f>
        <v>2000000</v>
      </c>
      <c r="Q25" s="66"/>
      <c r="R25" s="32">
        <f ca="1"/>
        <v>45532</v>
      </c>
      <c r="S25" s="32">
        <f ca="1"/>
        <v>45534</v>
      </c>
      <c r="T25" s="32">
        <f ca="1"/>
        <v>45716</v>
      </c>
      <c r="U25" s="8">
        <f ca="1"/>
        <v>182</v>
      </c>
      <c r="V25" s="34">
        <f ca="1"/>
        <v>0.50555555555555554</v>
      </c>
      <c r="W25" s="35">
        <f ca="1"/>
        <v>45716</v>
      </c>
      <c r="X25" s="5" t="s">
        <v>1</v>
      </c>
    </row>
    <row r="26" spans="2:24" x14ac:dyDescent="0.25">
      <c r="D26" s="5" t="s">
        <v>1</v>
      </c>
      <c r="E26" s="43">
        <v>18</v>
      </c>
      <c r="F26" s="8" t="e">
        <f ca="1">IF(ISNA(H26),NA(),IF(ISBLANK(G26),IF(FixedAmortizationFrequency=0,F25,IF(MOD((E26-1),FixedAmortizationFrequency)&lt;&gt;0,F25,F25-FixedAmortization)),G26))</f>
        <v>#N/A</v>
      </c>
      <c r="G26" s="66"/>
      <c r="H26" s="63" t="e">
        <f ca="1"/>
        <v>#N/A</v>
      </c>
      <c r="I26" s="33" t="e">
        <f ca="1"/>
        <v>#N/A</v>
      </c>
      <c r="J26" s="33" t="e">
        <f ca="1"/>
        <v>#N/A</v>
      </c>
      <c r="K26" s="25" t="e">
        <f ca="1"/>
        <v>#N/A</v>
      </c>
      <c r="L26" s="36" t="e">
        <f ca="1"/>
        <v>#N/A</v>
      </c>
      <c r="M26" s="37" t="e">
        <f ca="1"/>
        <v>#N/A</v>
      </c>
      <c r="N26" s="3" t="s">
        <v>1</v>
      </c>
      <c r="O26" s="43">
        <v>18</v>
      </c>
      <c r="P26" s="8">
        <f ca="1">IF(ISNA(R26),NA(),IF(ISBLANK(Q26),IF(FloatAmortizationFrequency=0,P25,IF(MOD((O26-1),FloatAmortizationFrequency)&lt;&gt;0,P25,P25-FloatAmortization)),Q26))</f>
        <v>2000000</v>
      </c>
      <c r="Q26" s="66"/>
      <c r="R26" s="33">
        <f ca="1"/>
        <v>45714</v>
      </c>
      <c r="S26" s="33">
        <f ca="1"/>
        <v>45716</v>
      </c>
      <c r="T26" s="33">
        <f ca="1"/>
        <v>45898</v>
      </c>
      <c r="U26" s="25">
        <f ca="1"/>
        <v>182</v>
      </c>
      <c r="V26" s="36">
        <f ca="1"/>
        <v>0.50555555555555554</v>
      </c>
      <c r="W26" s="37">
        <f ca="1"/>
        <v>45898</v>
      </c>
      <c r="X26" s="5" t="s">
        <v>1</v>
      </c>
    </row>
    <row r="27" spans="2:24" x14ac:dyDescent="0.25">
      <c r="B27" s="4" t="s">
        <v>34</v>
      </c>
      <c r="D27" s="5" t="s">
        <v>1</v>
      </c>
      <c r="E27" s="43">
        <v>19</v>
      </c>
      <c r="F27" s="8" t="e">
        <f ca="1">IF(ISNA(H27),NA(),IF(ISBLANK(G27),IF(FixedAmortizationFrequency=0,F26,IF(MOD((E27-1),FixedAmortizationFrequency)&lt;&gt;0,F26,F26-FixedAmortization)),G27))</f>
        <v>#N/A</v>
      </c>
      <c r="G27" s="66"/>
      <c r="H27" s="63" t="e">
        <f ca="1"/>
        <v>#N/A</v>
      </c>
      <c r="I27" s="33" t="e">
        <f ca="1"/>
        <v>#N/A</v>
      </c>
      <c r="J27" s="33" t="e">
        <f ca="1"/>
        <v>#N/A</v>
      </c>
      <c r="K27" s="25" t="e">
        <f ca="1"/>
        <v>#N/A</v>
      </c>
      <c r="L27" s="36" t="e">
        <f ca="1"/>
        <v>#N/A</v>
      </c>
      <c r="M27" s="37" t="e">
        <f ca="1"/>
        <v>#N/A</v>
      </c>
      <c r="N27" s="3" t="s">
        <v>1</v>
      </c>
      <c r="O27" s="43">
        <v>19</v>
      </c>
      <c r="P27" s="8">
        <f ca="1">IF(ISNA(R27),NA(),IF(ISBLANK(Q27),IF(FloatAmortizationFrequency=0,P26,IF(MOD((O27-1),FloatAmortizationFrequency)&lt;&gt;0,P26,P26-FloatAmortization)),Q27))</f>
        <v>1000000</v>
      </c>
      <c r="Q27" s="66"/>
      <c r="R27" s="33">
        <f ca="1"/>
        <v>45896</v>
      </c>
      <c r="S27" s="33">
        <f ca="1"/>
        <v>45898</v>
      </c>
      <c r="T27" s="33">
        <f ca="1"/>
        <v>46080</v>
      </c>
      <c r="U27" s="25">
        <f ca="1"/>
        <v>182</v>
      </c>
      <c r="V27" s="36">
        <f ca="1"/>
        <v>0.50555555555555554</v>
      </c>
      <c r="W27" s="37">
        <f ca="1"/>
        <v>46080</v>
      </c>
      <c r="X27" s="5" t="s">
        <v>1</v>
      </c>
    </row>
    <row r="28" spans="2:24" x14ac:dyDescent="0.25">
      <c r="B28" s="9" t="s">
        <v>14</v>
      </c>
      <c r="C28" s="46">
        <f ca="1">_xll.meDateFromTenor(AsOfDate,EffectiveLag,C32,C33)</f>
        <v>42612</v>
      </c>
      <c r="D28" s="5" t="s">
        <v>1</v>
      </c>
      <c r="E28" s="43">
        <v>20</v>
      </c>
      <c r="F28" s="8" t="e">
        <f ca="1">IF(ISNA(H28),NA(),IF(ISBLANK(G28),IF(FixedAmortizationFrequency=0,F27,IF(MOD((E28-1),FixedAmortizationFrequency)&lt;&gt;0,F27,F27-FixedAmortization)),G28))</f>
        <v>#N/A</v>
      </c>
      <c r="G28" s="66"/>
      <c r="H28" s="63" t="e">
        <f ca="1"/>
        <v>#N/A</v>
      </c>
      <c r="I28" s="33" t="e">
        <f ca="1"/>
        <v>#N/A</v>
      </c>
      <c r="J28" s="33" t="e">
        <f ca="1"/>
        <v>#N/A</v>
      </c>
      <c r="K28" s="25" t="e">
        <f ca="1"/>
        <v>#N/A</v>
      </c>
      <c r="L28" s="36" t="e">
        <f ca="1"/>
        <v>#N/A</v>
      </c>
      <c r="M28" s="37" t="e">
        <f ca="1"/>
        <v>#N/A</v>
      </c>
      <c r="N28" s="3" t="s">
        <v>1</v>
      </c>
      <c r="O28" s="43">
        <v>20</v>
      </c>
      <c r="P28" s="8">
        <f ca="1">IF(ISNA(R28),NA(),IF(ISBLANK(Q28),IF(FloatAmortizationFrequency=0,P27,IF(MOD((O28-1),FloatAmortizationFrequency)&lt;&gt;0,P27,P27-FloatAmortization)),Q28))</f>
        <v>1000000</v>
      </c>
      <c r="Q28" s="66"/>
      <c r="R28" s="33">
        <f ca="1"/>
        <v>46078</v>
      </c>
      <c r="S28" s="33">
        <f ca="1"/>
        <v>46080</v>
      </c>
      <c r="T28" s="33">
        <f ca="1"/>
        <v>46265</v>
      </c>
      <c r="U28" s="25">
        <f ca="1"/>
        <v>185</v>
      </c>
      <c r="V28" s="36">
        <f ca="1"/>
        <v>0.51388888888888884</v>
      </c>
      <c r="W28" s="37">
        <f ca="1"/>
        <v>46265</v>
      </c>
      <c r="X28" s="5" t="s">
        <v>1</v>
      </c>
    </row>
    <row r="29" spans="2:24" x14ac:dyDescent="0.25">
      <c r="B29" s="10" t="s">
        <v>15</v>
      </c>
      <c r="C29" s="53" t="str">
        <f ca="1">MaturityDate</f>
        <v>10Y</v>
      </c>
      <c r="D29" s="5" t="s">
        <v>1</v>
      </c>
      <c r="E29" s="43">
        <v>21</v>
      </c>
      <c r="F29" s="8" t="e">
        <f ca="1">IF(ISNA(H29),NA(),IF(ISBLANK(G29),IF(FixedAmortizationFrequency=0,F28,IF(MOD((E29-1),FixedAmortizationFrequency)&lt;&gt;0,F28,F28-FixedAmortization)),G29))</f>
        <v>#N/A</v>
      </c>
      <c r="G29" s="66"/>
      <c r="H29" s="63" t="e">
        <f ca="1"/>
        <v>#N/A</v>
      </c>
      <c r="I29" s="33" t="e">
        <f ca="1"/>
        <v>#N/A</v>
      </c>
      <c r="J29" s="33" t="e">
        <f ca="1"/>
        <v>#N/A</v>
      </c>
      <c r="K29" s="25" t="e">
        <f ca="1"/>
        <v>#N/A</v>
      </c>
      <c r="L29" s="36" t="e">
        <f ca="1"/>
        <v>#N/A</v>
      </c>
      <c r="M29" s="37" t="e">
        <f ca="1"/>
        <v>#N/A</v>
      </c>
      <c r="N29" s="3" t="s">
        <v>1</v>
      </c>
      <c r="O29" s="43">
        <v>21</v>
      </c>
      <c r="P29" s="8" t="e">
        <f ca="1">IF(ISNA(R29),NA(),IF(ISBLANK(Q29),IF(FloatAmortizationFrequency=0,P28,IF(MOD((O29-1),FloatAmortizationFrequency)&lt;&gt;0,P28,P28-FloatAmortization)),Q29))</f>
        <v>#N/A</v>
      </c>
      <c r="Q29" s="66"/>
      <c r="R29" s="33" t="e">
        <f ca="1"/>
        <v>#N/A</v>
      </c>
      <c r="S29" s="33" t="e">
        <f ca="1"/>
        <v>#N/A</v>
      </c>
      <c r="T29" s="33" t="e">
        <f ca="1"/>
        <v>#N/A</v>
      </c>
      <c r="U29" s="25" t="e">
        <f ca="1"/>
        <v>#N/A</v>
      </c>
      <c r="V29" s="36" t="e">
        <f ca="1"/>
        <v>#N/A</v>
      </c>
      <c r="W29" s="37" t="e">
        <f ca="1"/>
        <v>#N/A</v>
      </c>
      <c r="X29" s="5" t="s">
        <v>1</v>
      </c>
    </row>
    <row r="30" spans="2:24" x14ac:dyDescent="0.25">
      <c r="B30" s="10" t="s">
        <v>36</v>
      </c>
      <c r="C30" s="6" t="s">
        <v>2</v>
      </c>
      <c r="D30" s="5" t="s">
        <v>1</v>
      </c>
      <c r="E30" s="43">
        <v>22</v>
      </c>
      <c r="F30" s="8" t="e">
        <f ca="1">IF(ISNA(H30),NA(),IF(ISBLANK(G30),IF(FixedAmortizationFrequency=0,F29,IF(MOD((E30-1),FixedAmortizationFrequency)&lt;&gt;0,F29,F29-FixedAmortization)),G30))</f>
        <v>#N/A</v>
      </c>
      <c r="G30" s="66"/>
      <c r="H30" s="63" t="e">
        <f ca="1"/>
        <v>#N/A</v>
      </c>
      <c r="I30" s="33" t="e">
        <f ca="1"/>
        <v>#N/A</v>
      </c>
      <c r="J30" s="33" t="e">
        <f ca="1"/>
        <v>#N/A</v>
      </c>
      <c r="K30" s="25" t="e">
        <f ca="1"/>
        <v>#N/A</v>
      </c>
      <c r="L30" s="36" t="e">
        <f ca="1"/>
        <v>#N/A</v>
      </c>
      <c r="M30" s="37" t="e">
        <f ca="1"/>
        <v>#N/A</v>
      </c>
      <c r="N30" s="3" t="s">
        <v>1</v>
      </c>
      <c r="O30" s="43">
        <v>22</v>
      </c>
      <c r="P30" s="8" t="e">
        <f ca="1">IF(ISNA(R30),NA(),IF(ISBLANK(Q30),IF(FloatAmortizationFrequency=0,P29,IF(MOD((O30-1),FloatAmortizationFrequency)&lt;&gt;0,P29,P29-FloatAmortization)),Q30))</f>
        <v>#N/A</v>
      </c>
      <c r="Q30" s="66"/>
      <c r="R30" s="33" t="e">
        <f ca="1"/>
        <v>#N/A</v>
      </c>
      <c r="S30" s="33" t="e">
        <f ca="1"/>
        <v>#N/A</v>
      </c>
      <c r="T30" s="33" t="e">
        <f ca="1"/>
        <v>#N/A</v>
      </c>
      <c r="U30" s="25" t="e">
        <f ca="1"/>
        <v>#N/A</v>
      </c>
      <c r="V30" s="36" t="e">
        <f ca="1"/>
        <v>#N/A</v>
      </c>
      <c r="W30" s="37" t="e">
        <f ca="1"/>
        <v>#N/A</v>
      </c>
      <c r="X30" s="5" t="s">
        <v>1</v>
      </c>
    </row>
    <row r="31" spans="2:24" x14ac:dyDescent="0.25">
      <c r="B31" s="10" t="s">
        <v>17</v>
      </c>
      <c r="C31" s="47" t="s">
        <v>9</v>
      </c>
      <c r="D31" s="5" t="s">
        <v>1</v>
      </c>
      <c r="E31" s="43">
        <v>23</v>
      </c>
      <c r="F31" s="8" t="e">
        <f ca="1">IF(ISNA(H31),NA(),IF(ISBLANK(G31),IF(FixedAmortizationFrequency=0,F30,IF(MOD((E31-1),FixedAmortizationFrequency)&lt;&gt;0,F30,F30-FixedAmortization)),G31))</f>
        <v>#N/A</v>
      </c>
      <c r="G31" s="66"/>
      <c r="H31" s="63" t="e">
        <f ca="1"/>
        <v>#N/A</v>
      </c>
      <c r="I31" s="33" t="e">
        <f ca="1"/>
        <v>#N/A</v>
      </c>
      <c r="J31" s="33" t="e">
        <f ca="1"/>
        <v>#N/A</v>
      </c>
      <c r="K31" s="25" t="e">
        <f ca="1"/>
        <v>#N/A</v>
      </c>
      <c r="L31" s="36" t="e">
        <f ca="1"/>
        <v>#N/A</v>
      </c>
      <c r="M31" s="37" t="e">
        <f ca="1"/>
        <v>#N/A</v>
      </c>
      <c r="N31" s="3" t="s">
        <v>1</v>
      </c>
      <c r="O31" s="43">
        <v>23</v>
      </c>
      <c r="P31" s="8" t="e">
        <f ca="1">IF(ISNA(R31),NA(),IF(ISBLANK(Q31),IF(FloatAmortizationFrequency=0,P30,IF(MOD((O31-1),FloatAmortizationFrequency)&lt;&gt;0,P30,P30-FloatAmortization)),Q31))</f>
        <v>#N/A</v>
      </c>
      <c r="Q31" s="66"/>
      <c r="R31" s="33" t="e">
        <f ca="1"/>
        <v>#N/A</v>
      </c>
      <c r="S31" s="33" t="e">
        <f ca="1"/>
        <v>#N/A</v>
      </c>
      <c r="T31" s="33" t="e">
        <f ca="1"/>
        <v>#N/A</v>
      </c>
      <c r="U31" s="25" t="e">
        <f ca="1"/>
        <v>#N/A</v>
      </c>
      <c r="V31" s="36" t="e">
        <f ca="1"/>
        <v>#N/A</v>
      </c>
      <c r="W31" s="37" t="e">
        <f ca="1"/>
        <v>#N/A</v>
      </c>
      <c r="X31" s="5" t="s">
        <v>1</v>
      </c>
    </row>
    <row r="32" spans="2:24" x14ac:dyDescent="0.25">
      <c r="B32" s="10" t="s">
        <v>18</v>
      </c>
      <c r="C32" s="11" t="s">
        <v>5</v>
      </c>
      <c r="D32" s="5" t="s">
        <v>1</v>
      </c>
      <c r="E32" s="43">
        <v>24</v>
      </c>
      <c r="F32" s="8" t="e">
        <f ca="1">IF(ISNA(H32),NA(),IF(ISBLANK(G32),IF(FixedAmortizationFrequency=0,F31,IF(MOD((E32-1),FixedAmortizationFrequency)&lt;&gt;0,F31,F31-FixedAmortization)),G32))</f>
        <v>#N/A</v>
      </c>
      <c r="G32" s="66"/>
      <c r="H32" s="63" t="e">
        <f ca="1"/>
        <v>#N/A</v>
      </c>
      <c r="I32" s="33" t="e">
        <f ca="1"/>
        <v>#N/A</v>
      </c>
      <c r="J32" s="33" t="e">
        <f ca="1"/>
        <v>#N/A</v>
      </c>
      <c r="K32" s="25" t="e">
        <f ca="1"/>
        <v>#N/A</v>
      </c>
      <c r="L32" s="36" t="e">
        <f ca="1"/>
        <v>#N/A</v>
      </c>
      <c r="M32" s="37" t="e">
        <f ca="1"/>
        <v>#N/A</v>
      </c>
      <c r="N32" s="3" t="s">
        <v>1</v>
      </c>
      <c r="O32" s="43">
        <v>24</v>
      </c>
      <c r="P32" s="8" t="e">
        <f ca="1">IF(ISNA(R32),NA(),IF(ISBLANK(Q32),IF(FloatAmortizationFrequency=0,P31,IF(MOD((O32-1),FloatAmortizationFrequency)&lt;&gt;0,P31,P31-FloatAmortization)),Q32))</f>
        <v>#N/A</v>
      </c>
      <c r="Q32" s="66"/>
      <c r="R32" s="33" t="e">
        <f ca="1"/>
        <v>#N/A</v>
      </c>
      <c r="S32" s="33" t="e">
        <f ca="1"/>
        <v>#N/A</v>
      </c>
      <c r="T32" s="33" t="e">
        <f ca="1"/>
        <v>#N/A</v>
      </c>
      <c r="U32" s="25" t="e">
        <f ca="1"/>
        <v>#N/A</v>
      </c>
      <c r="V32" s="36" t="e">
        <f ca="1"/>
        <v>#N/A</v>
      </c>
      <c r="W32" s="37" t="e">
        <f ca="1"/>
        <v>#N/A</v>
      </c>
      <c r="X32" s="5" t="s">
        <v>1</v>
      </c>
    </row>
    <row r="33" spans="2:24" x14ac:dyDescent="0.25">
      <c r="B33" s="10" t="s">
        <v>19</v>
      </c>
      <c r="C33" s="12" t="s">
        <v>0</v>
      </c>
      <c r="D33" s="5" t="s">
        <v>1</v>
      </c>
      <c r="E33" s="43">
        <v>25</v>
      </c>
      <c r="F33" s="8" t="e">
        <f ca="1">IF(ISNA(H33),NA(),IF(ISBLANK(G33),IF(FixedAmortizationFrequency=0,F32,IF(MOD((E33-1),FixedAmortizationFrequency)&lt;&gt;0,F32,F32-FixedAmortization)),G33))</f>
        <v>#N/A</v>
      </c>
      <c r="G33" s="66"/>
      <c r="H33" s="63" t="e">
        <f ca="1"/>
        <v>#N/A</v>
      </c>
      <c r="I33" s="33" t="e">
        <f ca="1"/>
        <v>#N/A</v>
      </c>
      <c r="J33" s="33" t="e">
        <f ca="1"/>
        <v>#N/A</v>
      </c>
      <c r="K33" s="25" t="e">
        <f ca="1"/>
        <v>#N/A</v>
      </c>
      <c r="L33" s="36" t="e">
        <f ca="1"/>
        <v>#N/A</v>
      </c>
      <c r="M33" s="37" t="e">
        <f ca="1"/>
        <v>#N/A</v>
      </c>
      <c r="N33" s="3" t="s">
        <v>1</v>
      </c>
      <c r="O33" s="43">
        <v>25</v>
      </c>
      <c r="P33" s="8" t="e">
        <f ca="1">IF(ISNA(R33),NA(),IF(ISBLANK(Q33),IF(FloatAmortizationFrequency=0,P32,IF(MOD((O33-1),FloatAmortizationFrequency)&lt;&gt;0,P32,P32-FloatAmortization)),Q33))</f>
        <v>#N/A</v>
      </c>
      <c r="Q33" s="66"/>
      <c r="R33" s="33" t="e">
        <f ca="1"/>
        <v>#N/A</v>
      </c>
      <c r="S33" s="33" t="e">
        <f ca="1"/>
        <v>#N/A</v>
      </c>
      <c r="T33" s="33" t="e">
        <f ca="1"/>
        <v>#N/A</v>
      </c>
      <c r="U33" s="25" t="e">
        <f ca="1"/>
        <v>#N/A</v>
      </c>
      <c r="V33" s="36" t="e">
        <f ca="1"/>
        <v>#N/A</v>
      </c>
      <c r="W33" s="37" t="e">
        <f ca="1"/>
        <v>#N/A</v>
      </c>
      <c r="X33" s="5" t="s">
        <v>1</v>
      </c>
    </row>
    <row r="34" spans="2:24" x14ac:dyDescent="0.25">
      <c r="B34" s="10" t="s">
        <v>20</v>
      </c>
      <c r="C34" s="47" t="s">
        <v>9</v>
      </c>
      <c r="D34" s="5" t="s">
        <v>1</v>
      </c>
      <c r="E34" s="43">
        <v>26</v>
      </c>
      <c r="F34" s="8" t="e">
        <f ca="1">IF(ISNA(H34),NA(),IF(ISBLANK(G34),IF(FixedAmortizationFrequency=0,F33,IF(MOD((E34-1),FixedAmortizationFrequency)&lt;&gt;0,F33,F33-FixedAmortization)),G34))</f>
        <v>#N/A</v>
      </c>
      <c r="G34" s="66"/>
      <c r="H34" s="63" t="e">
        <f ca="1"/>
        <v>#N/A</v>
      </c>
      <c r="I34" s="33" t="e">
        <f ca="1"/>
        <v>#N/A</v>
      </c>
      <c r="J34" s="33" t="e">
        <f ca="1"/>
        <v>#N/A</v>
      </c>
      <c r="K34" s="25" t="e">
        <f ca="1"/>
        <v>#N/A</v>
      </c>
      <c r="L34" s="36" t="e">
        <f ca="1"/>
        <v>#N/A</v>
      </c>
      <c r="M34" s="37" t="e">
        <f ca="1"/>
        <v>#N/A</v>
      </c>
      <c r="N34" s="3" t="s">
        <v>1</v>
      </c>
      <c r="O34" s="43">
        <v>26</v>
      </c>
      <c r="P34" s="8" t="e">
        <f ca="1">IF(ISNA(R34),NA(),IF(ISBLANK(Q34),IF(FloatAmortizationFrequency=0,P33,IF(MOD((O34-1),FloatAmortizationFrequency)&lt;&gt;0,P33,P33-FloatAmortization)),Q34))</f>
        <v>#N/A</v>
      </c>
      <c r="Q34" s="66"/>
      <c r="R34" s="33" t="e">
        <f ca="1"/>
        <v>#N/A</v>
      </c>
      <c r="S34" s="33" t="e">
        <f ca="1"/>
        <v>#N/A</v>
      </c>
      <c r="T34" s="33" t="e">
        <f ca="1"/>
        <v>#N/A</v>
      </c>
      <c r="U34" s="25" t="e">
        <f ca="1"/>
        <v>#N/A</v>
      </c>
      <c r="V34" s="36" t="e">
        <f ca="1"/>
        <v>#N/A</v>
      </c>
      <c r="W34" s="37" t="e">
        <f ca="1"/>
        <v>#N/A</v>
      </c>
      <c r="X34" s="5" t="s">
        <v>1</v>
      </c>
    </row>
    <row r="35" spans="2:24" x14ac:dyDescent="0.25">
      <c r="B35" s="10" t="s">
        <v>21</v>
      </c>
      <c r="C35" s="11" t="s">
        <v>5</v>
      </c>
      <c r="D35" s="5" t="s">
        <v>1</v>
      </c>
      <c r="E35" s="43">
        <v>27</v>
      </c>
      <c r="F35" s="8" t="e">
        <f ca="1">IF(ISNA(H35),NA(),IF(ISBLANK(G35),IF(FixedAmortizationFrequency=0,F34,IF(MOD((E35-1),FixedAmortizationFrequency)&lt;&gt;0,F34,F34-FixedAmortization)),G35))</f>
        <v>#N/A</v>
      </c>
      <c r="G35" s="66"/>
      <c r="H35" s="63" t="e">
        <f ca="1"/>
        <v>#N/A</v>
      </c>
      <c r="I35" s="33" t="e">
        <f ca="1"/>
        <v>#N/A</v>
      </c>
      <c r="J35" s="33" t="e">
        <f ca="1"/>
        <v>#N/A</v>
      </c>
      <c r="K35" s="25" t="e">
        <f ca="1"/>
        <v>#N/A</v>
      </c>
      <c r="L35" s="36" t="e">
        <f ca="1"/>
        <v>#N/A</v>
      </c>
      <c r="M35" s="37" t="e">
        <f ca="1"/>
        <v>#N/A</v>
      </c>
      <c r="N35" s="3" t="s">
        <v>1</v>
      </c>
      <c r="O35" s="43">
        <v>27</v>
      </c>
      <c r="P35" s="8" t="e">
        <f ca="1">IF(ISNA(R35),NA(),IF(ISBLANK(Q35),IF(FloatAmortizationFrequency=0,P34,IF(MOD((O35-1),FloatAmortizationFrequency)&lt;&gt;0,P34,P34-FloatAmortization)),Q35))</f>
        <v>#N/A</v>
      </c>
      <c r="Q35" s="66"/>
      <c r="R35" s="33" t="e">
        <f ca="1"/>
        <v>#N/A</v>
      </c>
      <c r="S35" s="33" t="e">
        <f ca="1"/>
        <v>#N/A</v>
      </c>
      <c r="T35" s="33" t="e">
        <f ca="1"/>
        <v>#N/A</v>
      </c>
      <c r="U35" s="25" t="e">
        <f ca="1"/>
        <v>#N/A</v>
      </c>
      <c r="V35" s="36" t="e">
        <f ca="1"/>
        <v>#N/A</v>
      </c>
      <c r="W35" s="37" t="e">
        <f ca="1"/>
        <v>#N/A</v>
      </c>
      <c r="X35" s="5" t="s">
        <v>1</v>
      </c>
    </row>
    <row r="36" spans="2:24" x14ac:dyDescent="0.25">
      <c r="B36" s="10" t="s">
        <v>22</v>
      </c>
      <c r="C36" s="11" t="s">
        <v>0</v>
      </c>
      <c r="D36" s="5" t="s">
        <v>1</v>
      </c>
      <c r="E36" s="43">
        <v>28</v>
      </c>
      <c r="F36" s="8" t="e">
        <f ca="1">IF(ISNA(H36),NA(),IF(ISBLANK(G36),IF(FixedAmortizationFrequency=0,F35,IF(MOD((E36-1),FixedAmortizationFrequency)&lt;&gt;0,F35,F35-FixedAmortization)),G36))</f>
        <v>#N/A</v>
      </c>
      <c r="G36" s="66"/>
      <c r="H36" s="63" t="e">
        <f ca="1"/>
        <v>#N/A</v>
      </c>
      <c r="I36" s="33" t="e">
        <f ca="1"/>
        <v>#N/A</v>
      </c>
      <c r="J36" s="33" t="e">
        <f ca="1"/>
        <v>#N/A</v>
      </c>
      <c r="K36" s="25" t="e">
        <f ca="1"/>
        <v>#N/A</v>
      </c>
      <c r="L36" s="36" t="e">
        <f ca="1"/>
        <v>#N/A</v>
      </c>
      <c r="M36" s="37" t="e">
        <f ca="1"/>
        <v>#N/A</v>
      </c>
      <c r="N36" s="3" t="s">
        <v>1</v>
      </c>
      <c r="O36" s="43">
        <v>28</v>
      </c>
      <c r="P36" s="8" t="e">
        <f ca="1">IF(ISNA(R36),NA(),IF(ISBLANK(Q36),IF(FloatAmortizationFrequency=0,P35,IF(MOD((O36-1),FloatAmortizationFrequency)&lt;&gt;0,P35,P35-FloatAmortization)),Q36))</f>
        <v>#N/A</v>
      </c>
      <c r="Q36" s="66"/>
      <c r="R36" s="33" t="e">
        <f ca="1"/>
        <v>#N/A</v>
      </c>
      <c r="S36" s="33" t="e">
        <f ca="1"/>
        <v>#N/A</v>
      </c>
      <c r="T36" s="33" t="e">
        <f ca="1"/>
        <v>#N/A</v>
      </c>
      <c r="U36" s="25" t="e">
        <f ca="1"/>
        <v>#N/A</v>
      </c>
      <c r="V36" s="36" t="e">
        <f ca="1"/>
        <v>#N/A</v>
      </c>
      <c r="W36" s="37" t="e">
        <f ca="1"/>
        <v>#N/A</v>
      </c>
      <c r="X36" s="5" t="s">
        <v>1</v>
      </c>
    </row>
    <row r="37" spans="2:24" x14ac:dyDescent="0.25">
      <c r="B37" s="10" t="s">
        <v>23</v>
      </c>
      <c r="C37" s="13" t="s">
        <v>11</v>
      </c>
      <c r="D37" s="5" t="s">
        <v>1</v>
      </c>
      <c r="E37" s="43">
        <v>29</v>
      </c>
      <c r="F37" s="8" t="e">
        <f ca="1">IF(ISNA(H37),NA(),IF(ISBLANK(G37),IF(FixedAmortizationFrequency=0,F36,IF(MOD((E37-1),FixedAmortizationFrequency)&lt;&gt;0,F36,F36-FixedAmortization)),G37))</f>
        <v>#N/A</v>
      </c>
      <c r="G37" s="66"/>
      <c r="H37" s="63" t="e">
        <f ca="1"/>
        <v>#N/A</v>
      </c>
      <c r="I37" s="33" t="e">
        <f ca="1"/>
        <v>#N/A</v>
      </c>
      <c r="J37" s="33" t="e">
        <f ca="1"/>
        <v>#N/A</v>
      </c>
      <c r="K37" s="25" t="e">
        <f ca="1"/>
        <v>#N/A</v>
      </c>
      <c r="L37" s="36" t="e">
        <f ca="1"/>
        <v>#N/A</v>
      </c>
      <c r="M37" s="37" t="e">
        <f ca="1"/>
        <v>#N/A</v>
      </c>
      <c r="N37" s="3" t="s">
        <v>1</v>
      </c>
      <c r="O37" s="43">
        <v>29</v>
      </c>
      <c r="P37" s="8" t="e">
        <f ca="1">IF(ISNA(R37),NA(),IF(ISBLANK(Q37),IF(FloatAmortizationFrequency=0,P36,IF(MOD((O37-1),FloatAmortizationFrequency)&lt;&gt;0,P36,P36-FloatAmortization)),Q37))</f>
        <v>#N/A</v>
      </c>
      <c r="Q37" s="66"/>
      <c r="R37" s="33" t="e">
        <f ca="1"/>
        <v>#N/A</v>
      </c>
      <c r="S37" s="33" t="e">
        <f ca="1"/>
        <v>#N/A</v>
      </c>
      <c r="T37" s="33" t="e">
        <f ca="1"/>
        <v>#N/A</v>
      </c>
      <c r="U37" s="25" t="e">
        <f ca="1"/>
        <v>#N/A</v>
      </c>
      <c r="V37" s="36" t="e">
        <f ca="1"/>
        <v>#N/A</v>
      </c>
      <c r="W37" s="37" t="e">
        <f ca="1"/>
        <v>#N/A</v>
      </c>
      <c r="X37" s="5" t="s">
        <v>1</v>
      </c>
    </row>
    <row r="38" spans="2:24" x14ac:dyDescent="0.25">
      <c r="B38" s="10" t="s">
        <v>24</v>
      </c>
      <c r="C38" s="14" t="s">
        <v>5</v>
      </c>
      <c r="D38" s="5" t="s">
        <v>1</v>
      </c>
      <c r="E38" s="43">
        <v>30</v>
      </c>
      <c r="F38" s="8" t="e">
        <f ca="1">IF(ISNA(H38),NA(),IF(ISBLANK(G38),IF(FixedAmortizationFrequency=0,F37,IF(MOD((E38-1),FixedAmortizationFrequency)&lt;&gt;0,F37,F37-FixedAmortization)),G38))</f>
        <v>#N/A</v>
      </c>
      <c r="G38" s="66"/>
      <c r="H38" s="63" t="e">
        <f ca="1"/>
        <v>#N/A</v>
      </c>
      <c r="I38" s="33" t="e">
        <f ca="1"/>
        <v>#N/A</v>
      </c>
      <c r="J38" s="33" t="e">
        <f ca="1"/>
        <v>#N/A</v>
      </c>
      <c r="K38" s="25" t="e">
        <f ca="1"/>
        <v>#N/A</v>
      </c>
      <c r="L38" s="36" t="e">
        <f ca="1"/>
        <v>#N/A</v>
      </c>
      <c r="M38" s="37" t="e">
        <f ca="1"/>
        <v>#N/A</v>
      </c>
      <c r="N38" s="3" t="s">
        <v>1</v>
      </c>
      <c r="O38" s="43">
        <v>30</v>
      </c>
      <c r="P38" s="8" t="e">
        <f ca="1">IF(ISNA(R38),NA(),IF(ISBLANK(Q38),IF(FloatAmortizationFrequency=0,P37,IF(MOD((O38-1),FloatAmortizationFrequency)&lt;&gt;0,P37,P37-FloatAmortization)),Q38))</f>
        <v>#N/A</v>
      </c>
      <c r="Q38" s="66"/>
      <c r="R38" s="33" t="e">
        <f ca="1"/>
        <v>#N/A</v>
      </c>
      <c r="S38" s="33" t="e">
        <f ca="1"/>
        <v>#N/A</v>
      </c>
      <c r="T38" s="33" t="e">
        <f ca="1"/>
        <v>#N/A</v>
      </c>
      <c r="U38" s="25" t="e">
        <f ca="1"/>
        <v>#N/A</v>
      </c>
      <c r="V38" s="36" t="e">
        <f ca="1"/>
        <v>#N/A</v>
      </c>
      <c r="W38" s="37" t="e">
        <f ca="1"/>
        <v>#N/A</v>
      </c>
      <c r="X38" s="5" t="s">
        <v>1</v>
      </c>
    </row>
    <row r="39" spans="2:24" x14ac:dyDescent="0.25">
      <c r="B39" s="10" t="s">
        <v>25</v>
      </c>
      <c r="C39" s="11" t="s">
        <v>0</v>
      </c>
      <c r="D39" s="5" t="s">
        <v>1</v>
      </c>
      <c r="E39" s="43">
        <v>31</v>
      </c>
      <c r="F39" s="8" t="e">
        <f ca="1">IF(ISNA(H39),NA(),IF(ISBLANK(G39),IF(FixedAmortizationFrequency=0,F38,IF(MOD((E39-1),FixedAmortizationFrequency)&lt;&gt;0,F38,F38-FixedAmortization)),G39))</f>
        <v>#N/A</v>
      </c>
      <c r="G39" s="66"/>
      <c r="H39" s="63" t="e">
        <f ca="1"/>
        <v>#N/A</v>
      </c>
      <c r="I39" s="33" t="e">
        <f ca="1"/>
        <v>#N/A</v>
      </c>
      <c r="J39" s="33" t="e">
        <f ca="1"/>
        <v>#N/A</v>
      </c>
      <c r="K39" s="25" t="e">
        <f ca="1"/>
        <v>#N/A</v>
      </c>
      <c r="L39" s="36" t="e">
        <f ca="1"/>
        <v>#N/A</v>
      </c>
      <c r="M39" s="37" t="e">
        <f ca="1"/>
        <v>#N/A</v>
      </c>
      <c r="N39" s="3" t="s">
        <v>1</v>
      </c>
      <c r="O39" s="43">
        <v>31</v>
      </c>
      <c r="P39" s="8" t="e">
        <f ca="1">IF(ISNA(R39),NA(),IF(ISBLANK(Q39),IF(FloatAmortizationFrequency=0,P38,IF(MOD((O39-1),FloatAmortizationFrequency)&lt;&gt;0,P38,P38-FloatAmortization)),Q39))</f>
        <v>#N/A</v>
      </c>
      <c r="Q39" s="66"/>
      <c r="R39" s="33" t="e">
        <f ca="1"/>
        <v>#N/A</v>
      </c>
      <c r="S39" s="33" t="e">
        <f ca="1"/>
        <v>#N/A</v>
      </c>
      <c r="T39" s="33" t="e">
        <f ca="1"/>
        <v>#N/A</v>
      </c>
      <c r="U39" s="25" t="e">
        <f ca="1"/>
        <v>#N/A</v>
      </c>
      <c r="V39" s="36" t="e">
        <f ca="1"/>
        <v>#N/A</v>
      </c>
      <c r="W39" s="37" t="e">
        <f ca="1"/>
        <v>#N/A</v>
      </c>
      <c r="X39" s="5" t="s">
        <v>1</v>
      </c>
    </row>
    <row r="40" spans="2:24" x14ac:dyDescent="0.25">
      <c r="B40" s="10" t="s">
        <v>26</v>
      </c>
      <c r="C40" s="15" t="s">
        <v>13</v>
      </c>
      <c r="D40" s="5" t="s">
        <v>1</v>
      </c>
      <c r="E40" s="43">
        <v>32</v>
      </c>
      <c r="F40" s="8" t="e">
        <f ca="1">IF(ISNA(H40),NA(),IF(ISBLANK(G40),IF(FixedAmortizationFrequency=0,F39,IF(MOD((E40-1),FixedAmortizationFrequency)&lt;&gt;0,F39,F39-FixedAmortization)),G40))</f>
        <v>#N/A</v>
      </c>
      <c r="G40" s="66"/>
      <c r="H40" s="63" t="e">
        <f ca="1"/>
        <v>#N/A</v>
      </c>
      <c r="I40" s="33" t="e">
        <f ca="1"/>
        <v>#N/A</v>
      </c>
      <c r="J40" s="33" t="e">
        <f ca="1"/>
        <v>#N/A</v>
      </c>
      <c r="K40" s="25" t="e">
        <f ca="1"/>
        <v>#N/A</v>
      </c>
      <c r="L40" s="36" t="e">
        <f ca="1"/>
        <v>#N/A</v>
      </c>
      <c r="M40" s="37" t="e">
        <f ca="1"/>
        <v>#N/A</v>
      </c>
      <c r="N40" s="3" t="s">
        <v>1</v>
      </c>
      <c r="O40" s="43">
        <v>32</v>
      </c>
      <c r="P40" s="8" t="e">
        <f ca="1">IF(ISNA(R40),NA(),IF(ISBLANK(Q40),IF(FloatAmortizationFrequency=0,P39,IF(MOD((O40-1),FloatAmortizationFrequency)&lt;&gt;0,P39,P39-FloatAmortization)),Q40))</f>
        <v>#N/A</v>
      </c>
      <c r="Q40" s="66"/>
      <c r="R40" s="33" t="e">
        <f ca="1"/>
        <v>#N/A</v>
      </c>
      <c r="S40" s="33" t="e">
        <f ca="1"/>
        <v>#N/A</v>
      </c>
      <c r="T40" s="33" t="e">
        <f ca="1"/>
        <v>#N/A</v>
      </c>
      <c r="U40" s="25" t="e">
        <f ca="1"/>
        <v>#N/A</v>
      </c>
      <c r="V40" s="36" t="e">
        <f ca="1"/>
        <v>#N/A</v>
      </c>
      <c r="W40" s="37" t="e">
        <f ca="1"/>
        <v>#N/A</v>
      </c>
      <c r="X40" s="5" t="s">
        <v>1</v>
      </c>
    </row>
    <row r="41" spans="2:24" x14ac:dyDescent="0.25">
      <c r="B41" s="10" t="s">
        <v>27</v>
      </c>
      <c r="C41" s="12" t="s">
        <v>28</v>
      </c>
      <c r="D41" s="5" t="s">
        <v>1</v>
      </c>
      <c r="E41" s="43">
        <v>33</v>
      </c>
      <c r="F41" s="8" t="e">
        <f ca="1">IF(ISNA(H41),NA(),IF(ISBLANK(G41),IF(FixedAmortizationFrequency=0,F40,IF(MOD((E41-1),FixedAmortizationFrequency)&lt;&gt;0,F40,F40-FixedAmortization)),G41))</f>
        <v>#N/A</v>
      </c>
      <c r="G41" s="66"/>
      <c r="H41" s="63" t="e">
        <f ca="1"/>
        <v>#N/A</v>
      </c>
      <c r="I41" s="33" t="e">
        <f ca="1"/>
        <v>#N/A</v>
      </c>
      <c r="J41" s="33" t="e">
        <f ca="1"/>
        <v>#N/A</v>
      </c>
      <c r="K41" s="25" t="e">
        <f ca="1"/>
        <v>#N/A</v>
      </c>
      <c r="L41" s="36" t="e">
        <f ca="1"/>
        <v>#N/A</v>
      </c>
      <c r="M41" s="37" t="e">
        <f ca="1"/>
        <v>#N/A</v>
      </c>
      <c r="N41" s="3" t="s">
        <v>1</v>
      </c>
      <c r="O41" s="43">
        <v>33</v>
      </c>
      <c r="P41" s="8" t="e">
        <f ca="1">IF(ISNA(R41),NA(),IF(ISBLANK(Q41),IF(FloatAmortizationFrequency=0,P40,IF(MOD((O41-1),FloatAmortizationFrequency)&lt;&gt;0,P40,P40-FloatAmortization)),Q41))</f>
        <v>#N/A</v>
      </c>
      <c r="Q41" s="66"/>
      <c r="R41" s="33" t="e">
        <f ca="1"/>
        <v>#N/A</v>
      </c>
      <c r="S41" s="33" t="e">
        <f ca="1"/>
        <v>#N/A</v>
      </c>
      <c r="T41" s="33" t="e">
        <f ca="1"/>
        <v>#N/A</v>
      </c>
      <c r="U41" s="25" t="e">
        <f ca="1"/>
        <v>#N/A</v>
      </c>
      <c r="V41" s="36" t="e">
        <f ca="1"/>
        <v>#N/A</v>
      </c>
      <c r="W41" s="37" t="e">
        <f ca="1"/>
        <v>#N/A</v>
      </c>
      <c r="X41" s="5" t="s">
        <v>1</v>
      </c>
    </row>
    <row r="42" spans="2:24" x14ac:dyDescent="0.25">
      <c r="B42" s="10" t="s">
        <v>29</v>
      </c>
      <c r="C42" s="7"/>
      <c r="D42" s="5" t="s">
        <v>1</v>
      </c>
      <c r="E42" s="43">
        <v>34</v>
      </c>
      <c r="F42" s="8" t="e">
        <f ca="1">IF(ISNA(H42),NA(),IF(ISBLANK(G42),IF(FixedAmortizationFrequency=0,F41,IF(MOD((E42-1),FixedAmortizationFrequency)&lt;&gt;0,F41,F41-FixedAmortization)),G42))</f>
        <v>#N/A</v>
      </c>
      <c r="G42" s="66"/>
      <c r="H42" s="63" t="e">
        <f ca="1"/>
        <v>#N/A</v>
      </c>
      <c r="I42" s="33" t="e">
        <f ca="1"/>
        <v>#N/A</v>
      </c>
      <c r="J42" s="33" t="e">
        <f ca="1"/>
        <v>#N/A</v>
      </c>
      <c r="K42" s="25" t="e">
        <f ca="1"/>
        <v>#N/A</v>
      </c>
      <c r="L42" s="36" t="e">
        <f ca="1"/>
        <v>#N/A</v>
      </c>
      <c r="M42" s="37" t="e">
        <f ca="1"/>
        <v>#N/A</v>
      </c>
      <c r="N42" s="3" t="s">
        <v>1</v>
      </c>
      <c r="O42" s="43">
        <v>34</v>
      </c>
      <c r="P42" s="8" t="e">
        <f ca="1">IF(ISNA(R42),NA(),IF(ISBLANK(Q42),IF(FloatAmortizationFrequency=0,P41,IF(MOD((O42-1),FloatAmortizationFrequency)&lt;&gt;0,P41,P41-FloatAmortization)),Q42))</f>
        <v>#N/A</v>
      </c>
      <c r="Q42" s="66"/>
      <c r="R42" s="33" t="e">
        <f ca="1"/>
        <v>#N/A</v>
      </c>
      <c r="S42" s="33" t="e">
        <f ca="1"/>
        <v>#N/A</v>
      </c>
      <c r="T42" s="33" t="e">
        <f ca="1"/>
        <v>#N/A</v>
      </c>
      <c r="U42" s="25" t="e">
        <f ca="1"/>
        <v>#N/A</v>
      </c>
      <c r="V42" s="36" t="e">
        <f ca="1"/>
        <v>#N/A</v>
      </c>
      <c r="W42" s="37" t="e">
        <f ca="1"/>
        <v>#N/A</v>
      </c>
      <c r="X42" s="5" t="s">
        <v>1</v>
      </c>
    </row>
    <row r="43" spans="2:24" x14ac:dyDescent="0.25">
      <c r="B43" s="10" t="s">
        <v>30</v>
      </c>
      <c r="C43" s="7"/>
      <c r="D43" s="5" t="s">
        <v>1</v>
      </c>
      <c r="E43" s="43">
        <v>35</v>
      </c>
      <c r="F43" s="8" t="e">
        <f ca="1">IF(ISNA(H43),NA(),IF(ISBLANK(G43),IF(FixedAmortizationFrequency=0,F42,IF(MOD((E43-1),FixedAmortizationFrequency)&lt;&gt;0,F42,F42-FixedAmortization)),G43))</f>
        <v>#N/A</v>
      </c>
      <c r="G43" s="66"/>
      <c r="H43" s="63" t="e">
        <f ca="1"/>
        <v>#N/A</v>
      </c>
      <c r="I43" s="33" t="e">
        <f ca="1"/>
        <v>#N/A</v>
      </c>
      <c r="J43" s="33" t="e">
        <f ca="1"/>
        <v>#N/A</v>
      </c>
      <c r="K43" s="25" t="e">
        <f ca="1"/>
        <v>#N/A</v>
      </c>
      <c r="L43" s="36" t="e">
        <f ca="1"/>
        <v>#N/A</v>
      </c>
      <c r="M43" s="37" t="e">
        <f ca="1"/>
        <v>#N/A</v>
      </c>
      <c r="N43" s="3" t="s">
        <v>1</v>
      </c>
      <c r="O43" s="43">
        <v>35</v>
      </c>
      <c r="P43" s="8" t="e">
        <f ca="1">IF(ISNA(R43),NA(),IF(ISBLANK(Q43),IF(FloatAmortizationFrequency=0,P42,IF(MOD((O43-1),FloatAmortizationFrequency)&lt;&gt;0,P42,P42-FloatAmortization)),Q43))</f>
        <v>#N/A</v>
      </c>
      <c r="Q43" s="66"/>
      <c r="R43" s="33" t="e">
        <f ca="1"/>
        <v>#N/A</v>
      </c>
      <c r="S43" s="33" t="e">
        <f ca="1"/>
        <v>#N/A</v>
      </c>
      <c r="T43" s="33" t="e">
        <f ca="1"/>
        <v>#N/A</v>
      </c>
      <c r="U43" s="25" t="e">
        <f ca="1"/>
        <v>#N/A</v>
      </c>
      <c r="V43" s="36" t="e">
        <f ca="1"/>
        <v>#N/A</v>
      </c>
      <c r="W43" s="37" t="e">
        <f ca="1"/>
        <v>#N/A</v>
      </c>
      <c r="X43" s="5" t="s">
        <v>1</v>
      </c>
    </row>
    <row r="44" spans="2:24" x14ac:dyDescent="0.25">
      <c r="B44" s="16" t="s">
        <v>31</v>
      </c>
      <c r="C44" s="48"/>
      <c r="D44" s="5" t="s">
        <v>1</v>
      </c>
      <c r="E44" s="43">
        <v>36</v>
      </c>
      <c r="F44" s="8" t="e">
        <f ca="1">IF(ISNA(H44),NA(),IF(ISBLANK(G44),IF(FixedAmortizationFrequency=0,F43,IF(MOD((E44-1),FixedAmortizationFrequency)&lt;&gt;0,F43,F43-FixedAmortization)),G44))</f>
        <v>#N/A</v>
      </c>
      <c r="G44" s="66"/>
      <c r="H44" s="63" t="e">
        <f ca="1"/>
        <v>#N/A</v>
      </c>
      <c r="I44" s="33" t="e">
        <f ca="1"/>
        <v>#N/A</v>
      </c>
      <c r="J44" s="33" t="e">
        <f ca="1"/>
        <v>#N/A</v>
      </c>
      <c r="K44" s="25" t="e">
        <f ca="1"/>
        <v>#N/A</v>
      </c>
      <c r="L44" s="36" t="e">
        <f ca="1"/>
        <v>#N/A</v>
      </c>
      <c r="M44" s="37" t="e">
        <f ca="1"/>
        <v>#N/A</v>
      </c>
      <c r="N44" s="3" t="s">
        <v>1</v>
      </c>
      <c r="O44" s="43">
        <v>36</v>
      </c>
      <c r="P44" s="8" t="e">
        <f ca="1">IF(ISNA(R44),NA(),IF(ISBLANK(Q44),IF(FloatAmortizationFrequency=0,P43,IF(MOD((O44-1),FloatAmortizationFrequency)&lt;&gt;0,P43,P43-FloatAmortization)),Q44))</f>
        <v>#N/A</v>
      </c>
      <c r="Q44" s="66"/>
      <c r="R44" s="33" t="e">
        <f ca="1"/>
        <v>#N/A</v>
      </c>
      <c r="S44" s="33" t="e">
        <f ca="1"/>
        <v>#N/A</v>
      </c>
      <c r="T44" s="33" t="e">
        <f ca="1"/>
        <v>#N/A</v>
      </c>
      <c r="U44" s="25" t="e">
        <f ca="1"/>
        <v>#N/A</v>
      </c>
      <c r="V44" s="36" t="e">
        <f ca="1"/>
        <v>#N/A</v>
      </c>
      <c r="W44" s="37" t="e">
        <f ca="1"/>
        <v>#N/A</v>
      </c>
      <c r="X44" s="5" t="s">
        <v>1</v>
      </c>
    </row>
    <row r="45" spans="2:24" x14ac:dyDescent="0.25">
      <c r="B45" s="17" t="s">
        <v>38</v>
      </c>
      <c r="C45" s="49" t="s">
        <v>12</v>
      </c>
      <c r="D45" s="5" t="s">
        <v>1</v>
      </c>
      <c r="E45" s="43">
        <v>37</v>
      </c>
      <c r="F45" s="8" t="e">
        <f ca="1">IF(ISNA(H45),NA(),IF(ISBLANK(G45),IF(FixedAmortizationFrequency=0,F44,IF(MOD((E45-1),FixedAmortizationFrequency)&lt;&gt;0,F44,F44-FixedAmortization)),G45))</f>
        <v>#N/A</v>
      </c>
      <c r="G45" s="66"/>
      <c r="H45" s="62" t="e">
        <f ca="1"/>
        <v>#N/A</v>
      </c>
      <c r="I45" s="33" t="e">
        <f ca="1"/>
        <v>#N/A</v>
      </c>
      <c r="J45" s="33" t="e">
        <f ca="1"/>
        <v>#N/A</v>
      </c>
      <c r="K45" s="25" t="e">
        <f ca="1"/>
        <v>#N/A</v>
      </c>
      <c r="L45" s="36" t="e">
        <f ca="1"/>
        <v>#N/A</v>
      </c>
      <c r="M45" s="37" t="e">
        <f ca="1"/>
        <v>#N/A</v>
      </c>
      <c r="N45" s="3" t="s">
        <v>1</v>
      </c>
      <c r="O45" s="43">
        <v>37</v>
      </c>
      <c r="P45" s="8" t="e">
        <f ca="1">IF(ISNA(R45),NA(),IF(ISBLANK(Q45),IF(FloatAmortizationFrequency=0,P44,IF(MOD((O45-1),FloatAmortizationFrequency)&lt;&gt;0,P44,P44-FloatAmortization)),Q45))</f>
        <v>#N/A</v>
      </c>
      <c r="Q45" s="66"/>
      <c r="R45" s="32" t="e">
        <f ca="1"/>
        <v>#N/A</v>
      </c>
      <c r="S45" s="33" t="e">
        <f ca="1"/>
        <v>#N/A</v>
      </c>
      <c r="T45" s="33" t="e">
        <f ca="1"/>
        <v>#N/A</v>
      </c>
      <c r="U45" s="25" t="e">
        <f ca="1"/>
        <v>#N/A</v>
      </c>
      <c r="V45" s="36" t="e">
        <f ca="1"/>
        <v>#N/A</v>
      </c>
      <c r="W45" s="37" t="e">
        <f ca="1"/>
        <v>#N/A</v>
      </c>
      <c r="X45" s="5" t="s">
        <v>1</v>
      </c>
    </row>
    <row r="46" spans="2:24" x14ac:dyDescent="0.25">
      <c r="D46" s="31" t="s">
        <v>1</v>
      </c>
      <c r="E46" s="43">
        <v>38</v>
      </c>
      <c r="F46" s="25" t="e">
        <f ca="1">IF(ISNA(H46),NA(),IF(ISBLANK(G46),IF(FixedAmortizationFrequency=0,F45,IF(MOD((E46-1),FixedAmortizationFrequency)&lt;&gt;0,F45,F45-FixedAmortization)),G46))</f>
        <v>#N/A</v>
      </c>
      <c r="G46" s="67"/>
      <c r="H46" s="63" t="e">
        <f ca="1"/>
        <v>#N/A</v>
      </c>
      <c r="I46" s="33" t="e">
        <f ca="1"/>
        <v>#N/A</v>
      </c>
      <c r="J46" s="32" t="e">
        <f ca="1"/>
        <v>#N/A</v>
      </c>
      <c r="K46" s="25" t="e">
        <f ca="1"/>
        <v>#N/A</v>
      </c>
      <c r="L46" s="36" t="e">
        <f ca="1"/>
        <v>#N/A</v>
      </c>
      <c r="M46" s="37" t="e">
        <f ca="1"/>
        <v>#N/A</v>
      </c>
      <c r="N46" s="38" t="s">
        <v>1</v>
      </c>
      <c r="O46" s="43">
        <v>38</v>
      </c>
      <c r="P46" s="25" t="e">
        <f ca="1">IF(ISNA(R46),NA(),IF(ISBLANK(Q46),IF(FloatAmortizationFrequency=0,P45,IF(MOD((O46-1),FloatAmortizationFrequency)&lt;&gt;0,P45,P45-FloatAmortization)),Q46))</f>
        <v>#N/A</v>
      </c>
      <c r="Q46" s="67"/>
      <c r="R46" s="33" t="e">
        <f ca="1"/>
        <v>#N/A</v>
      </c>
      <c r="S46" s="33" t="e">
        <f ca="1"/>
        <v>#N/A</v>
      </c>
      <c r="T46" s="32" t="e">
        <f ca="1"/>
        <v>#N/A</v>
      </c>
      <c r="U46" s="25" t="e">
        <f ca="1"/>
        <v>#N/A</v>
      </c>
      <c r="V46" s="36" t="e">
        <f ca="1"/>
        <v>#N/A</v>
      </c>
      <c r="W46" s="37" t="e">
        <f ca="1"/>
        <v>#N/A</v>
      </c>
      <c r="X46" s="31" t="s">
        <v>1</v>
      </c>
    </row>
    <row r="47" spans="2:24" x14ac:dyDescent="0.25">
      <c r="D47" s="31" t="s">
        <v>1</v>
      </c>
      <c r="E47" s="43">
        <v>39</v>
      </c>
      <c r="F47" s="25" t="e">
        <f ca="1">IF(ISNA(H47),NA(),IF(ISBLANK(G47),IF(FixedAmortizationFrequency=0,F46,IF(MOD((E47-1),FixedAmortizationFrequency)&lt;&gt;0,F46,F46-FixedAmortization)),G47))</f>
        <v>#N/A</v>
      </c>
      <c r="G47" s="67"/>
      <c r="H47" s="62" t="e">
        <f ca="1"/>
        <v>#N/A</v>
      </c>
      <c r="I47" s="33" t="e">
        <f ca="1"/>
        <v>#N/A</v>
      </c>
      <c r="J47" s="32" t="e">
        <f ca="1"/>
        <v>#N/A</v>
      </c>
      <c r="K47" s="25" t="e">
        <f ca="1"/>
        <v>#N/A</v>
      </c>
      <c r="L47" s="36" t="e">
        <f ca="1"/>
        <v>#N/A</v>
      </c>
      <c r="M47" s="37" t="e">
        <f ca="1"/>
        <v>#N/A</v>
      </c>
      <c r="N47" s="38" t="s">
        <v>1</v>
      </c>
      <c r="O47" s="43">
        <v>39</v>
      </c>
      <c r="P47" s="25" t="e">
        <f ca="1">IF(ISNA(R47),NA(),IF(ISBLANK(Q47),IF(FloatAmortizationFrequency=0,P46,IF(MOD((O47-1),FloatAmortizationFrequency)&lt;&gt;0,P46,P46-FloatAmortization)),Q47))</f>
        <v>#N/A</v>
      </c>
      <c r="Q47" s="67"/>
      <c r="R47" s="32" t="e">
        <f ca="1"/>
        <v>#N/A</v>
      </c>
      <c r="S47" s="33" t="e">
        <f ca="1"/>
        <v>#N/A</v>
      </c>
      <c r="T47" s="32" t="e">
        <f ca="1"/>
        <v>#N/A</v>
      </c>
      <c r="U47" s="25" t="e">
        <f ca="1"/>
        <v>#N/A</v>
      </c>
      <c r="V47" s="36" t="e">
        <f ca="1"/>
        <v>#N/A</v>
      </c>
      <c r="W47" s="37" t="e">
        <f ca="1"/>
        <v>#N/A</v>
      </c>
      <c r="X47" s="31" t="s">
        <v>1</v>
      </c>
    </row>
    <row r="48" spans="2:24" x14ac:dyDescent="0.25">
      <c r="D48" s="31" t="s">
        <v>1</v>
      </c>
      <c r="E48" s="43">
        <v>40</v>
      </c>
      <c r="F48" s="25" t="e">
        <f ca="1">IF(ISNA(H48),NA(),IF(ISBLANK(G48),IF(FixedAmortizationFrequency=0,F47,IF(MOD((E48-1),FixedAmortizationFrequency)&lt;&gt;0,F47,F47-FixedAmortization)),G48))</f>
        <v>#N/A</v>
      </c>
      <c r="G48" s="67"/>
      <c r="H48" s="62" t="e">
        <f ca="1"/>
        <v>#N/A</v>
      </c>
      <c r="I48" s="33" t="e">
        <f ca="1"/>
        <v>#N/A</v>
      </c>
      <c r="J48" s="33" t="e">
        <f ca="1"/>
        <v>#N/A</v>
      </c>
      <c r="K48" s="25" t="e">
        <f ca="1"/>
        <v>#N/A</v>
      </c>
      <c r="L48" s="36" t="e">
        <f ca="1"/>
        <v>#N/A</v>
      </c>
      <c r="M48" s="37" t="e">
        <f ca="1"/>
        <v>#N/A</v>
      </c>
      <c r="N48" s="38" t="s">
        <v>1</v>
      </c>
      <c r="O48" s="43">
        <v>40</v>
      </c>
      <c r="P48" s="25" t="e">
        <f ca="1">IF(ISNA(R48),NA(),IF(ISBLANK(Q48),IF(FloatAmortizationFrequency=0,P47,IF(MOD((O48-1),FloatAmortizationFrequency)&lt;&gt;0,P47,P47-FloatAmortization)),Q48))</f>
        <v>#N/A</v>
      </c>
      <c r="Q48" s="67"/>
      <c r="R48" s="32" t="e">
        <f ca="1"/>
        <v>#N/A</v>
      </c>
      <c r="S48" s="33" t="e">
        <f ca="1"/>
        <v>#N/A</v>
      </c>
      <c r="T48" s="33" t="e">
        <f ca="1"/>
        <v>#N/A</v>
      </c>
      <c r="U48" s="25" t="e">
        <f ca="1"/>
        <v>#N/A</v>
      </c>
      <c r="V48" s="36" t="e">
        <f ca="1"/>
        <v>#N/A</v>
      </c>
      <c r="W48" s="37" t="e">
        <f ca="1"/>
        <v>#N/A</v>
      </c>
      <c r="X48" s="31" t="s">
        <v>1</v>
      </c>
    </row>
    <row r="49" spans="4:24" x14ac:dyDescent="0.25">
      <c r="D49" s="31" t="s">
        <v>1</v>
      </c>
      <c r="E49" s="43">
        <v>41</v>
      </c>
      <c r="F49" s="25" t="e">
        <f ca="1">IF(ISNA(H49),NA(),IF(ISBLANK(G49),IF(FixedAmortizationFrequency=0,F48,IF(MOD((E49-1),FixedAmortizationFrequency)&lt;&gt;0,F48,F48-FixedAmortization)),G49))</f>
        <v>#N/A</v>
      </c>
      <c r="G49" s="67"/>
      <c r="H49" s="62" t="e">
        <f ca="1"/>
        <v>#N/A</v>
      </c>
      <c r="I49" s="33" t="e">
        <f ca="1"/>
        <v>#N/A</v>
      </c>
      <c r="J49" s="33" t="e">
        <f ca="1"/>
        <v>#N/A</v>
      </c>
      <c r="K49" s="25" t="e">
        <f ca="1"/>
        <v>#N/A</v>
      </c>
      <c r="L49" s="36" t="e">
        <f ca="1"/>
        <v>#N/A</v>
      </c>
      <c r="M49" s="37" t="e">
        <f ca="1"/>
        <v>#N/A</v>
      </c>
      <c r="N49" s="38" t="s">
        <v>1</v>
      </c>
      <c r="O49" s="43">
        <v>41</v>
      </c>
      <c r="P49" s="25" t="e">
        <f ca="1">IF(ISNA(R49),NA(),IF(ISBLANK(Q49),IF(FloatAmortizationFrequency=0,P48,IF(MOD((O49-1),FloatAmortizationFrequency)&lt;&gt;0,P48,P48-FloatAmortization)),Q49))</f>
        <v>#N/A</v>
      </c>
      <c r="Q49" s="67"/>
      <c r="R49" s="32" t="e">
        <f ca="1"/>
        <v>#N/A</v>
      </c>
      <c r="S49" s="33" t="e">
        <f ca="1"/>
        <v>#N/A</v>
      </c>
      <c r="T49" s="33" t="e">
        <f ca="1"/>
        <v>#N/A</v>
      </c>
      <c r="U49" s="25" t="e">
        <f ca="1"/>
        <v>#N/A</v>
      </c>
      <c r="V49" s="36" t="e">
        <f ca="1"/>
        <v>#N/A</v>
      </c>
      <c r="W49" s="37" t="e">
        <f ca="1"/>
        <v>#N/A</v>
      </c>
      <c r="X49" s="31" t="s">
        <v>1</v>
      </c>
    </row>
    <row r="50" spans="4:24" x14ac:dyDescent="0.25">
      <c r="D50" s="31" t="s">
        <v>1</v>
      </c>
      <c r="E50" s="43">
        <v>42</v>
      </c>
      <c r="F50" s="25" t="e">
        <f ca="1">IF(ISNA(H50),NA(),IF(ISBLANK(G50),IF(FixedAmortizationFrequency=0,F49,IF(MOD((E50-1),FixedAmortizationFrequency)&lt;&gt;0,F49,F49-FixedAmortization)),G50))</f>
        <v>#N/A</v>
      </c>
      <c r="G50" s="67"/>
      <c r="H50" s="63" t="e">
        <f ca="1"/>
        <v>#N/A</v>
      </c>
      <c r="I50" s="33" t="e">
        <f ca="1"/>
        <v>#N/A</v>
      </c>
      <c r="J50" s="32" t="e">
        <f ca="1"/>
        <v>#N/A</v>
      </c>
      <c r="K50" s="8" t="e">
        <f ca="1"/>
        <v>#N/A</v>
      </c>
      <c r="L50" s="36" t="e">
        <f ca="1"/>
        <v>#N/A</v>
      </c>
      <c r="M50" s="37" t="e">
        <f ca="1"/>
        <v>#N/A</v>
      </c>
      <c r="N50" s="38" t="s">
        <v>1</v>
      </c>
      <c r="O50" s="43">
        <v>42</v>
      </c>
      <c r="P50" s="25" t="e">
        <f ca="1">IF(ISNA(R50),NA(),IF(ISBLANK(Q50),IF(FloatAmortizationFrequency=0,P49,IF(MOD((O50-1),FloatAmortizationFrequency)&lt;&gt;0,P49,P49-FloatAmortization)),Q50))</f>
        <v>#N/A</v>
      </c>
      <c r="Q50" s="67"/>
      <c r="R50" s="33" t="e">
        <f ca="1"/>
        <v>#N/A</v>
      </c>
      <c r="S50" s="33" t="e">
        <f ca="1"/>
        <v>#N/A</v>
      </c>
      <c r="T50" s="32" t="e">
        <f ca="1"/>
        <v>#N/A</v>
      </c>
      <c r="U50" s="8" t="e">
        <f ca="1"/>
        <v>#N/A</v>
      </c>
      <c r="V50" s="36" t="e">
        <f ca="1"/>
        <v>#N/A</v>
      </c>
      <c r="W50" s="37" t="e">
        <f ca="1"/>
        <v>#N/A</v>
      </c>
      <c r="X50" s="31" t="s">
        <v>1</v>
      </c>
    </row>
    <row r="51" spans="4:24" x14ac:dyDescent="0.25">
      <c r="D51" s="31" t="s">
        <v>1</v>
      </c>
      <c r="E51" s="43">
        <v>43</v>
      </c>
      <c r="F51" s="25" t="e">
        <f ca="1">IF(ISNA(H51),NA(),IF(ISBLANK(G51),IF(FixedAmortizationFrequency=0,F50,IF(MOD((E51-1),FixedAmortizationFrequency)&lt;&gt;0,F50,F50-FixedAmortization)),G51))</f>
        <v>#N/A</v>
      </c>
      <c r="G51" s="67"/>
      <c r="H51" s="63" t="e">
        <f ca="1"/>
        <v>#N/A</v>
      </c>
      <c r="I51" s="33" t="e">
        <f ca="1"/>
        <v>#N/A</v>
      </c>
      <c r="J51" s="32" t="e">
        <f ca="1"/>
        <v>#N/A</v>
      </c>
      <c r="K51" s="8" t="e">
        <f ca="1"/>
        <v>#N/A</v>
      </c>
      <c r="L51" s="36" t="e">
        <f ca="1"/>
        <v>#N/A</v>
      </c>
      <c r="M51" s="37" t="e">
        <f ca="1"/>
        <v>#N/A</v>
      </c>
      <c r="N51" s="38" t="s">
        <v>1</v>
      </c>
      <c r="O51" s="43">
        <v>43</v>
      </c>
      <c r="P51" s="25" t="e">
        <f ca="1">IF(ISNA(R51),NA(),IF(ISBLANK(Q51),IF(FloatAmortizationFrequency=0,P50,IF(MOD((O51-1),FloatAmortizationFrequency)&lt;&gt;0,P50,P50-FloatAmortization)),Q51))</f>
        <v>#N/A</v>
      </c>
      <c r="Q51" s="67"/>
      <c r="R51" s="33" t="e">
        <f ca="1"/>
        <v>#N/A</v>
      </c>
      <c r="S51" s="33" t="e">
        <f ca="1"/>
        <v>#N/A</v>
      </c>
      <c r="T51" s="32" t="e">
        <f ca="1"/>
        <v>#N/A</v>
      </c>
      <c r="U51" s="8" t="e">
        <f ca="1"/>
        <v>#N/A</v>
      </c>
      <c r="V51" s="36" t="e">
        <f ca="1"/>
        <v>#N/A</v>
      </c>
      <c r="W51" s="37" t="e">
        <f ca="1"/>
        <v>#N/A</v>
      </c>
      <c r="X51" s="31" t="s">
        <v>1</v>
      </c>
    </row>
    <row r="52" spans="4:24" x14ac:dyDescent="0.25">
      <c r="D52" s="31" t="s">
        <v>1</v>
      </c>
      <c r="E52" s="43">
        <v>44</v>
      </c>
      <c r="F52" s="25" t="e">
        <f ca="1">IF(ISNA(H52),NA(),IF(ISBLANK(G52),IF(FixedAmortizationFrequency=0,F51,IF(MOD((E52-1),FixedAmortizationFrequency)&lt;&gt;0,F51,F51-FixedAmortization)),G52))</f>
        <v>#N/A</v>
      </c>
      <c r="G52" s="67"/>
      <c r="H52" s="63" t="e">
        <f ca="1"/>
        <v>#N/A</v>
      </c>
      <c r="I52" s="33" t="e">
        <f ca="1"/>
        <v>#N/A</v>
      </c>
      <c r="J52" s="32" t="e">
        <f ca="1"/>
        <v>#N/A</v>
      </c>
      <c r="K52" s="8" t="e">
        <f ca="1"/>
        <v>#N/A</v>
      </c>
      <c r="L52" s="36" t="e">
        <f ca="1"/>
        <v>#N/A</v>
      </c>
      <c r="M52" s="37" t="e">
        <f ca="1"/>
        <v>#N/A</v>
      </c>
      <c r="N52" s="38" t="s">
        <v>1</v>
      </c>
      <c r="O52" s="43">
        <v>44</v>
      </c>
      <c r="P52" s="25" t="e">
        <f ca="1">IF(ISNA(R52),NA(),IF(ISBLANK(Q52),IF(FloatAmortizationFrequency=0,P51,IF(MOD((O52-1),FloatAmortizationFrequency)&lt;&gt;0,P51,P51-FloatAmortization)),Q52))</f>
        <v>#N/A</v>
      </c>
      <c r="Q52" s="67"/>
      <c r="R52" s="33" t="e">
        <f ca="1"/>
        <v>#N/A</v>
      </c>
      <c r="S52" s="33" t="e">
        <f ca="1"/>
        <v>#N/A</v>
      </c>
      <c r="T52" s="32" t="e">
        <f ca="1"/>
        <v>#N/A</v>
      </c>
      <c r="U52" s="8" t="e">
        <f ca="1"/>
        <v>#N/A</v>
      </c>
      <c r="V52" s="36" t="e">
        <f ca="1"/>
        <v>#N/A</v>
      </c>
      <c r="W52" s="37" t="e">
        <f ca="1"/>
        <v>#N/A</v>
      </c>
      <c r="X52" s="31" t="s">
        <v>1</v>
      </c>
    </row>
    <row r="53" spans="4:24" x14ac:dyDescent="0.25">
      <c r="D53" s="31" t="s">
        <v>1</v>
      </c>
      <c r="E53" s="43">
        <v>45</v>
      </c>
      <c r="F53" s="25" t="e">
        <f ca="1">IF(ISNA(H53),NA(),IF(ISBLANK(G53),IF(FixedAmortizationFrequency=0,F52,IF(MOD((E53-1),FixedAmortizationFrequency)&lt;&gt;0,F52,F52-FixedAmortization)),G53))</f>
        <v>#N/A</v>
      </c>
      <c r="G53" s="67"/>
      <c r="H53" s="63" t="e">
        <f ca="1"/>
        <v>#N/A</v>
      </c>
      <c r="I53" s="33" t="e">
        <f ca="1"/>
        <v>#N/A</v>
      </c>
      <c r="J53" s="32" t="e">
        <f ca="1"/>
        <v>#N/A</v>
      </c>
      <c r="K53" s="8" t="e">
        <f ca="1"/>
        <v>#N/A</v>
      </c>
      <c r="L53" s="36" t="e">
        <f ca="1"/>
        <v>#N/A</v>
      </c>
      <c r="M53" s="37" t="e">
        <f ca="1"/>
        <v>#N/A</v>
      </c>
      <c r="N53" s="38" t="s">
        <v>1</v>
      </c>
      <c r="O53" s="43">
        <v>45</v>
      </c>
      <c r="P53" s="25" t="e">
        <f ca="1">IF(ISNA(R53),NA(),IF(ISBLANK(Q53),IF(FloatAmortizationFrequency=0,P52,IF(MOD((O53-1),FloatAmortizationFrequency)&lt;&gt;0,P52,P52-FloatAmortization)),Q53))</f>
        <v>#N/A</v>
      </c>
      <c r="Q53" s="67"/>
      <c r="R53" s="33" t="e">
        <f ca="1"/>
        <v>#N/A</v>
      </c>
      <c r="S53" s="33" t="e">
        <f ca="1"/>
        <v>#N/A</v>
      </c>
      <c r="T53" s="32" t="e">
        <f ca="1"/>
        <v>#N/A</v>
      </c>
      <c r="U53" s="8" t="e">
        <f ca="1"/>
        <v>#N/A</v>
      </c>
      <c r="V53" s="36" t="e">
        <f ca="1"/>
        <v>#N/A</v>
      </c>
      <c r="W53" s="37" t="e">
        <f ca="1"/>
        <v>#N/A</v>
      </c>
      <c r="X53" s="31" t="s">
        <v>1</v>
      </c>
    </row>
    <row r="54" spans="4:24" x14ac:dyDescent="0.25">
      <c r="D54" s="31" t="s">
        <v>1</v>
      </c>
      <c r="E54" s="43">
        <v>46</v>
      </c>
      <c r="F54" s="25" t="e">
        <f ca="1">IF(ISNA(H54),NA(),IF(ISBLANK(G54),IF(FixedAmortizationFrequency=0,F53,IF(MOD((E54-1),FixedAmortizationFrequency)&lt;&gt;0,F53,F53-FixedAmortization)),G54))</f>
        <v>#N/A</v>
      </c>
      <c r="G54" s="67"/>
      <c r="H54" s="63" t="e">
        <f ca="1"/>
        <v>#N/A</v>
      </c>
      <c r="I54" s="33" t="e">
        <f ca="1"/>
        <v>#N/A</v>
      </c>
      <c r="J54" s="32" t="e">
        <f ca="1"/>
        <v>#N/A</v>
      </c>
      <c r="K54" s="8" t="e">
        <f ca="1"/>
        <v>#N/A</v>
      </c>
      <c r="L54" s="36" t="e">
        <f ca="1"/>
        <v>#N/A</v>
      </c>
      <c r="M54" s="37" t="e">
        <f ca="1"/>
        <v>#N/A</v>
      </c>
      <c r="N54" s="38" t="s">
        <v>1</v>
      </c>
      <c r="O54" s="43">
        <v>46</v>
      </c>
      <c r="P54" s="25" t="e">
        <f ca="1">IF(ISNA(R54),NA(),IF(ISBLANK(Q54),IF(FloatAmortizationFrequency=0,P53,IF(MOD((O54-1),FloatAmortizationFrequency)&lt;&gt;0,P53,P53-FloatAmortization)),Q54))</f>
        <v>#N/A</v>
      </c>
      <c r="Q54" s="67"/>
      <c r="R54" s="33" t="e">
        <f ca="1"/>
        <v>#N/A</v>
      </c>
      <c r="S54" s="33" t="e">
        <f ca="1"/>
        <v>#N/A</v>
      </c>
      <c r="T54" s="32" t="e">
        <f ca="1"/>
        <v>#N/A</v>
      </c>
      <c r="U54" s="8" t="e">
        <f ca="1"/>
        <v>#N/A</v>
      </c>
      <c r="V54" s="36" t="e">
        <f ca="1"/>
        <v>#N/A</v>
      </c>
      <c r="W54" s="37" t="e">
        <f ca="1"/>
        <v>#N/A</v>
      </c>
      <c r="X54" s="31" t="s">
        <v>1</v>
      </c>
    </row>
    <row r="55" spans="4:24" x14ac:dyDescent="0.25">
      <c r="D55" s="31" t="s">
        <v>1</v>
      </c>
      <c r="E55" s="43">
        <v>47</v>
      </c>
      <c r="F55" s="25" t="e">
        <f ca="1">IF(ISNA(H55),NA(),IF(ISBLANK(G55),IF(FixedAmortizationFrequency=0,F54,IF(MOD((E55-1),FixedAmortizationFrequency)&lt;&gt;0,F54,F54-FixedAmortization)),G55))</f>
        <v>#N/A</v>
      </c>
      <c r="G55" s="67"/>
      <c r="H55" s="63" t="e">
        <f ca="1"/>
        <v>#N/A</v>
      </c>
      <c r="I55" s="33" t="e">
        <f ca="1"/>
        <v>#N/A</v>
      </c>
      <c r="J55" s="32" t="e">
        <f ca="1"/>
        <v>#N/A</v>
      </c>
      <c r="K55" s="8" t="e">
        <f ca="1"/>
        <v>#N/A</v>
      </c>
      <c r="L55" s="36" t="e">
        <f ca="1"/>
        <v>#N/A</v>
      </c>
      <c r="M55" s="37" t="e">
        <f ca="1"/>
        <v>#N/A</v>
      </c>
      <c r="N55" s="38" t="s">
        <v>1</v>
      </c>
      <c r="O55" s="43">
        <v>47</v>
      </c>
      <c r="P55" s="25" t="e">
        <f ca="1">IF(ISNA(R55),NA(),IF(ISBLANK(Q55),IF(FloatAmortizationFrequency=0,P54,IF(MOD((O55-1),FloatAmortizationFrequency)&lt;&gt;0,P54,P54-FloatAmortization)),Q55))</f>
        <v>#N/A</v>
      </c>
      <c r="Q55" s="67"/>
      <c r="R55" s="33" t="e">
        <f ca="1"/>
        <v>#N/A</v>
      </c>
      <c r="S55" s="33" t="e">
        <f ca="1"/>
        <v>#N/A</v>
      </c>
      <c r="T55" s="32" t="e">
        <f ca="1"/>
        <v>#N/A</v>
      </c>
      <c r="U55" s="8" t="e">
        <f ca="1"/>
        <v>#N/A</v>
      </c>
      <c r="V55" s="36" t="e">
        <f ca="1"/>
        <v>#N/A</v>
      </c>
      <c r="W55" s="37" t="e">
        <f ca="1"/>
        <v>#N/A</v>
      </c>
      <c r="X55" s="31" t="s">
        <v>1</v>
      </c>
    </row>
    <row r="56" spans="4:24" x14ac:dyDescent="0.25">
      <c r="D56" s="31" t="s">
        <v>1</v>
      </c>
      <c r="E56" s="43">
        <v>48</v>
      </c>
      <c r="F56" s="25" t="e">
        <f ca="1">IF(ISNA(H56),NA(),IF(ISBLANK(G56),IF(FixedAmortizationFrequency=0,F55,IF(MOD((E56-1),FixedAmortizationFrequency)&lt;&gt;0,F55,F55-FixedAmortization)),G56))</f>
        <v>#N/A</v>
      </c>
      <c r="G56" s="67"/>
      <c r="H56" s="63" t="e">
        <f ca="1"/>
        <v>#N/A</v>
      </c>
      <c r="I56" s="33" t="e">
        <f ca="1"/>
        <v>#N/A</v>
      </c>
      <c r="J56" s="32" t="e">
        <f ca="1"/>
        <v>#N/A</v>
      </c>
      <c r="K56" s="8" t="e">
        <f ca="1"/>
        <v>#N/A</v>
      </c>
      <c r="L56" s="36" t="e">
        <f ca="1"/>
        <v>#N/A</v>
      </c>
      <c r="M56" s="37" t="e">
        <f ca="1"/>
        <v>#N/A</v>
      </c>
      <c r="N56" s="38" t="s">
        <v>1</v>
      </c>
      <c r="O56" s="43">
        <v>48</v>
      </c>
      <c r="P56" s="25" t="e">
        <f ca="1">IF(ISNA(R56),NA(),IF(ISBLANK(Q56),IF(FloatAmortizationFrequency=0,P55,IF(MOD((O56-1),FloatAmortizationFrequency)&lt;&gt;0,P55,P55-FloatAmortization)),Q56))</f>
        <v>#N/A</v>
      </c>
      <c r="Q56" s="67"/>
      <c r="R56" s="33" t="e">
        <f ca="1"/>
        <v>#N/A</v>
      </c>
      <c r="S56" s="33" t="e">
        <f ca="1"/>
        <v>#N/A</v>
      </c>
      <c r="T56" s="32" t="e">
        <f ca="1"/>
        <v>#N/A</v>
      </c>
      <c r="U56" s="8" t="e">
        <f ca="1"/>
        <v>#N/A</v>
      </c>
      <c r="V56" s="36" t="e">
        <f ca="1"/>
        <v>#N/A</v>
      </c>
      <c r="W56" s="37" t="e">
        <f ca="1"/>
        <v>#N/A</v>
      </c>
      <c r="X56" s="31" t="s">
        <v>1</v>
      </c>
    </row>
    <row r="57" spans="4:24" x14ac:dyDescent="0.25">
      <c r="D57" s="31" t="s">
        <v>1</v>
      </c>
      <c r="E57" s="43">
        <v>49</v>
      </c>
      <c r="F57" s="25" t="e">
        <f ca="1">IF(ISNA(H57),NA(),IF(ISBLANK(G57),IF(FixedAmortizationFrequency=0,F56,IF(MOD((E57-1),FixedAmortizationFrequency)&lt;&gt;0,F56,F56-FixedAmortization)),G57))</f>
        <v>#N/A</v>
      </c>
      <c r="G57" s="67"/>
      <c r="H57" s="63" t="e">
        <f ca="1"/>
        <v>#N/A</v>
      </c>
      <c r="I57" s="33" t="e">
        <f ca="1"/>
        <v>#N/A</v>
      </c>
      <c r="J57" s="32" t="e">
        <f ca="1"/>
        <v>#N/A</v>
      </c>
      <c r="K57" s="8" t="e">
        <f ca="1"/>
        <v>#N/A</v>
      </c>
      <c r="L57" s="36" t="e">
        <f ca="1"/>
        <v>#N/A</v>
      </c>
      <c r="M57" s="37" t="e">
        <f ca="1"/>
        <v>#N/A</v>
      </c>
      <c r="N57" s="38" t="s">
        <v>1</v>
      </c>
      <c r="O57" s="43">
        <v>49</v>
      </c>
      <c r="P57" s="25" t="e">
        <f ca="1">IF(ISNA(R57),NA(),IF(ISBLANK(Q57),IF(FloatAmortizationFrequency=0,P56,IF(MOD((O57-1),FloatAmortizationFrequency)&lt;&gt;0,P56,P56-FloatAmortization)),Q57))</f>
        <v>#N/A</v>
      </c>
      <c r="Q57" s="67"/>
      <c r="R57" s="33" t="e">
        <f ca="1"/>
        <v>#N/A</v>
      </c>
      <c r="S57" s="33" t="e">
        <f ca="1"/>
        <v>#N/A</v>
      </c>
      <c r="T57" s="32" t="e">
        <f ca="1"/>
        <v>#N/A</v>
      </c>
      <c r="U57" s="8" t="e">
        <f ca="1"/>
        <v>#N/A</v>
      </c>
      <c r="V57" s="36" t="e">
        <f ca="1"/>
        <v>#N/A</v>
      </c>
      <c r="W57" s="37" t="e">
        <f ca="1"/>
        <v>#N/A</v>
      </c>
      <c r="X57" s="31" t="s">
        <v>1</v>
      </c>
    </row>
    <row r="58" spans="4:24" x14ac:dyDescent="0.25">
      <c r="D58" s="31" t="s">
        <v>1</v>
      </c>
      <c r="E58" s="43">
        <v>50</v>
      </c>
      <c r="F58" s="25" t="e">
        <f ca="1">IF(ISNA(H58),NA(),IF(ISBLANK(G58),IF(FixedAmortizationFrequency=0,F57,IF(MOD((E58-1),FixedAmortizationFrequency)&lt;&gt;0,F57,F57-FixedAmortization)),G58))</f>
        <v>#N/A</v>
      </c>
      <c r="G58" s="67"/>
      <c r="H58" s="63" t="e">
        <f ca="1"/>
        <v>#N/A</v>
      </c>
      <c r="I58" s="33" t="e">
        <f ca="1"/>
        <v>#N/A</v>
      </c>
      <c r="J58" s="32" t="e">
        <f ca="1"/>
        <v>#N/A</v>
      </c>
      <c r="K58" s="8" t="e">
        <f ca="1"/>
        <v>#N/A</v>
      </c>
      <c r="L58" s="36" t="e">
        <f ca="1"/>
        <v>#N/A</v>
      </c>
      <c r="M58" s="37" t="e">
        <f ca="1"/>
        <v>#N/A</v>
      </c>
      <c r="N58" s="38" t="s">
        <v>1</v>
      </c>
      <c r="O58" s="43">
        <v>50</v>
      </c>
      <c r="P58" s="25" t="e">
        <f ca="1">IF(ISNA(R58),NA(),IF(ISBLANK(Q58),IF(FloatAmortizationFrequency=0,P57,IF(MOD((O58-1),FloatAmortizationFrequency)&lt;&gt;0,P57,P57-FloatAmortization)),Q58))</f>
        <v>#N/A</v>
      </c>
      <c r="Q58" s="67"/>
      <c r="R58" s="33" t="e">
        <f ca="1"/>
        <v>#N/A</v>
      </c>
      <c r="S58" s="33" t="e">
        <f ca="1"/>
        <v>#N/A</v>
      </c>
      <c r="T58" s="32" t="e">
        <f ca="1"/>
        <v>#N/A</v>
      </c>
      <c r="U58" s="8" t="e">
        <f ca="1"/>
        <v>#N/A</v>
      </c>
      <c r="V58" s="36" t="e">
        <f ca="1"/>
        <v>#N/A</v>
      </c>
      <c r="W58" s="37" t="e">
        <f ca="1"/>
        <v>#N/A</v>
      </c>
      <c r="X58" s="31" t="s">
        <v>1</v>
      </c>
    </row>
    <row r="59" spans="4:24" x14ac:dyDescent="0.25">
      <c r="D59" s="31" t="s">
        <v>1</v>
      </c>
      <c r="E59" s="43">
        <v>51</v>
      </c>
      <c r="F59" s="25" t="e">
        <f ca="1">IF(ISNA(H59),NA(),IF(ISBLANK(G59),IF(FixedAmortizationFrequency=0,F58,IF(MOD((E59-1),FixedAmortizationFrequency)&lt;&gt;0,F58,F58-FixedAmortization)),G59))</f>
        <v>#N/A</v>
      </c>
      <c r="G59" s="67"/>
      <c r="H59" s="63" t="e">
        <f ca="1"/>
        <v>#N/A</v>
      </c>
      <c r="I59" s="33" t="e">
        <f ca="1"/>
        <v>#N/A</v>
      </c>
      <c r="J59" s="33" t="e">
        <f ca="1"/>
        <v>#N/A</v>
      </c>
      <c r="K59" s="25" t="e">
        <f ca="1"/>
        <v>#N/A</v>
      </c>
      <c r="L59" s="36" t="e">
        <f ca="1"/>
        <v>#N/A</v>
      </c>
      <c r="M59" s="37" t="e">
        <f ca="1"/>
        <v>#N/A</v>
      </c>
      <c r="N59" s="38" t="s">
        <v>1</v>
      </c>
      <c r="O59" s="43">
        <v>51</v>
      </c>
      <c r="P59" s="25" t="e">
        <f ca="1">IF(ISNA(R59),NA(),IF(ISBLANK(Q59),IF(FloatAmortizationFrequency=0,P58,IF(MOD((O59-1),FloatAmortizationFrequency)&lt;&gt;0,P58,P58-FloatAmortization)),Q59))</f>
        <v>#N/A</v>
      </c>
      <c r="Q59" s="67"/>
      <c r="R59" s="33" t="e">
        <f ca="1"/>
        <v>#N/A</v>
      </c>
      <c r="S59" s="33" t="e">
        <f ca="1"/>
        <v>#N/A</v>
      </c>
      <c r="T59" s="33" t="e">
        <f ca="1"/>
        <v>#N/A</v>
      </c>
      <c r="U59" s="25" t="e">
        <f ca="1"/>
        <v>#N/A</v>
      </c>
      <c r="V59" s="36" t="e">
        <f ca="1"/>
        <v>#N/A</v>
      </c>
      <c r="W59" s="37" t="e">
        <f ca="1"/>
        <v>#N/A</v>
      </c>
      <c r="X59" s="31" t="s">
        <v>1</v>
      </c>
    </row>
    <row r="60" spans="4:24" x14ac:dyDescent="0.25">
      <c r="D60" s="31" t="s">
        <v>1</v>
      </c>
      <c r="E60" s="43">
        <v>52</v>
      </c>
      <c r="F60" s="25" t="e">
        <f ca="1">IF(ISNA(H60),NA(),IF(ISBLANK(G60),IF(FixedAmortizationFrequency=0,F59,IF(MOD((E60-1),FixedAmortizationFrequency)&lt;&gt;0,F59,F59-FixedAmortization)),G60))</f>
        <v>#N/A</v>
      </c>
      <c r="G60" s="67"/>
      <c r="H60" s="63" t="e">
        <f ca="1"/>
        <v>#N/A</v>
      </c>
      <c r="I60" s="33" t="e">
        <f ca="1"/>
        <v>#N/A</v>
      </c>
      <c r="J60" s="33" t="e">
        <f ca="1"/>
        <v>#N/A</v>
      </c>
      <c r="K60" s="25" t="e">
        <f ca="1"/>
        <v>#N/A</v>
      </c>
      <c r="L60" s="36" t="e">
        <f ca="1"/>
        <v>#N/A</v>
      </c>
      <c r="M60" s="37" t="e">
        <f ca="1"/>
        <v>#N/A</v>
      </c>
      <c r="N60" s="38" t="s">
        <v>1</v>
      </c>
      <c r="O60" s="43">
        <v>52</v>
      </c>
      <c r="P60" s="25" t="e">
        <f ca="1">IF(ISNA(R60),NA(),IF(ISBLANK(Q60),IF(FloatAmortizationFrequency=0,P59,IF(MOD((O60-1),FloatAmortizationFrequency)&lt;&gt;0,P59,P59-FloatAmortization)),Q60))</f>
        <v>#N/A</v>
      </c>
      <c r="Q60" s="67"/>
      <c r="R60" s="33" t="e">
        <f ca="1"/>
        <v>#N/A</v>
      </c>
      <c r="S60" s="33" t="e">
        <f ca="1"/>
        <v>#N/A</v>
      </c>
      <c r="T60" s="33" t="e">
        <f ca="1"/>
        <v>#N/A</v>
      </c>
      <c r="U60" s="25" t="e">
        <f ca="1"/>
        <v>#N/A</v>
      </c>
      <c r="V60" s="36" t="e">
        <f ca="1"/>
        <v>#N/A</v>
      </c>
      <c r="W60" s="37" t="e">
        <f ca="1"/>
        <v>#N/A</v>
      </c>
      <c r="X60" s="31" t="s">
        <v>1</v>
      </c>
    </row>
    <row r="61" spans="4:24" x14ac:dyDescent="0.25">
      <c r="D61" s="31" t="s">
        <v>1</v>
      </c>
      <c r="E61" s="43">
        <v>53</v>
      </c>
      <c r="F61" s="25" t="e">
        <f ca="1">IF(ISNA(H61),NA(),IF(ISBLANK(G61),IF(FixedAmortizationFrequency=0,F60,IF(MOD((E61-1),FixedAmortizationFrequency)&lt;&gt;0,F60,F60-FixedAmortization)),G61))</f>
        <v>#N/A</v>
      </c>
      <c r="G61" s="67"/>
      <c r="H61" s="63" t="e">
        <f ca="1"/>
        <v>#N/A</v>
      </c>
      <c r="I61" s="33" t="e">
        <f ca="1"/>
        <v>#N/A</v>
      </c>
      <c r="J61" s="33" t="e">
        <f ca="1"/>
        <v>#N/A</v>
      </c>
      <c r="K61" s="25" t="e">
        <f ca="1"/>
        <v>#N/A</v>
      </c>
      <c r="L61" s="36" t="e">
        <f ca="1"/>
        <v>#N/A</v>
      </c>
      <c r="M61" s="37" t="e">
        <f ca="1"/>
        <v>#N/A</v>
      </c>
      <c r="N61" s="38" t="s">
        <v>1</v>
      </c>
      <c r="O61" s="43">
        <v>53</v>
      </c>
      <c r="P61" s="25" t="e">
        <f ca="1">IF(ISNA(R61),NA(),IF(ISBLANK(Q61),IF(FloatAmortizationFrequency=0,P60,IF(MOD((O61-1),FloatAmortizationFrequency)&lt;&gt;0,P60,P60-FloatAmortization)),Q61))</f>
        <v>#N/A</v>
      </c>
      <c r="Q61" s="67"/>
      <c r="R61" s="33" t="e">
        <f ca="1"/>
        <v>#N/A</v>
      </c>
      <c r="S61" s="33" t="e">
        <f ca="1"/>
        <v>#N/A</v>
      </c>
      <c r="T61" s="33" t="e">
        <f ca="1"/>
        <v>#N/A</v>
      </c>
      <c r="U61" s="25" t="e">
        <f ca="1"/>
        <v>#N/A</v>
      </c>
      <c r="V61" s="36" t="e">
        <f ca="1"/>
        <v>#N/A</v>
      </c>
      <c r="W61" s="37" t="e">
        <f ca="1"/>
        <v>#N/A</v>
      </c>
      <c r="X61" s="31" t="s">
        <v>1</v>
      </c>
    </row>
    <row r="62" spans="4:24" x14ac:dyDescent="0.25">
      <c r="D62" s="31" t="s">
        <v>1</v>
      </c>
      <c r="E62" s="43">
        <v>54</v>
      </c>
      <c r="F62" s="25" t="e">
        <f ca="1">IF(ISNA(H62),NA(),IF(ISBLANK(G62),IF(FixedAmortizationFrequency=0,F61,IF(MOD((E62-1),FixedAmortizationFrequency)&lt;&gt;0,F61,F61-FixedAmortization)),G62))</f>
        <v>#N/A</v>
      </c>
      <c r="G62" s="67"/>
      <c r="H62" s="63" t="e">
        <f ca="1"/>
        <v>#N/A</v>
      </c>
      <c r="I62" s="33" t="e">
        <f ca="1"/>
        <v>#N/A</v>
      </c>
      <c r="J62" s="33" t="e">
        <f ca="1"/>
        <v>#N/A</v>
      </c>
      <c r="K62" s="25" t="e">
        <f ca="1"/>
        <v>#N/A</v>
      </c>
      <c r="L62" s="36" t="e">
        <f ca="1"/>
        <v>#N/A</v>
      </c>
      <c r="M62" s="37" t="e">
        <f ca="1"/>
        <v>#N/A</v>
      </c>
      <c r="N62" s="38" t="s">
        <v>1</v>
      </c>
      <c r="O62" s="43">
        <v>54</v>
      </c>
      <c r="P62" s="25" t="e">
        <f ca="1">IF(ISNA(R62),NA(),IF(ISBLANK(Q62),IF(FloatAmortizationFrequency=0,P61,IF(MOD((O62-1),FloatAmortizationFrequency)&lt;&gt;0,P61,P61-FloatAmortization)),Q62))</f>
        <v>#N/A</v>
      </c>
      <c r="Q62" s="67"/>
      <c r="R62" s="33" t="e">
        <f ca="1"/>
        <v>#N/A</v>
      </c>
      <c r="S62" s="33" t="e">
        <f ca="1"/>
        <v>#N/A</v>
      </c>
      <c r="T62" s="33" t="e">
        <f ca="1"/>
        <v>#N/A</v>
      </c>
      <c r="U62" s="25" t="e">
        <f ca="1"/>
        <v>#N/A</v>
      </c>
      <c r="V62" s="36" t="e">
        <f ca="1"/>
        <v>#N/A</v>
      </c>
      <c r="W62" s="37" t="e">
        <f ca="1"/>
        <v>#N/A</v>
      </c>
      <c r="X62" s="31" t="s">
        <v>1</v>
      </c>
    </row>
    <row r="63" spans="4:24" x14ac:dyDescent="0.25">
      <c r="D63" s="31" t="s">
        <v>1</v>
      </c>
      <c r="E63" s="43">
        <v>55</v>
      </c>
      <c r="F63" s="25" t="e">
        <f ca="1">IF(ISNA(H63),NA(),IF(ISBLANK(G63),IF(FixedAmortizationFrequency=0,F62,IF(MOD((E63-1),FixedAmortizationFrequency)&lt;&gt;0,F62,F62-FixedAmortization)),G63))</f>
        <v>#N/A</v>
      </c>
      <c r="G63" s="67"/>
      <c r="H63" s="63" t="e">
        <f ca="1"/>
        <v>#N/A</v>
      </c>
      <c r="I63" s="33" t="e">
        <f ca="1"/>
        <v>#N/A</v>
      </c>
      <c r="J63" s="33" t="e">
        <f ca="1"/>
        <v>#N/A</v>
      </c>
      <c r="K63" s="25" t="e">
        <f ca="1"/>
        <v>#N/A</v>
      </c>
      <c r="L63" s="36" t="e">
        <f ca="1"/>
        <v>#N/A</v>
      </c>
      <c r="M63" s="37" t="e">
        <f ca="1"/>
        <v>#N/A</v>
      </c>
      <c r="N63" s="38" t="s">
        <v>1</v>
      </c>
      <c r="O63" s="43">
        <v>55</v>
      </c>
      <c r="P63" s="25" t="e">
        <f ca="1">IF(ISNA(R63),NA(),IF(ISBLANK(Q63),IF(FloatAmortizationFrequency=0,P62,IF(MOD((O63-1),FloatAmortizationFrequency)&lt;&gt;0,P62,P62-FloatAmortization)),Q63))</f>
        <v>#N/A</v>
      </c>
      <c r="Q63" s="67"/>
      <c r="R63" s="33" t="e">
        <f ca="1"/>
        <v>#N/A</v>
      </c>
      <c r="S63" s="33" t="e">
        <f ca="1"/>
        <v>#N/A</v>
      </c>
      <c r="T63" s="33" t="e">
        <f ca="1"/>
        <v>#N/A</v>
      </c>
      <c r="U63" s="25" t="e">
        <f ca="1"/>
        <v>#N/A</v>
      </c>
      <c r="V63" s="36" t="e">
        <f ca="1"/>
        <v>#N/A</v>
      </c>
      <c r="W63" s="37" t="e">
        <f ca="1"/>
        <v>#N/A</v>
      </c>
      <c r="X63" s="31" t="s">
        <v>1</v>
      </c>
    </row>
    <row r="64" spans="4:24" x14ac:dyDescent="0.25">
      <c r="D64" s="31" t="s">
        <v>1</v>
      </c>
      <c r="E64" s="43">
        <v>56</v>
      </c>
      <c r="F64" s="25" t="e">
        <f ca="1">IF(ISNA(H64),NA(),IF(ISBLANK(G64),IF(FixedAmortizationFrequency=0,F63,IF(MOD((E64-1),FixedAmortizationFrequency)&lt;&gt;0,F63,F63-FixedAmortization)),G64))</f>
        <v>#N/A</v>
      </c>
      <c r="G64" s="67"/>
      <c r="H64" s="63" t="e">
        <f ca="1"/>
        <v>#N/A</v>
      </c>
      <c r="I64" s="33" t="e">
        <f ca="1"/>
        <v>#N/A</v>
      </c>
      <c r="J64" s="33" t="e">
        <f ca="1"/>
        <v>#N/A</v>
      </c>
      <c r="K64" s="25" t="e">
        <f ca="1"/>
        <v>#N/A</v>
      </c>
      <c r="L64" s="36" t="e">
        <f ca="1"/>
        <v>#N/A</v>
      </c>
      <c r="M64" s="37" t="e">
        <f ca="1"/>
        <v>#N/A</v>
      </c>
      <c r="N64" s="38" t="s">
        <v>1</v>
      </c>
      <c r="O64" s="43">
        <v>56</v>
      </c>
      <c r="P64" s="25" t="e">
        <f ca="1">IF(ISNA(R64),NA(),IF(ISBLANK(Q64),IF(FloatAmortizationFrequency=0,P63,IF(MOD((O64-1),FloatAmortizationFrequency)&lt;&gt;0,P63,P63-FloatAmortization)),Q64))</f>
        <v>#N/A</v>
      </c>
      <c r="Q64" s="67"/>
      <c r="R64" s="33" t="e">
        <f ca="1"/>
        <v>#N/A</v>
      </c>
      <c r="S64" s="33" t="e">
        <f ca="1"/>
        <v>#N/A</v>
      </c>
      <c r="T64" s="33" t="e">
        <f ca="1"/>
        <v>#N/A</v>
      </c>
      <c r="U64" s="25" t="e">
        <f ca="1"/>
        <v>#N/A</v>
      </c>
      <c r="V64" s="36" t="e">
        <f ca="1"/>
        <v>#N/A</v>
      </c>
      <c r="W64" s="37" t="e">
        <f ca="1"/>
        <v>#N/A</v>
      </c>
      <c r="X64" s="31" t="s">
        <v>1</v>
      </c>
    </row>
    <row r="65" spans="4:24" x14ac:dyDescent="0.25">
      <c r="D65" s="31" t="s">
        <v>1</v>
      </c>
      <c r="E65" s="43">
        <v>57</v>
      </c>
      <c r="F65" s="25" t="e">
        <f ca="1">IF(ISNA(H65),NA(),IF(ISBLANK(G65),IF(FixedAmortizationFrequency=0,F64,IF(MOD((E65-1),FixedAmortizationFrequency)&lt;&gt;0,F64,F64-FixedAmortization)),G65))</f>
        <v>#N/A</v>
      </c>
      <c r="G65" s="67"/>
      <c r="H65" s="63" t="e">
        <f ca="1"/>
        <v>#N/A</v>
      </c>
      <c r="I65" s="33" t="e">
        <f ca="1"/>
        <v>#N/A</v>
      </c>
      <c r="J65" s="33" t="e">
        <f ca="1"/>
        <v>#N/A</v>
      </c>
      <c r="K65" s="25" t="e">
        <f ca="1"/>
        <v>#N/A</v>
      </c>
      <c r="L65" s="36" t="e">
        <f ca="1"/>
        <v>#N/A</v>
      </c>
      <c r="M65" s="37" t="e">
        <f ca="1"/>
        <v>#N/A</v>
      </c>
      <c r="N65" s="38" t="s">
        <v>1</v>
      </c>
      <c r="O65" s="43">
        <v>57</v>
      </c>
      <c r="P65" s="25" t="e">
        <f ca="1">IF(ISNA(R65),NA(),IF(ISBLANK(Q65),IF(FloatAmortizationFrequency=0,P64,IF(MOD((O65-1),FloatAmortizationFrequency)&lt;&gt;0,P64,P64-FloatAmortization)),Q65))</f>
        <v>#N/A</v>
      </c>
      <c r="Q65" s="67"/>
      <c r="R65" s="33" t="e">
        <f ca="1"/>
        <v>#N/A</v>
      </c>
      <c r="S65" s="33" t="e">
        <f ca="1"/>
        <v>#N/A</v>
      </c>
      <c r="T65" s="33" t="e">
        <f ca="1"/>
        <v>#N/A</v>
      </c>
      <c r="U65" s="25" t="e">
        <f ca="1"/>
        <v>#N/A</v>
      </c>
      <c r="V65" s="36" t="e">
        <f ca="1"/>
        <v>#N/A</v>
      </c>
      <c r="W65" s="37" t="e">
        <f ca="1"/>
        <v>#N/A</v>
      </c>
      <c r="X65" s="31" t="s">
        <v>1</v>
      </c>
    </row>
    <row r="66" spans="4:24" x14ac:dyDescent="0.25">
      <c r="D66" s="31" t="s">
        <v>1</v>
      </c>
      <c r="E66" s="43">
        <v>58</v>
      </c>
      <c r="F66" s="25" t="e">
        <f ca="1">IF(ISNA(H66),NA(),IF(ISBLANK(G66),IF(FixedAmortizationFrequency=0,F65,IF(MOD((E66-1),FixedAmortizationFrequency)&lt;&gt;0,F65,F65-FixedAmortization)),G66))</f>
        <v>#N/A</v>
      </c>
      <c r="G66" s="67"/>
      <c r="H66" s="63" t="e">
        <f ca="1"/>
        <v>#N/A</v>
      </c>
      <c r="I66" s="33" t="e">
        <f ca="1"/>
        <v>#N/A</v>
      </c>
      <c r="J66" s="33" t="e">
        <f ca="1"/>
        <v>#N/A</v>
      </c>
      <c r="K66" s="25" t="e">
        <f ca="1"/>
        <v>#N/A</v>
      </c>
      <c r="L66" s="36" t="e">
        <f ca="1"/>
        <v>#N/A</v>
      </c>
      <c r="M66" s="37" t="e">
        <f ca="1"/>
        <v>#N/A</v>
      </c>
      <c r="N66" s="38" t="s">
        <v>1</v>
      </c>
      <c r="O66" s="43">
        <v>58</v>
      </c>
      <c r="P66" s="25" t="e">
        <f ca="1">IF(ISNA(R66),NA(),IF(ISBLANK(Q66),IF(FloatAmortizationFrequency=0,P65,IF(MOD((O66-1),FloatAmortizationFrequency)&lt;&gt;0,P65,P65-FloatAmortization)),Q66))</f>
        <v>#N/A</v>
      </c>
      <c r="Q66" s="67"/>
      <c r="R66" s="33" t="e">
        <f ca="1"/>
        <v>#N/A</v>
      </c>
      <c r="S66" s="33" t="e">
        <f ca="1"/>
        <v>#N/A</v>
      </c>
      <c r="T66" s="33" t="e">
        <f ca="1"/>
        <v>#N/A</v>
      </c>
      <c r="U66" s="25" t="e">
        <f ca="1"/>
        <v>#N/A</v>
      </c>
      <c r="V66" s="36" t="e">
        <f ca="1"/>
        <v>#N/A</v>
      </c>
      <c r="W66" s="37" t="e">
        <f ca="1"/>
        <v>#N/A</v>
      </c>
      <c r="X66" s="31" t="s">
        <v>1</v>
      </c>
    </row>
    <row r="67" spans="4:24" x14ac:dyDescent="0.25">
      <c r="D67" s="31" t="s">
        <v>1</v>
      </c>
      <c r="E67" s="43">
        <v>59</v>
      </c>
      <c r="F67" s="25" t="e">
        <f ca="1">IF(ISNA(H67),NA(),IF(ISBLANK(G67),IF(FixedAmortizationFrequency=0,F66,IF(MOD((E67-1),FixedAmortizationFrequency)&lt;&gt;0,F66,F66-FixedAmortization)),G67))</f>
        <v>#N/A</v>
      </c>
      <c r="G67" s="67"/>
      <c r="H67" s="63" t="e">
        <f ca="1"/>
        <v>#N/A</v>
      </c>
      <c r="I67" s="33" t="e">
        <f ca="1"/>
        <v>#N/A</v>
      </c>
      <c r="J67" s="33" t="e">
        <f ca="1"/>
        <v>#N/A</v>
      </c>
      <c r="K67" s="25" t="e">
        <f ca="1"/>
        <v>#N/A</v>
      </c>
      <c r="L67" s="36" t="e">
        <f ca="1"/>
        <v>#N/A</v>
      </c>
      <c r="M67" s="37" t="e">
        <f ca="1"/>
        <v>#N/A</v>
      </c>
      <c r="N67" s="38" t="s">
        <v>1</v>
      </c>
      <c r="O67" s="43">
        <v>59</v>
      </c>
      <c r="P67" s="25" t="e">
        <f ca="1">IF(ISNA(R67),NA(),IF(ISBLANK(Q67),IF(FloatAmortizationFrequency=0,P66,IF(MOD((O67-1),FloatAmortizationFrequency)&lt;&gt;0,P66,P66-FloatAmortization)),Q67))</f>
        <v>#N/A</v>
      </c>
      <c r="Q67" s="67"/>
      <c r="R67" s="33" t="e">
        <f ca="1"/>
        <v>#N/A</v>
      </c>
      <c r="S67" s="33" t="e">
        <f ca="1"/>
        <v>#N/A</v>
      </c>
      <c r="T67" s="33" t="e">
        <f ca="1"/>
        <v>#N/A</v>
      </c>
      <c r="U67" s="25" t="e">
        <f ca="1"/>
        <v>#N/A</v>
      </c>
      <c r="V67" s="36" t="e">
        <f ca="1"/>
        <v>#N/A</v>
      </c>
      <c r="W67" s="37" t="e">
        <f ca="1"/>
        <v>#N/A</v>
      </c>
      <c r="X67" s="31" t="s">
        <v>1</v>
      </c>
    </row>
    <row r="68" spans="4:24" x14ac:dyDescent="0.25">
      <c r="D68" s="31" t="s">
        <v>1</v>
      </c>
      <c r="E68" s="43">
        <v>60</v>
      </c>
      <c r="F68" s="25" t="e">
        <f ca="1">IF(ISNA(H68),NA(),IF(ISBLANK(G68),IF(FixedAmortizationFrequency=0,F67,IF(MOD((E68-1),FixedAmortizationFrequency)&lt;&gt;0,F67,F67-FixedAmortization)),G68))</f>
        <v>#N/A</v>
      </c>
      <c r="G68" s="67"/>
      <c r="H68" s="63" t="e">
        <f ca="1"/>
        <v>#N/A</v>
      </c>
      <c r="I68" s="33" t="e">
        <f ca="1"/>
        <v>#N/A</v>
      </c>
      <c r="J68" s="33" t="e">
        <f ca="1"/>
        <v>#N/A</v>
      </c>
      <c r="K68" s="25" t="e">
        <f ca="1"/>
        <v>#N/A</v>
      </c>
      <c r="L68" s="36" t="e">
        <f ca="1"/>
        <v>#N/A</v>
      </c>
      <c r="M68" s="37" t="e">
        <f ca="1"/>
        <v>#N/A</v>
      </c>
      <c r="N68" s="38" t="s">
        <v>1</v>
      </c>
      <c r="O68" s="43">
        <v>60</v>
      </c>
      <c r="P68" s="25" t="e">
        <f ca="1">IF(ISNA(R68),NA(),IF(ISBLANK(Q68),IF(FloatAmortizationFrequency=0,P67,IF(MOD((O68-1),FloatAmortizationFrequency)&lt;&gt;0,P67,P67-FloatAmortization)),Q68))</f>
        <v>#N/A</v>
      </c>
      <c r="Q68" s="67"/>
      <c r="R68" s="33" t="e">
        <f ca="1"/>
        <v>#N/A</v>
      </c>
      <c r="S68" s="33" t="e">
        <f ca="1"/>
        <v>#N/A</v>
      </c>
      <c r="T68" s="33" t="e">
        <f ca="1"/>
        <v>#N/A</v>
      </c>
      <c r="U68" s="25" t="e">
        <f ca="1"/>
        <v>#N/A</v>
      </c>
      <c r="V68" s="36" t="e">
        <f ca="1"/>
        <v>#N/A</v>
      </c>
      <c r="W68" s="37" t="e">
        <f ca="1"/>
        <v>#N/A</v>
      </c>
      <c r="X68" s="31" t="s">
        <v>1</v>
      </c>
    </row>
    <row r="69" spans="4:24" x14ac:dyDescent="0.25">
      <c r="D69" s="31" t="s">
        <v>1</v>
      </c>
      <c r="E69" s="43">
        <v>61</v>
      </c>
      <c r="F69" s="25" t="e">
        <f ca="1">IF(ISNA(H69),NA(),IF(ISBLANK(G69),IF(FixedAmortizationFrequency=0,F68,IF(MOD((E69-1),FixedAmortizationFrequency)&lt;&gt;0,F68,F68-FixedAmortization)),G69))</f>
        <v>#N/A</v>
      </c>
      <c r="G69" s="67"/>
      <c r="H69" s="63" t="e">
        <f ca="1"/>
        <v>#N/A</v>
      </c>
      <c r="I69" s="33" t="e">
        <f ca="1"/>
        <v>#N/A</v>
      </c>
      <c r="J69" s="33" t="e">
        <f ca="1"/>
        <v>#N/A</v>
      </c>
      <c r="K69" s="25" t="e">
        <f ca="1"/>
        <v>#N/A</v>
      </c>
      <c r="L69" s="36" t="e">
        <f ca="1"/>
        <v>#N/A</v>
      </c>
      <c r="M69" s="37" t="e">
        <f ca="1"/>
        <v>#N/A</v>
      </c>
      <c r="N69" s="38" t="s">
        <v>1</v>
      </c>
      <c r="O69" s="43">
        <v>61</v>
      </c>
      <c r="P69" s="25" t="e">
        <f ca="1">IF(ISNA(R69),NA(),IF(ISBLANK(Q69),IF(FloatAmortizationFrequency=0,P68,IF(MOD((O69-1),FloatAmortizationFrequency)&lt;&gt;0,P68,P68-FloatAmortization)),Q69))</f>
        <v>#N/A</v>
      </c>
      <c r="Q69" s="67"/>
      <c r="R69" s="33" t="e">
        <f ca="1"/>
        <v>#N/A</v>
      </c>
      <c r="S69" s="33" t="e">
        <f ca="1"/>
        <v>#N/A</v>
      </c>
      <c r="T69" s="33" t="e">
        <f ca="1"/>
        <v>#N/A</v>
      </c>
      <c r="U69" s="25" t="e">
        <f ca="1"/>
        <v>#N/A</v>
      </c>
      <c r="V69" s="36" t="e">
        <f ca="1"/>
        <v>#N/A</v>
      </c>
      <c r="W69" s="37" t="e">
        <f ca="1"/>
        <v>#N/A</v>
      </c>
      <c r="X69" s="31" t="s">
        <v>1</v>
      </c>
    </row>
    <row r="70" spans="4:24" x14ac:dyDescent="0.25">
      <c r="D70" s="31" t="s">
        <v>1</v>
      </c>
      <c r="E70" s="43">
        <v>62</v>
      </c>
      <c r="F70" s="25" t="e">
        <f ca="1">IF(ISNA(H70),NA(),IF(ISBLANK(G70),IF(FixedAmortizationFrequency=0,F69,IF(MOD((E70-1),FixedAmortizationFrequency)&lt;&gt;0,F69,F69-FixedAmortization)),G70))</f>
        <v>#N/A</v>
      </c>
      <c r="G70" s="67"/>
      <c r="H70" s="63" t="e">
        <f ca="1"/>
        <v>#N/A</v>
      </c>
      <c r="I70" s="33" t="e">
        <f ca="1"/>
        <v>#N/A</v>
      </c>
      <c r="J70" s="33" t="e">
        <f ca="1"/>
        <v>#N/A</v>
      </c>
      <c r="K70" s="25" t="e">
        <f ca="1"/>
        <v>#N/A</v>
      </c>
      <c r="L70" s="36" t="e">
        <f ca="1"/>
        <v>#N/A</v>
      </c>
      <c r="M70" s="37" t="e">
        <f ca="1"/>
        <v>#N/A</v>
      </c>
      <c r="N70" s="38" t="s">
        <v>1</v>
      </c>
      <c r="O70" s="43">
        <v>62</v>
      </c>
      <c r="P70" s="25" t="e">
        <f ca="1">IF(ISNA(R70),NA(),IF(ISBLANK(Q70),IF(FloatAmortizationFrequency=0,P69,IF(MOD((O70-1),FloatAmortizationFrequency)&lt;&gt;0,P69,P69-FloatAmortization)),Q70))</f>
        <v>#N/A</v>
      </c>
      <c r="Q70" s="67"/>
      <c r="R70" s="33" t="e">
        <f ca="1"/>
        <v>#N/A</v>
      </c>
      <c r="S70" s="33" t="e">
        <f ca="1"/>
        <v>#N/A</v>
      </c>
      <c r="T70" s="33" t="e">
        <f ca="1"/>
        <v>#N/A</v>
      </c>
      <c r="U70" s="25" t="e">
        <f ca="1"/>
        <v>#N/A</v>
      </c>
      <c r="V70" s="36" t="e">
        <f ca="1"/>
        <v>#N/A</v>
      </c>
      <c r="W70" s="37" t="e">
        <f ca="1"/>
        <v>#N/A</v>
      </c>
      <c r="X70" s="31" t="s">
        <v>1</v>
      </c>
    </row>
    <row r="71" spans="4:24" x14ac:dyDescent="0.25">
      <c r="D71" s="31" t="s">
        <v>1</v>
      </c>
      <c r="E71" s="43">
        <v>63</v>
      </c>
      <c r="F71" s="25" t="e">
        <f ca="1">IF(ISNA(H71),NA(),IF(ISBLANK(G71),IF(FixedAmortizationFrequency=0,F70,IF(MOD((E71-1),FixedAmortizationFrequency)&lt;&gt;0,F70,F70-FixedAmortization)),G71))</f>
        <v>#N/A</v>
      </c>
      <c r="G71" s="67"/>
      <c r="H71" s="63" t="e">
        <f ca="1"/>
        <v>#N/A</v>
      </c>
      <c r="I71" s="33" t="e">
        <f ca="1"/>
        <v>#N/A</v>
      </c>
      <c r="J71" s="33" t="e">
        <f ca="1"/>
        <v>#N/A</v>
      </c>
      <c r="K71" s="25" t="e">
        <f ca="1"/>
        <v>#N/A</v>
      </c>
      <c r="L71" s="36" t="e">
        <f ca="1"/>
        <v>#N/A</v>
      </c>
      <c r="M71" s="37" t="e">
        <f ca="1"/>
        <v>#N/A</v>
      </c>
      <c r="N71" s="38" t="s">
        <v>1</v>
      </c>
      <c r="O71" s="43">
        <v>63</v>
      </c>
      <c r="P71" s="25" t="e">
        <f ca="1">IF(ISNA(R71),NA(),IF(ISBLANK(Q71),IF(FloatAmortizationFrequency=0,P70,IF(MOD((O71-1),FloatAmortizationFrequency)&lt;&gt;0,P70,P70-FloatAmortization)),Q71))</f>
        <v>#N/A</v>
      </c>
      <c r="Q71" s="67"/>
      <c r="R71" s="33" t="e">
        <f ca="1"/>
        <v>#N/A</v>
      </c>
      <c r="S71" s="33" t="e">
        <f ca="1"/>
        <v>#N/A</v>
      </c>
      <c r="T71" s="33" t="e">
        <f ca="1"/>
        <v>#N/A</v>
      </c>
      <c r="U71" s="25" t="e">
        <f ca="1"/>
        <v>#N/A</v>
      </c>
      <c r="V71" s="36" t="e">
        <f ca="1"/>
        <v>#N/A</v>
      </c>
      <c r="W71" s="37" t="e">
        <f ca="1"/>
        <v>#N/A</v>
      </c>
      <c r="X71" s="31" t="s">
        <v>1</v>
      </c>
    </row>
    <row r="72" spans="4:24" x14ac:dyDescent="0.25">
      <c r="D72" s="31" t="s">
        <v>1</v>
      </c>
      <c r="E72" s="43">
        <v>64</v>
      </c>
      <c r="F72" s="25" t="e">
        <f ca="1">IF(ISNA(H72),NA(),IF(ISBLANK(G72),IF(FixedAmortizationFrequency=0,F71,IF(MOD((E72-1),FixedAmortizationFrequency)&lt;&gt;0,F71,F71-FixedAmortization)),G72))</f>
        <v>#N/A</v>
      </c>
      <c r="G72" s="67"/>
      <c r="H72" s="63" t="e">
        <f ca="1"/>
        <v>#N/A</v>
      </c>
      <c r="I72" s="33" t="e">
        <f ca="1"/>
        <v>#N/A</v>
      </c>
      <c r="J72" s="33" t="e">
        <f ca="1"/>
        <v>#N/A</v>
      </c>
      <c r="K72" s="25" t="e">
        <f ca="1"/>
        <v>#N/A</v>
      </c>
      <c r="L72" s="36" t="e">
        <f ca="1"/>
        <v>#N/A</v>
      </c>
      <c r="M72" s="37" t="e">
        <f ca="1"/>
        <v>#N/A</v>
      </c>
      <c r="N72" s="38" t="s">
        <v>1</v>
      </c>
      <c r="O72" s="43">
        <v>64</v>
      </c>
      <c r="P72" s="25" t="e">
        <f ca="1">IF(ISNA(R72),NA(),IF(ISBLANK(Q72),IF(FloatAmortizationFrequency=0,P71,IF(MOD((O72-1),FloatAmortizationFrequency)&lt;&gt;0,P71,P71-FloatAmortization)),Q72))</f>
        <v>#N/A</v>
      </c>
      <c r="Q72" s="67"/>
      <c r="R72" s="33" t="e">
        <f ca="1"/>
        <v>#N/A</v>
      </c>
      <c r="S72" s="33" t="e">
        <f ca="1"/>
        <v>#N/A</v>
      </c>
      <c r="T72" s="33" t="e">
        <f ca="1"/>
        <v>#N/A</v>
      </c>
      <c r="U72" s="25" t="e">
        <f ca="1"/>
        <v>#N/A</v>
      </c>
      <c r="V72" s="36" t="e">
        <f ca="1"/>
        <v>#N/A</v>
      </c>
      <c r="W72" s="37" t="e">
        <f ca="1"/>
        <v>#N/A</v>
      </c>
      <c r="X72" s="31" t="s">
        <v>1</v>
      </c>
    </row>
    <row r="73" spans="4:24" x14ac:dyDescent="0.25">
      <c r="D73" s="31" t="s">
        <v>1</v>
      </c>
      <c r="E73" s="43">
        <v>65</v>
      </c>
      <c r="F73" s="25" t="e">
        <f ca="1">IF(ISNA(H73),NA(),IF(ISBLANK(G73),IF(FixedAmortizationFrequency=0,F72,IF(MOD((E73-1),FixedAmortizationFrequency)&lt;&gt;0,F72,F72-FixedAmortization)),G73))</f>
        <v>#N/A</v>
      </c>
      <c r="G73" s="67"/>
      <c r="H73" s="63" t="e">
        <f ca="1"/>
        <v>#N/A</v>
      </c>
      <c r="I73" s="33" t="e">
        <f ca="1"/>
        <v>#N/A</v>
      </c>
      <c r="J73" s="33" t="e">
        <f ca="1"/>
        <v>#N/A</v>
      </c>
      <c r="K73" s="25" t="e">
        <f ca="1"/>
        <v>#N/A</v>
      </c>
      <c r="L73" s="36" t="e">
        <f ca="1"/>
        <v>#N/A</v>
      </c>
      <c r="M73" s="37" t="e">
        <f ca="1"/>
        <v>#N/A</v>
      </c>
      <c r="N73" s="38" t="s">
        <v>1</v>
      </c>
      <c r="O73" s="43">
        <v>65</v>
      </c>
      <c r="P73" s="25" t="e">
        <f ca="1">IF(ISNA(R73),NA(),IF(ISBLANK(Q73),IF(FloatAmortizationFrequency=0,P72,IF(MOD((O73-1),FloatAmortizationFrequency)&lt;&gt;0,P72,P72-FloatAmortization)),Q73))</f>
        <v>#N/A</v>
      </c>
      <c r="Q73" s="67"/>
      <c r="R73" s="33" t="e">
        <f ca="1"/>
        <v>#N/A</v>
      </c>
      <c r="S73" s="33" t="e">
        <f ca="1"/>
        <v>#N/A</v>
      </c>
      <c r="T73" s="33" t="e">
        <f ca="1"/>
        <v>#N/A</v>
      </c>
      <c r="U73" s="25" t="e">
        <f ca="1"/>
        <v>#N/A</v>
      </c>
      <c r="V73" s="36" t="e">
        <f ca="1"/>
        <v>#N/A</v>
      </c>
      <c r="W73" s="37" t="e">
        <f ca="1"/>
        <v>#N/A</v>
      </c>
      <c r="X73" s="31" t="s">
        <v>1</v>
      </c>
    </row>
    <row r="74" spans="4:24" x14ac:dyDescent="0.25">
      <c r="D74" s="31" t="s">
        <v>1</v>
      </c>
      <c r="E74" s="43">
        <v>66</v>
      </c>
      <c r="F74" s="25" t="e">
        <f ca="1">IF(ISNA(H74),NA(),IF(ISBLANK(G74),IF(FixedAmortizationFrequency=0,F73,IF(MOD((E74-1),FixedAmortizationFrequency)&lt;&gt;0,F73,F73-FixedAmortization)),G74))</f>
        <v>#N/A</v>
      </c>
      <c r="G74" s="67"/>
      <c r="H74" s="63" t="e">
        <f ca="1"/>
        <v>#N/A</v>
      </c>
      <c r="I74" s="33" t="e">
        <f ca="1"/>
        <v>#N/A</v>
      </c>
      <c r="J74" s="33" t="e">
        <f ca="1"/>
        <v>#N/A</v>
      </c>
      <c r="K74" s="25" t="e">
        <f ca="1"/>
        <v>#N/A</v>
      </c>
      <c r="L74" s="36" t="e">
        <f ca="1"/>
        <v>#N/A</v>
      </c>
      <c r="M74" s="37" t="e">
        <f ca="1"/>
        <v>#N/A</v>
      </c>
      <c r="N74" s="38" t="s">
        <v>1</v>
      </c>
      <c r="O74" s="43">
        <v>66</v>
      </c>
      <c r="P74" s="25" t="e">
        <f ca="1">IF(ISNA(R74),NA(),IF(ISBLANK(Q74),IF(FloatAmortizationFrequency=0,P73,IF(MOD((O74-1),FloatAmortizationFrequency)&lt;&gt;0,P73,P73-FloatAmortization)),Q74))</f>
        <v>#N/A</v>
      </c>
      <c r="Q74" s="67"/>
      <c r="R74" s="33" t="e">
        <f ca="1"/>
        <v>#N/A</v>
      </c>
      <c r="S74" s="33" t="e">
        <f ca="1"/>
        <v>#N/A</v>
      </c>
      <c r="T74" s="33" t="e">
        <f ca="1"/>
        <v>#N/A</v>
      </c>
      <c r="U74" s="25" t="e">
        <f ca="1"/>
        <v>#N/A</v>
      </c>
      <c r="V74" s="36" t="e">
        <f ca="1"/>
        <v>#N/A</v>
      </c>
      <c r="W74" s="37" t="e">
        <f ca="1"/>
        <v>#N/A</v>
      </c>
      <c r="X74" s="31" t="s">
        <v>1</v>
      </c>
    </row>
    <row r="75" spans="4:24" x14ac:dyDescent="0.25">
      <c r="D75" s="31" t="s">
        <v>1</v>
      </c>
      <c r="E75" s="43">
        <v>67</v>
      </c>
      <c r="F75" s="25" t="e">
        <f ca="1">IF(ISNA(H75),NA(),IF(ISBLANK(G75),IF(FixedAmortizationFrequency=0,F74,IF(MOD((E75-1),FixedAmortizationFrequency)&lt;&gt;0,F74,F74-FixedAmortization)),G75))</f>
        <v>#N/A</v>
      </c>
      <c r="G75" s="67"/>
      <c r="H75" s="63" t="e">
        <f ca="1"/>
        <v>#N/A</v>
      </c>
      <c r="I75" s="33" t="e">
        <f ca="1"/>
        <v>#N/A</v>
      </c>
      <c r="J75" s="33" t="e">
        <f ca="1"/>
        <v>#N/A</v>
      </c>
      <c r="K75" s="25" t="e">
        <f ca="1"/>
        <v>#N/A</v>
      </c>
      <c r="L75" s="36" t="e">
        <f ca="1"/>
        <v>#N/A</v>
      </c>
      <c r="M75" s="37" t="e">
        <f ca="1"/>
        <v>#N/A</v>
      </c>
      <c r="N75" s="38" t="s">
        <v>1</v>
      </c>
      <c r="O75" s="43">
        <v>67</v>
      </c>
      <c r="P75" s="25" t="e">
        <f ca="1">IF(ISNA(R75),NA(),IF(ISBLANK(Q75),IF(FloatAmortizationFrequency=0,P74,IF(MOD((O75-1),FloatAmortizationFrequency)&lt;&gt;0,P74,P74-FloatAmortization)),Q75))</f>
        <v>#N/A</v>
      </c>
      <c r="Q75" s="67"/>
      <c r="R75" s="33" t="e">
        <f ca="1"/>
        <v>#N/A</v>
      </c>
      <c r="S75" s="33" t="e">
        <f ca="1"/>
        <v>#N/A</v>
      </c>
      <c r="T75" s="33" t="e">
        <f ca="1"/>
        <v>#N/A</v>
      </c>
      <c r="U75" s="25" t="e">
        <f ca="1"/>
        <v>#N/A</v>
      </c>
      <c r="V75" s="36" t="e">
        <f ca="1"/>
        <v>#N/A</v>
      </c>
      <c r="W75" s="37" t="e">
        <f ca="1"/>
        <v>#N/A</v>
      </c>
      <c r="X75" s="31" t="s">
        <v>1</v>
      </c>
    </row>
    <row r="76" spans="4:24" x14ac:dyDescent="0.25">
      <c r="D76" s="31" t="s">
        <v>1</v>
      </c>
      <c r="E76" s="43">
        <v>68</v>
      </c>
      <c r="F76" s="25" t="e">
        <f ca="1">IF(ISNA(H76),NA(),IF(ISBLANK(G76),IF(FixedAmortizationFrequency=0,F75,IF(MOD((E76-1),FixedAmortizationFrequency)&lt;&gt;0,F75,F75-FixedAmortization)),G76))</f>
        <v>#N/A</v>
      </c>
      <c r="G76" s="67"/>
      <c r="H76" s="63" t="e">
        <f ca="1"/>
        <v>#N/A</v>
      </c>
      <c r="I76" s="33" t="e">
        <f ca="1"/>
        <v>#N/A</v>
      </c>
      <c r="J76" s="33" t="e">
        <f ca="1"/>
        <v>#N/A</v>
      </c>
      <c r="K76" s="25" t="e">
        <f ca="1"/>
        <v>#N/A</v>
      </c>
      <c r="L76" s="36" t="e">
        <f ca="1"/>
        <v>#N/A</v>
      </c>
      <c r="M76" s="37" t="e">
        <f ca="1"/>
        <v>#N/A</v>
      </c>
      <c r="N76" s="38" t="s">
        <v>1</v>
      </c>
      <c r="O76" s="43">
        <v>68</v>
      </c>
      <c r="P76" s="25" t="e">
        <f ca="1">IF(ISNA(R76),NA(),IF(ISBLANK(Q76),IF(FloatAmortizationFrequency=0,P75,IF(MOD((O76-1),FloatAmortizationFrequency)&lt;&gt;0,P75,P75-FloatAmortization)),Q76))</f>
        <v>#N/A</v>
      </c>
      <c r="Q76" s="67"/>
      <c r="R76" s="33" t="e">
        <f ca="1"/>
        <v>#N/A</v>
      </c>
      <c r="S76" s="33" t="e">
        <f ca="1"/>
        <v>#N/A</v>
      </c>
      <c r="T76" s="33" t="e">
        <f ca="1"/>
        <v>#N/A</v>
      </c>
      <c r="U76" s="25" t="e">
        <f ca="1"/>
        <v>#N/A</v>
      </c>
      <c r="V76" s="36" t="e">
        <f ca="1"/>
        <v>#N/A</v>
      </c>
      <c r="W76" s="37" t="e">
        <f ca="1"/>
        <v>#N/A</v>
      </c>
      <c r="X76" s="31" t="s">
        <v>1</v>
      </c>
    </row>
    <row r="77" spans="4:24" x14ac:dyDescent="0.25">
      <c r="D77" s="31" t="s">
        <v>1</v>
      </c>
      <c r="E77" s="43">
        <v>69</v>
      </c>
      <c r="F77" s="25" t="e">
        <f ca="1">IF(ISNA(H77),NA(),IF(ISBLANK(G77),IF(FixedAmortizationFrequency=0,F76,IF(MOD((E77-1),FixedAmortizationFrequency)&lt;&gt;0,F76,F76-FixedAmortization)),G77))</f>
        <v>#N/A</v>
      </c>
      <c r="G77" s="67"/>
      <c r="H77" s="63" t="e">
        <f ca="1"/>
        <v>#N/A</v>
      </c>
      <c r="I77" s="33" t="e">
        <f ca="1"/>
        <v>#N/A</v>
      </c>
      <c r="J77" s="33" t="e">
        <f ca="1"/>
        <v>#N/A</v>
      </c>
      <c r="K77" s="25" t="e">
        <f ca="1"/>
        <v>#N/A</v>
      </c>
      <c r="L77" s="36" t="e">
        <f ca="1"/>
        <v>#N/A</v>
      </c>
      <c r="M77" s="37" t="e">
        <f ca="1"/>
        <v>#N/A</v>
      </c>
      <c r="N77" s="38" t="s">
        <v>1</v>
      </c>
      <c r="O77" s="43">
        <v>69</v>
      </c>
      <c r="P77" s="25" t="e">
        <f ca="1">IF(ISNA(R77),NA(),IF(ISBLANK(Q77),IF(FloatAmortizationFrequency=0,P76,IF(MOD((O77-1),FloatAmortizationFrequency)&lt;&gt;0,P76,P76-FloatAmortization)),Q77))</f>
        <v>#N/A</v>
      </c>
      <c r="Q77" s="67"/>
      <c r="R77" s="33" t="e">
        <f ca="1"/>
        <v>#N/A</v>
      </c>
      <c r="S77" s="33" t="e">
        <f ca="1"/>
        <v>#N/A</v>
      </c>
      <c r="T77" s="33" t="e">
        <f ca="1"/>
        <v>#N/A</v>
      </c>
      <c r="U77" s="25" t="e">
        <f ca="1"/>
        <v>#N/A</v>
      </c>
      <c r="V77" s="36" t="e">
        <f ca="1"/>
        <v>#N/A</v>
      </c>
      <c r="W77" s="37" t="e">
        <f ca="1"/>
        <v>#N/A</v>
      </c>
      <c r="X77" s="31" t="s">
        <v>1</v>
      </c>
    </row>
    <row r="78" spans="4:24" x14ac:dyDescent="0.25">
      <c r="D78" s="31" t="s">
        <v>1</v>
      </c>
      <c r="E78" s="43">
        <v>70</v>
      </c>
      <c r="F78" s="25" t="e">
        <f ca="1">IF(ISNA(H78),NA(),IF(ISBLANK(G78),IF(FixedAmortizationFrequency=0,F77,IF(MOD((E78-1),FixedAmortizationFrequency)&lt;&gt;0,F77,F77-FixedAmortization)),G78))</f>
        <v>#N/A</v>
      </c>
      <c r="G78" s="67"/>
      <c r="H78" s="63" t="e">
        <f ca="1"/>
        <v>#N/A</v>
      </c>
      <c r="I78" s="33" t="e">
        <f ca="1"/>
        <v>#N/A</v>
      </c>
      <c r="J78" s="33" t="e">
        <f ca="1"/>
        <v>#N/A</v>
      </c>
      <c r="K78" s="25" t="e">
        <f ca="1"/>
        <v>#N/A</v>
      </c>
      <c r="L78" s="36" t="e">
        <f ca="1"/>
        <v>#N/A</v>
      </c>
      <c r="M78" s="37" t="e">
        <f ca="1"/>
        <v>#N/A</v>
      </c>
      <c r="N78" s="38" t="s">
        <v>1</v>
      </c>
      <c r="O78" s="43">
        <v>70</v>
      </c>
      <c r="P78" s="25" t="e">
        <f ca="1">IF(ISNA(R78),NA(),IF(ISBLANK(Q78),IF(FloatAmortizationFrequency=0,P77,IF(MOD((O78-1),FloatAmortizationFrequency)&lt;&gt;0,P77,P77-FloatAmortization)),Q78))</f>
        <v>#N/A</v>
      </c>
      <c r="Q78" s="67"/>
      <c r="R78" s="33" t="e">
        <f ca="1"/>
        <v>#N/A</v>
      </c>
      <c r="S78" s="33" t="e">
        <f ca="1"/>
        <v>#N/A</v>
      </c>
      <c r="T78" s="33" t="e">
        <f ca="1"/>
        <v>#N/A</v>
      </c>
      <c r="U78" s="25" t="e">
        <f ca="1"/>
        <v>#N/A</v>
      </c>
      <c r="V78" s="36" t="e">
        <f ca="1"/>
        <v>#N/A</v>
      </c>
      <c r="W78" s="37" t="e">
        <f ca="1"/>
        <v>#N/A</v>
      </c>
      <c r="X78" s="31" t="s">
        <v>1</v>
      </c>
    </row>
    <row r="79" spans="4:24" x14ac:dyDescent="0.25">
      <c r="D79" s="31" t="s">
        <v>1</v>
      </c>
      <c r="E79" s="43">
        <v>71</v>
      </c>
      <c r="F79" s="25" t="e">
        <f ca="1">IF(ISNA(H79),NA(),IF(ISBLANK(G79),IF(FixedAmortizationFrequency=0,F78,IF(MOD((E79-1),FixedAmortizationFrequency)&lt;&gt;0,F78,F78-FixedAmortization)),G79))</f>
        <v>#N/A</v>
      </c>
      <c r="G79" s="67"/>
      <c r="H79" s="63" t="e">
        <f ca="1"/>
        <v>#N/A</v>
      </c>
      <c r="I79" s="33" t="e">
        <f ca="1"/>
        <v>#N/A</v>
      </c>
      <c r="J79" s="33" t="e">
        <f ca="1"/>
        <v>#N/A</v>
      </c>
      <c r="K79" s="25" t="e">
        <f ca="1"/>
        <v>#N/A</v>
      </c>
      <c r="L79" s="36" t="e">
        <f ca="1"/>
        <v>#N/A</v>
      </c>
      <c r="M79" s="37" t="e">
        <f ca="1"/>
        <v>#N/A</v>
      </c>
      <c r="N79" s="38" t="s">
        <v>1</v>
      </c>
      <c r="O79" s="43">
        <v>71</v>
      </c>
      <c r="P79" s="25" t="e">
        <f ca="1">IF(ISNA(R79),NA(),IF(ISBLANK(Q79),IF(FloatAmortizationFrequency=0,P78,IF(MOD((O79-1),FloatAmortizationFrequency)&lt;&gt;0,P78,P78-FloatAmortization)),Q79))</f>
        <v>#N/A</v>
      </c>
      <c r="Q79" s="67"/>
      <c r="R79" s="33" t="e">
        <f ca="1"/>
        <v>#N/A</v>
      </c>
      <c r="S79" s="33" t="e">
        <f ca="1"/>
        <v>#N/A</v>
      </c>
      <c r="T79" s="33" t="e">
        <f ca="1"/>
        <v>#N/A</v>
      </c>
      <c r="U79" s="25" t="e">
        <f ca="1"/>
        <v>#N/A</v>
      </c>
      <c r="V79" s="36" t="e">
        <f ca="1"/>
        <v>#N/A</v>
      </c>
      <c r="W79" s="37" t="e">
        <f ca="1"/>
        <v>#N/A</v>
      </c>
      <c r="X79" s="31" t="s">
        <v>1</v>
      </c>
    </row>
    <row r="80" spans="4:24" x14ac:dyDescent="0.25">
      <c r="D80" s="31" t="s">
        <v>1</v>
      </c>
      <c r="E80" s="43">
        <v>72</v>
      </c>
      <c r="F80" s="25" t="e">
        <f ca="1">IF(ISNA(H80),NA(),IF(ISBLANK(G80),IF(FixedAmortizationFrequency=0,F79,IF(MOD((E80-1),FixedAmortizationFrequency)&lt;&gt;0,F79,F79-FixedAmortization)),G80))</f>
        <v>#N/A</v>
      </c>
      <c r="G80" s="67"/>
      <c r="H80" s="63" t="e">
        <f ca="1"/>
        <v>#N/A</v>
      </c>
      <c r="I80" s="33" t="e">
        <f ca="1"/>
        <v>#N/A</v>
      </c>
      <c r="J80" s="33" t="e">
        <f ca="1"/>
        <v>#N/A</v>
      </c>
      <c r="K80" s="25" t="e">
        <f ca="1"/>
        <v>#N/A</v>
      </c>
      <c r="L80" s="36" t="e">
        <f ca="1"/>
        <v>#N/A</v>
      </c>
      <c r="M80" s="37" t="e">
        <f ca="1"/>
        <v>#N/A</v>
      </c>
      <c r="N80" s="38" t="s">
        <v>1</v>
      </c>
      <c r="O80" s="43">
        <v>72</v>
      </c>
      <c r="P80" s="25" t="e">
        <f ca="1">IF(ISNA(R80),NA(),IF(ISBLANK(Q80),IF(FloatAmortizationFrequency=0,P79,IF(MOD((O80-1),FloatAmortizationFrequency)&lt;&gt;0,P79,P79-FloatAmortization)),Q80))</f>
        <v>#N/A</v>
      </c>
      <c r="Q80" s="67"/>
      <c r="R80" s="33" t="e">
        <f ca="1"/>
        <v>#N/A</v>
      </c>
      <c r="S80" s="33" t="e">
        <f ca="1"/>
        <v>#N/A</v>
      </c>
      <c r="T80" s="33" t="e">
        <f ca="1"/>
        <v>#N/A</v>
      </c>
      <c r="U80" s="25" t="e">
        <f ca="1"/>
        <v>#N/A</v>
      </c>
      <c r="V80" s="36" t="e">
        <f ca="1"/>
        <v>#N/A</v>
      </c>
      <c r="W80" s="37" t="e">
        <f ca="1"/>
        <v>#N/A</v>
      </c>
      <c r="X80" s="31" t="s">
        <v>1</v>
      </c>
    </row>
    <row r="81" spans="4:24" x14ac:dyDescent="0.25">
      <c r="D81" s="31" t="s">
        <v>1</v>
      </c>
      <c r="E81" s="43">
        <v>73</v>
      </c>
      <c r="F81" s="25" t="e">
        <f ca="1">IF(ISNA(H81),NA(),IF(ISBLANK(G81),IF(FixedAmortizationFrequency=0,F80,IF(MOD((E81-1),FixedAmortizationFrequency)&lt;&gt;0,F80,F80-FixedAmortization)),G81))</f>
        <v>#N/A</v>
      </c>
      <c r="G81" s="67"/>
      <c r="H81" s="63" t="e">
        <f ca="1"/>
        <v>#N/A</v>
      </c>
      <c r="I81" s="33" t="e">
        <f ca="1"/>
        <v>#N/A</v>
      </c>
      <c r="J81" s="33" t="e">
        <f ca="1"/>
        <v>#N/A</v>
      </c>
      <c r="K81" s="25" t="e">
        <f ca="1"/>
        <v>#N/A</v>
      </c>
      <c r="L81" s="36" t="e">
        <f ca="1"/>
        <v>#N/A</v>
      </c>
      <c r="M81" s="37" t="e">
        <f ca="1"/>
        <v>#N/A</v>
      </c>
      <c r="N81" s="38" t="s">
        <v>1</v>
      </c>
      <c r="O81" s="43">
        <v>73</v>
      </c>
      <c r="P81" s="25" t="e">
        <f ca="1">IF(ISNA(R81),NA(),IF(ISBLANK(Q81),IF(FloatAmortizationFrequency=0,P80,IF(MOD((O81-1),FloatAmortizationFrequency)&lt;&gt;0,P80,P80-FloatAmortization)),Q81))</f>
        <v>#N/A</v>
      </c>
      <c r="Q81" s="67"/>
      <c r="R81" s="33" t="e">
        <f ca="1"/>
        <v>#N/A</v>
      </c>
      <c r="S81" s="33" t="e">
        <f ca="1"/>
        <v>#N/A</v>
      </c>
      <c r="T81" s="33" t="e">
        <f ca="1"/>
        <v>#N/A</v>
      </c>
      <c r="U81" s="25" t="e">
        <f ca="1"/>
        <v>#N/A</v>
      </c>
      <c r="V81" s="36" t="e">
        <f ca="1"/>
        <v>#N/A</v>
      </c>
      <c r="W81" s="37" t="e">
        <f ca="1"/>
        <v>#N/A</v>
      </c>
      <c r="X81" s="31" t="s">
        <v>1</v>
      </c>
    </row>
    <row r="82" spans="4:24" x14ac:dyDescent="0.25">
      <c r="D82" s="31" t="s">
        <v>1</v>
      </c>
      <c r="E82" s="43">
        <v>74</v>
      </c>
      <c r="F82" s="25" t="e">
        <f ca="1">IF(ISNA(H82),NA(),IF(ISBLANK(G82),IF(FixedAmortizationFrequency=0,F81,IF(MOD((E82-1),FixedAmortizationFrequency)&lt;&gt;0,F81,F81-FixedAmortization)),G82))</f>
        <v>#N/A</v>
      </c>
      <c r="G82" s="67"/>
      <c r="H82" s="63" t="e">
        <f ca="1"/>
        <v>#N/A</v>
      </c>
      <c r="I82" s="33" t="e">
        <f ca="1"/>
        <v>#N/A</v>
      </c>
      <c r="J82" s="33" t="e">
        <f ca="1"/>
        <v>#N/A</v>
      </c>
      <c r="K82" s="25" t="e">
        <f ca="1"/>
        <v>#N/A</v>
      </c>
      <c r="L82" s="36" t="e">
        <f ca="1"/>
        <v>#N/A</v>
      </c>
      <c r="M82" s="37" t="e">
        <f ca="1"/>
        <v>#N/A</v>
      </c>
      <c r="N82" s="38" t="s">
        <v>1</v>
      </c>
      <c r="O82" s="43">
        <v>74</v>
      </c>
      <c r="P82" s="25" t="e">
        <f ca="1">IF(ISNA(R82),NA(),IF(ISBLANK(Q82),IF(FloatAmortizationFrequency=0,P81,IF(MOD((O82-1),FloatAmortizationFrequency)&lt;&gt;0,P81,P81-FloatAmortization)),Q82))</f>
        <v>#N/A</v>
      </c>
      <c r="Q82" s="67"/>
      <c r="R82" s="33" t="e">
        <f ca="1"/>
        <v>#N/A</v>
      </c>
      <c r="S82" s="33" t="e">
        <f ca="1"/>
        <v>#N/A</v>
      </c>
      <c r="T82" s="33" t="e">
        <f ca="1"/>
        <v>#N/A</v>
      </c>
      <c r="U82" s="25" t="e">
        <f ca="1"/>
        <v>#N/A</v>
      </c>
      <c r="V82" s="36" t="e">
        <f ca="1"/>
        <v>#N/A</v>
      </c>
      <c r="W82" s="37" t="e">
        <f ca="1"/>
        <v>#N/A</v>
      </c>
      <c r="X82" s="31" t="s">
        <v>1</v>
      </c>
    </row>
    <row r="83" spans="4:24" x14ac:dyDescent="0.25">
      <c r="D83" s="31" t="s">
        <v>1</v>
      </c>
      <c r="E83" s="43">
        <v>75</v>
      </c>
      <c r="F83" s="25" t="e">
        <f ca="1">IF(ISNA(H83),NA(),IF(ISBLANK(G83),IF(FixedAmortizationFrequency=0,F82,IF(MOD((E83-1),FixedAmortizationFrequency)&lt;&gt;0,F82,F82-FixedAmortization)),G83))</f>
        <v>#N/A</v>
      </c>
      <c r="G83" s="67"/>
      <c r="H83" s="63" t="e">
        <f ca="1"/>
        <v>#N/A</v>
      </c>
      <c r="I83" s="33" t="e">
        <f ca="1"/>
        <v>#N/A</v>
      </c>
      <c r="J83" s="33" t="e">
        <f ca="1"/>
        <v>#N/A</v>
      </c>
      <c r="K83" s="25" t="e">
        <f ca="1"/>
        <v>#N/A</v>
      </c>
      <c r="L83" s="36" t="e">
        <f ca="1"/>
        <v>#N/A</v>
      </c>
      <c r="M83" s="37" t="e">
        <f ca="1"/>
        <v>#N/A</v>
      </c>
      <c r="N83" s="38" t="s">
        <v>1</v>
      </c>
      <c r="O83" s="43">
        <v>75</v>
      </c>
      <c r="P83" s="25" t="e">
        <f ca="1">IF(ISNA(R83),NA(),IF(ISBLANK(Q83),IF(FloatAmortizationFrequency=0,P82,IF(MOD((O83-1),FloatAmortizationFrequency)&lt;&gt;0,P82,P82-FloatAmortization)),Q83))</f>
        <v>#N/A</v>
      </c>
      <c r="Q83" s="67"/>
      <c r="R83" s="33" t="e">
        <f ca="1"/>
        <v>#N/A</v>
      </c>
      <c r="S83" s="33" t="e">
        <f ca="1"/>
        <v>#N/A</v>
      </c>
      <c r="T83" s="33" t="e">
        <f ca="1"/>
        <v>#N/A</v>
      </c>
      <c r="U83" s="25" t="e">
        <f ca="1"/>
        <v>#N/A</v>
      </c>
      <c r="V83" s="36" t="e">
        <f ca="1"/>
        <v>#N/A</v>
      </c>
      <c r="W83" s="37" t="e">
        <f ca="1"/>
        <v>#N/A</v>
      </c>
      <c r="X83" s="31" t="s">
        <v>1</v>
      </c>
    </row>
    <row r="84" spans="4:24" x14ac:dyDescent="0.25">
      <c r="D84" s="31" t="s">
        <v>1</v>
      </c>
      <c r="E84" s="43">
        <v>76</v>
      </c>
      <c r="F84" s="25" t="e">
        <f ca="1">IF(ISNA(H84),NA(),IF(ISBLANK(G84),IF(FixedAmortizationFrequency=0,F83,IF(MOD((E84-1),FixedAmortizationFrequency)&lt;&gt;0,F83,F83-FixedAmortization)),G84))</f>
        <v>#N/A</v>
      </c>
      <c r="G84" s="67"/>
      <c r="H84" s="63" t="e">
        <f ca="1"/>
        <v>#N/A</v>
      </c>
      <c r="I84" s="33" t="e">
        <f ca="1"/>
        <v>#N/A</v>
      </c>
      <c r="J84" s="33" t="e">
        <f ca="1"/>
        <v>#N/A</v>
      </c>
      <c r="K84" s="25" t="e">
        <f ca="1"/>
        <v>#N/A</v>
      </c>
      <c r="L84" s="36" t="e">
        <f ca="1"/>
        <v>#N/A</v>
      </c>
      <c r="M84" s="37" t="e">
        <f ca="1"/>
        <v>#N/A</v>
      </c>
      <c r="N84" s="38" t="s">
        <v>1</v>
      </c>
      <c r="O84" s="43">
        <v>76</v>
      </c>
      <c r="P84" s="25" t="e">
        <f ca="1">IF(ISNA(R84),NA(),IF(ISBLANK(Q84),IF(FloatAmortizationFrequency=0,P83,IF(MOD((O84-1),FloatAmortizationFrequency)&lt;&gt;0,P83,P83-FloatAmortization)),Q84))</f>
        <v>#N/A</v>
      </c>
      <c r="Q84" s="67"/>
      <c r="R84" s="33" t="e">
        <f ca="1"/>
        <v>#N/A</v>
      </c>
      <c r="S84" s="33" t="e">
        <f ca="1"/>
        <v>#N/A</v>
      </c>
      <c r="T84" s="33" t="e">
        <f ca="1"/>
        <v>#N/A</v>
      </c>
      <c r="U84" s="25" t="e">
        <f ca="1"/>
        <v>#N/A</v>
      </c>
      <c r="V84" s="36" t="e">
        <f ca="1"/>
        <v>#N/A</v>
      </c>
      <c r="W84" s="37" t="e">
        <f ca="1"/>
        <v>#N/A</v>
      </c>
      <c r="X84" s="31" t="s">
        <v>1</v>
      </c>
    </row>
    <row r="85" spans="4:24" x14ac:dyDescent="0.25">
      <c r="D85" s="31" t="s">
        <v>1</v>
      </c>
      <c r="E85" s="43">
        <v>77</v>
      </c>
      <c r="F85" s="25" t="e">
        <f ca="1">IF(ISNA(H85),NA(),IF(ISBLANK(G85),IF(FixedAmortizationFrequency=0,F84,IF(MOD((E85-1),FixedAmortizationFrequency)&lt;&gt;0,F84,F84-FixedAmortization)),G85))</f>
        <v>#N/A</v>
      </c>
      <c r="G85" s="67"/>
      <c r="H85" s="63" t="e">
        <f ca="1"/>
        <v>#N/A</v>
      </c>
      <c r="I85" s="33" t="e">
        <f ca="1"/>
        <v>#N/A</v>
      </c>
      <c r="J85" s="33" t="e">
        <f ca="1"/>
        <v>#N/A</v>
      </c>
      <c r="K85" s="25" t="e">
        <f ca="1"/>
        <v>#N/A</v>
      </c>
      <c r="L85" s="36" t="e">
        <f ca="1"/>
        <v>#N/A</v>
      </c>
      <c r="M85" s="37" t="e">
        <f ca="1"/>
        <v>#N/A</v>
      </c>
      <c r="N85" s="38" t="s">
        <v>1</v>
      </c>
      <c r="O85" s="43">
        <v>77</v>
      </c>
      <c r="P85" s="25" t="e">
        <f ca="1">IF(ISNA(R85),NA(),IF(ISBLANK(Q85),IF(FloatAmortizationFrequency=0,P84,IF(MOD((O85-1),FloatAmortizationFrequency)&lt;&gt;0,P84,P84-FloatAmortization)),Q85))</f>
        <v>#N/A</v>
      </c>
      <c r="Q85" s="67"/>
      <c r="R85" s="33" t="e">
        <f ca="1"/>
        <v>#N/A</v>
      </c>
      <c r="S85" s="33" t="e">
        <f ca="1"/>
        <v>#N/A</v>
      </c>
      <c r="T85" s="33" t="e">
        <f ca="1"/>
        <v>#N/A</v>
      </c>
      <c r="U85" s="25" t="e">
        <f ca="1"/>
        <v>#N/A</v>
      </c>
      <c r="V85" s="36" t="e">
        <f ca="1"/>
        <v>#N/A</v>
      </c>
      <c r="W85" s="37" t="e">
        <f ca="1"/>
        <v>#N/A</v>
      </c>
      <c r="X85" s="31" t="s">
        <v>1</v>
      </c>
    </row>
    <row r="86" spans="4:24" x14ac:dyDescent="0.25">
      <c r="D86" s="31" t="s">
        <v>1</v>
      </c>
      <c r="E86" s="43">
        <v>78</v>
      </c>
      <c r="F86" s="25" t="e">
        <f ca="1">IF(ISNA(H86),NA(),IF(ISBLANK(G86),IF(FixedAmortizationFrequency=0,F85,IF(MOD((E86-1),FixedAmortizationFrequency)&lt;&gt;0,F85,F85-FixedAmortization)),G86))</f>
        <v>#N/A</v>
      </c>
      <c r="G86" s="67"/>
      <c r="H86" s="63" t="e">
        <f ca="1"/>
        <v>#N/A</v>
      </c>
      <c r="I86" s="33" t="e">
        <f ca="1"/>
        <v>#N/A</v>
      </c>
      <c r="J86" s="33" t="e">
        <f ca="1"/>
        <v>#N/A</v>
      </c>
      <c r="K86" s="25" t="e">
        <f ca="1"/>
        <v>#N/A</v>
      </c>
      <c r="L86" s="36" t="e">
        <f ca="1"/>
        <v>#N/A</v>
      </c>
      <c r="M86" s="37" t="e">
        <f ca="1"/>
        <v>#N/A</v>
      </c>
      <c r="N86" s="38" t="s">
        <v>1</v>
      </c>
      <c r="O86" s="43">
        <v>78</v>
      </c>
      <c r="P86" s="25" t="e">
        <f ca="1">IF(ISNA(R86),NA(),IF(ISBLANK(Q86),IF(FloatAmortizationFrequency=0,P85,IF(MOD((O86-1),FloatAmortizationFrequency)&lt;&gt;0,P85,P85-FloatAmortization)),Q86))</f>
        <v>#N/A</v>
      </c>
      <c r="Q86" s="67"/>
      <c r="R86" s="33" t="e">
        <f ca="1"/>
        <v>#N/A</v>
      </c>
      <c r="S86" s="33" t="e">
        <f ca="1"/>
        <v>#N/A</v>
      </c>
      <c r="T86" s="33" t="e">
        <f ca="1"/>
        <v>#N/A</v>
      </c>
      <c r="U86" s="25" t="e">
        <f ca="1"/>
        <v>#N/A</v>
      </c>
      <c r="V86" s="36" t="e">
        <f ca="1"/>
        <v>#N/A</v>
      </c>
      <c r="W86" s="37" t="e">
        <f ca="1"/>
        <v>#N/A</v>
      </c>
      <c r="X86" s="31" t="s">
        <v>1</v>
      </c>
    </row>
    <row r="87" spans="4:24" x14ac:dyDescent="0.25">
      <c r="D87" s="31" t="s">
        <v>1</v>
      </c>
      <c r="E87" s="43">
        <v>79</v>
      </c>
      <c r="F87" s="25" t="e">
        <f ca="1">IF(ISNA(H87),NA(),IF(ISBLANK(G87),IF(FixedAmortizationFrequency=0,F86,IF(MOD((E87-1),FixedAmortizationFrequency)&lt;&gt;0,F86,F86-FixedAmortization)),G87))</f>
        <v>#N/A</v>
      </c>
      <c r="G87" s="67"/>
      <c r="H87" s="63" t="e">
        <f ca="1"/>
        <v>#N/A</v>
      </c>
      <c r="I87" s="33" t="e">
        <f ca="1"/>
        <v>#N/A</v>
      </c>
      <c r="J87" s="33" t="e">
        <f ca="1"/>
        <v>#N/A</v>
      </c>
      <c r="K87" s="25" t="e">
        <f ca="1"/>
        <v>#N/A</v>
      </c>
      <c r="L87" s="36" t="e">
        <f ca="1"/>
        <v>#N/A</v>
      </c>
      <c r="M87" s="37" t="e">
        <f ca="1"/>
        <v>#N/A</v>
      </c>
      <c r="N87" s="38" t="s">
        <v>1</v>
      </c>
      <c r="O87" s="43">
        <v>79</v>
      </c>
      <c r="P87" s="25" t="e">
        <f ca="1">IF(ISNA(R87),NA(),IF(ISBLANK(Q87),IF(FloatAmortizationFrequency=0,P86,IF(MOD((O87-1),FloatAmortizationFrequency)&lt;&gt;0,P86,P86-FloatAmortization)),Q87))</f>
        <v>#N/A</v>
      </c>
      <c r="Q87" s="67"/>
      <c r="R87" s="33" t="e">
        <f ca="1"/>
        <v>#N/A</v>
      </c>
      <c r="S87" s="33" t="e">
        <f ca="1"/>
        <v>#N/A</v>
      </c>
      <c r="T87" s="33" t="e">
        <f ca="1"/>
        <v>#N/A</v>
      </c>
      <c r="U87" s="25" t="e">
        <f ca="1"/>
        <v>#N/A</v>
      </c>
      <c r="V87" s="36" t="e">
        <f ca="1"/>
        <v>#N/A</v>
      </c>
      <c r="W87" s="37" t="e">
        <f ca="1"/>
        <v>#N/A</v>
      </c>
      <c r="X87" s="31" t="s">
        <v>1</v>
      </c>
    </row>
    <row r="88" spans="4:24" x14ac:dyDescent="0.25">
      <c r="D88" s="31" t="s">
        <v>1</v>
      </c>
      <c r="E88" s="43">
        <v>80</v>
      </c>
      <c r="F88" s="25" t="e">
        <f ca="1">IF(ISNA(H88),NA(),IF(ISBLANK(G88),IF(FixedAmortizationFrequency=0,F87,IF(MOD((E88-1),FixedAmortizationFrequency)&lt;&gt;0,F87,F87-FixedAmortization)),G88))</f>
        <v>#N/A</v>
      </c>
      <c r="G88" s="67"/>
      <c r="H88" s="63" t="e">
        <f ca="1"/>
        <v>#N/A</v>
      </c>
      <c r="I88" s="33" t="e">
        <f ca="1"/>
        <v>#N/A</v>
      </c>
      <c r="J88" s="33" t="e">
        <f ca="1"/>
        <v>#N/A</v>
      </c>
      <c r="K88" s="25" t="e">
        <f ca="1"/>
        <v>#N/A</v>
      </c>
      <c r="L88" s="36" t="e">
        <f ca="1"/>
        <v>#N/A</v>
      </c>
      <c r="M88" s="37" t="e">
        <f ca="1"/>
        <v>#N/A</v>
      </c>
      <c r="N88" s="38" t="s">
        <v>1</v>
      </c>
      <c r="O88" s="43">
        <v>80</v>
      </c>
      <c r="P88" s="25" t="e">
        <f ca="1">IF(ISNA(R88),NA(),IF(ISBLANK(Q88),IF(FloatAmortizationFrequency=0,P87,IF(MOD((O88-1),FloatAmortizationFrequency)&lt;&gt;0,P87,P87-FloatAmortization)),Q88))</f>
        <v>#N/A</v>
      </c>
      <c r="Q88" s="67"/>
      <c r="R88" s="33" t="e">
        <f ca="1"/>
        <v>#N/A</v>
      </c>
      <c r="S88" s="33" t="e">
        <f ca="1"/>
        <v>#N/A</v>
      </c>
      <c r="T88" s="33" t="e">
        <f ca="1"/>
        <v>#N/A</v>
      </c>
      <c r="U88" s="25" t="e">
        <f ca="1"/>
        <v>#N/A</v>
      </c>
      <c r="V88" s="36" t="e">
        <f ca="1"/>
        <v>#N/A</v>
      </c>
      <c r="W88" s="37" t="e">
        <f ca="1"/>
        <v>#N/A</v>
      </c>
      <c r="X88" s="31" t="s">
        <v>1</v>
      </c>
    </row>
    <row r="89" spans="4:24" x14ac:dyDescent="0.25">
      <c r="D89" s="31" t="s">
        <v>1</v>
      </c>
      <c r="E89" s="43">
        <v>81</v>
      </c>
      <c r="F89" s="25" t="e">
        <f ca="1">IF(ISNA(H89),NA(),IF(ISBLANK(G89),IF(FixedAmortizationFrequency=0,F88,IF(MOD((E89-1),FixedAmortizationFrequency)&lt;&gt;0,F88,F88-FixedAmortization)),G89))</f>
        <v>#N/A</v>
      </c>
      <c r="G89" s="67"/>
      <c r="H89" s="63" t="e">
        <f ca="1"/>
        <v>#N/A</v>
      </c>
      <c r="I89" s="33" t="e">
        <f ca="1"/>
        <v>#N/A</v>
      </c>
      <c r="J89" s="33" t="e">
        <f ca="1"/>
        <v>#N/A</v>
      </c>
      <c r="K89" s="25" t="e">
        <f ca="1"/>
        <v>#N/A</v>
      </c>
      <c r="L89" s="36" t="e">
        <f ca="1"/>
        <v>#N/A</v>
      </c>
      <c r="M89" s="37" t="e">
        <f ca="1"/>
        <v>#N/A</v>
      </c>
      <c r="N89" s="38" t="s">
        <v>1</v>
      </c>
      <c r="O89" s="43">
        <v>81</v>
      </c>
      <c r="P89" s="25" t="e">
        <f ca="1">IF(ISNA(R89),NA(),IF(ISBLANK(Q89),IF(FloatAmortizationFrequency=0,P88,IF(MOD((O89-1),FloatAmortizationFrequency)&lt;&gt;0,P88,P88-FloatAmortization)),Q89))</f>
        <v>#N/A</v>
      </c>
      <c r="Q89" s="67"/>
      <c r="R89" s="33" t="e">
        <f ca="1"/>
        <v>#N/A</v>
      </c>
      <c r="S89" s="33" t="e">
        <f ca="1"/>
        <v>#N/A</v>
      </c>
      <c r="T89" s="33" t="e">
        <f ca="1"/>
        <v>#N/A</v>
      </c>
      <c r="U89" s="25" t="e">
        <f ca="1"/>
        <v>#N/A</v>
      </c>
      <c r="V89" s="36" t="e">
        <f ca="1"/>
        <v>#N/A</v>
      </c>
      <c r="W89" s="37" t="e">
        <f ca="1"/>
        <v>#N/A</v>
      </c>
      <c r="X89" s="31" t="s">
        <v>1</v>
      </c>
    </row>
    <row r="90" spans="4:24" x14ac:dyDescent="0.25">
      <c r="D90" s="31" t="s">
        <v>1</v>
      </c>
      <c r="E90" s="43">
        <v>82</v>
      </c>
      <c r="F90" s="25" t="e">
        <f ca="1">IF(ISNA(H90),NA(),IF(ISBLANK(G90),IF(FixedAmortizationFrequency=0,F89,IF(MOD((E90-1),FixedAmortizationFrequency)&lt;&gt;0,F89,F89-FixedAmortization)),G90))</f>
        <v>#N/A</v>
      </c>
      <c r="G90" s="67"/>
      <c r="H90" s="63" t="e">
        <f ca="1"/>
        <v>#N/A</v>
      </c>
      <c r="I90" s="33" t="e">
        <f ca="1"/>
        <v>#N/A</v>
      </c>
      <c r="J90" s="33" t="e">
        <f ca="1"/>
        <v>#N/A</v>
      </c>
      <c r="K90" s="25" t="e">
        <f ca="1"/>
        <v>#N/A</v>
      </c>
      <c r="L90" s="36" t="e">
        <f ca="1"/>
        <v>#N/A</v>
      </c>
      <c r="M90" s="37" t="e">
        <f ca="1"/>
        <v>#N/A</v>
      </c>
      <c r="N90" s="38" t="s">
        <v>1</v>
      </c>
      <c r="O90" s="43">
        <v>82</v>
      </c>
      <c r="P90" s="25" t="e">
        <f ca="1">IF(ISNA(R90),NA(),IF(ISBLANK(Q90),IF(FloatAmortizationFrequency=0,P89,IF(MOD((O90-1),FloatAmortizationFrequency)&lt;&gt;0,P89,P89-FloatAmortization)),Q90))</f>
        <v>#N/A</v>
      </c>
      <c r="Q90" s="67"/>
      <c r="R90" s="33" t="e">
        <f ca="1"/>
        <v>#N/A</v>
      </c>
      <c r="S90" s="33" t="e">
        <f ca="1"/>
        <v>#N/A</v>
      </c>
      <c r="T90" s="33" t="e">
        <f ca="1"/>
        <v>#N/A</v>
      </c>
      <c r="U90" s="25" t="e">
        <f ca="1"/>
        <v>#N/A</v>
      </c>
      <c r="V90" s="36" t="e">
        <f ca="1"/>
        <v>#N/A</v>
      </c>
      <c r="W90" s="37" t="e">
        <f ca="1"/>
        <v>#N/A</v>
      </c>
      <c r="X90" s="31" t="s">
        <v>1</v>
      </c>
    </row>
    <row r="91" spans="4:24" x14ac:dyDescent="0.25">
      <c r="D91" s="31" t="s">
        <v>1</v>
      </c>
      <c r="E91" s="43">
        <v>83</v>
      </c>
      <c r="F91" s="25" t="e">
        <f ca="1">IF(ISNA(H91),NA(),IF(ISBLANK(G91),IF(FixedAmortizationFrequency=0,F90,IF(MOD((E91-1),FixedAmortizationFrequency)&lt;&gt;0,F90,F90-FixedAmortization)),G91))</f>
        <v>#N/A</v>
      </c>
      <c r="G91" s="67"/>
      <c r="H91" s="63" t="e">
        <f ca="1"/>
        <v>#N/A</v>
      </c>
      <c r="I91" s="33" t="e">
        <f ca="1"/>
        <v>#N/A</v>
      </c>
      <c r="J91" s="33" t="e">
        <f ca="1"/>
        <v>#N/A</v>
      </c>
      <c r="K91" s="25" t="e">
        <f ca="1"/>
        <v>#N/A</v>
      </c>
      <c r="L91" s="36" t="e">
        <f ca="1"/>
        <v>#N/A</v>
      </c>
      <c r="M91" s="37" t="e">
        <f ca="1"/>
        <v>#N/A</v>
      </c>
      <c r="N91" s="38" t="s">
        <v>1</v>
      </c>
      <c r="O91" s="43">
        <v>83</v>
      </c>
      <c r="P91" s="25" t="e">
        <f ca="1">IF(ISNA(R91),NA(),IF(ISBLANK(Q91),IF(FloatAmortizationFrequency=0,P90,IF(MOD((O91-1),FloatAmortizationFrequency)&lt;&gt;0,P90,P90-FloatAmortization)),Q91))</f>
        <v>#N/A</v>
      </c>
      <c r="Q91" s="67"/>
      <c r="R91" s="33" t="e">
        <f ca="1"/>
        <v>#N/A</v>
      </c>
      <c r="S91" s="33" t="e">
        <f ca="1"/>
        <v>#N/A</v>
      </c>
      <c r="T91" s="33" t="e">
        <f ca="1"/>
        <v>#N/A</v>
      </c>
      <c r="U91" s="25" t="e">
        <f ca="1"/>
        <v>#N/A</v>
      </c>
      <c r="V91" s="36" t="e">
        <f ca="1"/>
        <v>#N/A</v>
      </c>
      <c r="W91" s="37" t="e">
        <f ca="1"/>
        <v>#N/A</v>
      </c>
      <c r="X91" s="31" t="s">
        <v>1</v>
      </c>
    </row>
    <row r="92" spans="4:24" x14ac:dyDescent="0.25">
      <c r="D92" s="31" t="s">
        <v>1</v>
      </c>
      <c r="E92" s="43">
        <v>84</v>
      </c>
      <c r="F92" s="25" t="e">
        <f ca="1">IF(ISNA(H92),NA(),IF(ISBLANK(G92),IF(FixedAmortizationFrequency=0,F91,IF(MOD((E92-1),FixedAmortizationFrequency)&lt;&gt;0,F91,F91-FixedAmortization)),G92))</f>
        <v>#N/A</v>
      </c>
      <c r="G92" s="67"/>
      <c r="H92" s="63" t="e">
        <f ca="1"/>
        <v>#N/A</v>
      </c>
      <c r="I92" s="33" t="e">
        <f ca="1"/>
        <v>#N/A</v>
      </c>
      <c r="J92" s="33" t="e">
        <f ca="1"/>
        <v>#N/A</v>
      </c>
      <c r="K92" s="25" t="e">
        <f ca="1"/>
        <v>#N/A</v>
      </c>
      <c r="L92" s="36" t="e">
        <f ca="1"/>
        <v>#N/A</v>
      </c>
      <c r="M92" s="37" t="e">
        <f ca="1"/>
        <v>#N/A</v>
      </c>
      <c r="N92" s="38" t="s">
        <v>1</v>
      </c>
      <c r="O92" s="43">
        <v>84</v>
      </c>
      <c r="P92" s="25" t="e">
        <f ca="1">IF(ISNA(R92),NA(),IF(ISBLANK(Q92),IF(FloatAmortizationFrequency=0,P91,IF(MOD((O92-1),FloatAmortizationFrequency)&lt;&gt;0,P91,P91-FloatAmortization)),Q92))</f>
        <v>#N/A</v>
      </c>
      <c r="Q92" s="67"/>
      <c r="R92" s="33" t="e">
        <f ca="1"/>
        <v>#N/A</v>
      </c>
      <c r="S92" s="33" t="e">
        <f ca="1"/>
        <v>#N/A</v>
      </c>
      <c r="T92" s="33" t="e">
        <f ca="1"/>
        <v>#N/A</v>
      </c>
      <c r="U92" s="25" t="e">
        <f ca="1"/>
        <v>#N/A</v>
      </c>
      <c r="V92" s="36" t="e">
        <f ca="1"/>
        <v>#N/A</v>
      </c>
      <c r="W92" s="37" t="e">
        <f ca="1"/>
        <v>#N/A</v>
      </c>
      <c r="X92" s="31" t="s">
        <v>1</v>
      </c>
    </row>
    <row r="93" spans="4:24" x14ac:dyDescent="0.25">
      <c r="D93" s="31" t="s">
        <v>1</v>
      </c>
      <c r="E93" s="43">
        <v>85</v>
      </c>
      <c r="F93" s="25" t="e">
        <f ca="1">IF(ISNA(H93),NA(),IF(ISBLANK(G93),IF(FixedAmortizationFrequency=0,F92,IF(MOD((E93-1),FixedAmortizationFrequency)&lt;&gt;0,F92,F92-FixedAmortization)),G93))</f>
        <v>#N/A</v>
      </c>
      <c r="G93" s="67"/>
      <c r="H93" s="63" t="e">
        <f ca="1"/>
        <v>#N/A</v>
      </c>
      <c r="I93" s="33" t="e">
        <f ca="1"/>
        <v>#N/A</v>
      </c>
      <c r="J93" s="33" t="e">
        <f ca="1"/>
        <v>#N/A</v>
      </c>
      <c r="K93" s="25" t="e">
        <f ca="1"/>
        <v>#N/A</v>
      </c>
      <c r="L93" s="36" t="e">
        <f ca="1"/>
        <v>#N/A</v>
      </c>
      <c r="M93" s="37" t="e">
        <f ca="1"/>
        <v>#N/A</v>
      </c>
      <c r="N93" s="38" t="s">
        <v>1</v>
      </c>
      <c r="O93" s="43">
        <v>85</v>
      </c>
      <c r="P93" s="25" t="e">
        <f ca="1">IF(ISNA(R93),NA(),IF(ISBLANK(Q93),IF(FloatAmortizationFrequency=0,P92,IF(MOD((O93-1),FloatAmortizationFrequency)&lt;&gt;0,P92,P92-FloatAmortization)),Q93))</f>
        <v>#N/A</v>
      </c>
      <c r="Q93" s="67"/>
      <c r="R93" s="33" t="e">
        <f ca="1"/>
        <v>#N/A</v>
      </c>
      <c r="S93" s="33" t="e">
        <f ca="1"/>
        <v>#N/A</v>
      </c>
      <c r="T93" s="33" t="e">
        <f ca="1"/>
        <v>#N/A</v>
      </c>
      <c r="U93" s="25" t="e">
        <f ca="1"/>
        <v>#N/A</v>
      </c>
      <c r="V93" s="36" t="e">
        <f ca="1"/>
        <v>#N/A</v>
      </c>
      <c r="W93" s="37" t="e">
        <f ca="1"/>
        <v>#N/A</v>
      </c>
      <c r="X93" s="31" t="s">
        <v>1</v>
      </c>
    </row>
    <row r="94" spans="4:24" x14ac:dyDescent="0.25">
      <c r="D94" s="31" t="s">
        <v>1</v>
      </c>
      <c r="E94" s="43">
        <v>86</v>
      </c>
      <c r="F94" s="25" t="e">
        <f ca="1">IF(ISNA(H94),NA(),IF(ISBLANK(G94),IF(FixedAmortizationFrequency=0,F93,IF(MOD((E94-1),FixedAmortizationFrequency)&lt;&gt;0,F93,F93-FixedAmortization)),G94))</f>
        <v>#N/A</v>
      </c>
      <c r="G94" s="67"/>
      <c r="H94" s="63" t="e">
        <f ca="1"/>
        <v>#N/A</v>
      </c>
      <c r="I94" s="33" t="e">
        <f ca="1"/>
        <v>#N/A</v>
      </c>
      <c r="J94" s="33" t="e">
        <f ca="1"/>
        <v>#N/A</v>
      </c>
      <c r="K94" s="25" t="e">
        <f ca="1"/>
        <v>#N/A</v>
      </c>
      <c r="L94" s="36" t="e">
        <f ca="1"/>
        <v>#N/A</v>
      </c>
      <c r="M94" s="37" t="e">
        <f ca="1"/>
        <v>#N/A</v>
      </c>
      <c r="N94" s="38" t="s">
        <v>1</v>
      </c>
      <c r="O94" s="43">
        <v>86</v>
      </c>
      <c r="P94" s="25" t="e">
        <f ca="1">IF(ISNA(R94),NA(),IF(ISBLANK(Q94),IF(FloatAmortizationFrequency=0,P93,IF(MOD((O94-1),FloatAmortizationFrequency)&lt;&gt;0,P93,P93-FloatAmortization)),Q94))</f>
        <v>#N/A</v>
      </c>
      <c r="Q94" s="67"/>
      <c r="R94" s="33" t="e">
        <f ca="1"/>
        <v>#N/A</v>
      </c>
      <c r="S94" s="33" t="e">
        <f ca="1"/>
        <v>#N/A</v>
      </c>
      <c r="T94" s="33" t="e">
        <f ca="1"/>
        <v>#N/A</v>
      </c>
      <c r="U94" s="25" t="e">
        <f ca="1"/>
        <v>#N/A</v>
      </c>
      <c r="V94" s="36" t="e">
        <f ca="1"/>
        <v>#N/A</v>
      </c>
      <c r="W94" s="37" t="e">
        <f ca="1"/>
        <v>#N/A</v>
      </c>
      <c r="X94" s="31" t="s">
        <v>1</v>
      </c>
    </row>
    <row r="95" spans="4:24" x14ac:dyDescent="0.25">
      <c r="D95" s="31" t="s">
        <v>1</v>
      </c>
      <c r="E95" s="43">
        <v>87</v>
      </c>
      <c r="F95" s="25" t="e">
        <f ca="1">IF(ISNA(H95),NA(),IF(ISBLANK(G95),IF(FixedAmortizationFrequency=0,F94,IF(MOD((E95-1),FixedAmortizationFrequency)&lt;&gt;0,F94,F94-FixedAmortization)),G95))</f>
        <v>#N/A</v>
      </c>
      <c r="G95" s="67"/>
      <c r="H95" s="63" t="e">
        <f ca="1"/>
        <v>#N/A</v>
      </c>
      <c r="I95" s="33" t="e">
        <f ca="1"/>
        <v>#N/A</v>
      </c>
      <c r="J95" s="33" t="e">
        <f ca="1"/>
        <v>#N/A</v>
      </c>
      <c r="K95" s="25" t="e">
        <f ca="1"/>
        <v>#N/A</v>
      </c>
      <c r="L95" s="36" t="e">
        <f ca="1"/>
        <v>#N/A</v>
      </c>
      <c r="M95" s="37" t="e">
        <f ca="1"/>
        <v>#N/A</v>
      </c>
      <c r="N95" s="38" t="s">
        <v>1</v>
      </c>
      <c r="O95" s="43">
        <v>87</v>
      </c>
      <c r="P95" s="25" t="e">
        <f ca="1">IF(ISNA(R95),NA(),IF(ISBLANK(Q95),IF(FloatAmortizationFrequency=0,P94,IF(MOD((O95-1),FloatAmortizationFrequency)&lt;&gt;0,P94,P94-FloatAmortization)),Q95))</f>
        <v>#N/A</v>
      </c>
      <c r="Q95" s="67"/>
      <c r="R95" s="33" t="e">
        <f ca="1"/>
        <v>#N/A</v>
      </c>
      <c r="S95" s="33" t="e">
        <f ca="1"/>
        <v>#N/A</v>
      </c>
      <c r="T95" s="33" t="e">
        <f ca="1"/>
        <v>#N/A</v>
      </c>
      <c r="U95" s="25" t="e">
        <f ca="1"/>
        <v>#N/A</v>
      </c>
      <c r="V95" s="36" t="e">
        <f ca="1"/>
        <v>#N/A</v>
      </c>
      <c r="W95" s="37" t="e">
        <f ca="1"/>
        <v>#N/A</v>
      </c>
      <c r="X95" s="31" t="s">
        <v>1</v>
      </c>
    </row>
    <row r="96" spans="4:24" x14ac:dyDescent="0.25">
      <c r="D96" s="31" t="s">
        <v>1</v>
      </c>
      <c r="E96" s="43">
        <v>88</v>
      </c>
      <c r="F96" s="25" t="e">
        <f ca="1">IF(ISNA(H96),NA(),IF(ISBLANK(G96),IF(FixedAmortizationFrequency=0,F95,IF(MOD((E96-1),FixedAmortizationFrequency)&lt;&gt;0,F95,F95-FixedAmortization)),G96))</f>
        <v>#N/A</v>
      </c>
      <c r="G96" s="67"/>
      <c r="H96" s="63" t="e">
        <f ca="1"/>
        <v>#N/A</v>
      </c>
      <c r="I96" s="33" t="e">
        <f ca="1"/>
        <v>#N/A</v>
      </c>
      <c r="J96" s="33" t="e">
        <f ca="1"/>
        <v>#N/A</v>
      </c>
      <c r="K96" s="25" t="e">
        <f ca="1"/>
        <v>#N/A</v>
      </c>
      <c r="L96" s="36" t="e">
        <f ca="1"/>
        <v>#N/A</v>
      </c>
      <c r="M96" s="37" t="e">
        <f ca="1"/>
        <v>#N/A</v>
      </c>
      <c r="N96" s="38" t="s">
        <v>1</v>
      </c>
      <c r="O96" s="43">
        <v>88</v>
      </c>
      <c r="P96" s="25" t="e">
        <f ca="1">IF(ISNA(R96),NA(),IF(ISBLANK(Q96),IF(FloatAmortizationFrequency=0,P95,IF(MOD((O96-1),FloatAmortizationFrequency)&lt;&gt;0,P95,P95-FloatAmortization)),Q96))</f>
        <v>#N/A</v>
      </c>
      <c r="Q96" s="67"/>
      <c r="R96" s="33" t="e">
        <f ca="1"/>
        <v>#N/A</v>
      </c>
      <c r="S96" s="33" t="e">
        <f ca="1"/>
        <v>#N/A</v>
      </c>
      <c r="T96" s="33" t="e">
        <f ca="1"/>
        <v>#N/A</v>
      </c>
      <c r="U96" s="25" t="e">
        <f ca="1"/>
        <v>#N/A</v>
      </c>
      <c r="V96" s="36" t="e">
        <f ca="1"/>
        <v>#N/A</v>
      </c>
      <c r="W96" s="37" t="e">
        <f ca="1"/>
        <v>#N/A</v>
      </c>
      <c r="X96" s="31" t="s">
        <v>1</v>
      </c>
    </row>
    <row r="97" spans="4:24" x14ac:dyDescent="0.25">
      <c r="D97" s="31" t="s">
        <v>1</v>
      </c>
      <c r="E97" s="43">
        <v>89</v>
      </c>
      <c r="F97" s="25" t="e">
        <f ca="1">IF(ISNA(H97),NA(),IF(ISBLANK(G97),IF(FixedAmortizationFrequency=0,F96,IF(MOD((E97-1),FixedAmortizationFrequency)&lt;&gt;0,F96,F96-FixedAmortization)),G97))</f>
        <v>#N/A</v>
      </c>
      <c r="G97" s="67"/>
      <c r="H97" s="63" t="e">
        <f ca="1"/>
        <v>#N/A</v>
      </c>
      <c r="I97" s="33" t="e">
        <f ca="1"/>
        <v>#N/A</v>
      </c>
      <c r="J97" s="33" t="e">
        <f ca="1"/>
        <v>#N/A</v>
      </c>
      <c r="K97" s="25" t="e">
        <f ca="1"/>
        <v>#N/A</v>
      </c>
      <c r="L97" s="36" t="e">
        <f ca="1"/>
        <v>#N/A</v>
      </c>
      <c r="M97" s="37" t="e">
        <f ca="1"/>
        <v>#N/A</v>
      </c>
      <c r="N97" s="38" t="s">
        <v>1</v>
      </c>
      <c r="O97" s="43">
        <v>89</v>
      </c>
      <c r="P97" s="25" t="e">
        <f ca="1">IF(ISNA(R97),NA(),IF(ISBLANK(Q97),IF(FloatAmortizationFrequency=0,P96,IF(MOD((O97-1),FloatAmortizationFrequency)&lt;&gt;0,P96,P96-FloatAmortization)),Q97))</f>
        <v>#N/A</v>
      </c>
      <c r="Q97" s="67"/>
      <c r="R97" s="33" t="e">
        <f ca="1"/>
        <v>#N/A</v>
      </c>
      <c r="S97" s="33" t="e">
        <f ca="1"/>
        <v>#N/A</v>
      </c>
      <c r="T97" s="33" t="e">
        <f ca="1"/>
        <v>#N/A</v>
      </c>
      <c r="U97" s="25" t="e">
        <f ca="1"/>
        <v>#N/A</v>
      </c>
      <c r="V97" s="36" t="e">
        <f ca="1"/>
        <v>#N/A</v>
      </c>
      <c r="W97" s="37" t="e">
        <f ca="1"/>
        <v>#N/A</v>
      </c>
      <c r="X97" s="31" t="s">
        <v>1</v>
      </c>
    </row>
    <row r="98" spans="4:24" x14ac:dyDescent="0.25">
      <c r="D98" s="31" t="s">
        <v>1</v>
      </c>
      <c r="E98" s="43">
        <v>90</v>
      </c>
      <c r="F98" s="25" t="e">
        <f ca="1">IF(ISNA(H98),NA(),IF(ISBLANK(G98),IF(FixedAmortizationFrequency=0,F97,IF(MOD((E98-1),FixedAmortizationFrequency)&lt;&gt;0,F97,F97-FixedAmortization)),G98))</f>
        <v>#N/A</v>
      </c>
      <c r="G98" s="67"/>
      <c r="H98" s="63" t="e">
        <f ca="1"/>
        <v>#N/A</v>
      </c>
      <c r="I98" s="33" t="e">
        <f ca="1"/>
        <v>#N/A</v>
      </c>
      <c r="J98" s="33" t="e">
        <f ca="1"/>
        <v>#N/A</v>
      </c>
      <c r="K98" s="25" t="e">
        <f ca="1"/>
        <v>#N/A</v>
      </c>
      <c r="L98" s="36" t="e">
        <f ca="1"/>
        <v>#N/A</v>
      </c>
      <c r="M98" s="37" t="e">
        <f ca="1"/>
        <v>#N/A</v>
      </c>
      <c r="N98" s="38" t="s">
        <v>1</v>
      </c>
      <c r="O98" s="43">
        <v>90</v>
      </c>
      <c r="P98" s="25" t="e">
        <f ca="1">IF(ISNA(R98),NA(),IF(ISBLANK(Q98),IF(FloatAmortizationFrequency=0,P97,IF(MOD((O98-1),FloatAmortizationFrequency)&lt;&gt;0,P97,P97-FloatAmortization)),Q98))</f>
        <v>#N/A</v>
      </c>
      <c r="Q98" s="67"/>
      <c r="R98" s="33" t="e">
        <f ca="1"/>
        <v>#N/A</v>
      </c>
      <c r="S98" s="33" t="e">
        <f ca="1"/>
        <v>#N/A</v>
      </c>
      <c r="T98" s="33" t="e">
        <f ca="1"/>
        <v>#N/A</v>
      </c>
      <c r="U98" s="25" t="e">
        <f ca="1"/>
        <v>#N/A</v>
      </c>
      <c r="V98" s="36" t="e">
        <f ca="1"/>
        <v>#N/A</v>
      </c>
      <c r="W98" s="37" t="e">
        <f ca="1"/>
        <v>#N/A</v>
      </c>
      <c r="X98" s="31" t="s">
        <v>1</v>
      </c>
    </row>
    <row r="99" spans="4:24" x14ac:dyDescent="0.25">
      <c r="D99" s="31" t="s">
        <v>1</v>
      </c>
      <c r="E99" s="43">
        <v>91</v>
      </c>
      <c r="F99" s="25" t="e">
        <f ca="1">IF(ISNA(H99),NA(),IF(ISBLANK(G99),IF(FixedAmortizationFrequency=0,F98,IF(MOD((E99-1),FixedAmortizationFrequency)&lt;&gt;0,F98,F98-FixedAmortization)),G99))</f>
        <v>#N/A</v>
      </c>
      <c r="G99" s="67"/>
      <c r="H99" s="63" t="e">
        <f ca="1"/>
        <v>#N/A</v>
      </c>
      <c r="I99" s="33" t="e">
        <f ca="1"/>
        <v>#N/A</v>
      </c>
      <c r="J99" s="33" t="e">
        <f ca="1"/>
        <v>#N/A</v>
      </c>
      <c r="K99" s="25" t="e">
        <f ca="1"/>
        <v>#N/A</v>
      </c>
      <c r="L99" s="36" t="e">
        <f ca="1"/>
        <v>#N/A</v>
      </c>
      <c r="M99" s="37" t="e">
        <f ca="1"/>
        <v>#N/A</v>
      </c>
      <c r="N99" s="38" t="s">
        <v>1</v>
      </c>
      <c r="O99" s="43">
        <v>91</v>
      </c>
      <c r="P99" s="25" t="e">
        <f ca="1">IF(ISNA(R99),NA(),IF(ISBLANK(Q99),IF(FloatAmortizationFrequency=0,P98,IF(MOD((O99-1),FloatAmortizationFrequency)&lt;&gt;0,P98,P98-FloatAmortization)),Q99))</f>
        <v>#N/A</v>
      </c>
      <c r="Q99" s="67"/>
      <c r="R99" s="33" t="e">
        <f ca="1"/>
        <v>#N/A</v>
      </c>
      <c r="S99" s="33" t="e">
        <f ca="1"/>
        <v>#N/A</v>
      </c>
      <c r="T99" s="33" t="e">
        <f ca="1"/>
        <v>#N/A</v>
      </c>
      <c r="U99" s="25" t="e">
        <f ca="1"/>
        <v>#N/A</v>
      </c>
      <c r="V99" s="36" t="e">
        <f ca="1"/>
        <v>#N/A</v>
      </c>
      <c r="W99" s="37" t="e">
        <f ca="1"/>
        <v>#N/A</v>
      </c>
      <c r="X99" s="31" t="s">
        <v>1</v>
      </c>
    </row>
    <row r="100" spans="4:24" x14ac:dyDescent="0.25">
      <c r="D100" s="31" t="s">
        <v>1</v>
      </c>
      <c r="E100" s="43">
        <v>92</v>
      </c>
      <c r="F100" s="25" t="e">
        <f ca="1">IF(ISNA(H100),NA(),IF(ISBLANK(G100),IF(FixedAmortizationFrequency=0,F99,IF(MOD((E100-1),FixedAmortizationFrequency)&lt;&gt;0,F99,F99-FixedAmortization)),G100))</f>
        <v>#N/A</v>
      </c>
      <c r="G100" s="67"/>
      <c r="H100" s="63" t="e">
        <f ca="1"/>
        <v>#N/A</v>
      </c>
      <c r="I100" s="33" t="e">
        <f ca="1"/>
        <v>#N/A</v>
      </c>
      <c r="J100" s="33" t="e">
        <f ca="1"/>
        <v>#N/A</v>
      </c>
      <c r="K100" s="25" t="e">
        <f ca="1"/>
        <v>#N/A</v>
      </c>
      <c r="L100" s="36" t="e">
        <f ca="1"/>
        <v>#N/A</v>
      </c>
      <c r="M100" s="37" t="e">
        <f ca="1"/>
        <v>#N/A</v>
      </c>
      <c r="N100" s="38" t="s">
        <v>1</v>
      </c>
      <c r="O100" s="43">
        <v>92</v>
      </c>
      <c r="P100" s="25" t="e">
        <f ca="1">IF(ISNA(R100),NA(),IF(ISBLANK(Q100),IF(FloatAmortizationFrequency=0,P99,IF(MOD((O100-1),FloatAmortizationFrequency)&lt;&gt;0,P99,P99-FloatAmortization)),Q100))</f>
        <v>#N/A</v>
      </c>
      <c r="Q100" s="67"/>
      <c r="R100" s="33" t="e">
        <f ca="1"/>
        <v>#N/A</v>
      </c>
      <c r="S100" s="33" t="e">
        <f ca="1"/>
        <v>#N/A</v>
      </c>
      <c r="T100" s="33" t="e">
        <f ca="1"/>
        <v>#N/A</v>
      </c>
      <c r="U100" s="25" t="e">
        <f ca="1"/>
        <v>#N/A</v>
      </c>
      <c r="V100" s="36" t="e">
        <f ca="1"/>
        <v>#N/A</v>
      </c>
      <c r="W100" s="37" t="e">
        <f ca="1"/>
        <v>#N/A</v>
      </c>
      <c r="X100" s="31" t="s">
        <v>1</v>
      </c>
    </row>
    <row r="101" spans="4:24" x14ac:dyDescent="0.25">
      <c r="D101" s="31" t="s">
        <v>1</v>
      </c>
      <c r="E101" s="43">
        <v>93</v>
      </c>
      <c r="F101" s="25" t="e">
        <f ca="1">IF(ISNA(H101),NA(),IF(ISBLANK(G101),IF(FixedAmortizationFrequency=0,F100,IF(MOD((E101-1),FixedAmortizationFrequency)&lt;&gt;0,F100,F100-FixedAmortization)),G101))</f>
        <v>#N/A</v>
      </c>
      <c r="G101" s="67"/>
      <c r="H101" s="63" t="e">
        <f ca="1"/>
        <v>#N/A</v>
      </c>
      <c r="I101" s="33" t="e">
        <f ca="1"/>
        <v>#N/A</v>
      </c>
      <c r="J101" s="33" t="e">
        <f ca="1"/>
        <v>#N/A</v>
      </c>
      <c r="K101" s="25" t="e">
        <f ca="1"/>
        <v>#N/A</v>
      </c>
      <c r="L101" s="36" t="e">
        <f ca="1"/>
        <v>#N/A</v>
      </c>
      <c r="M101" s="37" t="e">
        <f ca="1"/>
        <v>#N/A</v>
      </c>
      <c r="N101" s="38" t="s">
        <v>1</v>
      </c>
      <c r="O101" s="43">
        <v>93</v>
      </c>
      <c r="P101" s="25" t="e">
        <f ca="1">IF(ISNA(R101),NA(),IF(ISBLANK(Q101),IF(FloatAmortizationFrequency=0,P100,IF(MOD((O101-1),FloatAmortizationFrequency)&lt;&gt;0,P100,P100-FloatAmortization)),Q101))</f>
        <v>#N/A</v>
      </c>
      <c r="Q101" s="67"/>
      <c r="R101" s="33" t="e">
        <f ca="1"/>
        <v>#N/A</v>
      </c>
      <c r="S101" s="33" t="e">
        <f ca="1"/>
        <v>#N/A</v>
      </c>
      <c r="T101" s="33" t="e">
        <f ca="1"/>
        <v>#N/A</v>
      </c>
      <c r="U101" s="25" t="e">
        <f ca="1"/>
        <v>#N/A</v>
      </c>
      <c r="V101" s="36" t="e">
        <f ca="1"/>
        <v>#N/A</v>
      </c>
      <c r="W101" s="37" t="e">
        <f ca="1"/>
        <v>#N/A</v>
      </c>
      <c r="X101" s="31" t="s">
        <v>1</v>
      </c>
    </row>
    <row r="102" spans="4:24" x14ac:dyDescent="0.25">
      <c r="D102" s="31" t="s">
        <v>1</v>
      </c>
      <c r="E102" s="43">
        <v>94</v>
      </c>
      <c r="F102" s="25" t="e">
        <f ca="1">IF(ISNA(H102),NA(),IF(ISBLANK(G102),IF(FixedAmortizationFrequency=0,F101,IF(MOD((E102-1),FixedAmortizationFrequency)&lt;&gt;0,F101,F101-FixedAmortization)),G102))</f>
        <v>#N/A</v>
      </c>
      <c r="G102" s="67"/>
      <c r="H102" s="63" t="e">
        <f ca="1"/>
        <v>#N/A</v>
      </c>
      <c r="I102" s="33" t="e">
        <f ca="1"/>
        <v>#N/A</v>
      </c>
      <c r="J102" s="33" t="e">
        <f ca="1"/>
        <v>#N/A</v>
      </c>
      <c r="K102" s="25" t="e">
        <f ca="1"/>
        <v>#N/A</v>
      </c>
      <c r="L102" s="36" t="e">
        <f ca="1"/>
        <v>#N/A</v>
      </c>
      <c r="M102" s="37" t="e">
        <f ca="1"/>
        <v>#N/A</v>
      </c>
      <c r="N102" s="38" t="s">
        <v>1</v>
      </c>
      <c r="O102" s="43">
        <v>94</v>
      </c>
      <c r="P102" s="25" t="e">
        <f ca="1">IF(ISNA(R102),NA(),IF(ISBLANK(Q102),IF(FloatAmortizationFrequency=0,P101,IF(MOD((O102-1),FloatAmortizationFrequency)&lt;&gt;0,P101,P101-FloatAmortization)),Q102))</f>
        <v>#N/A</v>
      </c>
      <c r="Q102" s="67"/>
      <c r="R102" s="33" t="e">
        <f ca="1"/>
        <v>#N/A</v>
      </c>
      <c r="S102" s="33" t="e">
        <f ca="1"/>
        <v>#N/A</v>
      </c>
      <c r="T102" s="33" t="e">
        <f ca="1"/>
        <v>#N/A</v>
      </c>
      <c r="U102" s="25" t="e">
        <f ca="1"/>
        <v>#N/A</v>
      </c>
      <c r="V102" s="36" t="e">
        <f ca="1"/>
        <v>#N/A</v>
      </c>
      <c r="W102" s="37" t="e">
        <f ca="1"/>
        <v>#N/A</v>
      </c>
      <c r="X102" s="31" t="s">
        <v>1</v>
      </c>
    </row>
    <row r="103" spans="4:24" x14ac:dyDescent="0.25">
      <c r="D103" s="31" t="s">
        <v>1</v>
      </c>
      <c r="E103" s="43">
        <v>95</v>
      </c>
      <c r="F103" s="25" t="e">
        <f ca="1">IF(ISNA(H103),NA(),IF(ISBLANK(G103),IF(FixedAmortizationFrequency=0,F102,IF(MOD((E103-1),FixedAmortizationFrequency)&lt;&gt;0,F102,F102-FixedAmortization)),G103))</f>
        <v>#N/A</v>
      </c>
      <c r="G103" s="67"/>
      <c r="H103" s="63" t="e">
        <f ca="1"/>
        <v>#N/A</v>
      </c>
      <c r="I103" s="33" t="e">
        <f ca="1"/>
        <v>#N/A</v>
      </c>
      <c r="J103" s="33" t="e">
        <f ca="1"/>
        <v>#N/A</v>
      </c>
      <c r="K103" s="25" t="e">
        <f ca="1"/>
        <v>#N/A</v>
      </c>
      <c r="L103" s="36" t="e">
        <f ca="1"/>
        <v>#N/A</v>
      </c>
      <c r="M103" s="37" t="e">
        <f ca="1"/>
        <v>#N/A</v>
      </c>
      <c r="N103" s="38" t="s">
        <v>1</v>
      </c>
      <c r="O103" s="43">
        <v>95</v>
      </c>
      <c r="P103" s="25" t="e">
        <f ca="1">IF(ISNA(R103),NA(),IF(ISBLANK(Q103),IF(FloatAmortizationFrequency=0,P102,IF(MOD((O103-1),FloatAmortizationFrequency)&lt;&gt;0,P102,P102-FloatAmortization)),Q103))</f>
        <v>#N/A</v>
      </c>
      <c r="Q103" s="67"/>
      <c r="R103" s="33" t="e">
        <f ca="1"/>
        <v>#N/A</v>
      </c>
      <c r="S103" s="33" t="e">
        <f ca="1"/>
        <v>#N/A</v>
      </c>
      <c r="T103" s="33" t="e">
        <f ca="1"/>
        <v>#N/A</v>
      </c>
      <c r="U103" s="25" t="e">
        <f ca="1"/>
        <v>#N/A</v>
      </c>
      <c r="V103" s="36" t="e">
        <f ca="1"/>
        <v>#N/A</v>
      </c>
      <c r="W103" s="37" t="e">
        <f ca="1"/>
        <v>#N/A</v>
      </c>
      <c r="X103" s="31" t="s">
        <v>1</v>
      </c>
    </row>
    <row r="104" spans="4:24" x14ac:dyDescent="0.25">
      <c r="D104" s="31" t="s">
        <v>1</v>
      </c>
      <c r="E104" s="43">
        <v>96</v>
      </c>
      <c r="F104" s="25" t="e">
        <f ca="1">IF(ISNA(H104),NA(),IF(ISBLANK(G104),IF(FixedAmortizationFrequency=0,F103,IF(MOD((E104-1),FixedAmortizationFrequency)&lt;&gt;0,F103,F103-FixedAmortization)),G104))</f>
        <v>#N/A</v>
      </c>
      <c r="G104" s="67"/>
      <c r="H104" s="63" t="e">
        <f ca="1"/>
        <v>#N/A</v>
      </c>
      <c r="I104" s="33" t="e">
        <f ca="1"/>
        <v>#N/A</v>
      </c>
      <c r="J104" s="33" t="e">
        <f ca="1"/>
        <v>#N/A</v>
      </c>
      <c r="K104" s="25" t="e">
        <f ca="1"/>
        <v>#N/A</v>
      </c>
      <c r="L104" s="36" t="e">
        <f ca="1"/>
        <v>#N/A</v>
      </c>
      <c r="M104" s="37" t="e">
        <f ca="1"/>
        <v>#N/A</v>
      </c>
      <c r="N104" s="38" t="s">
        <v>1</v>
      </c>
      <c r="O104" s="43">
        <v>96</v>
      </c>
      <c r="P104" s="25" t="e">
        <f ca="1">IF(ISNA(R104),NA(),IF(ISBLANK(Q104),IF(FloatAmortizationFrequency=0,P103,IF(MOD((O104-1),FloatAmortizationFrequency)&lt;&gt;0,P103,P103-FloatAmortization)),Q104))</f>
        <v>#N/A</v>
      </c>
      <c r="Q104" s="67"/>
      <c r="R104" s="33" t="e">
        <f ca="1"/>
        <v>#N/A</v>
      </c>
      <c r="S104" s="33" t="e">
        <f ca="1"/>
        <v>#N/A</v>
      </c>
      <c r="T104" s="33" t="e">
        <f ca="1"/>
        <v>#N/A</v>
      </c>
      <c r="U104" s="25" t="e">
        <f ca="1"/>
        <v>#N/A</v>
      </c>
      <c r="V104" s="36" t="e">
        <f ca="1"/>
        <v>#N/A</v>
      </c>
      <c r="W104" s="37" t="e">
        <f ca="1"/>
        <v>#N/A</v>
      </c>
      <c r="X104" s="31" t="s">
        <v>1</v>
      </c>
    </row>
    <row r="105" spans="4:24" x14ac:dyDescent="0.25">
      <c r="D105" s="31" t="s">
        <v>1</v>
      </c>
      <c r="E105" s="43">
        <v>97</v>
      </c>
      <c r="F105" s="25" t="e">
        <f ca="1">IF(ISNA(H105),NA(),IF(ISBLANK(G105),IF(FixedAmortizationFrequency=0,F104,IF(MOD((E105-1),FixedAmortizationFrequency)&lt;&gt;0,F104,F104-FixedAmortization)),G105))</f>
        <v>#N/A</v>
      </c>
      <c r="G105" s="67"/>
      <c r="H105" s="63" t="e">
        <f ca="1"/>
        <v>#N/A</v>
      </c>
      <c r="I105" s="33" t="e">
        <f ca="1"/>
        <v>#N/A</v>
      </c>
      <c r="J105" s="33" t="e">
        <f ca="1"/>
        <v>#N/A</v>
      </c>
      <c r="K105" s="25" t="e">
        <f ca="1"/>
        <v>#N/A</v>
      </c>
      <c r="L105" s="36" t="e">
        <f ca="1"/>
        <v>#N/A</v>
      </c>
      <c r="M105" s="37" t="e">
        <f ca="1"/>
        <v>#N/A</v>
      </c>
      <c r="N105" s="38" t="s">
        <v>1</v>
      </c>
      <c r="O105" s="43">
        <v>97</v>
      </c>
      <c r="P105" s="25" t="e">
        <f ca="1">IF(ISNA(R105),NA(),IF(ISBLANK(Q105),IF(FloatAmortizationFrequency=0,P104,IF(MOD((O105-1),FloatAmortizationFrequency)&lt;&gt;0,P104,P104-FloatAmortization)),Q105))</f>
        <v>#N/A</v>
      </c>
      <c r="Q105" s="67"/>
      <c r="R105" s="33" t="e">
        <f ca="1"/>
        <v>#N/A</v>
      </c>
      <c r="S105" s="33" t="e">
        <f ca="1"/>
        <v>#N/A</v>
      </c>
      <c r="T105" s="33" t="e">
        <f ca="1"/>
        <v>#N/A</v>
      </c>
      <c r="U105" s="25" t="e">
        <f ca="1"/>
        <v>#N/A</v>
      </c>
      <c r="V105" s="36" t="e">
        <f ca="1"/>
        <v>#N/A</v>
      </c>
      <c r="W105" s="37" t="e">
        <f ca="1"/>
        <v>#N/A</v>
      </c>
      <c r="X105" s="31" t="s">
        <v>1</v>
      </c>
    </row>
    <row r="106" spans="4:24" x14ac:dyDescent="0.25">
      <c r="D106" s="31" t="s">
        <v>1</v>
      </c>
      <c r="E106" s="43">
        <v>98</v>
      </c>
      <c r="F106" s="25" t="e">
        <f ca="1">IF(ISNA(H106),NA(),IF(ISBLANK(G106),IF(FixedAmortizationFrequency=0,F105,IF(MOD((E106-1),FixedAmortizationFrequency)&lt;&gt;0,F105,F105-FixedAmortization)),G106))</f>
        <v>#N/A</v>
      </c>
      <c r="G106" s="67"/>
      <c r="H106" s="63" t="e">
        <f ca="1"/>
        <v>#N/A</v>
      </c>
      <c r="I106" s="33" t="e">
        <f ca="1"/>
        <v>#N/A</v>
      </c>
      <c r="J106" s="33" t="e">
        <f ca="1"/>
        <v>#N/A</v>
      </c>
      <c r="K106" s="25" t="e">
        <f ca="1"/>
        <v>#N/A</v>
      </c>
      <c r="L106" s="36" t="e">
        <f ca="1"/>
        <v>#N/A</v>
      </c>
      <c r="M106" s="37" t="e">
        <f ca="1"/>
        <v>#N/A</v>
      </c>
      <c r="N106" s="38" t="s">
        <v>1</v>
      </c>
      <c r="O106" s="43">
        <v>98</v>
      </c>
      <c r="P106" s="25" t="e">
        <f ca="1">IF(ISNA(R106),NA(),IF(ISBLANK(Q106),IF(FloatAmortizationFrequency=0,P105,IF(MOD((O106-1),FloatAmortizationFrequency)&lt;&gt;0,P105,P105-FloatAmortization)),Q106))</f>
        <v>#N/A</v>
      </c>
      <c r="Q106" s="67"/>
      <c r="R106" s="33" t="e">
        <f ca="1"/>
        <v>#N/A</v>
      </c>
      <c r="S106" s="33" t="e">
        <f ca="1"/>
        <v>#N/A</v>
      </c>
      <c r="T106" s="33" t="e">
        <f ca="1"/>
        <v>#N/A</v>
      </c>
      <c r="U106" s="25" t="e">
        <f ca="1"/>
        <v>#N/A</v>
      </c>
      <c r="V106" s="36" t="e">
        <f ca="1"/>
        <v>#N/A</v>
      </c>
      <c r="W106" s="37" t="e">
        <f ca="1"/>
        <v>#N/A</v>
      </c>
      <c r="X106" s="31" t="s">
        <v>1</v>
      </c>
    </row>
    <row r="107" spans="4:24" x14ac:dyDescent="0.25">
      <c r="D107" s="31" t="s">
        <v>1</v>
      </c>
      <c r="E107" s="43">
        <v>99</v>
      </c>
      <c r="F107" s="25" t="e">
        <f ca="1">IF(ISNA(H107),NA(),IF(ISBLANK(G107),IF(FixedAmortizationFrequency=0,F106,IF(MOD((E107-1),FixedAmortizationFrequency)&lt;&gt;0,F106,F106-FixedAmortization)),G107))</f>
        <v>#N/A</v>
      </c>
      <c r="G107" s="67"/>
      <c r="H107" s="63" t="e">
        <f ca="1"/>
        <v>#N/A</v>
      </c>
      <c r="I107" s="33" t="e">
        <f ca="1"/>
        <v>#N/A</v>
      </c>
      <c r="J107" s="33" t="e">
        <f ca="1"/>
        <v>#N/A</v>
      </c>
      <c r="K107" s="25" t="e">
        <f ca="1"/>
        <v>#N/A</v>
      </c>
      <c r="L107" s="36" t="e">
        <f ca="1"/>
        <v>#N/A</v>
      </c>
      <c r="M107" s="37" t="e">
        <f ca="1"/>
        <v>#N/A</v>
      </c>
      <c r="N107" s="38" t="s">
        <v>1</v>
      </c>
      <c r="O107" s="43">
        <v>99</v>
      </c>
      <c r="P107" s="25" t="e">
        <f ca="1">IF(ISNA(R107),NA(),IF(ISBLANK(Q107),IF(FloatAmortizationFrequency=0,P106,IF(MOD((O107-1),FloatAmortizationFrequency)&lt;&gt;0,P106,P106-FloatAmortization)),Q107))</f>
        <v>#N/A</v>
      </c>
      <c r="Q107" s="67"/>
      <c r="R107" s="33" t="e">
        <f ca="1"/>
        <v>#N/A</v>
      </c>
      <c r="S107" s="33" t="e">
        <f ca="1"/>
        <v>#N/A</v>
      </c>
      <c r="T107" s="33" t="e">
        <f ca="1"/>
        <v>#N/A</v>
      </c>
      <c r="U107" s="25" t="e">
        <f ca="1"/>
        <v>#N/A</v>
      </c>
      <c r="V107" s="36" t="e">
        <f ca="1"/>
        <v>#N/A</v>
      </c>
      <c r="W107" s="37" t="e">
        <f ca="1"/>
        <v>#N/A</v>
      </c>
      <c r="X107" s="31" t="s">
        <v>1</v>
      </c>
    </row>
    <row r="108" spans="4:24" x14ac:dyDescent="0.25">
      <c r="D108" s="31" t="s">
        <v>1</v>
      </c>
      <c r="E108" s="43">
        <v>100</v>
      </c>
      <c r="F108" s="25" t="e">
        <f ca="1">IF(ISNA(H108),NA(),IF(ISBLANK(G108),IF(FixedAmortizationFrequency=0,F107,IF(MOD((E108-1),FixedAmortizationFrequency)&lt;&gt;0,F107,F107-FixedAmortization)),G108))</f>
        <v>#N/A</v>
      </c>
      <c r="G108" s="67"/>
      <c r="H108" s="63" t="e">
        <f ca="1"/>
        <v>#N/A</v>
      </c>
      <c r="I108" s="33" t="e">
        <f ca="1"/>
        <v>#N/A</v>
      </c>
      <c r="J108" s="33" t="e">
        <f ca="1"/>
        <v>#N/A</v>
      </c>
      <c r="K108" s="25" t="e">
        <f ca="1"/>
        <v>#N/A</v>
      </c>
      <c r="L108" s="36" t="e">
        <f ca="1"/>
        <v>#N/A</v>
      </c>
      <c r="M108" s="37" t="e">
        <f ca="1"/>
        <v>#N/A</v>
      </c>
      <c r="N108" s="38" t="s">
        <v>1</v>
      </c>
      <c r="O108" s="43">
        <v>100</v>
      </c>
      <c r="P108" s="25" t="e">
        <f ca="1">IF(ISNA(R108),NA(),IF(ISBLANK(Q108),IF(FloatAmortizationFrequency=0,P107,IF(MOD((O108-1),FloatAmortizationFrequency)&lt;&gt;0,P107,P107-FloatAmortization)),Q108))</f>
        <v>#N/A</v>
      </c>
      <c r="Q108" s="67"/>
      <c r="R108" s="33" t="e">
        <f ca="1"/>
        <v>#N/A</v>
      </c>
      <c r="S108" s="33" t="e">
        <f ca="1"/>
        <v>#N/A</v>
      </c>
      <c r="T108" s="33" t="e">
        <f ca="1"/>
        <v>#N/A</v>
      </c>
      <c r="U108" s="25" t="e">
        <f ca="1"/>
        <v>#N/A</v>
      </c>
      <c r="V108" s="36" t="e">
        <f ca="1"/>
        <v>#N/A</v>
      </c>
      <c r="W108" s="37" t="e">
        <f ca="1"/>
        <v>#N/A</v>
      </c>
      <c r="X108" s="31" t="s">
        <v>1</v>
      </c>
    </row>
    <row r="109" spans="4:24" x14ac:dyDescent="0.25">
      <c r="D109" s="31" t="s">
        <v>1</v>
      </c>
      <c r="E109" s="43">
        <v>101</v>
      </c>
      <c r="F109" s="25" t="e">
        <f ca="1">IF(ISNA(H109),NA(),IF(ISBLANK(G109),IF(FixedAmortizationFrequency=0,F108,IF(MOD((E109-1),FixedAmortizationFrequency)&lt;&gt;0,F108,F108-FixedAmortization)),G109))</f>
        <v>#N/A</v>
      </c>
      <c r="G109" s="67"/>
      <c r="H109" s="63" t="e">
        <f ca="1"/>
        <v>#N/A</v>
      </c>
      <c r="I109" s="33" t="e">
        <f ca="1"/>
        <v>#N/A</v>
      </c>
      <c r="J109" s="33" t="e">
        <f ca="1"/>
        <v>#N/A</v>
      </c>
      <c r="K109" s="25" t="e">
        <f ca="1"/>
        <v>#N/A</v>
      </c>
      <c r="L109" s="36" t="e">
        <f ca="1"/>
        <v>#N/A</v>
      </c>
      <c r="M109" s="37" t="e">
        <f ca="1"/>
        <v>#N/A</v>
      </c>
      <c r="N109" s="38" t="s">
        <v>1</v>
      </c>
      <c r="O109" s="43">
        <v>101</v>
      </c>
      <c r="P109" s="25" t="e">
        <f ca="1">IF(ISNA(R109),NA(),IF(ISBLANK(Q109),IF(FloatAmortizationFrequency=0,P108,IF(MOD((O109-1),FloatAmortizationFrequency)&lt;&gt;0,P108,P108-FloatAmortization)),Q109))</f>
        <v>#N/A</v>
      </c>
      <c r="Q109" s="67"/>
      <c r="R109" s="33" t="e">
        <f ca="1"/>
        <v>#N/A</v>
      </c>
      <c r="S109" s="33" t="e">
        <f ca="1"/>
        <v>#N/A</v>
      </c>
      <c r="T109" s="33" t="e">
        <f ca="1"/>
        <v>#N/A</v>
      </c>
      <c r="U109" s="25" t="e">
        <f ca="1"/>
        <v>#N/A</v>
      </c>
      <c r="V109" s="36" t="e">
        <f ca="1"/>
        <v>#N/A</v>
      </c>
      <c r="W109" s="37" t="e">
        <f ca="1"/>
        <v>#N/A</v>
      </c>
      <c r="X109" s="31" t="s">
        <v>1</v>
      </c>
    </row>
    <row r="110" spans="4:24" x14ac:dyDescent="0.25">
      <c r="D110" s="31" t="s">
        <v>1</v>
      </c>
      <c r="E110" s="43">
        <v>102</v>
      </c>
      <c r="F110" s="25" t="e">
        <f ca="1">IF(ISNA(H110),NA(),IF(ISBLANK(G110),IF(FixedAmortizationFrequency=0,F109,IF(MOD((E110-1),FixedAmortizationFrequency)&lt;&gt;0,F109,F109-FixedAmortization)),G110))</f>
        <v>#N/A</v>
      </c>
      <c r="G110" s="67"/>
      <c r="H110" s="63" t="e">
        <f ca="1"/>
        <v>#N/A</v>
      </c>
      <c r="I110" s="33" t="e">
        <f ca="1"/>
        <v>#N/A</v>
      </c>
      <c r="J110" s="33" t="e">
        <f ca="1"/>
        <v>#N/A</v>
      </c>
      <c r="K110" s="25" t="e">
        <f ca="1"/>
        <v>#N/A</v>
      </c>
      <c r="L110" s="36" t="e">
        <f ca="1"/>
        <v>#N/A</v>
      </c>
      <c r="M110" s="37" t="e">
        <f ca="1"/>
        <v>#N/A</v>
      </c>
      <c r="N110" s="38" t="s">
        <v>1</v>
      </c>
      <c r="O110" s="43">
        <v>102</v>
      </c>
      <c r="P110" s="25" t="e">
        <f ca="1">IF(ISNA(R110),NA(),IF(ISBLANK(Q110),IF(FloatAmortizationFrequency=0,P109,IF(MOD((O110-1),FloatAmortizationFrequency)&lt;&gt;0,P109,P109-FloatAmortization)),Q110))</f>
        <v>#N/A</v>
      </c>
      <c r="Q110" s="67"/>
      <c r="R110" s="33" t="e">
        <f ca="1"/>
        <v>#N/A</v>
      </c>
      <c r="S110" s="33" t="e">
        <f ca="1"/>
        <v>#N/A</v>
      </c>
      <c r="T110" s="33" t="e">
        <f ca="1"/>
        <v>#N/A</v>
      </c>
      <c r="U110" s="25" t="e">
        <f ca="1"/>
        <v>#N/A</v>
      </c>
      <c r="V110" s="36" t="e">
        <f ca="1"/>
        <v>#N/A</v>
      </c>
      <c r="W110" s="37" t="e">
        <f ca="1"/>
        <v>#N/A</v>
      </c>
      <c r="X110" s="31" t="s">
        <v>1</v>
      </c>
    </row>
    <row r="111" spans="4:24" x14ac:dyDescent="0.25">
      <c r="D111" s="31" t="s">
        <v>1</v>
      </c>
      <c r="E111" s="43">
        <v>103</v>
      </c>
      <c r="F111" s="25" t="e">
        <f ca="1">IF(ISNA(H111),NA(),IF(ISBLANK(G111),IF(FixedAmortizationFrequency=0,F110,IF(MOD((E111-1),FixedAmortizationFrequency)&lt;&gt;0,F110,F110-FixedAmortization)),G111))</f>
        <v>#N/A</v>
      </c>
      <c r="G111" s="67"/>
      <c r="H111" s="63" t="e">
        <f ca="1"/>
        <v>#N/A</v>
      </c>
      <c r="I111" s="33" t="e">
        <f ca="1"/>
        <v>#N/A</v>
      </c>
      <c r="J111" s="33" t="e">
        <f ca="1"/>
        <v>#N/A</v>
      </c>
      <c r="K111" s="25" t="e">
        <f ca="1"/>
        <v>#N/A</v>
      </c>
      <c r="L111" s="36" t="e">
        <f ca="1"/>
        <v>#N/A</v>
      </c>
      <c r="M111" s="37" t="e">
        <f ca="1"/>
        <v>#N/A</v>
      </c>
      <c r="N111" s="38" t="s">
        <v>1</v>
      </c>
      <c r="O111" s="43">
        <v>103</v>
      </c>
      <c r="P111" s="25" t="e">
        <f ca="1">IF(ISNA(R111),NA(),IF(ISBLANK(Q111),IF(FloatAmortizationFrequency=0,P110,IF(MOD((O111-1),FloatAmortizationFrequency)&lt;&gt;0,P110,P110-FloatAmortization)),Q111))</f>
        <v>#N/A</v>
      </c>
      <c r="Q111" s="67"/>
      <c r="R111" s="33" t="e">
        <f ca="1"/>
        <v>#N/A</v>
      </c>
      <c r="S111" s="33" t="e">
        <f ca="1"/>
        <v>#N/A</v>
      </c>
      <c r="T111" s="33" t="e">
        <f ca="1"/>
        <v>#N/A</v>
      </c>
      <c r="U111" s="25" t="e">
        <f ca="1"/>
        <v>#N/A</v>
      </c>
      <c r="V111" s="36" t="e">
        <f ca="1"/>
        <v>#N/A</v>
      </c>
      <c r="W111" s="37" t="e">
        <f ca="1"/>
        <v>#N/A</v>
      </c>
      <c r="X111" s="31" t="s">
        <v>1</v>
      </c>
    </row>
    <row r="112" spans="4:24" x14ac:dyDescent="0.25">
      <c r="D112" s="31" t="s">
        <v>1</v>
      </c>
      <c r="E112" s="43">
        <v>104</v>
      </c>
      <c r="F112" s="25" t="e">
        <f ca="1">IF(ISNA(H112),NA(),IF(ISBLANK(G112),IF(FixedAmortizationFrequency=0,F111,IF(MOD((E112-1),FixedAmortizationFrequency)&lt;&gt;0,F111,F111-FixedAmortization)),G112))</f>
        <v>#N/A</v>
      </c>
      <c r="G112" s="67"/>
      <c r="H112" s="63" t="e">
        <f ca="1"/>
        <v>#N/A</v>
      </c>
      <c r="I112" s="33" t="e">
        <f ca="1"/>
        <v>#N/A</v>
      </c>
      <c r="J112" s="33" t="e">
        <f ca="1"/>
        <v>#N/A</v>
      </c>
      <c r="K112" s="25" t="e">
        <f ca="1"/>
        <v>#N/A</v>
      </c>
      <c r="L112" s="36" t="e">
        <f ca="1"/>
        <v>#N/A</v>
      </c>
      <c r="M112" s="37" t="e">
        <f ca="1"/>
        <v>#N/A</v>
      </c>
      <c r="N112" s="38" t="s">
        <v>1</v>
      </c>
      <c r="O112" s="43">
        <v>104</v>
      </c>
      <c r="P112" s="25" t="e">
        <f ca="1">IF(ISNA(R112),NA(),IF(ISBLANK(Q112),IF(FloatAmortizationFrequency=0,P111,IF(MOD((O112-1),FloatAmortizationFrequency)&lt;&gt;0,P111,P111-FloatAmortization)),Q112))</f>
        <v>#N/A</v>
      </c>
      <c r="Q112" s="67"/>
      <c r="R112" s="33" t="e">
        <f ca="1"/>
        <v>#N/A</v>
      </c>
      <c r="S112" s="33" t="e">
        <f ca="1"/>
        <v>#N/A</v>
      </c>
      <c r="T112" s="33" t="e">
        <f ca="1"/>
        <v>#N/A</v>
      </c>
      <c r="U112" s="25" t="e">
        <f ca="1"/>
        <v>#N/A</v>
      </c>
      <c r="V112" s="36" t="e">
        <f ca="1"/>
        <v>#N/A</v>
      </c>
      <c r="W112" s="37" t="e">
        <f ca="1"/>
        <v>#N/A</v>
      </c>
      <c r="X112" s="31" t="s">
        <v>1</v>
      </c>
    </row>
    <row r="113" spans="4:24" x14ac:dyDescent="0.25">
      <c r="D113" s="31" t="s">
        <v>1</v>
      </c>
      <c r="E113" s="43">
        <v>105</v>
      </c>
      <c r="F113" s="25" t="e">
        <f ca="1">IF(ISNA(H113),NA(),IF(ISBLANK(G113),IF(FixedAmortizationFrequency=0,F112,IF(MOD((E113-1),FixedAmortizationFrequency)&lt;&gt;0,F112,F112-FixedAmortization)),G113))</f>
        <v>#N/A</v>
      </c>
      <c r="G113" s="67"/>
      <c r="H113" s="63" t="e">
        <f ca="1"/>
        <v>#N/A</v>
      </c>
      <c r="I113" s="33" t="e">
        <f ca="1"/>
        <v>#N/A</v>
      </c>
      <c r="J113" s="33" t="e">
        <f ca="1"/>
        <v>#N/A</v>
      </c>
      <c r="K113" s="25" t="e">
        <f ca="1"/>
        <v>#N/A</v>
      </c>
      <c r="L113" s="36" t="e">
        <f ca="1"/>
        <v>#N/A</v>
      </c>
      <c r="M113" s="37" t="e">
        <f ca="1"/>
        <v>#N/A</v>
      </c>
      <c r="N113" s="38" t="s">
        <v>1</v>
      </c>
      <c r="O113" s="43">
        <v>105</v>
      </c>
      <c r="P113" s="25" t="e">
        <f ca="1">IF(ISNA(R113),NA(),IF(ISBLANK(Q113),IF(FloatAmortizationFrequency=0,P112,IF(MOD((O113-1),FloatAmortizationFrequency)&lt;&gt;0,P112,P112-FloatAmortization)),Q113))</f>
        <v>#N/A</v>
      </c>
      <c r="Q113" s="67"/>
      <c r="R113" s="33" t="e">
        <f ca="1"/>
        <v>#N/A</v>
      </c>
      <c r="S113" s="33" t="e">
        <f ca="1"/>
        <v>#N/A</v>
      </c>
      <c r="T113" s="33" t="e">
        <f ca="1"/>
        <v>#N/A</v>
      </c>
      <c r="U113" s="25" t="e">
        <f ca="1"/>
        <v>#N/A</v>
      </c>
      <c r="V113" s="36" t="e">
        <f ca="1"/>
        <v>#N/A</v>
      </c>
      <c r="W113" s="37" t="e">
        <f ca="1"/>
        <v>#N/A</v>
      </c>
      <c r="X113" s="31" t="s">
        <v>1</v>
      </c>
    </row>
    <row r="114" spans="4:24" x14ac:dyDescent="0.25">
      <c r="D114" s="31" t="s">
        <v>1</v>
      </c>
      <c r="E114" s="43">
        <v>106</v>
      </c>
      <c r="F114" s="25" t="e">
        <f ca="1">IF(ISNA(H114),NA(),IF(ISBLANK(G114),IF(FixedAmortizationFrequency=0,F113,IF(MOD((E114-1),FixedAmortizationFrequency)&lt;&gt;0,F113,F113-FixedAmortization)),G114))</f>
        <v>#N/A</v>
      </c>
      <c r="G114" s="67"/>
      <c r="H114" s="63" t="e">
        <f ca="1"/>
        <v>#N/A</v>
      </c>
      <c r="I114" s="33" t="e">
        <f ca="1"/>
        <v>#N/A</v>
      </c>
      <c r="J114" s="33" t="e">
        <f ca="1"/>
        <v>#N/A</v>
      </c>
      <c r="K114" s="25" t="e">
        <f ca="1"/>
        <v>#N/A</v>
      </c>
      <c r="L114" s="36" t="e">
        <f ca="1"/>
        <v>#N/A</v>
      </c>
      <c r="M114" s="37" t="e">
        <f ca="1"/>
        <v>#N/A</v>
      </c>
      <c r="N114" s="38" t="s">
        <v>1</v>
      </c>
      <c r="O114" s="43">
        <v>106</v>
      </c>
      <c r="P114" s="25" t="e">
        <f ca="1">IF(ISNA(R114),NA(),IF(ISBLANK(Q114),IF(FloatAmortizationFrequency=0,P113,IF(MOD((O114-1),FloatAmortizationFrequency)&lt;&gt;0,P113,P113-FloatAmortization)),Q114))</f>
        <v>#N/A</v>
      </c>
      <c r="Q114" s="67"/>
      <c r="R114" s="33" t="e">
        <f ca="1"/>
        <v>#N/A</v>
      </c>
      <c r="S114" s="33" t="e">
        <f ca="1"/>
        <v>#N/A</v>
      </c>
      <c r="T114" s="33" t="e">
        <f ca="1"/>
        <v>#N/A</v>
      </c>
      <c r="U114" s="25" t="e">
        <f ca="1"/>
        <v>#N/A</v>
      </c>
      <c r="V114" s="36" t="e">
        <f ca="1"/>
        <v>#N/A</v>
      </c>
      <c r="W114" s="37" t="e">
        <f ca="1"/>
        <v>#N/A</v>
      </c>
      <c r="X114" s="31" t="s">
        <v>1</v>
      </c>
    </row>
    <row r="115" spans="4:24" x14ac:dyDescent="0.25">
      <c r="D115" s="31" t="s">
        <v>1</v>
      </c>
      <c r="E115" s="43">
        <v>107</v>
      </c>
      <c r="F115" s="25" t="e">
        <f ca="1">IF(ISNA(H115),NA(),IF(ISBLANK(G115),IF(FixedAmortizationFrequency=0,F114,IF(MOD((E115-1),FixedAmortizationFrequency)&lt;&gt;0,F114,F114-FixedAmortization)),G115))</f>
        <v>#N/A</v>
      </c>
      <c r="G115" s="67"/>
      <c r="H115" s="63" t="e">
        <f ca="1"/>
        <v>#N/A</v>
      </c>
      <c r="I115" s="33" t="e">
        <f ca="1"/>
        <v>#N/A</v>
      </c>
      <c r="J115" s="33" t="e">
        <f ca="1"/>
        <v>#N/A</v>
      </c>
      <c r="K115" s="25" t="e">
        <f ca="1"/>
        <v>#N/A</v>
      </c>
      <c r="L115" s="36" t="e">
        <f ca="1"/>
        <v>#N/A</v>
      </c>
      <c r="M115" s="37" t="e">
        <f ca="1"/>
        <v>#N/A</v>
      </c>
      <c r="N115" s="38" t="s">
        <v>1</v>
      </c>
      <c r="O115" s="43">
        <v>107</v>
      </c>
      <c r="P115" s="25" t="e">
        <f ca="1">IF(ISNA(R115),NA(),IF(ISBLANK(Q115),IF(FloatAmortizationFrequency=0,P114,IF(MOD((O115-1),FloatAmortizationFrequency)&lt;&gt;0,P114,P114-FloatAmortization)),Q115))</f>
        <v>#N/A</v>
      </c>
      <c r="Q115" s="67"/>
      <c r="R115" s="33" t="e">
        <f ca="1"/>
        <v>#N/A</v>
      </c>
      <c r="S115" s="33" t="e">
        <f ca="1"/>
        <v>#N/A</v>
      </c>
      <c r="T115" s="33" t="e">
        <f ca="1"/>
        <v>#N/A</v>
      </c>
      <c r="U115" s="25" t="e">
        <f ca="1"/>
        <v>#N/A</v>
      </c>
      <c r="V115" s="36" t="e">
        <f ca="1"/>
        <v>#N/A</v>
      </c>
      <c r="W115" s="37" t="e">
        <f ca="1"/>
        <v>#N/A</v>
      </c>
      <c r="X115" s="31" t="s">
        <v>1</v>
      </c>
    </row>
    <row r="116" spans="4:24" x14ac:dyDescent="0.25">
      <c r="D116" s="31" t="s">
        <v>1</v>
      </c>
      <c r="E116" s="43">
        <v>108</v>
      </c>
      <c r="F116" s="25" t="e">
        <f ca="1">IF(ISNA(H116),NA(),IF(ISBLANK(G116),IF(FixedAmortizationFrequency=0,F115,IF(MOD((E116-1),FixedAmortizationFrequency)&lt;&gt;0,F115,F115-FixedAmortization)),G116))</f>
        <v>#N/A</v>
      </c>
      <c r="G116" s="67"/>
      <c r="H116" s="63" t="e">
        <f ca="1"/>
        <v>#N/A</v>
      </c>
      <c r="I116" s="33" t="e">
        <f ca="1"/>
        <v>#N/A</v>
      </c>
      <c r="J116" s="33" t="e">
        <f ca="1"/>
        <v>#N/A</v>
      </c>
      <c r="K116" s="25" t="e">
        <f ca="1"/>
        <v>#N/A</v>
      </c>
      <c r="L116" s="36" t="e">
        <f ca="1"/>
        <v>#N/A</v>
      </c>
      <c r="M116" s="37" t="e">
        <f ca="1"/>
        <v>#N/A</v>
      </c>
      <c r="N116" s="38" t="s">
        <v>1</v>
      </c>
      <c r="O116" s="43">
        <v>108</v>
      </c>
      <c r="P116" s="25" t="e">
        <f ca="1">IF(ISNA(R116),NA(),IF(ISBLANK(Q116),IF(FloatAmortizationFrequency=0,P115,IF(MOD((O116-1),FloatAmortizationFrequency)&lt;&gt;0,P115,P115-FloatAmortization)),Q116))</f>
        <v>#N/A</v>
      </c>
      <c r="Q116" s="67"/>
      <c r="R116" s="33" t="e">
        <f ca="1"/>
        <v>#N/A</v>
      </c>
      <c r="S116" s="33" t="e">
        <f ca="1"/>
        <v>#N/A</v>
      </c>
      <c r="T116" s="33" t="e">
        <f ca="1"/>
        <v>#N/A</v>
      </c>
      <c r="U116" s="25" t="e">
        <f ca="1"/>
        <v>#N/A</v>
      </c>
      <c r="V116" s="36" t="e">
        <f ca="1"/>
        <v>#N/A</v>
      </c>
      <c r="W116" s="37" t="e">
        <f ca="1"/>
        <v>#N/A</v>
      </c>
      <c r="X116" s="31" t="s">
        <v>1</v>
      </c>
    </row>
    <row r="117" spans="4:24" x14ac:dyDescent="0.25">
      <c r="D117" s="31" t="s">
        <v>1</v>
      </c>
      <c r="E117" s="43">
        <v>109</v>
      </c>
      <c r="F117" s="25" t="e">
        <f ca="1">IF(ISNA(H117),NA(),IF(ISBLANK(G117),IF(FixedAmortizationFrequency=0,F116,IF(MOD((E117-1),FixedAmortizationFrequency)&lt;&gt;0,F116,F116-FixedAmortization)),G117))</f>
        <v>#N/A</v>
      </c>
      <c r="G117" s="67"/>
      <c r="H117" s="63" t="e">
        <f ca="1"/>
        <v>#N/A</v>
      </c>
      <c r="I117" s="33" t="e">
        <f ca="1"/>
        <v>#N/A</v>
      </c>
      <c r="J117" s="33" t="e">
        <f ca="1"/>
        <v>#N/A</v>
      </c>
      <c r="K117" s="25" t="e">
        <f ca="1"/>
        <v>#N/A</v>
      </c>
      <c r="L117" s="36" t="e">
        <f ca="1"/>
        <v>#N/A</v>
      </c>
      <c r="M117" s="37" t="e">
        <f ca="1"/>
        <v>#N/A</v>
      </c>
      <c r="N117" s="38" t="s">
        <v>1</v>
      </c>
      <c r="O117" s="43">
        <v>109</v>
      </c>
      <c r="P117" s="25" t="e">
        <f ca="1">IF(ISNA(R117),NA(),IF(ISBLANK(Q117),IF(FloatAmortizationFrequency=0,P116,IF(MOD((O117-1),FloatAmortizationFrequency)&lt;&gt;0,P116,P116-FloatAmortization)),Q117))</f>
        <v>#N/A</v>
      </c>
      <c r="Q117" s="67"/>
      <c r="R117" s="33" t="e">
        <f ca="1"/>
        <v>#N/A</v>
      </c>
      <c r="S117" s="33" t="e">
        <f ca="1"/>
        <v>#N/A</v>
      </c>
      <c r="T117" s="33" t="e">
        <f ca="1"/>
        <v>#N/A</v>
      </c>
      <c r="U117" s="25" t="e">
        <f ca="1"/>
        <v>#N/A</v>
      </c>
      <c r="V117" s="36" t="e">
        <f ca="1"/>
        <v>#N/A</v>
      </c>
      <c r="W117" s="37" t="e">
        <f ca="1"/>
        <v>#N/A</v>
      </c>
      <c r="X117" s="31" t="s">
        <v>1</v>
      </c>
    </row>
    <row r="118" spans="4:24" x14ac:dyDescent="0.25">
      <c r="D118" s="31" t="s">
        <v>1</v>
      </c>
      <c r="E118" s="43">
        <v>110</v>
      </c>
      <c r="F118" s="25" t="e">
        <f ca="1">IF(ISNA(H118),NA(),IF(ISBLANK(G118),IF(FixedAmortizationFrequency=0,F117,IF(MOD((E118-1),FixedAmortizationFrequency)&lt;&gt;0,F117,F117-FixedAmortization)),G118))</f>
        <v>#N/A</v>
      </c>
      <c r="G118" s="67"/>
      <c r="H118" s="63" t="e">
        <f ca="1"/>
        <v>#N/A</v>
      </c>
      <c r="I118" s="33" t="e">
        <f ca="1"/>
        <v>#N/A</v>
      </c>
      <c r="J118" s="33" t="e">
        <f ca="1"/>
        <v>#N/A</v>
      </c>
      <c r="K118" s="25" t="e">
        <f ca="1"/>
        <v>#N/A</v>
      </c>
      <c r="L118" s="36" t="e">
        <f ca="1"/>
        <v>#N/A</v>
      </c>
      <c r="M118" s="37" t="e">
        <f ca="1"/>
        <v>#N/A</v>
      </c>
      <c r="N118" s="38" t="s">
        <v>1</v>
      </c>
      <c r="O118" s="43">
        <v>110</v>
      </c>
      <c r="P118" s="25" t="e">
        <f ca="1">IF(ISNA(R118),NA(),IF(ISBLANK(Q118),IF(FloatAmortizationFrequency=0,P117,IF(MOD((O118-1),FloatAmortizationFrequency)&lt;&gt;0,P117,P117-FloatAmortization)),Q118))</f>
        <v>#N/A</v>
      </c>
      <c r="Q118" s="67"/>
      <c r="R118" s="33" t="e">
        <f ca="1"/>
        <v>#N/A</v>
      </c>
      <c r="S118" s="33" t="e">
        <f ca="1"/>
        <v>#N/A</v>
      </c>
      <c r="T118" s="33" t="e">
        <f ca="1"/>
        <v>#N/A</v>
      </c>
      <c r="U118" s="25" t="e">
        <f ca="1"/>
        <v>#N/A</v>
      </c>
      <c r="V118" s="36" t="e">
        <f ca="1"/>
        <v>#N/A</v>
      </c>
      <c r="W118" s="37" t="e">
        <f ca="1"/>
        <v>#N/A</v>
      </c>
      <c r="X118" s="31" t="s">
        <v>1</v>
      </c>
    </row>
    <row r="119" spans="4:24" x14ac:dyDescent="0.25">
      <c r="D119" s="31" t="s">
        <v>1</v>
      </c>
      <c r="E119" s="43">
        <v>111</v>
      </c>
      <c r="F119" s="25" t="e">
        <f ca="1">IF(ISNA(H119),NA(),IF(ISBLANK(G119),IF(FixedAmortizationFrequency=0,F118,IF(MOD((E119-1),FixedAmortizationFrequency)&lt;&gt;0,F118,F118-FixedAmortization)),G119))</f>
        <v>#N/A</v>
      </c>
      <c r="G119" s="67"/>
      <c r="H119" s="63" t="e">
        <f ca="1"/>
        <v>#N/A</v>
      </c>
      <c r="I119" s="33" t="e">
        <f ca="1"/>
        <v>#N/A</v>
      </c>
      <c r="J119" s="33" t="e">
        <f ca="1"/>
        <v>#N/A</v>
      </c>
      <c r="K119" s="25" t="e">
        <f ca="1"/>
        <v>#N/A</v>
      </c>
      <c r="L119" s="36" t="e">
        <f ca="1"/>
        <v>#N/A</v>
      </c>
      <c r="M119" s="37" t="e">
        <f ca="1"/>
        <v>#N/A</v>
      </c>
      <c r="N119" s="38" t="s">
        <v>1</v>
      </c>
      <c r="O119" s="43">
        <v>111</v>
      </c>
      <c r="P119" s="25" t="e">
        <f ca="1">IF(ISNA(R119),NA(),IF(ISBLANK(Q119),IF(FloatAmortizationFrequency=0,P118,IF(MOD((O119-1),FloatAmortizationFrequency)&lt;&gt;0,P118,P118-FloatAmortization)),Q119))</f>
        <v>#N/A</v>
      </c>
      <c r="Q119" s="67"/>
      <c r="R119" s="33" t="e">
        <f ca="1"/>
        <v>#N/A</v>
      </c>
      <c r="S119" s="33" t="e">
        <f ca="1"/>
        <v>#N/A</v>
      </c>
      <c r="T119" s="33" t="e">
        <f ca="1"/>
        <v>#N/A</v>
      </c>
      <c r="U119" s="25" t="e">
        <f ca="1"/>
        <v>#N/A</v>
      </c>
      <c r="V119" s="36" t="e">
        <f ca="1"/>
        <v>#N/A</v>
      </c>
      <c r="W119" s="37" t="e">
        <f ca="1"/>
        <v>#N/A</v>
      </c>
      <c r="X119" s="31" t="s">
        <v>1</v>
      </c>
    </row>
    <row r="120" spans="4:24" x14ac:dyDescent="0.25">
      <c r="D120" s="31" t="s">
        <v>1</v>
      </c>
      <c r="E120" s="43">
        <v>112</v>
      </c>
      <c r="F120" s="25" t="e">
        <f ca="1">IF(ISNA(H120),NA(),IF(ISBLANK(G120),IF(FixedAmortizationFrequency=0,F119,IF(MOD((E120-1),FixedAmortizationFrequency)&lt;&gt;0,F119,F119-FixedAmortization)),G120))</f>
        <v>#N/A</v>
      </c>
      <c r="G120" s="67"/>
      <c r="H120" s="63" t="e">
        <f ca="1"/>
        <v>#N/A</v>
      </c>
      <c r="I120" s="33" t="e">
        <f ca="1"/>
        <v>#N/A</v>
      </c>
      <c r="J120" s="33" t="e">
        <f ca="1"/>
        <v>#N/A</v>
      </c>
      <c r="K120" s="25" t="e">
        <f ca="1"/>
        <v>#N/A</v>
      </c>
      <c r="L120" s="36" t="e">
        <f ca="1"/>
        <v>#N/A</v>
      </c>
      <c r="M120" s="37" t="e">
        <f ca="1"/>
        <v>#N/A</v>
      </c>
      <c r="N120" s="38" t="s">
        <v>1</v>
      </c>
      <c r="O120" s="43">
        <v>112</v>
      </c>
      <c r="P120" s="25" t="e">
        <f ca="1">IF(ISNA(R120),NA(),IF(ISBLANK(Q120),IF(FloatAmortizationFrequency=0,P119,IF(MOD((O120-1),FloatAmortizationFrequency)&lt;&gt;0,P119,P119-FloatAmortization)),Q120))</f>
        <v>#N/A</v>
      </c>
      <c r="Q120" s="67"/>
      <c r="R120" s="33" t="e">
        <f ca="1"/>
        <v>#N/A</v>
      </c>
      <c r="S120" s="33" t="e">
        <f ca="1"/>
        <v>#N/A</v>
      </c>
      <c r="T120" s="33" t="e">
        <f ca="1"/>
        <v>#N/A</v>
      </c>
      <c r="U120" s="25" t="e">
        <f ca="1"/>
        <v>#N/A</v>
      </c>
      <c r="V120" s="36" t="e">
        <f ca="1"/>
        <v>#N/A</v>
      </c>
      <c r="W120" s="37" t="e">
        <f ca="1"/>
        <v>#N/A</v>
      </c>
      <c r="X120" s="31" t="s">
        <v>1</v>
      </c>
    </row>
    <row r="121" spans="4:24" x14ac:dyDescent="0.25">
      <c r="D121" s="31" t="s">
        <v>1</v>
      </c>
      <c r="E121" s="43">
        <v>113</v>
      </c>
      <c r="F121" s="25" t="e">
        <f ca="1">IF(ISNA(H121),NA(),IF(ISBLANK(G121),IF(FixedAmortizationFrequency=0,F120,IF(MOD((E121-1),FixedAmortizationFrequency)&lt;&gt;0,F120,F120-FixedAmortization)),G121))</f>
        <v>#N/A</v>
      </c>
      <c r="G121" s="67"/>
      <c r="H121" s="63" t="e">
        <f ca="1"/>
        <v>#N/A</v>
      </c>
      <c r="I121" s="33" t="e">
        <f ca="1"/>
        <v>#N/A</v>
      </c>
      <c r="J121" s="33" t="e">
        <f ca="1"/>
        <v>#N/A</v>
      </c>
      <c r="K121" s="25" t="e">
        <f ca="1"/>
        <v>#N/A</v>
      </c>
      <c r="L121" s="36" t="e">
        <f ca="1"/>
        <v>#N/A</v>
      </c>
      <c r="M121" s="37" t="e">
        <f ca="1"/>
        <v>#N/A</v>
      </c>
      <c r="N121" s="38" t="s">
        <v>1</v>
      </c>
      <c r="O121" s="43">
        <v>113</v>
      </c>
      <c r="P121" s="25" t="e">
        <f ca="1">IF(ISNA(R121),NA(),IF(ISBLANK(Q121),IF(FloatAmortizationFrequency=0,P120,IF(MOD((O121-1),FloatAmortizationFrequency)&lt;&gt;0,P120,P120-FloatAmortization)),Q121))</f>
        <v>#N/A</v>
      </c>
      <c r="Q121" s="67"/>
      <c r="R121" s="33" t="e">
        <f ca="1"/>
        <v>#N/A</v>
      </c>
      <c r="S121" s="33" t="e">
        <f ca="1"/>
        <v>#N/A</v>
      </c>
      <c r="T121" s="33" t="e">
        <f ca="1"/>
        <v>#N/A</v>
      </c>
      <c r="U121" s="25" t="e">
        <f ca="1"/>
        <v>#N/A</v>
      </c>
      <c r="V121" s="36" t="e">
        <f ca="1"/>
        <v>#N/A</v>
      </c>
      <c r="W121" s="37" t="e">
        <f ca="1"/>
        <v>#N/A</v>
      </c>
      <c r="X121" s="31" t="s">
        <v>1</v>
      </c>
    </row>
    <row r="122" spans="4:24" x14ac:dyDescent="0.25">
      <c r="D122" s="31" t="s">
        <v>1</v>
      </c>
      <c r="E122" s="43">
        <v>114</v>
      </c>
      <c r="F122" s="25" t="e">
        <f ca="1">IF(ISNA(H122),NA(),IF(ISBLANK(G122),IF(FixedAmortizationFrequency=0,F121,IF(MOD((E122-1),FixedAmortizationFrequency)&lt;&gt;0,F121,F121-FixedAmortization)),G122))</f>
        <v>#N/A</v>
      </c>
      <c r="G122" s="67"/>
      <c r="H122" s="63" t="e">
        <f ca="1"/>
        <v>#N/A</v>
      </c>
      <c r="I122" s="33" t="e">
        <f ca="1"/>
        <v>#N/A</v>
      </c>
      <c r="J122" s="33" t="e">
        <f ca="1"/>
        <v>#N/A</v>
      </c>
      <c r="K122" s="25" t="e">
        <f ca="1"/>
        <v>#N/A</v>
      </c>
      <c r="L122" s="36" t="e">
        <f ca="1"/>
        <v>#N/A</v>
      </c>
      <c r="M122" s="37" t="e">
        <f ca="1"/>
        <v>#N/A</v>
      </c>
      <c r="N122" s="38" t="s">
        <v>1</v>
      </c>
      <c r="O122" s="43">
        <v>114</v>
      </c>
      <c r="P122" s="25" t="e">
        <f ca="1">IF(ISNA(R122),NA(),IF(ISBLANK(Q122),IF(FloatAmortizationFrequency=0,P121,IF(MOD((O122-1),FloatAmortizationFrequency)&lt;&gt;0,P121,P121-FloatAmortization)),Q122))</f>
        <v>#N/A</v>
      </c>
      <c r="Q122" s="67"/>
      <c r="R122" s="33" t="e">
        <f ca="1"/>
        <v>#N/A</v>
      </c>
      <c r="S122" s="33" t="e">
        <f ca="1"/>
        <v>#N/A</v>
      </c>
      <c r="T122" s="33" t="e">
        <f ca="1"/>
        <v>#N/A</v>
      </c>
      <c r="U122" s="25" t="e">
        <f ca="1"/>
        <v>#N/A</v>
      </c>
      <c r="V122" s="36" t="e">
        <f ca="1"/>
        <v>#N/A</v>
      </c>
      <c r="W122" s="37" t="e">
        <f ca="1"/>
        <v>#N/A</v>
      </c>
      <c r="X122" s="31" t="s">
        <v>1</v>
      </c>
    </row>
    <row r="123" spans="4:24" x14ac:dyDescent="0.25">
      <c r="D123" s="31" t="s">
        <v>1</v>
      </c>
      <c r="E123" s="43">
        <v>115</v>
      </c>
      <c r="F123" s="25" t="e">
        <f ca="1">IF(ISNA(H123),NA(),IF(ISBLANK(G123),IF(FixedAmortizationFrequency=0,F122,IF(MOD((E123-1),FixedAmortizationFrequency)&lt;&gt;0,F122,F122-FixedAmortization)),G123))</f>
        <v>#N/A</v>
      </c>
      <c r="G123" s="67"/>
      <c r="H123" s="63" t="e">
        <f ca="1"/>
        <v>#N/A</v>
      </c>
      <c r="I123" s="33" t="e">
        <f ca="1"/>
        <v>#N/A</v>
      </c>
      <c r="J123" s="33" t="e">
        <f ca="1"/>
        <v>#N/A</v>
      </c>
      <c r="K123" s="25" t="e">
        <f ca="1"/>
        <v>#N/A</v>
      </c>
      <c r="L123" s="36" t="e">
        <f ca="1"/>
        <v>#N/A</v>
      </c>
      <c r="M123" s="37" t="e">
        <f ca="1"/>
        <v>#N/A</v>
      </c>
      <c r="N123" s="38" t="s">
        <v>1</v>
      </c>
      <c r="O123" s="43">
        <v>115</v>
      </c>
      <c r="P123" s="25" t="e">
        <f ca="1">IF(ISNA(R123),NA(),IF(ISBLANK(Q123),IF(FloatAmortizationFrequency=0,P122,IF(MOD((O123-1),FloatAmortizationFrequency)&lt;&gt;0,P122,P122-FloatAmortization)),Q123))</f>
        <v>#N/A</v>
      </c>
      <c r="Q123" s="67"/>
      <c r="R123" s="33" t="e">
        <f ca="1"/>
        <v>#N/A</v>
      </c>
      <c r="S123" s="33" t="e">
        <f ca="1"/>
        <v>#N/A</v>
      </c>
      <c r="T123" s="33" t="e">
        <f ca="1"/>
        <v>#N/A</v>
      </c>
      <c r="U123" s="25" t="e">
        <f ca="1"/>
        <v>#N/A</v>
      </c>
      <c r="V123" s="36" t="e">
        <f ca="1"/>
        <v>#N/A</v>
      </c>
      <c r="W123" s="37" t="e">
        <f ca="1"/>
        <v>#N/A</v>
      </c>
      <c r="X123" s="31" t="s">
        <v>1</v>
      </c>
    </row>
    <row r="124" spans="4:24" x14ac:dyDescent="0.25">
      <c r="D124" s="31" t="s">
        <v>1</v>
      </c>
      <c r="E124" s="43">
        <v>116</v>
      </c>
      <c r="F124" s="25" t="e">
        <f ca="1">IF(ISNA(H124),NA(),IF(ISBLANK(G124),IF(FixedAmortizationFrequency=0,F123,IF(MOD((E124-1),FixedAmortizationFrequency)&lt;&gt;0,F123,F123-FixedAmortization)),G124))</f>
        <v>#N/A</v>
      </c>
      <c r="G124" s="67"/>
      <c r="H124" s="63" t="e">
        <f ca="1"/>
        <v>#N/A</v>
      </c>
      <c r="I124" s="33" t="e">
        <f ca="1"/>
        <v>#N/A</v>
      </c>
      <c r="J124" s="33" t="e">
        <f ca="1"/>
        <v>#N/A</v>
      </c>
      <c r="K124" s="25" t="e">
        <f ca="1"/>
        <v>#N/A</v>
      </c>
      <c r="L124" s="36" t="e">
        <f ca="1"/>
        <v>#N/A</v>
      </c>
      <c r="M124" s="37" t="e">
        <f ca="1"/>
        <v>#N/A</v>
      </c>
      <c r="N124" s="38" t="s">
        <v>1</v>
      </c>
      <c r="O124" s="43">
        <v>116</v>
      </c>
      <c r="P124" s="25" t="e">
        <f ca="1">IF(ISNA(R124),NA(),IF(ISBLANK(Q124),IF(FloatAmortizationFrequency=0,P123,IF(MOD((O124-1),FloatAmortizationFrequency)&lt;&gt;0,P123,P123-FloatAmortization)),Q124))</f>
        <v>#N/A</v>
      </c>
      <c r="Q124" s="67"/>
      <c r="R124" s="33" t="e">
        <f ca="1"/>
        <v>#N/A</v>
      </c>
      <c r="S124" s="33" t="e">
        <f ca="1"/>
        <v>#N/A</v>
      </c>
      <c r="T124" s="33" t="e">
        <f ca="1"/>
        <v>#N/A</v>
      </c>
      <c r="U124" s="25" t="e">
        <f ca="1"/>
        <v>#N/A</v>
      </c>
      <c r="V124" s="36" t="e">
        <f ca="1"/>
        <v>#N/A</v>
      </c>
      <c r="W124" s="37" t="e">
        <f ca="1"/>
        <v>#N/A</v>
      </c>
      <c r="X124" s="31" t="s">
        <v>1</v>
      </c>
    </row>
    <row r="125" spans="4:24" x14ac:dyDescent="0.25">
      <c r="D125" s="31" t="s">
        <v>1</v>
      </c>
      <c r="E125" s="43">
        <v>117</v>
      </c>
      <c r="F125" s="25" t="e">
        <f ca="1">IF(ISNA(H125),NA(),IF(ISBLANK(G125),IF(FixedAmortizationFrequency=0,F124,IF(MOD((E125-1),FixedAmortizationFrequency)&lt;&gt;0,F124,F124-FixedAmortization)),G125))</f>
        <v>#N/A</v>
      </c>
      <c r="G125" s="67"/>
      <c r="H125" s="63" t="e">
        <f ca="1"/>
        <v>#N/A</v>
      </c>
      <c r="I125" s="33" t="e">
        <f ca="1"/>
        <v>#N/A</v>
      </c>
      <c r="J125" s="33" t="e">
        <f ca="1"/>
        <v>#N/A</v>
      </c>
      <c r="K125" s="25" t="e">
        <f ca="1"/>
        <v>#N/A</v>
      </c>
      <c r="L125" s="36" t="e">
        <f ca="1"/>
        <v>#N/A</v>
      </c>
      <c r="M125" s="37" t="e">
        <f ca="1"/>
        <v>#N/A</v>
      </c>
      <c r="N125" s="38" t="s">
        <v>1</v>
      </c>
      <c r="O125" s="43">
        <v>117</v>
      </c>
      <c r="P125" s="25" t="e">
        <f ca="1">IF(ISNA(R125),NA(),IF(ISBLANK(Q125),IF(FloatAmortizationFrequency=0,P124,IF(MOD((O125-1),FloatAmortizationFrequency)&lt;&gt;0,P124,P124-FloatAmortization)),Q125))</f>
        <v>#N/A</v>
      </c>
      <c r="Q125" s="67"/>
      <c r="R125" s="33" t="e">
        <f ca="1"/>
        <v>#N/A</v>
      </c>
      <c r="S125" s="33" t="e">
        <f ca="1"/>
        <v>#N/A</v>
      </c>
      <c r="T125" s="33" t="e">
        <f ca="1"/>
        <v>#N/A</v>
      </c>
      <c r="U125" s="25" t="e">
        <f ca="1"/>
        <v>#N/A</v>
      </c>
      <c r="V125" s="36" t="e">
        <f ca="1"/>
        <v>#N/A</v>
      </c>
      <c r="W125" s="37" t="e">
        <f ca="1"/>
        <v>#N/A</v>
      </c>
      <c r="X125" s="31" t="s">
        <v>1</v>
      </c>
    </row>
    <row r="126" spans="4:24" x14ac:dyDescent="0.25">
      <c r="D126" s="31" t="s">
        <v>1</v>
      </c>
      <c r="E126" s="43">
        <v>118</v>
      </c>
      <c r="F126" s="25" t="e">
        <f ca="1">IF(ISNA(H126),NA(),IF(ISBLANK(G126),IF(FixedAmortizationFrequency=0,F125,IF(MOD((E126-1),FixedAmortizationFrequency)&lt;&gt;0,F125,F125-FixedAmortization)),G126))</f>
        <v>#N/A</v>
      </c>
      <c r="G126" s="67"/>
      <c r="H126" s="63" t="e">
        <f ca="1"/>
        <v>#N/A</v>
      </c>
      <c r="I126" s="33" t="e">
        <f ca="1"/>
        <v>#N/A</v>
      </c>
      <c r="J126" s="33" t="e">
        <f ca="1"/>
        <v>#N/A</v>
      </c>
      <c r="K126" s="25" t="e">
        <f ca="1"/>
        <v>#N/A</v>
      </c>
      <c r="L126" s="36" t="e">
        <f ca="1"/>
        <v>#N/A</v>
      </c>
      <c r="M126" s="37" t="e">
        <f ca="1"/>
        <v>#N/A</v>
      </c>
      <c r="N126" s="38" t="s">
        <v>1</v>
      </c>
      <c r="O126" s="43">
        <v>118</v>
      </c>
      <c r="P126" s="25" t="e">
        <f ca="1">IF(ISNA(R126),NA(),IF(ISBLANK(Q126),IF(FloatAmortizationFrequency=0,P125,IF(MOD((O126-1),FloatAmortizationFrequency)&lt;&gt;0,P125,P125-FloatAmortization)),Q126))</f>
        <v>#N/A</v>
      </c>
      <c r="Q126" s="67"/>
      <c r="R126" s="33" t="e">
        <f ca="1"/>
        <v>#N/A</v>
      </c>
      <c r="S126" s="33" t="e">
        <f ca="1"/>
        <v>#N/A</v>
      </c>
      <c r="T126" s="33" t="e">
        <f ca="1"/>
        <v>#N/A</v>
      </c>
      <c r="U126" s="25" t="e">
        <f ca="1"/>
        <v>#N/A</v>
      </c>
      <c r="V126" s="36" t="e">
        <f ca="1"/>
        <v>#N/A</v>
      </c>
      <c r="W126" s="37" t="e">
        <f ca="1"/>
        <v>#N/A</v>
      </c>
      <c r="X126" s="31" t="s">
        <v>1</v>
      </c>
    </row>
    <row r="127" spans="4:24" x14ac:dyDescent="0.25">
      <c r="D127" s="31" t="s">
        <v>1</v>
      </c>
      <c r="E127" s="43">
        <v>119</v>
      </c>
      <c r="F127" s="25" t="e">
        <f ca="1">IF(ISNA(H127),NA(),IF(ISBLANK(G127),IF(FixedAmortizationFrequency=0,F126,IF(MOD((E127-1),FixedAmortizationFrequency)&lt;&gt;0,F126,F126-FixedAmortization)),G127))</f>
        <v>#N/A</v>
      </c>
      <c r="G127" s="67"/>
      <c r="H127" s="63" t="e">
        <f ca="1"/>
        <v>#N/A</v>
      </c>
      <c r="I127" s="33" t="e">
        <f ca="1"/>
        <v>#N/A</v>
      </c>
      <c r="J127" s="33" t="e">
        <f ca="1"/>
        <v>#N/A</v>
      </c>
      <c r="K127" s="25" t="e">
        <f ca="1"/>
        <v>#N/A</v>
      </c>
      <c r="L127" s="36" t="e">
        <f ca="1"/>
        <v>#N/A</v>
      </c>
      <c r="M127" s="37" t="e">
        <f ca="1"/>
        <v>#N/A</v>
      </c>
      <c r="N127" s="38" t="s">
        <v>1</v>
      </c>
      <c r="O127" s="43">
        <v>119</v>
      </c>
      <c r="P127" s="25" t="e">
        <f ca="1">IF(ISNA(R127),NA(),IF(ISBLANK(Q127),IF(FloatAmortizationFrequency=0,P126,IF(MOD((O127-1),FloatAmortizationFrequency)&lt;&gt;0,P126,P126-FloatAmortization)),Q127))</f>
        <v>#N/A</v>
      </c>
      <c r="Q127" s="67"/>
      <c r="R127" s="33" t="e">
        <f ca="1"/>
        <v>#N/A</v>
      </c>
      <c r="S127" s="33" t="e">
        <f ca="1"/>
        <v>#N/A</v>
      </c>
      <c r="T127" s="33" t="e">
        <f ca="1"/>
        <v>#N/A</v>
      </c>
      <c r="U127" s="25" t="e">
        <f ca="1"/>
        <v>#N/A</v>
      </c>
      <c r="V127" s="36" t="e">
        <f ca="1"/>
        <v>#N/A</v>
      </c>
      <c r="W127" s="37" t="e">
        <f ca="1"/>
        <v>#N/A</v>
      </c>
      <c r="X127" s="31" t="s">
        <v>1</v>
      </c>
    </row>
    <row r="128" spans="4:24" x14ac:dyDescent="0.25">
      <c r="D128" s="31" t="s">
        <v>1</v>
      </c>
      <c r="E128" s="43">
        <v>120</v>
      </c>
      <c r="F128" s="25" t="e">
        <f ca="1">IF(ISNA(H128),NA(),IF(ISBLANK(G128),IF(FixedAmortizationFrequency=0,F127,IF(MOD((E128-1),FixedAmortizationFrequency)&lt;&gt;0,F127,F127-FixedAmortization)),G128))</f>
        <v>#N/A</v>
      </c>
      <c r="G128" s="67"/>
      <c r="H128" s="63" t="e">
        <f ca="1"/>
        <v>#N/A</v>
      </c>
      <c r="I128" s="33" t="e">
        <f ca="1"/>
        <v>#N/A</v>
      </c>
      <c r="J128" s="33" t="e">
        <f ca="1"/>
        <v>#N/A</v>
      </c>
      <c r="K128" s="25" t="e">
        <f ca="1"/>
        <v>#N/A</v>
      </c>
      <c r="L128" s="36" t="e">
        <f ca="1"/>
        <v>#N/A</v>
      </c>
      <c r="M128" s="37" t="e">
        <f ca="1"/>
        <v>#N/A</v>
      </c>
      <c r="N128" s="38" t="s">
        <v>1</v>
      </c>
      <c r="O128" s="43">
        <v>120</v>
      </c>
      <c r="P128" s="25" t="e">
        <f ca="1">IF(ISNA(R128),NA(),IF(ISBLANK(Q128),IF(FloatAmortizationFrequency=0,P127,IF(MOD((O128-1),FloatAmortizationFrequency)&lt;&gt;0,P127,P127-FloatAmortization)),Q128))</f>
        <v>#N/A</v>
      </c>
      <c r="Q128" s="67"/>
      <c r="R128" s="33" t="e">
        <f ca="1"/>
        <v>#N/A</v>
      </c>
      <c r="S128" s="33" t="e">
        <f ca="1"/>
        <v>#N/A</v>
      </c>
      <c r="T128" s="33" t="e">
        <f ca="1"/>
        <v>#N/A</v>
      </c>
      <c r="U128" s="25" t="e">
        <f ca="1"/>
        <v>#N/A</v>
      </c>
      <c r="V128" s="36" t="e">
        <f ca="1"/>
        <v>#N/A</v>
      </c>
      <c r="W128" s="37" t="e">
        <f ca="1"/>
        <v>#N/A</v>
      </c>
      <c r="X128" s="31" t="s">
        <v>1</v>
      </c>
    </row>
    <row r="129" spans="4:24" x14ac:dyDescent="0.25">
      <c r="D129" s="31" t="s">
        <v>1</v>
      </c>
      <c r="E129" s="43">
        <v>121</v>
      </c>
      <c r="F129" s="25" t="e">
        <f ca="1">IF(ISNA(H129),NA(),IF(ISBLANK(G129),IF(FixedAmortizationFrequency=0,F128,IF(MOD((E129-1),FixedAmortizationFrequency)&lt;&gt;0,F128,F128-FixedAmortization)),G129))</f>
        <v>#N/A</v>
      </c>
      <c r="G129" s="67"/>
      <c r="H129" s="63" t="e">
        <f ca="1"/>
        <v>#N/A</v>
      </c>
      <c r="I129" s="33" t="e">
        <f ca="1"/>
        <v>#N/A</v>
      </c>
      <c r="J129" s="33" t="e">
        <f ca="1"/>
        <v>#N/A</v>
      </c>
      <c r="K129" s="25" t="e">
        <f ca="1"/>
        <v>#N/A</v>
      </c>
      <c r="L129" s="36" t="e">
        <f ca="1"/>
        <v>#N/A</v>
      </c>
      <c r="M129" s="37" t="e">
        <f ca="1"/>
        <v>#N/A</v>
      </c>
      <c r="N129" s="38" t="s">
        <v>1</v>
      </c>
      <c r="O129" s="43">
        <v>121</v>
      </c>
      <c r="P129" s="25" t="e">
        <f ca="1">IF(ISNA(R129),NA(),IF(ISBLANK(Q129),IF(FloatAmortizationFrequency=0,P128,IF(MOD((O129-1),FloatAmortizationFrequency)&lt;&gt;0,P128,P128-FloatAmortization)),Q129))</f>
        <v>#N/A</v>
      </c>
      <c r="Q129" s="67"/>
      <c r="R129" s="33" t="e">
        <f ca="1"/>
        <v>#N/A</v>
      </c>
      <c r="S129" s="33" t="e">
        <f ca="1"/>
        <v>#N/A</v>
      </c>
      <c r="T129" s="33" t="e">
        <f ca="1"/>
        <v>#N/A</v>
      </c>
      <c r="U129" s="25" t="e">
        <f ca="1"/>
        <v>#N/A</v>
      </c>
      <c r="V129" s="36" t="e">
        <f ca="1"/>
        <v>#N/A</v>
      </c>
      <c r="W129" s="37" t="e">
        <f ca="1"/>
        <v>#N/A</v>
      </c>
      <c r="X129" s="31" t="s">
        <v>1</v>
      </c>
    </row>
    <row r="130" spans="4:24" x14ac:dyDescent="0.25">
      <c r="D130" s="31" t="s">
        <v>1</v>
      </c>
      <c r="E130" s="43">
        <v>122</v>
      </c>
      <c r="F130" s="25" t="e">
        <f ca="1">IF(ISNA(H130),NA(),IF(ISBLANK(G130),IF(FixedAmortizationFrequency=0,F129,IF(MOD((E130-1),FixedAmortizationFrequency)&lt;&gt;0,F129,F129-FixedAmortization)),G130))</f>
        <v>#N/A</v>
      </c>
      <c r="G130" s="67"/>
      <c r="H130" s="63" t="e">
        <f ca="1"/>
        <v>#N/A</v>
      </c>
      <c r="I130" s="33" t="e">
        <f ca="1"/>
        <v>#N/A</v>
      </c>
      <c r="J130" s="33" t="e">
        <f ca="1"/>
        <v>#N/A</v>
      </c>
      <c r="K130" s="25" t="e">
        <f ca="1"/>
        <v>#N/A</v>
      </c>
      <c r="L130" s="36" t="e">
        <f ca="1"/>
        <v>#N/A</v>
      </c>
      <c r="M130" s="37" t="e">
        <f ca="1"/>
        <v>#N/A</v>
      </c>
      <c r="N130" s="38" t="s">
        <v>1</v>
      </c>
      <c r="O130" s="43">
        <v>122</v>
      </c>
      <c r="P130" s="25" t="e">
        <f ca="1">IF(ISNA(R130),NA(),IF(ISBLANK(Q130),IF(FloatAmortizationFrequency=0,P129,IF(MOD((O130-1),FloatAmortizationFrequency)&lt;&gt;0,P129,P129-FloatAmortization)),Q130))</f>
        <v>#N/A</v>
      </c>
      <c r="Q130" s="67"/>
      <c r="R130" s="33" t="e">
        <f ca="1"/>
        <v>#N/A</v>
      </c>
      <c r="S130" s="33" t="e">
        <f ca="1"/>
        <v>#N/A</v>
      </c>
      <c r="T130" s="33" t="e">
        <f ca="1"/>
        <v>#N/A</v>
      </c>
      <c r="U130" s="25" t="e">
        <f ca="1"/>
        <v>#N/A</v>
      </c>
      <c r="V130" s="36" t="e">
        <f ca="1"/>
        <v>#N/A</v>
      </c>
      <c r="W130" s="37" t="e">
        <f ca="1"/>
        <v>#N/A</v>
      </c>
      <c r="X130" s="31" t="s">
        <v>1</v>
      </c>
    </row>
    <row r="131" spans="4:24" x14ac:dyDescent="0.25">
      <c r="D131" s="31" t="s">
        <v>1</v>
      </c>
      <c r="E131" s="43">
        <v>123</v>
      </c>
      <c r="F131" s="25" t="e">
        <f ca="1">IF(ISNA(H131),NA(),IF(ISBLANK(G131),IF(FixedAmortizationFrequency=0,F130,IF(MOD((E131-1),FixedAmortizationFrequency)&lt;&gt;0,F130,F130-FixedAmortization)),G131))</f>
        <v>#N/A</v>
      </c>
      <c r="G131" s="67"/>
      <c r="H131" s="63" t="e">
        <f ca="1"/>
        <v>#N/A</v>
      </c>
      <c r="I131" s="33" t="e">
        <f ca="1"/>
        <v>#N/A</v>
      </c>
      <c r="J131" s="33" t="e">
        <f ca="1"/>
        <v>#N/A</v>
      </c>
      <c r="K131" s="25" t="e">
        <f ca="1"/>
        <v>#N/A</v>
      </c>
      <c r="L131" s="36" t="e">
        <f ca="1"/>
        <v>#N/A</v>
      </c>
      <c r="M131" s="37" t="e">
        <f ca="1"/>
        <v>#N/A</v>
      </c>
      <c r="N131" s="38" t="s">
        <v>1</v>
      </c>
      <c r="O131" s="43">
        <v>123</v>
      </c>
      <c r="P131" s="25" t="e">
        <f ca="1">IF(ISNA(R131),NA(),IF(ISBLANK(Q131),IF(FloatAmortizationFrequency=0,P130,IF(MOD((O131-1),FloatAmortizationFrequency)&lt;&gt;0,P130,P130-FloatAmortization)),Q131))</f>
        <v>#N/A</v>
      </c>
      <c r="Q131" s="67"/>
      <c r="R131" s="33" t="e">
        <f ca="1"/>
        <v>#N/A</v>
      </c>
      <c r="S131" s="33" t="e">
        <f ca="1"/>
        <v>#N/A</v>
      </c>
      <c r="T131" s="33" t="e">
        <f ca="1"/>
        <v>#N/A</v>
      </c>
      <c r="U131" s="25" t="e">
        <f ca="1"/>
        <v>#N/A</v>
      </c>
      <c r="V131" s="36" t="e">
        <f ca="1"/>
        <v>#N/A</v>
      </c>
      <c r="W131" s="37" t="e">
        <f ca="1"/>
        <v>#N/A</v>
      </c>
      <c r="X131" s="31" t="s">
        <v>1</v>
      </c>
    </row>
    <row r="132" spans="4:24" x14ac:dyDescent="0.25">
      <c r="D132" s="31" t="s">
        <v>1</v>
      </c>
      <c r="E132" s="43">
        <v>124</v>
      </c>
      <c r="F132" s="25" t="e">
        <f ca="1">IF(ISNA(H132),NA(),IF(ISBLANK(G132),IF(FixedAmortizationFrequency=0,F131,IF(MOD((E132-1),FixedAmortizationFrequency)&lt;&gt;0,F131,F131-FixedAmortization)),G132))</f>
        <v>#N/A</v>
      </c>
      <c r="G132" s="67"/>
      <c r="H132" s="63" t="e">
        <f ca="1"/>
        <v>#N/A</v>
      </c>
      <c r="I132" s="33" t="e">
        <f ca="1"/>
        <v>#N/A</v>
      </c>
      <c r="J132" s="33" t="e">
        <f ca="1"/>
        <v>#N/A</v>
      </c>
      <c r="K132" s="25" t="e">
        <f ca="1"/>
        <v>#N/A</v>
      </c>
      <c r="L132" s="36" t="e">
        <f ca="1"/>
        <v>#N/A</v>
      </c>
      <c r="M132" s="37" t="e">
        <f ca="1"/>
        <v>#N/A</v>
      </c>
      <c r="N132" s="38" t="s">
        <v>1</v>
      </c>
      <c r="O132" s="43">
        <v>124</v>
      </c>
      <c r="P132" s="25" t="e">
        <f ca="1">IF(ISNA(R132),NA(),IF(ISBLANK(Q132),IF(FloatAmortizationFrequency=0,P131,IF(MOD((O132-1),FloatAmortizationFrequency)&lt;&gt;0,P131,P131-FloatAmortization)),Q132))</f>
        <v>#N/A</v>
      </c>
      <c r="Q132" s="67"/>
      <c r="R132" s="33" t="e">
        <f ca="1"/>
        <v>#N/A</v>
      </c>
      <c r="S132" s="33" t="e">
        <f ca="1"/>
        <v>#N/A</v>
      </c>
      <c r="T132" s="33" t="e">
        <f ca="1"/>
        <v>#N/A</v>
      </c>
      <c r="U132" s="25" t="e">
        <f ca="1"/>
        <v>#N/A</v>
      </c>
      <c r="V132" s="36" t="e">
        <f ca="1"/>
        <v>#N/A</v>
      </c>
      <c r="W132" s="37" t="e">
        <f ca="1"/>
        <v>#N/A</v>
      </c>
      <c r="X132" s="31" t="s">
        <v>1</v>
      </c>
    </row>
    <row r="133" spans="4:24" x14ac:dyDescent="0.25">
      <c r="D133" s="31" t="s">
        <v>1</v>
      </c>
      <c r="E133" s="43">
        <v>125</v>
      </c>
      <c r="F133" s="25" t="e">
        <f ca="1">IF(ISNA(H133),NA(),IF(ISBLANK(G133),IF(FixedAmortizationFrequency=0,F132,IF(MOD((E133-1),FixedAmortizationFrequency)&lt;&gt;0,F132,F132-FixedAmortization)),G133))</f>
        <v>#N/A</v>
      </c>
      <c r="G133" s="67"/>
      <c r="H133" s="63" t="e">
        <f ca="1"/>
        <v>#N/A</v>
      </c>
      <c r="I133" s="33" t="e">
        <f ca="1"/>
        <v>#N/A</v>
      </c>
      <c r="J133" s="33" t="e">
        <f ca="1"/>
        <v>#N/A</v>
      </c>
      <c r="K133" s="25" t="e">
        <f ca="1"/>
        <v>#N/A</v>
      </c>
      <c r="L133" s="36" t="e">
        <f ca="1"/>
        <v>#N/A</v>
      </c>
      <c r="M133" s="37" t="e">
        <f ca="1"/>
        <v>#N/A</v>
      </c>
      <c r="N133" s="38" t="s">
        <v>1</v>
      </c>
      <c r="O133" s="43">
        <v>125</v>
      </c>
      <c r="P133" s="25" t="e">
        <f ca="1">IF(ISNA(R133),NA(),IF(ISBLANK(Q133),IF(FloatAmortizationFrequency=0,P132,IF(MOD((O133-1),FloatAmortizationFrequency)&lt;&gt;0,P132,P132-FloatAmortization)),Q133))</f>
        <v>#N/A</v>
      </c>
      <c r="Q133" s="67"/>
      <c r="R133" s="33" t="e">
        <f ca="1"/>
        <v>#N/A</v>
      </c>
      <c r="S133" s="33" t="e">
        <f ca="1"/>
        <v>#N/A</v>
      </c>
      <c r="T133" s="33" t="e">
        <f ca="1"/>
        <v>#N/A</v>
      </c>
      <c r="U133" s="25" t="e">
        <f ca="1"/>
        <v>#N/A</v>
      </c>
      <c r="V133" s="36" t="e">
        <f ca="1"/>
        <v>#N/A</v>
      </c>
      <c r="W133" s="37" t="e">
        <f ca="1"/>
        <v>#N/A</v>
      </c>
      <c r="X133" s="31" t="s">
        <v>1</v>
      </c>
    </row>
    <row r="134" spans="4:24" x14ac:dyDescent="0.25">
      <c r="D134" s="31" t="s">
        <v>1</v>
      </c>
      <c r="E134" s="43">
        <v>126</v>
      </c>
      <c r="F134" s="25" t="e">
        <f ca="1">IF(ISNA(H134),NA(),IF(ISBLANK(G134),IF(FixedAmortizationFrequency=0,F133,IF(MOD((E134-1),FixedAmortizationFrequency)&lt;&gt;0,F133,F133-FixedAmortization)),G134))</f>
        <v>#N/A</v>
      </c>
      <c r="G134" s="67"/>
      <c r="H134" s="63" t="e">
        <f ca="1"/>
        <v>#N/A</v>
      </c>
      <c r="I134" s="33" t="e">
        <f ca="1"/>
        <v>#N/A</v>
      </c>
      <c r="J134" s="33" t="e">
        <f ca="1"/>
        <v>#N/A</v>
      </c>
      <c r="K134" s="25" t="e">
        <f ca="1"/>
        <v>#N/A</v>
      </c>
      <c r="L134" s="36" t="e">
        <f ca="1"/>
        <v>#N/A</v>
      </c>
      <c r="M134" s="37" t="e">
        <f ca="1"/>
        <v>#N/A</v>
      </c>
      <c r="N134" s="38" t="s">
        <v>1</v>
      </c>
      <c r="O134" s="43">
        <v>126</v>
      </c>
      <c r="P134" s="25" t="e">
        <f ca="1">IF(ISNA(R134),NA(),IF(ISBLANK(Q134),IF(FloatAmortizationFrequency=0,P133,IF(MOD((O134-1),FloatAmortizationFrequency)&lt;&gt;0,P133,P133-FloatAmortization)),Q134))</f>
        <v>#N/A</v>
      </c>
      <c r="Q134" s="67"/>
      <c r="R134" s="33" t="e">
        <f ca="1"/>
        <v>#N/A</v>
      </c>
      <c r="S134" s="33" t="e">
        <f ca="1"/>
        <v>#N/A</v>
      </c>
      <c r="T134" s="33" t="e">
        <f ca="1"/>
        <v>#N/A</v>
      </c>
      <c r="U134" s="25" t="e">
        <f ca="1"/>
        <v>#N/A</v>
      </c>
      <c r="V134" s="36" t="e">
        <f ca="1"/>
        <v>#N/A</v>
      </c>
      <c r="W134" s="37" t="e">
        <f ca="1"/>
        <v>#N/A</v>
      </c>
      <c r="X134" s="31" t="s">
        <v>1</v>
      </c>
    </row>
    <row r="135" spans="4:24" x14ac:dyDescent="0.25">
      <c r="D135" s="31" t="s">
        <v>1</v>
      </c>
      <c r="E135" s="43">
        <v>127</v>
      </c>
      <c r="F135" s="25" t="e">
        <f ca="1">IF(ISNA(H135),NA(),IF(ISBLANK(G135),IF(FixedAmortizationFrequency=0,F134,IF(MOD((E135-1),FixedAmortizationFrequency)&lt;&gt;0,F134,F134-FixedAmortization)),G135))</f>
        <v>#N/A</v>
      </c>
      <c r="G135" s="67"/>
      <c r="H135" s="63" t="e">
        <f ca="1"/>
        <v>#N/A</v>
      </c>
      <c r="I135" s="33" t="e">
        <f ca="1"/>
        <v>#N/A</v>
      </c>
      <c r="J135" s="33" t="e">
        <f ca="1"/>
        <v>#N/A</v>
      </c>
      <c r="K135" s="25" t="e">
        <f ca="1"/>
        <v>#N/A</v>
      </c>
      <c r="L135" s="36" t="e">
        <f ca="1"/>
        <v>#N/A</v>
      </c>
      <c r="M135" s="37" t="e">
        <f ca="1"/>
        <v>#N/A</v>
      </c>
      <c r="N135" s="38" t="s">
        <v>1</v>
      </c>
      <c r="O135" s="43">
        <v>127</v>
      </c>
      <c r="P135" s="25" t="e">
        <f ca="1">IF(ISNA(R135),NA(),IF(ISBLANK(Q135),IF(FloatAmortizationFrequency=0,P134,IF(MOD((O135-1),FloatAmortizationFrequency)&lt;&gt;0,P134,P134-FloatAmortization)),Q135))</f>
        <v>#N/A</v>
      </c>
      <c r="Q135" s="67"/>
      <c r="R135" s="33" t="e">
        <f ca="1"/>
        <v>#N/A</v>
      </c>
      <c r="S135" s="33" t="e">
        <f ca="1"/>
        <v>#N/A</v>
      </c>
      <c r="T135" s="33" t="e">
        <f ca="1"/>
        <v>#N/A</v>
      </c>
      <c r="U135" s="25" t="e">
        <f ca="1"/>
        <v>#N/A</v>
      </c>
      <c r="V135" s="36" t="e">
        <f ca="1"/>
        <v>#N/A</v>
      </c>
      <c r="W135" s="37" t="e">
        <f ca="1"/>
        <v>#N/A</v>
      </c>
      <c r="X135" s="31" t="s">
        <v>1</v>
      </c>
    </row>
    <row r="136" spans="4:24" x14ac:dyDescent="0.25">
      <c r="D136" s="31" t="s">
        <v>1</v>
      </c>
      <c r="E136" s="43">
        <v>128</v>
      </c>
      <c r="F136" s="25" t="e">
        <f ca="1">IF(ISNA(H136),NA(),IF(ISBLANK(G136),IF(FixedAmortizationFrequency=0,F135,IF(MOD((E136-1),FixedAmortizationFrequency)&lt;&gt;0,F135,F135-FixedAmortization)),G136))</f>
        <v>#N/A</v>
      </c>
      <c r="G136" s="67"/>
      <c r="H136" s="63" t="e">
        <f ca="1"/>
        <v>#N/A</v>
      </c>
      <c r="I136" s="33" t="e">
        <f ca="1"/>
        <v>#N/A</v>
      </c>
      <c r="J136" s="33" t="e">
        <f ca="1"/>
        <v>#N/A</v>
      </c>
      <c r="K136" s="25" t="e">
        <f ca="1"/>
        <v>#N/A</v>
      </c>
      <c r="L136" s="36" t="e">
        <f ca="1"/>
        <v>#N/A</v>
      </c>
      <c r="M136" s="37" t="e">
        <f ca="1"/>
        <v>#N/A</v>
      </c>
      <c r="N136" s="38" t="s">
        <v>1</v>
      </c>
      <c r="O136" s="43">
        <v>128</v>
      </c>
      <c r="P136" s="25" t="e">
        <f ca="1">IF(ISNA(R136),NA(),IF(ISBLANK(Q136),IF(FloatAmortizationFrequency=0,P135,IF(MOD((O136-1),FloatAmortizationFrequency)&lt;&gt;0,P135,P135-FloatAmortization)),Q136))</f>
        <v>#N/A</v>
      </c>
      <c r="Q136" s="67"/>
      <c r="R136" s="33" t="e">
        <f ca="1"/>
        <v>#N/A</v>
      </c>
      <c r="S136" s="33" t="e">
        <f ca="1"/>
        <v>#N/A</v>
      </c>
      <c r="T136" s="33" t="e">
        <f ca="1"/>
        <v>#N/A</v>
      </c>
      <c r="U136" s="25" t="e">
        <f ca="1"/>
        <v>#N/A</v>
      </c>
      <c r="V136" s="36" t="e">
        <f ca="1"/>
        <v>#N/A</v>
      </c>
      <c r="W136" s="37" t="e">
        <f ca="1"/>
        <v>#N/A</v>
      </c>
      <c r="X136" s="31" t="s">
        <v>1</v>
      </c>
    </row>
    <row r="137" spans="4:24" x14ac:dyDescent="0.25">
      <c r="D137" s="31" t="s">
        <v>1</v>
      </c>
      <c r="E137" s="43">
        <v>129</v>
      </c>
      <c r="F137" s="25" t="e">
        <f ca="1">IF(ISNA(H137),NA(),IF(ISBLANK(G137),IF(FixedAmortizationFrequency=0,F136,IF(MOD((E137-1),FixedAmortizationFrequency)&lt;&gt;0,F136,F136-FixedAmortization)),G137))</f>
        <v>#N/A</v>
      </c>
      <c r="G137" s="67"/>
      <c r="H137" s="63" t="e">
        <f ca="1"/>
        <v>#N/A</v>
      </c>
      <c r="I137" s="33" t="e">
        <f ca="1"/>
        <v>#N/A</v>
      </c>
      <c r="J137" s="33" t="e">
        <f ca="1"/>
        <v>#N/A</v>
      </c>
      <c r="K137" s="25" t="e">
        <f ca="1"/>
        <v>#N/A</v>
      </c>
      <c r="L137" s="36" t="e">
        <f ca="1"/>
        <v>#N/A</v>
      </c>
      <c r="M137" s="37" t="e">
        <f ca="1"/>
        <v>#N/A</v>
      </c>
      <c r="N137" s="38" t="s">
        <v>1</v>
      </c>
      <c r="O137" s="43">
        <v>129</v>
      </c>
      <c r="P137" s="25" t="e">
        <f ca="1">IF(ISNA(R137),NA(),IF(ISBLANK(Q137),IF(FloatAmortizationFrequency=0,P136,IF(MOD((O137-1),FloatAmortizationFrequency)&lt;&gt;0,P136,P136-FloatAmortization)),Q137))</f>
        <v>#N/A</v>
      </c>
      <c r="Q137" s="67"/>
      <c r="R137" s="33" t="e">
        <f ca="1"/>
        <v>#N/A</v>
      </c>
      <c r="S137" s="33" t="e">
        <f ca="1"/>
        <v>#N/A</v>
      </c>
      <c r="T137" s="33" t="e">
        <f ca="1"/>
        <v>#N/A</v>
      </c>
      <c r="U137" s="25" t="e">
        <f ca="1"/>
        <v>#N/A</v>
      </c>
      <c r="V137" s="36" t="e">
        <f ca="1"/>
        <v>#N/A</v>
      </c>
      <c r="W137" s="37" t="e">
        <f ca="1"/>
        <v>#N/A</v>
      </c>
      <c r="X137" s="31" t="s">
        <v>1</v>
      </c>
    </row>
    <row r="138" spans="4:24" x14ac:dyDescent="0.25">
      <c r="D138" s="31" t="s">
        <v>1</v>
      </c>
      <c r="E138" s="43">
        <v>130</v>
      </c>
      <c r="F138" s="25" t="e">
        <f ca="1">IF(ISNA(H138),NA(),IF(ISBLANK(G138),IF(FixedAmortizationFrequency=0,F137,IF(MOD((E138-1),FixedAmortizationFrequency)&lt;&gt;0,F137,F137-FixedAmortization)),G138))</f>
        <v>#N/A</v>
      </c>
      <c r="G138" s="67"/>
      <c r="H138" s="63" t="e">
        <f ca="1"/>
        <v>#N/A</v>
      </c>
      <c r="I138" s="33" t="e">
        <f ca="1"/>
        <v>#N/A</v>
      </c>
      <c r="J138" s="33" t="e">
        <f ca="1"/>
        <v>#N/A</v>
      </c>
      <c r="K138" s="25" t="e">
        <f ca="1"/>
        <v>#N/A</v>
      </c>
      <c r="L138" s="36" t="e">
        <f ca="1"/>
        <v>#N/A</v>
      </c>
      <c r="M138" s="37" t="e">
        <f ca="1"/>
        <v>#N/A</v>
      </c>
      <c r="N138" s="38" t="s">
        <v>1</v>
      </c>
      <c r="O138" s="43">
        <v>130</v>
      </c>
      <c r="P138" s="25" t="e">
        <f ca="1">IF(ISNA(R138),NA(),IF(ISBLANK(Q138),IF(FloatAmortizationFrequency=0,P137,IF(MOD((O138-1),FloatAmortizationFrequency)&lt;&gt;0,P137,P137-FloatAmortization)),Q138))</f>
        <v>#N/A</v>
      </c>
      <c r="Q138" s="67"/>
      <c r="R138" s="33" t="e">
        <f ca="1"/>
        <v>#N/A</v>
      </c>
      <c r="S138" s="33" t="e">
        <f ca="1"/>
        <v>#N/A</v>
      </c>
      <c r="T138" s="33" t="e">
        <f ca="1"/>
        <v>#N/A</v>
      </c>
      <c r="U138" s="25" t="e">
        <f ca="1"/>
        <v>#N/A</v>
      </c>
      <c r="V138" s="36" t="e">
        <f ca="1"/>
        <v>#N/A</v>
      </c>
      <c r="W138" s="37" t="e">
        <f ca="1"/>
        <v>#N/A</v>
      </c>
      <c r="X138" s="31" t="s">
        <v>1</v>
      </c>
    </row>
    <row r="139" spans="4:24" x14ac:dyDescent="0.25">
      <c r="D139" s="31" t="s">
        <v>1</v>
      </c>
      <c r="E139" s="43">
        <v>131</v>
      </c>
      <c r="F139" s="25" t="e">
        <f ca="1">IF(ISNA(H139),NA(),IF(ISBLANK(G139),IF(FixedAmortizationFrequency=0,F138,IF(MOD((E139-1),FixedAmortizationFrequency)&lt;&gt;0,F138,F138-FixedAmortization)),G139))</f>
        <v>#N/A</v>
      </c>
      <c r="G139" s="67"/>
      <c r="H139" s="63" t="e">
        <f ca="1"/>
        <v>#N/A</v>
      </c>
      <c r="I139" s="33" t="e">
        <f ca="1"/>
        <v>#N/A</v>
      </c>
      <c r="J139" s="33" t="e">
        <f ca="1"/>
        <v>#N/A</v>
      </c>
      <c r="K139" s="25" t="e">
        <f ca="1"/>
        <v>#N/A</v>
      </c>
      <c r="L139" s="36" t="e">
        <f ca="1"/>
        <v>#N/A</v>
      </c>
      <c r="M139" s="37" t="e">
        <f ca="1"/>
        <v>#N/A</v>
      </c>
      <c r="N139" s="38" t="s">
        <v>1</v>
      </c>
      <c r="O139" s="43">
        <v>131</v>
      </c>
      <c r="P139" s="25" t="e">
        <f ca="1">IF(ISNA(R139),NA(),IF(ISBLANK(Q139),IF(FloatAmortizationFrequency=0,P138,IF(MOD((O139-1),FloatAmortizationFrequency)&lt;&gt;0,P138,P138-FloatAmortization)),Q139))</f>
        <v>#N/A</v>
      </c>
      <c r="Q139" s="67"/>
      <c r="R139" s="33" t="e">
        <f ca="1"/>
        <v>#N/A</v>
      </c>
      <c r="S139" s="33" t="e">
        <f ca="1"/>
        <v>#N/A</v>
      </c>
      <c r="T139" s="33" t="e">
        <f ca="1"/>
        <v>#N/A</v>
      </c>
      <c r="U139" s="25" t="e">
        <f ca="1"/>
        <v>#N/A</v>
      </c>
      <c r="V139" s="36" t="e">
        <f ca="1"/>
        <v>#N/A</v>
      </c>
      <c r="W139" s="37" t="e">
        <f ca="1"/>
        <v>#N/A</v>
      </c>
      <c r="X139" s="31" t="s">
        <v>1</v>
      </c>
    </row>
    <row r="140" spans="4:24" x14ac:dyDescent="0.25">
      <c r="D140" s="31" t="s">
        <v>1</v>
      </c>
      <c r="E140" s="43">
        <v>132</v>
      </c>
      <c r="F140" s="25" t="e">
        <f ca="1">IF(ISNA(H140),NA(),IF(ISBLANK(G140),IF(FixedAmortizationFrequency=0,F139,IF(MOD((E140-1),FixedAmortizationFrequency)&lt;&gt;0,F139,F139-FixedAmortization)),G140))</f>
        <v>#N/A</v>
      </c>
      <c r="G140" s="67"/>
      <c r="H140" s="63" t="e">
        <f ca="1"/>
        <v>#N/A</v>
      </c>
      <c r="I140" s="33" t="e">
        <f ca="1"/>
        <v>#N/A</v>
      </c>
      <c r="J140" s="33" t="e">
        <f ca="1"/>
        <v>#N/A</v>
      </c>
      <c r="K140" s="25" t="e">
        <f ca="1"/>
        <v>#N/A</v>
      </c>
      <c r="L140" s="36" t="e">
        <f ca="1"/>
        <v>#N/A</v>
      </c>
      <c r="M140" s="37" t="e">
        <f ca="1"/>
        <v>#N/A</v>
      </c>
      <c r="N140" s="38" t="s">
        <v>1</v>
      </c>
      <c r="O140" s="43">
        <v>132</v>
      </c>
      <c r="P140" s="25" t="e">
        <f ca="1">IF(ISNA(R140),NA(),IF(ISBLANK(Q140),IF(FloatAmortizationFrequency=0,P139,IF(MOD((O140-1),FloatAmortizationFrequency)&lt;&gt;0,P139,P139-FloatAmortization)),Q140))</f>
        <v>#N/A</v>
      </c>
      <c r="Q140" s="67"/>
      <c r="R140" s="33" t="e">
        <f ca="1"/>
        <v>#N/A</v>
      </c>
      <c r="S140" s="33" t="e">
        <f ca="1"/>
        <v>#N/A</v>
      </c>
      <c r="T140" s="33" t="e">
        <f ca="1"/>
        <v>#N/A</v>
      </c>
      <c r="U140" s="25" t="e">
        <f ca="1"/>
        <v>#N/A</v>
      </c>
      <c r="V140" s="36" t="e">
        <f ca="1"/>
        <v>#N/A</v>
      </c>
      <c r="W140" s="37" t="e">
        <f ca="1"/>
        <v>#N/A</v>
      </c>
      <c r="X140" s="31" t="s">
        <v>1</v>
      </c>
    </row>
    <row r="141" spans="4:24" x14ac:dyDescent="0.25">
      <c r="D141" s="31" t="s">
        <v>1</v>
      </c>
      <c r="E141" s="43">
        <v>133</v>
      </c>
      <c r="F141" s="25" t="e">
        <f ca="1">IF(ISNA(H141),NA(),IF(ISBLANK(G141),IF(FixedAmortizationFrequency=0,F140,IF(MOD((E141-1),FixedAmortizationFrequency)&lt;&gt;0,F140,F140-FixedAmortization)),G141))</f>
        <v>#N/A</v>
      </c>
      <c r="G141" s="67"/>
      <c r="H141" s="63" t="e">
        <f ca="1"/>
        <v>#N/A</v>
      </c>
      <c r="I141" s="33" t="e">
        <f ca="1"/>
        <v>#N/A</v>
      </c>
      <c r="J141" s="33" t="e">
        <f ca="1"/>
        <v>#N/A</v>
      </c>
      <c r="K141" s="25" t="e">
        <f ca="1"/>
        <v>#N/A</v>
      </c>
      <c r="L141" s="36" t="e">
        <f ca="1"/>
        <v>#N/A</v>
      </c>
      <c r="M141" s="37" t="e">
        <f ca="1"/>
        <v>#N/A</v>
      </c>
      <c r="N141" s="38" t="s">
        <v>1</v>
      </c>
      <c r="O141" s="43">
        <v>133</v>
      </c>
      <c r="P141" s="25" t="e">
        <f ca="1">IF(ISNA(R141),NA(),IF(ISBLANK(Q141),IF(FloatAmortizationFrequency=0,P140,IF(MOD((O141-1),FloatAmortizationFrequency)&lt;&gt;0,P140,P140-FloatAmortization)),Q141))</f>
        <v>#N/A</v>
      </c>
      <c r="Q141" s="67"/>
      <c r="R141" s="33" t="e">
        <f ca="1"/>
        <v>#N/A</v>
      </c>
      <c r="S141" s="33" t="e">
        <f ca="1"/>
        <v>#N/A</v>
      </c>
      <c r="T141" s="33" t="e">
        <f ca="1"/>
        <v>#N/A</v>
      </c>
      <c r="U141" s="25" t="e">
        <f ca="1"/>
        <v>#N/A</v>
      </c>
      <c r="V141" s="36" t="e">
        <f ca="1"/>
        <v>#N/A</v>
      </c>
      <c r="W141" s="37" t="e">
        <f ca="1"/>
        <v>#N/A</v>
      </c>
      <c r="X141" s="31" t="s">
        <v>1</v>
      </c>
    </row>
    <row r="142" spans="4:24" x14ac:dyDescent="0.25">
      <c r="D142" s="31" t="s">
        <v>1</v>
      </c>
      <c r="E142" s="43">
        <v>134</v>
      </c>
      <c r="F142" s="25" t="e">
        <f ca="1">IF(ISNA(H142),NA(),IF(ISBLANK(G142),IF(FixedAmortizationFrequency=0,F141,IF(MOD((E142-1),FixedAmortizationFrequency)&lt;&gt;0,F141,F141-FixedAmortization)),G142))</f>
        <v>#N/A</v>
      </c>
      <c r="G142" s="67"/>
      <c r="H142" s="63" t="e">
        <f ca="1"/>
        <v>#N/A</v>
      </c>
      <c r="I142" s="33" t="e">
        <f ca="1"/>
        <v>#N/A</v>
      </c>
      <c r="J142" s="33" t="e">
        <f ca="1"/>
        <v>#N/A</v>
      </c>
      <c r="K142" s="25" t="e">
        <f ca="1"/>
        <v>#N/A</v>
      </c>
      <c r="L142" s="36" t="e">
        <f ca="1"/>
        <v>#N/A</v>
      </c>
      <c r="M142" s="37" t="e">
        <f ca="1"/>
        <v>#N/A</v>
      </c>
      <c r="N142" s="38" t="s">
        <v>1</v>
      </c>
      <c r="O142" s="43">
        <v>134</v>
      </c>
      <c r="P142" s="25" t="e">
        <f ca="1">IF(ISNA(R142),NA(),IF(ISBLANK(Q142),IF(FloatAmortizationFrequency=0,P141,IF(MOD((O142-1),FloatAmortizationFrequency)&lt;&gt;0,P141,P141-FloatAmortization)),Q142))</f>
        <v>#N/A</v>
      </c>
      <c r="Q142" s="67"/>
      <c r="R142" s="33" t="e">
        <f ca="1"/>
        <v>#N/A</v>
      </c>
      <c r="S142" s="33" t="e">
        <f ca="1"/>
        <v>#N/A</v>
      </c>
      <c r="T142" s="33" t="e">
        <f ca="1"/>
        <v>#N/A</v>
      </c>
      <c r="U142" s="25" t="e">
        <f ca="1"/>
        <v>#N/A</v>
      </c>
      <c r="V142" s="36" t="e">
        <f ca="1"/>
        <v>#N/A</v>
      </c>
      <c r="W142" s="37" t="e">
        <f ca="1"/>
        <v>#N/A</v>
      </c>
      <c r="X142" s="31" t="s">
        <v>1</v>
      </c>
    </row>
    <row r="143" spans="4:24" x14ac:dyDescent="0.25">
      <c r="D143" s="31" t="s">
        <v>1</v>
      </c>
      <c r="E143" s="43">
        <v>135</v>
      </c>
      <c r="F143" s="25" t="e">
        <f ca="1">IF(ISNA(H143),NA(),IF(ISBLANK(G143),IF(FixedAmortizationFrequency=0,F142,IF(MOD((E143-1),FixedAmortizationFrequency)&lt;&gt;0,F142,F142-FixedAmortization)),G143))</f>
        <v>#N/A</v>
      </c>
      <c r="G143" s="67"/>
      <c r="H143" s="63" t="e">
        <f ca="1"/>
        <v>#N/A</v>
      </c>
      <c r="I143" s="33" t="e">
        <f ca="1"/>
        <v>#N/A</v>
      </c>
      <c r="J143" s="33" t="e">
        <f ca="1"/>
        <v>#N/A</v>
      </c>
      <c r="K143" s="25" t="e">
        <f ca="1"/>
        <v>#N/A</v>
      </c>
      <c r="L143" s="36" t="e">
        <f ca="1"/>
        <v>#N/A</v>
      </c>
      <c r="M143" s="37" t="e">
        <f ca="1"/>
        <v>#N/A</v>
      </c>
      <c r="N143" s="38" t="s">
        <v>1</v>
      </c>
      <c r="O143" s="43">
        <v>135</v>
      </c>
      <c r="P143" s="25" t="e">
        <f ca="1">IF(ISNA(R143),NA(),IF(ISBLANK(Q143),IF(FloatAmortizationFrequency=0,P142,IF(MOD((O143-1),FloatAmortizationFrequency)&lt;&gt;0,P142,P142-FloatAmortization)),Q143))</f>
        <v>#N/A</v>
      </c>
      <c r="Q143" s="67"/>
      <c r="R143" s="33" t="e">
        <f ca="1"/>
        <v>#N/A</v>
      </c>
      <c r="S143" s="33" t="e">
        <f ca="1"/>
        <v>#N/A</v>
      </c>
      <c r="T143" s="33" t="e">
        <f ca="1"/>
        <v>#N/A</v>
      </c>
      <c r="U143" s="25" t="e">
        <f ca="1"/>
        <v>#N/A</v>
      </c>
      <c r="V143" s="36" t="e">
        <f ca="1"/>
        <v>#N/A</v>
      </c>
      <c r="W143" s="37" t="e">
        <f ca="1"/>
        <v>#N/A</v>
      </c>
      <c r="X143" s="31" t="s">
        <v>1</v>
      </c>
    </row>
    <row r="144" spans="4:24" x14ac:dyDescent="0.25">
      <c r="D144" s="31" t="s">
        <v>1</v>
      </c>
      <c r="E144" s="43">
        <v>136</v>
      </c>
      <c r="F144" s="25" t="e">
        <f ca="1">IF(ISNA(H144),NA(),IF(ISBLANK(G144),IF(FixedAmortizationFrequency=0,F143,IF(MOD((E144-1),FixedAmortizationFrequency)&lt;&gt;0,F143,F143-FixedAmortization)),G144))</f>
        <v>#N/A</v>
      </c>
      <c r="G144" s="67"/>
      <c r="H144" s="63" t="e">
        <f ca="1"/>
        <v>#N/A</v>
      </c>
      <c r="I144" s="33" t="e">
        <f ca="1"/>
        <v>#N/A</v>
      </c>
      <c r="J144" s="33" t="e">
        <f ca="1"/>
        <v>#N/A</v>
      </c>
      <c r="K144" s="25" t="e">
        <f ca="1"/>
        <v>#N/A</v>
      </c>
      <c r="L144" s="36" t="e">
        <f ca="1"/>
        <v>#N/A</v>
      </c>
      <c r="M144" s="37" t="e">
        <f ca="1"/>
        <v>#N/A</v>
      </c>
      <c r="N144" s="38" t="s">
        <v>1</v>
      </c>
      <c r="O144" s="43">
        <v>136</v>
      </c>
      <c r="P144" s="25" t="e">
        <f ca="1">IF(ISNA(R144),NA(),IF(ISBLANK(Q144),IF(FloatAmortizationFrequency=0,P143,IF(MOD((O144-1),FloatAmortizationFrequency)&lt;&gt;0,P143,P143-FloatAmortization)),Q144))</f>
        <v>#N/A</v>
      </c>
      <c r="Q144" s="67"/>
      <c r="R144" s="33" t="e">
        <f ca="1"/>
        <v>#N/A</v>
      </c>
      <c r="S144" s="33" t="e">
        <f ca="1"/>
        <v>#N/A</v>
      </c>
      <c r="T144" s="33" t="e">
        <f ca="1"/>
        <v>#N/A</v>
      </c>
      <c r="U144" s="25" t="e">
        <f ca="1"/>
        <v>#N/A</v>
      </c>
      <c r="V144" s="36" t="e">
        <f ca="1"/>
        <v>#N/A</v>
      </c>
      <c r="W144" s="37" t="e">
        <f ca="1"/>
        <v>#N/A</v>
      </c>
      <c r="X144" s="31" t="s">
        <v>1</v>
      </c>
    </row>
    <row r="145" spans="4:24" x14ac:dyDescent="0.25">
      <c r="D145" s="31" t="s">
        <v>1</v>
      </c>
      <c r="E145" s="43">
        <v>137</v>
      </c>
      <c r="F145" s="25" t="e">
        <f ca="1">IF(ISNA(H145),NA(),IF(ISBLANK(G145),IF(FixedAmortizationFrequency=0,F144,IF(MOD((E145-1),FixedAmortizationFrequency)&lt;&gt;0,F144,F144-FixedAmortization)),G145))</f>
        <v>#N/A</v>
      </c>
      <c r="G145" s="67"/>
      <c r="H145" s="63" t="e">
        <f ca="1"/>
        <v>#N/A</v>
      </c>
      <c r="I145" s="33" t="e">
        <f ca="1"/>
        <v>#N/A</v>
      </c>
      <c r="J145" s="33" t="e">
        <f ca="1"/>
        <v>#N/A</v>
      </c>
      <c r="K145" s="25" t="e">
        <f ca="1"/>
        <v>#N/A</v>
      </c>
      <c r="L145" s="36" t="e">
        <f ca="1"/>
        <v>#N/A</v>
      </c>
      <c r="M145" s="37" t="e">
        <f ca="1"/>
        <v>#N/A</v>
      </c>
      <c r="N145" s="38" t="s">
        <v>1</v>
      </c>
      <c r="O145" s="43">
        <v>137</v>
      </c>
      <c r="P145" s="25" t="e">
        <f ca="1">IF(ISNA(R145),NA(),IF(ISBLANK(Q145),IF(FloatAmortizationFrequency=0,P144,IF(MOD((O145-1),FloatAmortizationFrequency)&lt;&gt;0,P144,P144-FloatAmortization)),Q145))</f>
        <v>#N/A</v>
      </c>
      <c r="Q145" s="67"/>
      <c r="R145" s="33" t="e">
        <f ca="1"/>
        <v>#N/A</v>
      </c>
      <c r="S145" s="33" t="e">
        <f ca="1"/>
        <v>#N/A</v>
      </c>
      <c r="T145" s="33" t="e">
        <f ca="1"/>
        <v>#N/A</v>
      </c>
      <c r="U145" s="25" t="e">
        <f ca="1"/>
        <v>#N/A</v>
      </c>
      <c r="V145" s="36" t="e">
        <f ca="1"/>
        <v>#N/A</v>
      </c>
      <c r="W145" s="37" t="e">
        <f ca="1"/>
        <v>#N/A</v>
      </c>
      <c r="X145" s="31" t="s">
        <v>1</v>
      </c>
    </row>
    <row r="146" spans="4:24" x14ac:dyDescent="0.25">
      <c r="D146" s="31" t="s">
        <v>1</v>
      </c>
      <c r="E146" s="43">
        <v>138</v>
      </c>
      <c r="F146" s="25" t="e">
        <f ca="1">IF(ISNA(H146),NA(),IF(ISBLANK(G146),IF(FixedAmortizationFrequency=0,F145,IF(MOD((E146-1),FixedAmortizationFrequency)&lt;&gt;0,F145,F145-FixedAmortization)),G146))</f>
        <v>#N/A</v>
      </c>
      <c r="G146" s="67"/>
      <c r="H146" s="63" t="e">
        <f ca="1"/>
        <v>#N/A</v>
      </c>
      <c r="I146" s="33" t="e">
        <f ca="1"/>
        <v>#N/A</v>
      </c>
      <c r="J146" s="33" t="e">
        <f ca="1"/>
        <v>#N/A</v>
      </c>
      <c r="K146" s="25" t="e">
        <f ca="1"/>
        <v>#N/A</v>
      </c>
      <c r="L146" s="36" t="e">
        <f ca="1"/>
        <v>#N/A</v>
      </c>
      <c r="M146" s="37" t="e">
        <f ca="1"/>
        <v>#N/A</v>
      </c>
      <c r="N146" s="38" t="s">
        <v>1</v>
      </c>
      <c r="O146" s="43">
        <v>138</v>
      </c>
      <c r="P146" s="25" t="e">
        <f ca="1">IF(ISNA(R146),NA(),IF(ISBLANK(Q146),IF(FloatAmortizationFrequency=0,P145,IF(MOD((O146-1),FloatAmortizationFrequency)&lt;&gt;0,P145,P145-FloatAmortization)),Q146))</f>
        <v>#N/A</v>
      </c>
      <c r="Q146" s="67"/>
      <c r="R146" s="33" t="e">
        <f ca="1"/>
        <v>#N/A</v>
      </c>
      <c r="S146" s="33" t="e">
        <f ca="1"/>
        <v>#N/A</v>
      </c>
      <c r="T146" s="33" t="e">
        <f ca="1"/>
        <v>#N/A</v>
      </c>
      <c r="U146" s="25" t="e">
        <f ca="1"/>
        <v>#N/A</v>
      </c>
      <c r="V146" s="36" t="e">
        <f ca="1"/>
        <v>#N/A</v>
      </c>
      <c r="W146" s="37" t="e">
        <f ca="1"/>
        <v>#N/A</v>
      </c>
      <c r="X146" s="31" t="s">
        <v>1</v>
      </c>
    </row>
    <row r="147" spans="4:24" x14ac:dyDescent="0.25">
      <c r="D147" s="31" t="s">
        <v>1</v>
      </c>
      <c r="E147" s="43">
        <v>139</v>
      </c>
      <c r="F147" s="25" t="e">
        <f ca="1">IF(ISNA(H147),NA(),IF(ISBLANK(G147),IF(FixedAmortizationFrequency=0,F146,IF(MOD((E147-1),FixedAmortizationFrequency)&lt;&gt;0,F146,F146-FixedAmortization)),G147))</f>
        <v>#N/A</v>
      </c>
      <c r="G147" s="67"/>
      <c r="H147" s="63" t="e">
        <f ca="1"/>
        <v>#N/A</v>
      </c>
      <c r="I147" s="33" t="e">
        <f ca="1"/>
        <v>#N/A</v>
      </c>
      <c r="J147" s="33" t="e">
        <f ca="1"/>
        <v>#N/A</v>
      </c>
      <c r="K147" s="25" t="e">
        <f ca="1"/>
        <v>#N/A</v>
      </c>
      <c r="L147" s="36" t="e">
        <f ca="1"/>
        <v>#N/A</v>
      </c>
      <c r="M147" s="37" t="e">
        <f ca="1"/>
        <v>#N/A</v>
      </c>
      <c r="N147" s="38" t="s">
        <v>1</v>
      </c>
      <c r="O147" s="43">
        <v>139</v>
      </c>
      <c r="P147" s="25" t="e">
        <f ca="1">IF(ISNA(R147),NA(),IF(ISBLANK(Q147),IF(FloatAmortizationFrequency=0,P146,IF(MOD((O147-1),FloatAmortizationFrequency)&lt;&gt;0,P146,P146-FloatAmortization)),Q147))</f>
        <v>#N/A</v>
      </c>
      <c r="Q147" s="67"/>
      <c r="R147" s="33" t="e">
        <f ca="1"/>
        <v>#N/A</v>
      </c>
      <c r="S147" s="33" t="e">
        <f ca="1"/>
        <v>#N/A</v>
      </c>
      <c r="T147" s="33" t="e">
        <f ca="1"/>
        <v>#N/A</v>
      </c>
      <c r="U147" s="25" t="e">
        <f ca="1"/>
        <v>#N/A</v>
      </c>
      <c r="V147" s="36" t="e">
        <f ca="1"/>
        <v>#N/A</v>
      </c>
      <c r="W147" s="37" t="e">
        <f ca="1"/>
        <v>#N/A</v>
      </c>
      <c r="X147" s="31" t="s">
        <v>1</v>
      </c>
    </row>
    <row r="148" spans="4:24" x14ac:dyDescent="0.25">
      <c r="D148" s="31" t="s">
        <v>1</v>
      </c>
      <c r="E148" s="43">
        <v>140</v>
      </c>
      <c r="F148" s="25" t="e">
        <f ca="1">IF(ISNA(H148),NA(),IF(ISBLANK(G148),IF(FixedAmortizationFrequency=0,F147,IF(MOD((E148-1),FixedAmortizationFrequency)&lt;&gt;0,F147,F147-FixedAmortization)),G148))</f>
        <v>#N/A</v>
      </c>
      <c r="G148" s="67"/>
      <c r="H148" s="63" t="e">
        <f ca="1"/>
        <v>#N/A</v>
      </c>
      <c r="I148" s="33" t="e">
        <f ca="1"/>
        <v>#N/A</v>
      </c>
      <c r="J148" s="33" t="e">
        <f ca="1"/>
        <v>#N/A</v>
      </c>
      <c r="K148" s="25" t="e">
        <f ca="1"/>
        <v>#N/A</v>
      </c>
      <c r="L148" s="36" t="e">
        <f ca="1"/>
        <v>#N/A</v>
      </c>
      <c r="M148" s="37" t="e">
        <f ca="1"/>
        <v>#N/A</v>
      </c>
      <c r="N148" s="38" t="s">
        <v>1</v>
      </c>
      <c r="O148" s="43">
        <v>140</v>
      </c>
      <c r="P148" s="25" t="e">
        <f ca="1">IF(ISNA(R148),NA(),IF(ISBLANK(Q148),IF(FloatAmortizationFrequency=0,P147,IF(MOD((O148-1),FloatAmortizationFrequency)&lt;&gt;0,P147,P147-FloatAmortization)),Q148))</f>
        <v>#N/A</v>
      </c>
      <c r="Q148" s="67"/>
      <c r="R148" s="33" t="e">
        <f ca="1"/>
        <v>#N/A</v>
      </c>
      <c r="S148" s="33" t="e">
        <f ca="1"/>
        <v>#N/A</v>
      </c>
      <c r="T148" s="33" t="e">
        <f ca="1"/>
        <v>#N/A</v>
      </c>
      <c r="U148" s="25" t="e">
        <f ca="1"/>
        <v>#N/A</v>
      </c>
      <c r="V148" s="36" t="e">
        <f ca="1"/>
        <v>#N/A</v>
      </c>
      <c r="W148" s="37" t="e">
        <f ca="1"/>
        <v>#N/A</v>
      </c>
      <c r="X148" s="31" t="s">
        <v>1</v>
      </c>
    </row>
    <row r="149" spans="4:24" x14ac:dyDescent="0.25">
      <c r="D149" s="31" t="s">
        <v>1</v>
      </c>
      <c r="E149" s="43">
        <v>141</v>
      </c>
      <c r="F149" s="25" t="e">
        <f ca="1">IF(ISNA(H149),NA(),IF(ISBLANK(G149),IF(FixedAmortizationFrequency=0,F148,IF(MOD((E149-1),FixedAmortizationFrequency)&lt;&gt;0,F148,F148-FixedAmortization)),G149))</f>
        <v>#N/A</v>
      </c>
      <c r="G149" s="67"/>
      <c r="H149" s="63" t="e">
        <f ca="1"/>
        <v>#N/A</v>
      </c>
      <c r="I149" s="33" t="e">
        <f ca="1"/>
        <v>#N/A</v>
      </c>
      <c r="J149" s="33" t="e">
        <f ca="1"/>
        <v>#N/A</v>
      </c>
      <c r="K149" s="25" t="e">
        <f ca="1"/>
        <v>#N/A</v>
      </c>
      <c r="L149" s="36" t="e">
        <f ca="1"/>
        <v>#N/A</v>
      </c>
      <c r="M149" s="37" t="e">
        <f ca="1"/>
        <v>#N/A</v>
      </c>
      <c r="N149" s="38" t="s">
        <v>1</v>
      </c>
      <c r="O149" s="43">
        <v>141</v>
      </c>
      <c r="P149" s="25" t="e">
        <f ca="1">IF(ISNA(R149),NA(),IF(ISBLANK(Q149),IF(FloatAmortizationFrequency=0,P148,IF(MOD((O149-1),FloatAmortizationFrequency)&lt;&gt;0,P148,P148-FloatAmortization)),Q149))</f>
        <v>#N/A</v>
      </c>
      <c r="Q149" s="67"/>
      <c r="R149" s="33" t="e">
        <f ca="1"/>
        <v>#N/A</v>
      </c>
      <c r="S149" s="33" t="e">
        <f ca="1"/>
        <v>#N/A</v>
      </c>
      <c r="T149" s="33" t="e">
        <f ca="1"/>
        <v>#N/A</v>
      </c>
      <c r="U149" s="25" t="e">
        <f ca="1"/>
        <v>#N/A</v>
      </c>
      <c r="V149" s="36" t="e">
        <f ca="1"/>
        <v>#N/A</v>
      </c>
      <c r="W149" s="37" t="e">
        <f ca="1"/>
        <v>#N/A</v>
      </c>
      <c r="X149" s="31" t="s">
        <v>1</v>
      </c>
    </row>
    <row r="150" spans="4:24" x14ac:dyDescent="0.25">
      <c r="D150" s="31" t="s">
        <v>1</v>
      </c>
      <c r="E150" s="43">
        <v>142</v>
      </c>
      <c r="F150" s="25" t="e">
        <f ca="1">IF(ISNA(H150),NA(),IF(ISBLANK(G150),IF(FixedAmortizationFrequency=0,F149,IF(MOD((E150-1),FixedAmortizationFrequency)&lt;&gt;0,F149,F149-FixedAmortization)),G150))</f>
        <v>#N/A</v>
      </c>
      <c r="G150" s="67"/>
      <c r="H150" s="63" t="e">
        <f ca="1"/>
        <v>#N/A</v>
      </c>
      <c r="I150" s="33" t="e">
        <f ca="1"/>
        <v>#N/A</v>
      </c>
      <c r="J150" s="33" t="e">
        <f ca="1"/>
        <v>#N/A</v>
      </c>
      <c r="K150" s="25" t="e">
        <f ca="1"/>
        <v>#N/A</v>
      </c>
      <c r="L150" s="36" t="e">
        <f ca="1"/>
        <v>#N/A</v>
      </c>
      <c r="M150" s="37" t="e">
        <f ca="1"/>
        <v>#N/A</v>
      </c>
      <c r="N150" s="38" t="s">
        <v>1</v>
      </c>
      <c r="O150" s="43">
        <v>142</v>
      </c>
      <c r="P150" s="25" t="e">
        <f ca="1">IF(ISNA(R150),NA(),IF(ISBLANK(Q150),IF(FloatAmortizationFrequency=0,P149,IF(MOD((O150-1),FloatAmortizationFrequency)&lt;&gt;0,P149,P149-FloatAmortization)),Q150))</f>
        <v>#N/A</v>
      </c>
      <c r="Q150" s="67"/>
      <c r="R150" s="33" t="e">
        <f ca="1"/>
        <v>#N/A</v>
      </c>
      <c r="S150" s="33" t="e">
        <f ca="1"/>
        <v>#N/A</v>
      </c>
      <c r="T150" s="33" t="e">
        <f ca="1"/>
        <v>#N/A</v>
      </c>
      <c r="U150" s="25" t="e">
        <f ca="1"/>
        <v>#N/A</v>
      </c>
      <c r="V150" s="36" t="e">
        <f ca="1"/>
        <v>#N/A</v>
      </c>
      <c r="W150" s="37" t="e">
        <f ca="1"/>
        <v>#N/A</v>
      </c>
      <c r="X150" s="31" t="s">
        <v>1</v>
      </c>
    </row>
    <row r="151" spans="4:24" x14ac:dyDescent="0.25">
      <c r="D151" s="31" t="s">
        <v>1</v>
      </c>
      <c r="E151" s="43">
        <v>143</v>
      </c>
      <c r="F151" s="25" t="e">
        <f ca="1">IF(ISNA(H151),NA(),IF(ISBLANK(G151),IF(FixedAmortizationFrequency=0,F150,IF(MOD((E151-1),FixedAmortizationFrequency)&lt;&gt;0,F150,F150-FixedAmortization)),G151))</f>
        <v>#N/A</v>
      </c>
      <c r="G151" s="67"/>
      <c r="H151" s="63" t="e">
        <f ca="1"/>
        <v>#N/A</v>
      </c>
      <c r="I151" s="33" t="e">
        <f ca="1"/>
        <v>#N/A</v>
      </c>
      <c r="J151" s="33" t="e">
        <f ca="1"/>
        <v>#N/A</v>
      </c>
      <c r="K151" s="25" t="e">
        <f ca="1"/>
        <v>#N/A</v>
      </c>
      <c r="L151" s="36" t="e">
        <f ca="1"/>
        <v>#N/A</v>
      </c>
      <c r="M151" s="37" t="e">
        <f ca="1"/>
        <v>#N/A</v>
      </c>
      <c r="N151" s="38" t="s">
        <v>1</v>
      </c>
      <c r="O151" s="43">
        <v>143</v>
      </c>
      <c r="P151" s="25" t="e">
        <f ca="1">IF(ISNA(R151),NA(),IF(ISBLANK(Q151),IF(FloatAmortizationFrequency=0,P150,IF(MOD((O151-1),FloatAmortizationFrequency)&lt;&gt;0,P150,P150-FloatAmortization)),Q151))</f>
        <v>#N/A</v>
      </c>
      <c r="Q151" s="67"/>
      <c r="R151" s="33" t="e">
        <f ca="1"/>
        <v>#N/A</v>
      </c>
      <c r="S151" s="33" t="e">
        <f ca="1"/>
        <v>#N/A</v>
      </c>
      <c r="T151" s="33" t="e">
        <f ca="1"/>
        <v>#N/A</v>
      </c>
      <c r="U151" s="25" t="e">
        <f ca="1"/>
        <v>#N/A</v>
      </c>
      <c r="V151" s="36" t="e">
        <f ca="1"/>
        <v>#N/A</v>
      </c>
      <c r="W151" s="37" t="e">
        <f ca="1"/>
        <v>#N/A</v>
      </c>
      <c r="X151" s="31" t="s">
        <v>1</v>
      </c>
    </row>
    <row r="152" spans="4:24" x14ac:dyDescent="0.25">
      <c r="D152" s="31" t="s">
        <v>1</v>
      </c>
      <c r="E152" s="43">
        <v>144</v>
      </c>
      <c r="F152" s="25" t="e">
        <f ca="1">IF(ISNA(H152),NA(),IF(ISBLANK(G152),IF(FixedAmortizationFrequency=0,F151,IF(MOD((E152-1),FixedAmortizationFrequency)&lt;&gt;0,F151,F151-FixedAmortization)),G152))</f>
        <v>#N/A</v>
      </c>
      <c r="G152" s="67"/>
      <c r="H152" s="63" t="e">
        <f ca="1"/>
        <v>#N/A</v>
      </c>
      <c r="I152" s="33" t="e">
        <f ca="1"/>
        <v>#N/A</v>
      </c>
      <c r="J152" s="33" t="e">
        <f ca="1"/>
        <v>#N/A</v>
      </c>
      <c r="K152" s="25" t="e">
        <f ca="1"/>
        <v>#N/A</v>
      </c>
      <c r="L152" s="36" t="e">
        <f ca="1"/>
        <v>#N/A</v>
      </c>
      <c r="M152" s="37" t="e">
        <f ca="1"/>
        <v>#N/A</v>
      </c>
      <c r="N152" s="38" t="s">
        <v>1</v>
      </c>
      <c r="O152" s="43">
        <v>144</v>
      </c>
      <c r="P152" s="25" t="e">
        <f ca="1">IF(ISNA(R152),NA(),IF(ISBLANK(Q152),IF(FloatAmortizationFrequency=0,P151,IF(MOD((O152-1),FloatAmortizationFrequency)&lt;&gt;0,P151,P151-FloatAmortization)),Q152))</f>
        <v>#N/A</v>
      </c>
      <c r="Q152" s="67"/>
      <c r="R152" s="33" t="e">
        <f ca="1"/>
        <v>#N/A</v>
      </c>
      <c r="S152" s="33" t="e">
        <f ca="1"/>
        <v>#N/A</v>
      </c>
      <c r="T152" s="33" t="e">
        <f ca="1"/>
        <v>#N/A</v>
      </c>
      <c r="U152" s="25" t="e">
        <f ca="1"/>
        <v>#N/A</v>
      </c>
      <c r="V152" s="36" t="e">
        <f ca="1"/>
        <v>#N/A</v>
      </c>
      <c r="W152" s="37" t="e">
        <f ca="1"/>
        <v>#N/A</v>
      </c>
      <c r="X152" s="31" t="s">
        <v>1</v>
      </c>
    </row>
    <row r="153" spans="4:24" x14ac:dyDescent="0.25">
      <c r="D153" s="31" t="s">
        <v>1</v>
      </c>
      <c r="E153" s="43">
        <v>145</v>
      </c>
      <c r="F153" s="25" t="e">
        <f ca="1">IF(ISNA(H153),NA(),IF(ISBLANK(G153),IF(FixedAmortizationFrequency=0,F152,IF(MOD((E153-1),FixedAmortizationFrequency)&lt;&gt;0,F152,F152-FixedAmortization)),G153))</f>
        <v>#N/A</v>
      </c>
      <c r="G153" s="67"/>
      <c r="H153" s="63" t="e">
        <f ca="1"/>
        <v>#N/A</v>
      </c>
      <c r="I153" s="33" t="e">
        <f ca="1"/>
        <v>#N/A</v>
      </c>
      <c r="J153" s="33" t="e">
        <f ca="1"/>
        <v>#N/A</v>
      </c>
      <c r="K153" s="25" t="e">
        <f ca="1"/>
        <v>#N/A</v>
      </c>
      <c r="L153" s="36" t="e">
        <f ca="1"/>
        <v>#N/A</v>
      </c>
      <c r="M153" s="37" t="e">
        <f ca="1"/>
        <v>#N/A</v>
      </c>
      <c r="N153" s="38" t="s">
        <v>1</v>
      </c>
      <c r="O153" s="43">
        <v>145</v>
      </c>
      <c r="P153" s="25" t="e">
        <f ca="1">IF(ISNA(R153),NA(),IF(ISBLANK(Q153),IF(FloatAmortizationFrequency=0,P152,IF(MOD((O153-1),FloatAmortizationFrequency)&lt;&gt;0,P152,P152-FloatAmortization)),Q153))</f>
        <v>#N/A</v>
      </c>
      <c r="Q153" s="67"/>
      <c r="R153" s="33" t="e">
        <f ca="1"/>
        <v>#N/A</v>
      </c>
      <c r="S153" s="33" t="e">
        <f ca="1"/>
        <v>#N/A</v>
      </c>
      <c r="T153" s="33" t="e">
        <f ca="1"/>
        <v>#N/A</v>
      </c>
      <c r="U153" s="25" t="e">
        <f ca="1"/>
        <v>#N/A</v>
      </c>
      <c r="V153" s="36" t="e">
        <f ca="1"/>
        <v>#N/A</v>
      </c>
      <c r="W153" s="37" t="e">
        <f ca="1"/>
        <v>#N/A</v>
      </c>
      <c r="X153" s="31" t="s">
        <v>1</v>
      </c>
    </row>
    <row r="154" spans="4:24" x14ac:dyDescent="0.25">
      <c r="D154" s="31" t="s">
        <v>1</v>
      </c>
      <c r="E154" s="43">
        <v>146</v>
      </c>
      <c r="F154" s="25" t="e">
        <f ca="1">IF(ISNA(H154),NA(),IF(ISBLANK(G154),IF(FixedAmortizationFrequency=0,F153,IF(MOD((E154-1),FixedAmortizationFrequency)&lt;&gt;0,F153,F153-FixedAmortization)),G154))</f>
        <v>#N/A</v>
      </c>
      <c r="G154" s="67"/>
      <c r="H154" s="63" t="e">
        <f ca="1"/>
        <v>#N/A</v>
      </c>
      <c r="I154" s="33" t="e">
        <f ca="1"/>
        <v>#N/A</v>
      </c>
      <c r="J154" s="33" t="e">
        <f ca="1"/>
        <v>#N/A</v>
      </c>
      <c r="K154" s="25" t="e">
        <f ca="1"/>
        <v>#N/A</v>
      </c>
      <c r="L154" s="36" t="e">
        <f ca="1"/>
        <v>#N/A</v>
      </c>
      <c r="M154" s="37" t="e">
        <f ca="1"/>
        <v>#N/A</v>
      </c>
      <c r="N154" s="38" t="s">
        <v>1</v>
      </c>
      <c r="O154" s="43">
        <v>146</v>
      </c>
      <c r="P154" s="25" t="e">
        <f ca="1">IF(ISNA(R154),NA(),IF(ISBLANK(Q154),IF(FloatAmortizationFrequency=0,P153,IF(MOD((O154-1),FloatAmortizationFrequency)&lt;&gt;0,P153,P153-FloatAmortization)),Q154))</f>
        <v>#N/A</v>
      </c>
      <c r="Q154" s="67"/>
      <c r="R154" s="33" t="e">
        <f ca="1"/>
        <v>#N/A</v>
      </c>
      <c r="S154" s="33" t="e">
        <f ca="1"/>
        <v>#N/A</v>
      </c>
      <c r="T154" s="33" t="e">
        <f ca="1"/>
        <v>#N/A</v>
      </c>
      <c r="U154" s="25" t="e">
        <f ca="1"/>
        <v>#N/A</v>
      </c>
      <c r="V154" s="36" t="e">
        <f ca="1"/>
        <v>#N/A</v>
      </c>
      <c r="W154" s="37" t="e">
        <f ca="1"/>
        <v>#N/A</v>
      </c>
      <c r="X154" s="31" t="s">
        <v>1</v>
      </c>
    </row>
    <row r="155" spans="4:24" x14ac:dyDescent="0.25">
      <c r="D155" s="31" t="s">
        <v>1</v>
      </c>
      <c r="E155" s="43">
        <v>147</v>
      </c>
      <c r="F155" s="25" t="e">
        <f ca="1">IF(ISNA(H155),NA(),IF(ISBLANK(G155),IF(FixedAmortizationFrequency=0,F154,IF(MOD((E155-1),FixedAmortizationFrequency)&lt;&gt;0,F154,F154-FixedAmortization)),G155))</f>
        <v>#N/A</v>
      </c>
      <c r="G155" s="67"/>
      <c r="H155" s="63" t="e">
        <f ca="1"/>
        <v>#N/A</v>
      </c>
      <c r="I155" s="33" t="e">
        <f ca="1"/>
        <v>#N/A</v>
      </c>
      <c r="J155" s="33" t="e">
        <f ca="1"/>
        <v>#N/A</v>
      </c>
      <c r="K155" s="25" t="e">
        <f ca="1"/>
        <v>#N/A</v>
      </c>
      <c r="L155" s="36" t="e">
        <f ca="1"/>
        <v>#N/A</v>
      </c>
      <c r="M155" s="37" t="e">
        <f ca="1"/>
        <v>#N/A</v>
      </c>
      <c r="N155" s="38" t="s">
        <v>1</v>
      </c>
      <c r="O155" s="43">
        <v>147</v>
      </c>
      <c r="P155" s="25" t="e">
        <f ca="1">IF(ISNA(R155),NA(),IF(ISBLANK(Q155),IF(FloatAmortizationFrequency=0,P154,IF(MOD((O155-1),FloatAmortizationFrequency)&lt;&gt;0,P154,P154-FloatAmortization)),Q155))</f>
        <v>#N/A</v>
      </c>
      <c r="Q155" s="67"/>
      <c r="R155" s="33" t="e">
        <f ca="1"/>
        <v>#N/A</v>
      </c>
      <c r="S155" s="33" t="e">
        <f ca="1"/>
        <v>#N/A</v>
      </c>
      <c r="T155" s="33" t="e">
        <f ca="1"/>
        <v>#N/A</v>
      </c>
      <c r="U155" s="25" t="e">
        <f ca="1"/>
        <v>#N/A</v>
      </c>
      <c r="V155" s="36" t="e">
        <f ca="1"/>
        <v>#N/A</v>
      </c>
      <c r="W155" s="37" t="e">
        <f ca="1"/>
        <v>#N/A</v>
      </c>
      <c r="X155" s="31" t="s">
        <v>1</v>
      </c>
    </row>
    <row r="156" spans="4:24" x14ac:dyDescent="0.25">
      <c r="D156" s="31" t="s">
        <v>1</v>
      </c>
      <c r="E156" s="43">
        <v>148</v>
      </c>
      <c r="F156" s="25" t="e">
        <f ca="1">IF(ISNA(H156),NA(),IF(ISBLANK(G156),IF(FixedAmortizationFrequency=0,F155,IF(MOD((E156-1),FixedAmortizationFrequency)&lt;&gt;0,F155,F155-FixedAmortization)),G156))</f>
        <v>#N/A</v>
      </c>
      <c r="G156" s="67"/>
      <c r="H156" s="63" t="e">
        <f ca="1"/>
        <v>#N/A</v>
      </c>
      <c r="I156" s="33" t="e">
        <f ca="1"/>
        <v>#N/A</v>
      </c>
      <c r="J156" s="33" t="e">
        <f ca="1"/>
        <v>#N/A</v>
      </c>
      <c r="K156" s="25" t="e">
        <f ca="1"/>
        <v>#N/A</v>
      </c>
      <c r="L156" s="36" t="e">
        <f ca="1"/>
        <v>#N/A</v>
      </c>
      <c r="M156" s="37" t="e">
        <f ca="1"/>
        <v>#N/A</v>
      </c>
      <c r="N156" s="38" t="s">
        <v>1</v>
      </c>
      <c r="O156" s="43">
        <v>148</v>
      </c>
      <c r="P156" s="25" t="e">
        <f ca="1">IF(ISNA(R156),NA(),IF(ISBLANK(Q156),IF(FloatAmortizationFrequency=0,P155,IF(MOD((O156-1),FloatAmortizationFrequency)&lt;&gt;0,P155,P155-FloatAmortization)),Q156))</f>
        <v>#N/A</v>
      </c>
      <c r="Q156" s="67"/>
      <c r="R156" s="33" t="e">
        <f ca="1"/>
        <v>#N/A</v>
      </c>
      <c r="S156" s="33" t="e">
        <f ca="1"/>
        <v>#N/A</v>
      </c>
      <c r="T156" s="33" t="e">
        <f ca="1"/>
        <v>#N/A</v>
      </c>
      <c r="U156" s="25" t="e">
        <f ca="1"/>
        <v>#N/A</v>
      </c>
      <c r="V156" s="36" t="e">
        <f ca="1"/>
        <v>#N/A</v>
      </c>
      <c r="W156" s="37" t="e">
        <f ca="1"/>
        <v>#N/A</v>
      </c>
      <c r="X156" s="31" t="s">
        <v>1</v>
      </c>
    </row>
    <row r="157" spans="4:24" x14ac:dyDescent="0.25">
      <c r="D157" s="31" t="s">
        <v>1</v>
      </c>
      <c r="E157" s="43">
        <v>149</v>
      </c>
      <c r="F157" s="25" t="e">
        <f ca="1">IF(ISNA(H157),NA(),IF(ISBLANK(G157),IF(FixedAmortizationFrequency=0,F156,IF(MOD((E157-1),FixedAmortizationFrequency)&lt;&gt;0,F156,F156-FixedAmortization)),G157))</f>
        <v>#N/A</v>
      </c>
      <c r="G157" s="67"/>
      <c r="H157" s="63" t="e">
        <f ca="1"/>
        <v>#N/A</v>
      </c>
      <c r="I157" s="33" t="e">
        <f ca="1"/>
        <v>#N/A</v>
      </c>
      <c r="J157" s="33" t="e">
        <f ca="1"/>
        <v>#N/A</v>
      </c>
      <c r="K157" s="25" t="e">
        <f ca="1"/>
        <v>#N/A</v>
      </c>
      <c r="L157" s="36" t="e">
        <f ca="1"/>
        <v>#N/A</v>
      </c>
      <c r="M157" s="37" t="e">
        <f ca="1"/>
        <v>#N/A</v>
      </c>
      <c r="N157" s="38" t="s">
        <v>1</v>
      </c>
      <c r="O157" s="43">
        <v>149</v>
      </c>
      <c r="P157" s="25" t="e">
        <f ca="1">IF(ISNA(R157),NA(),IF(ISBLANK(Q157),IF(FloatAmortizationFrequency=0,P156,IF(MOD((O157-1),FloatAmortizationFrequency)&lt;&gt;0,P156,P156-FloatAmortization)),Q157))</f>
        <v>#N/A</v>
      </c>
      <c r="Q157" s="67"/>
      <c r="R157" s="33" t="e">
        <f ca="1"/>
        <v>#N/A</v>
      </c>
      <c r="S157" s="33" t="e">
        <f ca="1"/>
        <v>#N/A</v>
      </c>
      <c r="T157" s="33" t="e">
        <f ca="1"/>
        <v>#N/A</v>
      </c>
      <c r="U157" s="25" t="e">
        <f ca="1"/>
        <v>#N/A</v>
      </c>
      <c r="V157" s="36" t="e">
        <f ca="1"/>
        <v>#N/A</v>
      </c>
      <c r="W157" s="37" t="e">
        <f ca="1"/>
        <v>#N/A</v>
      </c>
      <c r="X157" s="31" t="s">
        <v>1</v>
      </c>
    </row>
    <row r="158" spans="4:24" x14ac:dyDescent="0.25">
      <c r="D158" s="31" t="s">
        <v>1</v>
      </c>
      <c r="E158" s="43">
        <v>150</v>
      </c>
      <c r="F158" s="25" t="e">
        <f ca="1">IF(ISNA(H158),NA(),IF(ISBLANK(G158),IF(FixedAmortizationFrequency=0,F157,IF(MOD((E158-1),FixedAmortizationFrequency)&lt;&gt;0,F157,F157-FixedAmortization)),G158))</f>
        <v>#N/A</v>
      </c>
      <c r="G158" s="67"/>
      <c r="H158" s="63" t="e">
        <f ca="1"/>
        <v>#N/A</v>
      </c>
      <c r="I158" s="33" t="e">
        <f ca="1"/>
        <v>#N/A</v>
      </c>
      <c r="J158" s="33" t="e">
        <f ca="1"/>
        <v>#N/A</v>
      </c>
      <c r="K158" s="25" t="e">
        <f ca="1"/>
        <v>#N/A</v>
      </c>
      <c r="L158" s="36" t="e">
        <f ca="1"/>
        <v>#N/A</v>
      </c>
      <c r="M158" s="37" t="e">
        <f ca="1"/>
        <v>#N/A</v>
      </c>
      <c r="N158" s="38" t="s">
        <v>1</v>
      </c>
      <c r="O158" s="43">
        <v>150</v>
      </c>
      <c r="P158" s="25" t="e">
        <f ca="1">IF(ISNA(R158),NA(),IF(ISBLANK(Q158),IF(FloatAmortizationFrequency=0,P157,IF(MOD((O158-1),FloatAmortizationFrequency)&lt;&gt;0,P157,P157-FloatAmortization)),Q158))</f>
        <v>#N/A</v>
      </c>
      <c r="Q158" s="67"/>
      <c r="R158" s="33" t="e">
        <f ca="1"/>
        <v>#N/A</v>
      </c>
      <c r="S158" s="33" t="e">
        <f ca="1"/>
        <v>#N/A</v>
      </c>
      <c r="T158" s="33" t="e">
        <f ca="1"/>
        <v>#N/A</v>
      </c>
      <c r="U158" s="25" t="e">
        <f ca="1"/>
        <v>#N/A</v>
      </c>
      <c r="V158" s="36" t="e">
        <f ca="1"/>
        <v>#N/A</v>
      </c>
      <c r="W158" s="37" t="e">
        <f ca="1"/>
        <v>#N/A</v>
      </c>
      <c r="X158" s="31" t="s">
        <v>1</v>
      </c>
    </row>
    <row r="159" spans="4:24" x14ac:dyDescent="0.25">
      <c r="D159" s="31" t="s">
        <v>1</v>
      </c>
      <c r="E159" s="43">
        <v>151</v>
      </c>
      <c r="F159" s="25" t="e">
        <f ca="1">IF(ISNA(H159),NA(),IF(ISBLANK(G159),IF(FixedAmortizationFrequency=0,F158,IF(MOD((E159-1),FixedAmortizationFrequency)&lt;&gt;0,F158,F158-FixedAmortization)),G159))</f>
        <v>#N/A</v>
      </c>
      <c r="G159" s="67"/>
      <c r="H159" s="63" t="e">
        <f ca="1"/>
        <v>#N/A</v>
      </c>
      <c r="I159" s="33" t="e">
        <f ca="1"/>
        <v>#N/A</v>
      </c>
      <c r="J159" s="33" t="e">
        <f ca="1"/>
        <v>#N/A</v>
      </c>
      <c r="K159" s="25" t="e">
        <f ca="1"/>
        <v>#N/A</v>
      </c>
      <c r="L159" s="36" t="e">
        <f ca="1"/>
        <v>#N/A</v>
      </c>
      <c r="M159" s="37" t="e">
        <f ca="1"/>
        <v>#N/A</v>
      </c>
      <c r="N159" s="38" t="s">
        <v>1</v>
      </c>
      <c r="O159" s="43">
        <v>151</v>
      </c>
      <c r="P159" s="25" t="e">
        <f ca="1">IF(ISNA(R159),NA(),IF(ISBLANK(Q159),IF(FloatAmortizationFrequency=0,P158,IF(MOD((O159-1),FloatAmortizationFrequency)&lt;&gt;0,P158,P158-FloatAmortization)),Q159))</f>
        <v>#N/A</v>
      </c>
      <c r="Q159" s="67"/>
      <c r="R159" s="33" t="e">
        <f ca="1"/>
        <v>#N/A</v>
      </c>
      <c r="S159" s="33" t="e">
        <f ca="1"/>
        <v>#N/A</v>
      </c>
      <c r="T159" s="33" t="e">
        <f ca="1"/>
        <v>#N/A</v>
      </c>
      <c r="U159" s="25" t="e">
        <f ca="1"/>
        <v>#N/A</v>
      </c>
      <c r="V159" s="36" t="e">
        <f ca="1"/>
        <v>#N/A</v>
      </c>
      <c r="W159" s="37" t="e">
        <f ca="1"/>
        <v>#N/A</v>
      </c>
      <c r="X159" s="31" t="s">
        <v>1</v>
      </c>
    </row>
    <row r="160" spans="4:24" x14ac:dyDescent="0.25">
      <c r="D160" s="31" t="s">
        <v>1</v>
      </c>
      <c r="E160" s="43">
        <v>152</v>
      </c>
      <c r="F160" s="25" t="e">
        <f ca="1">IF(ISNA(H160),NA(),IF(ISBLANK(G160),IF(FixedAmortizationFrequency=0,F159,IF(MOD((E160-1),FixedAmortizationFrequency)&lt;&gt;0,F159,F159-FixedAmortization)),G160))</f>
        <v>#N/A</v>
      </c>
      <c r="G160" s="67"/>
      <c r="H160" s="63" t="e">
        <f ca="1"/>
        <v>#N/A</v>
      </c>
      <c r="I160" s="33" t="e">
        <f ca="1"/>
        <v>#N/A</v>
      </c>
      <c r="J160" s="33" t="e">
        <f ca="1"/>
        <v>#N/A</v>
      </c>
      <c r="K160" s="25" t="e">
        <f ca="1"/>
        <v>#N/A</v>
      </c>
      <c r="L160" s="36" t="e">
        <f ca="1"/>
        <v>#N/A</v>
      </c>
      <c r="M160" s="37" t="e">
        <f ca="1"/>
        <v>#N/A</v>
      </c>
      <c r="N160" s="38" t="s">
        <v>1</v>
      </c>
      <c r="O160" s="43">
        <v>152</v>
      </c>
      <c r="P160" s="25" t="e">
        <f ca="1">IF(ISNA(R160),NA(),IF(ISBLANK(Q160),IF(FloatAmortizationFrequency=0,P159,IF(MOD((O160-1),FloatAmortizationFrequency)&lt;&gt;0,P159,P159-FloatAmortization)),Q160))</f>
        <v>#N/A</v>
      </c>
      <c r="Q160" s="67"/>
      <c r="R160" s="33" t="e">
        <f ca="1"/>
        <v>#N/A</v>
      </c>
      <c r="S160" s="33" t="e">
        <f ca="1"/>
        <v>#N/A</v>
      </c>
      <c r="T160" s="33" t="e">
        <f ca="1"/>
        <v>#N/A</v>
      </c>
      <c r="U160" s="25" t="e">
        <f ca="1"/>
        <v>#N/A</v>
      </c>
      <c r="V160" s="36" t="e">
        <f ca="1"/>
        <v>#N/A</v>
      </c>
      <c r="W160" s="37" t="e">
        <f ca="1"/>
        <v>#N/A</v>
      </c>
      <c r="X160" s="31" t="s">
        <v>1</v>
      </c>
    </row>
    <row r="161" spans="4:24" x14ac:dyDescent="0.25">
      <c r="D161" s="31" t="s">
        <v>1</v>
      </c>
      <c r="E161" s="43">
        <v>153</v>
      </c>
      <c r="F161" s="25" t="e">
        <f ca="1">IF(ISNA(H161),NA(),IF(ISBLANK(G161),IF(FixedAmortizationFrequency=0,F160,IF(MOD((E161-1),FixedAmortizationFrequency)&lt;&gt;0,F160,F160-FixedAmortization)),G161))</f>
        <v>#N/A</v>
      </c>
      <c r="G161" s="67"/>
      <c r="H161" s="63" t="e">
        <f ca="1"/>
        <v>#N/A</v>
      </c>
      <c r="I161" s="33" t="e">
        <f ca="1"/>
        <v>#N/A</v>
      </c>
      <c r="J161" s="33" t="e">
        <f ca="1"/>
        <v>#N/A</v>
      </c>
      <c r="K161" s="25" t="e">
        <f ca="1"/>
        <v>#N/A</v>
      </c>
      <c r="L161" s="36" t="e">
        <f ca="1"/>
        <v>#N/A</v>
      </c>
      <c r="M161" s="37" t="e">
        <f ca="1"/>
        <v>#N/A</v>
      </c>
      <c r="N161" s="38" t="s">
        <v>1</v>
      </c>
      <c r="O161" s="43">
        <v>153</v>
      </c>
      <c r="P161" s="25" t="e">
        <f ca="1">IF(ISNA(R161),NA(),IF(ISBLANK(Q161),IF(FloatAmortizationFrequency=0,P160,IF(MOD((O161-1),FloatAmortizationFrequency)&lt;&gt;0,P160,P160-FloatAmortization)),Q161))</f>
        <v>#N/A</v>
      </c>
      <c r="Q161" s="67"/>
      <c r="R161" s="33" t="e">
        <f ca="1"/>
        <v>#N/A</v>
      </c>
      <c r="S161" s="33" t="e">
        <f ca="1"/>
        <v>#N/A</v>
      </c>
      <c r="T161" s="33" t="e">
        <f ca="1"/>
        <v>#N/A</v>
      </c>
      <c r="U161" s="25" t="e">
        <f ca="1"/>
        <v>#N/A</v>
      </c>
      <c r="V161" s="36" t="e">
        <f ca="1"/>
        <v>#N/A</v>
      </c>
      <c r="W161" s="37" t="e">
        <f ca="1"/>
        <v>#N/A</v>
      </c>
      <c r="X161" s="31" t="s">
        <v>1</v>
      </c>
    </row>
    <row r="162" spans="4:24" x14ac:dyDescent="0.25">
      <c r="D162" s="31" t="s">
        <v>1</v>
      </c>
      <c r="E162" s="43">
        <v>154</v>
      </c>
      <c r="F162" s="25" t="e">
        <f ca="1">IF(ISNA(H162),NA(),IF(ISBLANK(G162),IF(FixedAmortizationFrequency=0,F161,IF(MOD((E162-1),FixedAmortizationFrequency)&lt;&gt;0,F161,F161-FixedAmortization)),G162))</f>
        <v>#N/A</v>
      </c>
      <c r="G162" s="67"/>
      <c r="H162" s="63" t="e">
        <f ca="1"/>
        <v>#N/A</v>
      </c>
      <c r="I162" s="33" t="e">
        <f ca="1"/>
        <v>#N/A</v>
      </c>
      <c r="J162" s="33" t="e">
        <f ca="1"/>
        <v>#N/A</v>
      </c>
      <c r="K162" s="25" t="e">
        <f ca="1"/>
        <v>#N/A</v>
      </c>
      <c r="L162" s="36" t="e">
        <f ca="1"/>
        <v>#N/A</v>
      </c>
      <c r="M162" s="37" t="e">
        <f ca="1"/>
        <v>#N/A</v>
      </c>
      <c r="N162" s="38" t="s">
        <v>1</v>
      </c>
      <c r="O162" s="43">
        <v>154</v>
      </c>
      <c r="P162" s="25" t="e">
        <f ca="1">IF(ISNA(R162),NA(),IF(ISBLANK(Q162),IF(FloatAmortizationFrequency=0,P161,IF(MOD((O162-1),FloatAmortizationFrequency)&lt;&gt;0,P161,P161-FloatAmortization)),Q162))</f>
        <v>#N/A</v>
      </c>
      <c r="Q162" s="67"/>
      <c r="R162" s="33" t="e">
        <f ca="1"/>
        <v>#N/A</v>
      </c>
      <c r="S162" s="33" t="e">
        <f ca="1"/>
        <v>#N/A</v>
      </c>
      <c r="T162" s="33" t="e">
        <f ca="1"/>
        <v>#N/A</v>
      </c>
      <c r="U162" s="25" t="e">
        <f ca="1"/>
        <v>#N/A</v>
      </c>
      <c r="V162" s="36" t="e">
        <f ca="1"/>
        <v>#N/A</v>
      </c>
      <c r="W162" s="37" t="e">
        <f ca="1"/>
        <v>#N/A</v>
      </c>
      <c r="X162" s="31" t="s">
        <v>1</v>
      </c>
    </row>
    <row r="163" spans="4:24" x14ac:dyDescent="0.25">
      <c r="D163" s="31" t="s">
        <v>1</v>
      </c>
      <c r="E163" s="43">
        <v>155</v>
      </c>
      <c r="F163" s="25" t="e">
        <f ca="1">IF(ISNA(H163),NA(),IF(ISBLANK(G163),IF(FixedAmortizationFrequency=0,F162,IF(MOD((E163-1),FixedAmortizationFrequency)&lt;&gt;0,F162,F162-FixedAmortization)),G163))</f>
        <v>#N/A</v>
      </c>
      <c r="G163" s="67"/>
      <c r="H163" s="63" t="e">
        <f ca="1"/>
        <v>#N/A</v>
      </c>
      <c r="I163" s="33" t="e">
        <f ca="1"/>
        <v>#N/A</v>
      </c>
      <c r="J163" s="33" t="e">
        <f ca="1"/>
        <v>#N/A</v>
      </c>
      <c r="K163" s="25" t="e">
        <f ca="1"/>
        <v>#N/A</v>
      </c>
      <c r="L163" s="36" t="e">
        <f ca="1"/>
        <v>#N/A</v>
      </c>
      <c r="M163" s="37" t="e">
        <f ca="1"/>
        <v>#N/A</v>
      </c>
      <c r="N163" s="38" t="s">
        <v>1</v>
      </c>
      <c r="O163" s="43">
        <v>155</v>
      </c>
      <c r="P163" s="25" t="e">
        <f ca="1">IF(ISNA(R163),NA(),IF(ISBLANK(Q163),IF(FloatAmortizationFrequency=0,P162,IF(MOD((O163-1),FloatAmortizationFrequency)&lt;&gt;0,P162,P162-FloatAmortization)),Q163))</f>
        <v>#N/A</v>
      </c>
      <c r="Q163" s="67"/>
      <c r="R163" s="33" t="e">
        <f ca="1"/>
        <v>#N/A</v>
      </c>
      <c r="S163" s="33" t="e">
        <f ca="1"/>
        <v>#N/A</v>
      </c>
      <c r="T163" s="33" t="e">
        <f ca="1"/>
        <v>#N/A</v>
      </c>
      <c r="U163" s="25" t="e">
        <f ca="1"/>
        <v>#N/A</v>
      </c>
      <c r="V163" s="36" t="e">
        <f ca="1"/>
        <v>#N/A</v>
      </c>
      <c r="W163" s="37" t="e">
        <f ca="1"/>
        <v>#N/A</v>
      </c>
      <c r="X163" s="31" t="s">
        <v>1</v>
      </c>
    </row>
    <row r="164" spans="4:24" x14ac:dyDescent="0.25">
      <c r="D164" s="31" t="s">
        <v>1</v>
      </c>
      <c r="E164" s="43">
        <v>156</v>
      </c>
      <c r="F164" s="25" t="e">
        <f ca="1">IF(ISNA(H164),NA(),IF(ISBLANK(G164),IF(FixedAmortizationFrequency=0,F163,IF(MOD((E164-1),FixedAmortizationFrequency)&lt;&gt;0,F163,F163-FixedAmortization)),G164))</f>
        <v>#N/A</v>
      </c>
      <c r="G164" s="67"/>
      <c r="H164" s="63" t="e">
        <f ca="1"/>
        <v>#N/A</v>
      </c>
      <c r="I164" s="33" t="e">
        <f ca="1"/>
        <v>#N/A</v>
      </c>
      <c r="J164" s="33" t="e">
        <f ca="1"/>
        <v>#N/A</v>
      </c>
      <c r="K164" s="25" t="e">
        <f ca="1"/>
        <v>#N/A</v>
      </c>
      <c r="L164" s="36" t="e">
        <f ca="1"/>
        <v>#N/A</v>
      </c>
      <c r="M164" s="37" t="e">
        <f ca="1"/>
        <v>#N/A</v>
      </c>
      <c r="N164" s="38" t="s">
        <v>1</v>
      </c>
      <c r="O164" s="43">
        <v>156</v>
      </c>
      <c r="P164" s="25" t="e">
        <f ca="1">IF(ISNA(R164),NA(),IF(ISBLANK(Q164),IF(FloatAmortizationFrequency=0,P163,IF(MOD((O164-1),FloatAmortizationFrequency)&lt;&gt;0,P163,P163-FloatAmortization)),Q164))</f>
        <v>#N/A</v>
      </c>
      <c r="Q164" s="67"/>
      <c r="R164" s="33" t="e">
        <f ca="1"/>
        <v>#N/A</v>
      </c>
      <c r="S164" s="33" t="e">
        <f ca="1"/>
        <v>#N/A</v>
      </c>
      <c r="T164" s="33" t="e">
        <f ca="1"/>
        <v>#N/A</v>
      </c>
      <c r="U164" s="25" t="e">
        <f ca="1"/>
        <v>#N/A</v>
      </c>
      <c r="V164" s="36" t="e">
        <f ca="1"/>
        <v>#N/A</v>
      </c>
      <c r="W164" s="37" t="e">
        <f ca="1"/>
        <v>#N/A</v>
      </c>
      <c r="X164" s="31" t="s">
        <v>1</v>
      </c>
    </row>
    <row r="165" spans="4:24" x14ac:dyDescent="0.25">
      <c r="D165" s="31" t="s">
        <v>1</v>
      </c>
      <c r="E165" s="43">
        <v>157</v>
      </c>
      <c r="F165" s="25" t="e">
        <f ca="1">IF(ISNA(H165),NA(),IF(ISBLANK(G165),IF(FixedAmortizationFrequency=0,F164,IF(MOD((E165-1),FixedAmortizationFrequency)&lt;&gt;0,F164,F164-FixedAmortization)),G165))</f>
        <v>#N/A</v>
      </c>
      <c r="G165" s="67"/>
      <c r="H165" s="63" t="e">
        <f ca="1"/>
        <v>#N/A</v>
      </c>
      <c r="I165" s="33" t="e">
        <f ca="1"/>
        <v>#N/A</v>
      </c>
      <c r="J165" s="33" t="e">
        <f ca="1"/>
        <v>#N/A</v>
      </c>
      <c r="K165" s="25" t="e">
        <f ca="1"/>
        <v>#N/A</v>
      </c>
      <c r="L165" s="36" t="e">
        <f ca="1"/>
        <v>#N/A</v>
      </c>
      <c r="M165" s="37" t="e">
        <f ca="1"/>
        <v>#N/A</v>
      </c>
      <c r="N165" s="38" t="s">
        <v>1</v>
      </c>
      <c r="O165" s="43">
        <v>157</v>
      </c>
      <c r="P165" s="25" t="e">
        <f ca="1">IF(ISNA(R165),NA(),IF(ISBLANK(Q165),IF(FloatAmortizationFrequency=0,P164,IF(MOD((O165-1),FloatAmortizationFrequency)&lt;&gt;0,P164,P164-FloatAmortization)),Q165))</f>
        <v>#N/A</v>
      </c>
      <c r="Q165" s="67"/>
      <c r="R165" s="33" t="e">
        <f ca="1"/>
        <v>#N/A</v>
      </c>
      <c r="S165" s="33" t="e">
        <f ca="1"/>
        <v>#N/A</v>
      </c>
      <c r="T165" s="33" t="e">
        <f ca="1"/>
        <v>#N/A</v>
      </c>
      <c r="U165" s="25" t="e">
        <f ca="1"/>
        <v>#N/A</v>
      </c>
      <c r="V165" s="36" t="e">
        <f ca="1"/>
        <v>#N/A</v>
      </c>
      <c r="W165" s="37" t="e">
        <f ca="1"/>
        <v>#N/A</v>
      </c>
      <c r="X165" s="31" t="s">
        <v>1</v>
      </c>
    </row>
    <row r="166" spans="4:24" x14ac:dyDescent="0.25">
      <c r="D166" s="31" t="s">
        <v>1</v>
      </c>
      <c r="E166" s="43">
        <v>158</v>
      </c>
      <c r="F166" s="25" t="e">
        <f ca="1">IF(ISNA(H166),NA(),IF(ISBLANK(G166),IF(FixedAmortizationFrequency=0,F165,IF(MOD((E166-1),FixedAmortizationFrequency)&lt;&gt;0,F165,F165-FixedAmortization)),G166))</f>
        <v>#N/A</v>
      </c>
      <c r="G166" s="67"/>
      <c r="H166" s="63" t="e">
        <f ca="1"/>
        <v>#N/A</v>
      </c>
      <c r="I166" s="33" t="e">
        <f ca="1"/>
        <v>#N/A</v>
      </c>
      <c r="J166" s="33" t="e">
        <f ca="1"/>
        <v>#N/A</v>
      </c>
      <c r="K166" s="25" t="e">
        <f ca="1"/>
        <v>#N/A</v>
      </c>
      <c r="L166" s="36" t="e">
        <f ca="1"/>
        <v>#N/A</v>
      </c>
      <c r="M166" s="37" t="e">
        <f ca="1"/>
        <v>#N/A</v>
      </c>
      <c r="N166" s="38" t="s">
        <v>1</v>
      </c>
      <c r="O166" s="43">
        <v>158</v>
      </c>
      <c r="P166" s="25" t="e">
        <f ca="1">IF(ISNA(R166),NA(),IF(ISBLANK(Q166),IF(FloatAmortizationFrequency=0,P165,IF(MOD((O166-1),FloatAmortizationFrequency)&lt;&gt;0,P165,P165-FloatAmortization)),Q166))</f>
        <v>#N/A</v>
      </c>
      <c r="Q166" s="67"/>
      <c r="R166" s="33" t="e">
        <f ca="1"/>
        <v>#N/A</v>
      </c>
      <c r="S166" s="33" t="e">
        <f ca="1"/>
        <v>#N/A</v>
      </c>
      <c r="T166" s="33" t="e">
        <f ca="1"/>
        <v>#N/A</v>
      </c>
      <c r="U166" s="25" t="e">
        <f ca="1"/>
        <v>#N/A</v>
      </c>
      <c r="V166" s="36" t="e">
        <f ca="1"/>
        <v>#N/A</v>
      </c>
      <c r="W166" s="37" t="e">
        <f ca="1"/>
        <v>#N/A</v>
      </c>
      <c r="X166" s="31" t="s">
        <v>1</v>
      </c>
    </row>
    <row r="167" spans="4:24" x14ac:dyDescent="0.25">
      <c r="D167" s="31" t="s">
        <v>1</v>
      </c>
      <c r="E167" s="43">
        <v>159</v>
      </c>
      <c r="F167" s="25" t="e">
        <f ca="1">IF(ISNA(H167),NA(),IF(ISBLANK(G167),IF(FixedAmortizationFrequency=0,F166,IF(MOD((E167-1),FixedAmortizationFrequency)&lt;&gt;0,F166,F166-FixedAmortization)),G167))</f>
        <v>#N/A</v>
      </c>
      <c r="G167" s="67"/>
      <c r="H167" s="63" t="e">
        <f ca="1"/>
        <v>#N/A</v>
      </c>
      <c r="I167" s="33" t="e">
        <f ca="1"/>
        <v>#N/A</v>
      </c>
      <c r="J167" s="33" t="e">
        <f ca="1"/>
        <v>#N/A</v>
      </c>
      <c r="K167" s="25" t="e">
        <f ca="1"/>
        <v>#N/A</v>
      </c>
      <c r="L167" s="36" t="e">
        <f ca="1"/>
        <v>#N/A</v>
      </c>
      <c r="M167" s="37" t="e">
        <f ca="1"/>
        <v>#N/A</v>
      </c>
      <c r="N167" s="38" t="s">
        <v>1</v>
      </c>
      <c r="O167" s="43">
        <v>159</v>
      </c>
      <c r="P167" s="25" t="e">
        <f ca="1">IF(ISNA(R167),NA(),IF(ISBLANK(Q167),IF(FloatAmortizationFrequency=0,P166,IF(MOD((O167-1),FloatAmortizationFrequency)&lt;&gt;0,P166,P166-FloatAmortization)),Q167))</f>
        <v>#N/A</v>
      </c>
      <c r="Q167" s="67"/>
      <c r="R167" s="33" t="e">
        <f ca="1"/>
        <v>#N/A</v>
      </c>
      <c r="S167" s="33" t="e">
        <f ca="1"/>
        <v>#N/A</v>
      </c>
      <c r="T167" s="33" t="e">
        <f ca="1"/>
        <v>#N/A</v>
      </c>
      <c r="U167" s="25" t="e">
        <f ca="1"/>
        <v>#N/A</v>
      </c>
      <c r="V167" s="36" t="e">
        <f ca="1"/>
        <v>#N/A</v>
      </c>
      <c r="W167" s="37" t="e">
        <f ca="1"/>
        <v>#N/A</v>
      </c>
      <c r="X167" s="31" t="s">
        <v>1</v>
      </c>
    </row>
    <row r="168" spans="4:24" x14ac:dyDescent="0.25">
      <c r="D168" s="31" t="s">
        <v>1</v>
      </c>
      <c r="E168" s="43">
        <v>160</v>
      </c>
      <c r="F168" s="25" t="e">
        <f ca="1">IF(ISNA(H168),NA(),IF(ISBLANK(G168),IF(FixedAmortizationFrequency=0,F167,IF(MOD((E168-1),FixedAmortizationFrequency)&lt;&gt;0,F167,F167-FixedAmortization)),G168))</f>
        <v>#N/A</v>
      </c>
      <c r="G168" s="67"/>
      <c r="H168" s="63" t="e">
        <f ca="1"/>
        <v>#N/A</v>
      </c>
      <c r="I168" s="33" t="e">
        <f ca="1"/>
        <v>#N/A</v>
      </c>
      <c r="J168" s="33" t="e">
        <f ca="1"/>
        <v>#N/A</v>
      </c>
      <c r="K168" s="25" t="e">
        <f ca="1"/>
        <v>#N/A</v>
      </c>
      <c r="L168" s="36" t="e">
        <f ca="1"/>
        <v>#N/A</v>
      </c>
      <c r="M168" s="37" t="e">
        <f ca="1"/>
        <v>#N/A</v>
      </c>
      <c r="N168" s="38" t="s">
        <v>1</v>
      </c>
      <c r="O168" s="43">
        <v>160</v>
      </c>
      <c r="P168" s="25" t="e">
        <f ca="1">IF(ISNA(R168),NA(),IF(ISBLANK(Q168),IF(FloatAmortizationFrequency=0,P167,IF(MOD((O168-1),FloatAmortizationFrequency)&lt;&gt;0,P167,P167-FloatAmortization)),Q168))</f>
        <v>#N/A</v>
      </c>
      <c r="Q168" s="67"/>
      <c r="R168" s="33" t="e">
        <f ca="1"/>
        <v>#N/A</v>
      </c>
      <c r="S168" s="33" t="e">
        <f ca="1"/>
        <v>#N/A</v>
      </c>
      <c r="T168" s="33" t="e">
        <f ca="1"/>
        <v>#N/A</v>
      </c>
      <c r="U168" s="25" t="e">
        <f ca="1"/>
        <v>#N/A</v>
      </c>
      <c r="V168" s="36" t="e">
        <f ca="1"/>
        <v>#N/A</v>
      </c>
      <c r="W168" s="37" t="e">
        <f ca="1"/>
        <v>#N/A</v>
      </c>
      <c r="X168" s="31" t="s">
        <v>1</v>
      </c>
    </row>
    <row r="169" spans="4:24" x14ac:dyDescent="0.25">
      <c r="D169" s="31" t="s">
        <v>1</v>
      </c>
      <c r="E169" s="43">
        <v>161</v>
      </c>
      <c r="F169" s="25" t="e">
        <f ca="1">IF(ISNA(H169),NA(),IF(ISBLANK(G169),IF(FixedAmortizationFrequency=0,F168,IF(MOD((E169-1),FixedAmortizationFrequency)&lt;&gt;0,F168,F168-FixedAmortization)),G169))</f>
        <v>#N/A</v>
      </c>
      <c r="G169" s="67"/>
      <c r="H169" s="63" t="e">
        <f ca="1"/>
        <v>#N/A</v>
      </c>
      <c r="I169" s="33" t="e">
        <f ca="1"/>
        <v>#N/A</v>
      </c>
      <c r="J169" s="33" t="e">
        <f ca="1"/>
        <v>#N/A</v>
      </c>
      <c r="K169" s="25" t="e">
        <f ca="1"/>
        <v>#N/A</v>
      </c>
      <c r="L169" s="36" t="e">
        <f ca="1"/>
        <v>#N/A</v>
      </c>
      <c r="M169" s="37" t="e">
        <f ca="1"/>
        <v>#N/A</v>
      </c>
      <c r="N169" s="38" t="s">
        <v>1</v>
      </c>
      <c r="O169" s="43">
        <v>161</v>
      </c>
      <c r="P169" s="25" t="e">
        <f ca="1">IF(ISNA(R169),NA(),IF(ISBLANK(Q169),IF(FloatAmortizationFrequency=0,P168,IF(MOD((O169-1),FloatAmortizationFrequency)&lt;&gt;0,P168,P168-FloatAmortization)),Q169))</f>
        <v>#N/A</v>
      </c>
      <c r="Q169" s="67"/>
      <c r="R169" s="33" t="e">
        <f ca="1"/>
        <v>#N/A</v>
      </c>
      <c r="S169" s="33" t="e">
        <f ca="1"/>
        <v>#N/A</v>
      </c>
      <c r="T169" s="33" t="e">
        <f ca="1"/>
        <v>#N/A</v>
      </c>
      <c r="U169" s="25" t="e">
        <f ca="1"/>
        <v>#N/A</v>
      </c>
      <c r="V169" s="36" t="e">
        <f ca="1"/>
        <v>#N/A</v>
      </c>
      <c r="W169" s="37" t="e">
        <f ca="1"/>
        <v>#N/A</v>
      </c>
      <c r="X169" s="31" t="s">
        <v>1</v>
      </c>
    </row>
    <row r="170" spans="4:24" x14ac:dyDescent="0.25">
      <c r="D170" s="31" t="s">
        <v>1</v>
      </c>
      <c r="E170" s="43">
        <v>162</v>
      </c>
      <c r="F170" s="25" t="e">
        <f ca="1">IF(ISNA(H170),NA(),IF(ISBLANK(G170),IF(FixedAmortizationFrequency=0,F169,IF(MOD((E170-1),FixedAmortizationFrequency)&lt;&gt;0,F169,F169-FixedAmortization)),G170))</f>
        <v>#N/A</v>
      </c>
      <c r="G170" s="67"/>
      <c r="H170" s="63" t="e">
        <f ca="1"/>
        <v>#N/A</v>
      </c>
      <c r="I170" s="33" t="e">
        <f ca="1"/>
        <v>#N/A</v>
      </c>
      <c r="J170" s="33" t="e">
        <f ca="1"/>
        <v>#N/A</v>
      </c>
      <c r="K170" s="25" t="e">
        <f ca="1"/>
        <v>#N/A</v>
      </c>
      <c r="L170" s="36" t="e">
        <f ca="1"/>
        <v>#N/A</v>
      </c>
      <c r="M170" s="37" t="e">
        <f ca="1"/>
        <v>#N/A</v>
      </c>
      <c r="N170" s="38" t="s">
        <v>1</v>
      </c>
      <c r="O170" s="43">
        <v>162</v>
      </c>
      <c r="P170" s="25" t="e">
        <f ca="1">IF(ISNA(R170),NA(),IF(ISBLANK(Q170),IF(FloatAmortizationFrequency=0,P169,IF(MOD((O170-1),FloatAmortizationFrequency)&lt;&gt;0,P169,P169-FloatAmortization)),Q170))</f>
        <v>#N/A</v>
      </c>
      <c r="Q170" s="67"/>
      <c r="R170" s="33" t="e">
        <f ca="1"/>
        <v>#N/A</v>
      </c>
      <c r="S170" s="33" t="e">
        <f ca="1"/>
        <v>#N/A</v>
      </c>
      <c r="T170" s="33" t="e">
        <f ca="1"/>
        <v>#N/A</v>
      </c>
      <c r="U170" s="25" t="e">
        <f ca="1"/>
        <v>#N/A</v>
      </c>
      <c r="V170" s="36" t="e">
        <f ca="1"/>
        <v>#N/A</v>
      </c>
      <c r="W170" s="37" t="e">
        <f ca="1"/>
        <v>#N/A</v>
      </c>
      <c r="X170" s="31" t="s">
        <v>1</v>
      </c>
    </row>
    <row r="171" spans="4:24" x14ac:dyDescent="0.25">
      <c r="D171" s="31" t="s">
        <v>1</v>
      </c>
      <c r="E171" s="43">
        <v>163</v>
      </c>
      <c r="F171" s="25" t="e">
        <f ca="1">IF(ISNA(H171),NA(),IF(ISBLANK(G171),IF(FixedAmortizationFrequency=0,F170,IF(MOD((E171-1),FixedAmortizationFrequency)&lt;&gt;0,F170,F170-FixedAmortization)),G171))</f>
        <v>#N/A</v>
      </c>
      <c r="G171" s="67"/>
      <c r="H171" s="63" t="e">
        <f ca="1"/>
        <v>#N/A</v>
      </c>
      <c r="I171" s="33" t="e">
        <f ca="1"/>
        <v>#N/A</v>
      </c>
      <c r="J171" s="33" t="e">
        <f ca="1"/>
        <v>#N/A</v>
      </c>
      <c r="K171" s="25" t="e">
        <f ca="1"/>
        <v>#N/A</v>
      </c>
      <c r="L171" s="36" t="e">
        <f ca="1"/>
        <v>#N/A</v>
      </c>
      <c r="M171" s="37" t="e">
        <f ca="1"/>
        <v>#N/A</v>
      </c>
      <c r="N171" s="38" t="s">
        <v>1</v>
      </c>
      <c r="O171" s="43">
        <v>163</v>
      </c>
      <c r="P171" s="25" t="e">
        <f ca="1">IF(ISNA(R171),NA(),IF(ISBLANK(Q171),IF(FloatAmortizationFrequency=0,P170,IF(MOD((O171-1),FloatAmortizationFrequency)&lt;&gt;0,P170,P170-FloatAmortization)),Q171))</f>
        <v>#N/A</v>
      </c>
      <c r="Q171" s="67"/>
      <c r="R171" s="33" t="e">
        <f ca="1"/>
        <v>#N/A</v>
      </c>
      <c r="S171" s="33" t="e">
        <f ca="1"/>
        <v>#N/A</v>
      </c>
      <c r="T171" s="33" t="e">
        <f ca="1"/>
        <v>#N/A</v>
      </c>
      <c r="U171" s="25" t="e">
        <f ca="1"/>
        <v>#N/A</v>
      </c>
      <c r="V171" s="36" t="e">
        <f ca="1"/>
        <v>#N/A</v>
      </c>
      <c r="W171" s="37" t="e">
        <f ca="1"/>
        <v>#N/A</v>
      </c>
      <c r="X171" s="31" t="s">
        <v>1</v>
      </c>
    </row>
    <row r="172" spans="4:24" x14ac:dyDescent="0.25">
      <c r="D172" s="31" t="s">
        <v>1</v>
      </c>
      <c r="E172" s="43">
        <v>164</v>
      </c>
      <c r="F172" s="25" t="e">
        <f ca="1">IF(ISNA(H172),NA(),IF(ISBLANK(G172),IF(FixedAmortizationFrequency=0,F171,IF(MOD((E172-1),FixedAmortizationFrequency)&lt;&gt;0,F171,F171-FixedAmortization)),G172))</f>
        <v>#N/A</v>
      </c>
      <c r="G172" s="67"/>
      <c r="H172" s="63" t="e">
        <f ca="1"/>
        <v>#N/A</v>
      </c>
      <c r="I172" s="33" t="e">
        <f ca="1"/>
        <v>#N/A</v>
      </c>
      <c r="J172" s="33" t="e">
        <f ca="1"/>
        <v>#N/A</v>
      </c>
      <c r="K172" s="25" t="e">
        <f ca="1"/>
        <v>#N/A</v>
      </c>
      <c r="L172" s="36" t="e">
        <f ca="1"/>
        <v>#N/A</v>
      </c>
      <c r="M172" s="37" t="e">
        <f ca="1"/>
        <v>#N/A</v>
      </c>
      <c r="N172" s="38" t="s">
        <v>1</v>
      </c>
      <c r="O172" s="43">
        <v>164</v>
      </c>
      <c r="P172" s="25" t="e">
        <f ca="1">IF(ISNA(R172),NA(),IF(ISBLANK(Q172),IF(FloatAmortizationFrequency=0,P171,IF(MOD((O172-1),FloatAmortizationFrequency)&lt;&gt;0,P171,P171-FloatAmortization)),Q172))</f>
        <v>#N/A</v>
      </c>
      <c r="Q172" s="67"/>
      <c r="R172" s="33" t="e">
        <f ca="1"/>
        <v>#N/A</v>
      </c>
      <c r="S172" s="33" t="e">
        <f ca="1"/>
        <v>#N/A</v>
      </c>
      <c r="T172" s="33" t="e">
        <f ca="1"/>
        <v>#N/A</v>
      </c>
      <c r="U172" s="25" t="e">
        <f ca="1"/>
        <v>#N/A</v>
      </c>
      <c r="V172" s="36" t="e">
        <f ca="1"/>
        <v>#N/A</v>
      </c>
      <c r="W172" s="37" t="e">
        <f ca="1"/>
        <v>#N/A</v>
      </c>
      <c r="X172" s="31" t="s">
        <v>1</v>
      </c>
    </row>
    <row r="173" spans="4:24" x14ac:dyDescent="0.25">
      <c r="D173" s="31" t="s">
        <v>1</v>
      </c>
      <c r="E173" s="43">
        <v>165</v>
      </c>
      <c r="F173" s="25" t="e">
        <f ca="1">IF(ISNA(H173),NA(),IF(ISBLANK(G173),IF(FixedAmortizationFrequency=0,F172,IF(MOD((E173-1),FixedAmortizationFrequency)&lt;&gt;0,F172,F172-FixedAmortization)),G173))</f>
        <v>#N/A</v>
      </c>
      <c r="G173" s="67"/>
      <c r="H173" s="63" t="e">
        <f ca="1"/>
        <v>#N/A</v>
      </c>
      <c r="I173" s="33" t="e">
        <f ca="1"/>
        <v>#N/A</v>
      </c>
      <c r="J173" s="33" t="e">
        <f ca="1"/>
        <v>#N/A</v>
      </c>
      <c r="K173" s="25" t="e">
        <f ca="1"/>
        <v>#N/A</v>
      </c>
      <c r="L173" s="36" t="e">
        <f ca="1"/>
        <v>#N/A</v>
      </c>
      <c r="M173" s="37" t="e">
        <f ca="1"/>
        <v>#N/A</v>
      </c>
      <c r="N173" s="38" t="s">
        <v>1</v>
      </c>
      <c r="O173" s="43">
        <v>165</v>
      </c>
      <c r="P173" s="25" t="e">
        <f ca="1">IF(ISNA(R173),NA(),IF(ISBLANK(Q173),IF(FloatAmortizationFrequency=0,P172,IF(MOD((O173-1),FloatAmortizationFrequency)&lt;&gt;0,P172,P172-FloatAmortization)),Q173))</f>
        <v>#N/A</v>
      </c>
      <c r="Q173" s="67"/>
      <c r="R173" s="33" t="e">
        <f ca="1"/>
        <v>#N/A</v>
      </c>
      <c r="S173" s="33" t="e">
        <f ca="1"/>
        <v>#N/A</v>
      </c>
      <c r="T173" s="33" t="e">
        <f ca="1"/>
        <v>#N/A</v>
      </c>
      <c r="U173" s="25" t="e">
        <f ca="1"/>
        <v>#N/A</v>
      </c>
      <c r="V173" s="36" t="e">
        <f ca="1"/>
        <v>#N/A</v>
      </c>
      <c r="W173" s="37" t="e">
        <f ca="1"/>
        <v>#N/A</v>
      </c>
      <c r="X173" s="31" t="s">
        <v>1</v>
      </c>
    </row>
    <row r="174" spans="4:24" x14ac:dyDescent="0.25">
      <c r="D174" s="31" t="s">
        <v>1</v>
      </c>
      <c r="E174" s="43">
        <v>166</v>
      </c>
      <c r="F174" s="25" t="e">
        <f ca="1">IF(ISNA(H174),NA(),IF(ISBLANK(G174),IF(FixedAmortizationFrequency=0,F173,IF(MOD((E174-1),FixedAmortizationFrequency)&lt;&gt;0,F173,F173-FixedAmortization)),G174))</f>
        <v>#N/A</v>
      </c>
      <c r="G174" s="67"/>
      <c r="H174" s="63" t="e">
        <f ca="1"/>
        <v>#N/A</v>
      </c>
      <c r="I174" s="33" t="e">
        <f ca="1"/>
        <v>#N/A</v>
      </c>
      <c r="J174" s="33" t="e">
        <f ca="1"/>
        <v>#N/A</v>
      </c>
      <c r="K174" s="25" t="e">
        <f ca="1"/>
        <v>#N/A</v>
      </c>
      <c r="L174" s="36" t="e">
        <f ca="1"/>
        <v>#N/A</v>
      </c>
      <c r="M174" s="37" t="e">
        <f ca="1"/>
        <v>#N/A</v>
      </c>
      <c r="N174" s="38" t="s">
        <v>1</v>
      </c>
      <c r="O174" s="43">
        <v>166</v>
      </c>
      <c r="P174" s="25" t="e">
        <f ca="1">IF(ISNA(R174),NA(),IF(ISBLANK(Q174),IF(FloatAmortizationFrequency=0,P173,IF(MOD((O174-1),FloatAmortizationFrequency)&lt;&gt;0,P173,P173-FloatAmortization)),Q174))</f>
        <v>#N/A</v>
      </c>
      <c r="Q174" s="67"/>
      <c r="R174" s="33" t="e">
        <f ca="1"/>
        <v>#N/A</v>
      </c>
      <c r="S174" s="33" t="e">
        <f ca="1"/>
        <v>#N/A</v>
      </c>
      <c r="T174" s="33" t="e">
        <f ca="1"/>
        <v>#N/A</v>
      </c>
      <c r="U174" s="25" t="e">
        <f ca="1"/>
        <v>#N/A</v>
      </c>
      <c r="V174" s="36" t="e">
        <f ca="1"/>
        <v>#N/A</v>
      </c>
      <c r="W174" s="37" t="e">
        <f ca="1"/>
        <v>#N/A</v>
      </c>
      <c r="X174" s="31" t="s">
        <v>1</v>
      </c>
    </row>
    <row r="175" spans="4:24" x14ac:dyDescent="0.25">
      <c r="D175" s="31" t="s">
        <v>1</v>
      </c>
      <c r="E175" s="43">
        <v>167</v>
      </c>
      <c r="F175" s="25" t="e">
        <f ca="1">IF(ISNA(H175),NA(),IF(ISBLANK(G175),IF(FixedAmortizationFrequency=0,F174,IF(MOD((E175-1),FixedAmortizationFrequency)&lt;&gt;0,F174,F174-FixedAmortization)),G175))</f>
        <v>#N/A</v>
      </c>
      <c r="G175" s="67"/>
      <c r="H175" s="63" t="e">
        <f ca="1"/>
        <v>#N/A</v>
      </c>
      <c r="I175" s="33" t="e">
        <f ca="1"/>
        <v>#N/A</v>
      </c>
      <c r="J175" s="33" t="e">
        <f ca="1"/>
        <v>#N/A</v>
      </c>
      <c r="K175" s="25" t="e">
        <f ca="1"/>
        <v>#N/A</v>
      </c>
      <c r="L175" s="36" t="e">
        <f ca="1"/>
        <v>#N/A</v>
      </c>
      <c r="M175" s="37" t="e">
        <f ca="1"/>
        <v>#N/A</v>
      </c>
      <c r="N175" s="38" t="s">
        <v>1</v>
      </c>
      <c r="O175" s="43">
        <v>167</v>
      </c>
      <c r="P175" s="25" t="e">
        <f ca="1">IF(ISNA(R175),NA(),IF(ISBLANK(Q175),IF(FloatAmortizationFrequency=0,P174,IF(MOD((O175-1),FloatAmortizationFrequency)&lt;&gt;0,P174,P174-FloatAmortization)),Q175))</f>
        <v>#N/A</v>
      </c>
      <c r="Q175" s="67"/>
      <c r="R175" s="33" t="e">
        <f ca="1"/>
        <v>#N/A</v>
      </c>
      <c r="S175" s="33" t="e">
        <f ca="1"/>
        <v>#N/A</v>
      </c>
      <c r="T175" s="33" t="e">
        <f ca="1"/>
        <v>#N/A</v>
      </c>
      <c r="U175" s="25" t="e">
        <f ca="1"/>
        <v>#N/A</v>
      </c>
      <c r="V175" s="36" t="e">
        <f ca="1"/>
        <v>#N/A</v>
      </c>
      <c r="W175" s="37" t="e">
        <f ca="1"/>
        <v>#N/A</v>
      </c>
      <c r="X175" s="31" t="s">
        <v>1</v>
      </c>
    </row>
    <row r="176" spans="4:24" x14ac:dyDescent="0.25">
      <c r="D176" s="31" t="s">
        <v>1</v>
      </c>
      <c r="E176" s="43">
        <v>168</v>
      </c>
      <c r="F176" s="25" t="e">
        <f ca="1">IF(ISNA(H176),NA(),IF(ISBLANK(G176),IF(FixedAmortizationFrequency=0,F175,IF(MOD((E176-1),FixedAmortizationFrequency)&lt;&gt;0,F175,F175-FixedAmortization)),G176))</f>
        <v>#N/A</v>
      </c>
      <c r="G176" s="67"/>
      <c r="H176" s="63" t="e">
        <f ca="1"/>
        <v>#N/A</v>
      </c>
      <c r="I176" s="33" t="e">
        <f ca="1"/>
        <v>#N/A</v>
      </c>
      <c r="J176" s="33" t="e">
        <f ca="1"/>
        <v>#N/A</v>
      </c>
      <c r="K176" s="25" t="e">
        <f ca="1"/>
        <v>#N/A</v>
      </c>
      <c r="L176" s="36" t="e">
        <f ca="1"/>
        <v>#N/A</v>
      </c>
      <c r="M176" s="37" t="e">
        <f ca="1"/>
        <v>#N/A</v>
      </c>
      <c r="N176" s="38" t="s">
        <v>1</v>
      </c>
      <c r="O176" s="43">
        <v>168</v>
      </c>
      <c r="P176" s="25" t="e">
        <f ca="1">IF(ISNA(R176),NA(),IF(ISBLANK(Q176),IF(FloatAmortizationFrequency=0,P175,IF(MOD((O176-1),FloatAmortizationFrequency)&lt;&gt;0,P175,P175-FloatAmortization)),Q176))</f>
        <v>#N/A</v>
      </c>
      <c r="Q176" s="67"/>
      <c r="R176" s="33" t="e">
        <f ca="1"/>
        <v>#N/A</v>
      </c>
      <c r="S176" s="33" t="e">
        <f ca="1"/>
        <v>#N/A</v>
      </c>
      <c r="T176" s="33" t="e">
        <f ca="1"/>
        <v>#N/A</v>
      </c>
      <c r="U176" s="25" t="e">
        <f ca="1"/>
        <v>#N/A</v>
      </c>
      <c r="V176" s="36" t="e">
        <f ca="1"/>
        <v>#N/A</v>
      </c>
      <c r="W176" s="37" t="e">
        <f ca="1"/>
        <v>#N/A</v>
      </c>
      <c r="X176" s="31" t="s">
        <v>1</v>
      </c>
    </row>
    <row r="177" spans="4:24" x14ac:dyDescent="0.25">
      <c r="D177" s="31" t="s">
        <v>1</v>
      </c>
      <c r="E177" s="43">
        <v>169</v>
      </c>
      <c r="F177" s="25" t="e">
        <f ca="1">IF(ISNA(H177),NA(),IF(ISBLANK(G177),IF(FixedAmortizationFrequency=0,F176,IF(MOD((E177-1),FixedAmortizationFrequency)&lt;&gt;0,F176,F176-FixedAmortization)),G177))</f>
        <v>#N/A</v>
      </c>
      <c r="G177" s="67"/>
      <c r="H177" s="63" t="e">
        <f ca="1"/>
        <v>#N/A</v>
      </c>
      <c r="I177" s="33" t="e">
        <f ca="1"/>
        <v>#N/A</v>
      </c>
      <c r="J177" s="33" t="e">
        <f ca="1"/>
        <v>#N/A</v>
      </c>
      <c r="K177" s="25" t="e">
        <f ca="1"/>
        <v>#N/A</v>
      </c>
      <c r="L177" s="36" t="e">
        <f ca="1"/>
        <v>#N/A</v>
      </c>
      <c r="M177" s="37" t="e">
        <f ca="1"/>
        <v>#N/A</v>
      </c>
      <c r="N177" s="38" t="s">
        <v>1</v>
      </c>
      <c r="O177" s="43">
        <v>169</v>
      </c>
      <c r="P177" s="25" t="e">
        <f ca="1">IF(ISNA(R177),NA(),IF(ISBLANK(Q177),IF(FloatAmortizationFrequency=0,P176,IF(MOD((O177-1),FloatAmortizationFrequency)&lt;&gt;0,P176,P176-FloatAmortization)),Q177))</f>
        <v>#N/A</v>
      </c>
      <c r="Q177" s="67"/>
      <c r="R177" s="33" t="e">
        <f ca="1"/>
        <v>#N/A</v>
      </c>
      <c r="S177" s="33" t="e">
        <f ca="1"/>
        <v>#N/A</v>
      </c>
      <c r="T177" s="33" t="e">
        <f ca="1"/>
        <v>#N/A</v>
      </c>
      <c r="U177" s="25" t="e">
        <f ca="1"/>
        <v>#N/A</v>
      </c>
      <c r="V177" s="36" t="e">
        <f ca="1"/>
        <v>#N/A</v>
      </c>
      <c r="W177" s="37" t="e">
        <f ca="1"/>
        <v>#N/A</v>
      </c>
      <c r="X177" s="31" t="s">
        <v>1</v>
      </c>
    </row>
    <row r="178" spans="4:24" x14ac:dyDescent="0.25">
      <c r="D178" s="31" t="s">
        <v>1</v>
      </c>
      <c r="E178" s="43">
        <v>170</v>
      </c>
      <c r="F178" s="25" t="e">
        <f ca="1">IF(ISNA(H178),NA(),IF(ISBLANK(G178),IF(FixedAmortizationFrequency=0,F177,IF(MOD((E178-1),FixedAmortizationFrequency)&lt;&gt;0,F177,F177-FixedAmortization)),G178))</f>
        <v>#N/A</v>
      </c>
      <c r="G178" s="67"/>
      <c r="H178" s="63" t="e">
        <f ca="1"/>
        <v>#N/A</v>
      </c>
      <c r="I178" s="33" t="e">
        <f ca="1"/>
        <v>#N/A</v>
      </c>
      <c r="J178" s="33" t="e">
        <f ca="1"/>
        <v>#N/A</v>
      </c>
      <c r="K178" s="25" t="e">
        <f ca="1"/>
        <v>#N/A</v>
      </c>
      <c r="L178" s="36" t="e">
        <f ca="1"/>
        <v>#N/A</v>
      </c>
      <c r="M178" s="37" t="e">
        <f ca="1"/>
        <v>#N/A</v>
      </c>
      <c r="N178" s="38" t="s">
        <v>1</v>
      </c>
      <c r="O178" s="43">
        <v>170</v>
      </c>
      <c r="P178" s="25" t="e">
        <f ca="1">IF(ISNA(R178),NA(),IF(ISBLANK(Q178),IF(FloatAmortizationFrequency=0,P177,IF(MOD((O178-1),FloatAmortizationFrequency)&lt;&gt;0,P177,P177-FloatAmortization)),Q178))</f>
        <v>#N/A</v>
      </c>
      <c r="Q178" s="67"/>
      <c r="R178" s="33" t="e">
        <f ca="1"/>
        <v>#N/A</v>
      </c>
      <c r="S178" s="33" t="e">
        <f ca="1"/>
        <v>#N/A</v>
      </c>
      <c r="T178" s="33" t="e">
        <f ca="1"/>
        <v>#N/A</v>
      </c>
      <c r="U178" s="25" t="e">
        <f ca="1"/>
        <v>#N/A</v>
      </c>
      <c r="V178" s="36" t="e">
        <f ca="1"/>
        <v>#N/A</v>
      </c>
      <c r="W178" s="37" t="e">
        <f ca="1"/>
        <v>#N/A</v>
      </c>
      <c r="X178" s="31" t="s">
        <v>1</v>
      </c>
    </row>
    <row r="179" spans="4:24" x14ac:dyDescent="0.25">
      <c r="D179" s="31" t="s">
        <v>1</v>
      </c>
      <c r="E179" s="43">
        <v>171</v>
      </c>
      <c r="F179" s="25" t="e">
        <f ca="1">IF(ISNA(H179),NA(),IF(ISBLANK(G179),IF(FixedAmortizationFrequency=0,F178,IF(MOD((E179-1),FixedAmortizationFrequency)&lt;&gt;0,F178,F178-FixedAmortization)),G179))</f>
        <v>#N/A</v>
      </c>
      <c r="G179" s="67"/>
      <c r="H179" s="63" t="e">
        <f ca="1"/>
        <v>#N/A</v>
      </c>
      <c r="I179" s="33" t="e">
        <f ca="1"/>
        <v>#N/A</v>
      </c>
      <c r="J179" s="33" t="e">
        <f ca="1"/>
        <v>#N/A</v>
      </c>
      <c r="K179" s="25" t="e">
        <f ca="1"/>
        <v>#N/A</v>
      </c>
      <c r="L179" s="36" t="e">
        <f ca="1"/>
        <v>#N/A</v>
      </c>
      <c r="M179" s="37" t="e">
        <f ca="1"/>
        <v>#N/A</v>
      </c>
      <c r="N179" s="38" t="s">
        <v>1</v>
      </c>
      <c r="O179" s="43">
        <v>171</v>
      </c>
      <c r="P179" s="25" t="e">
        <f ca="1">IF(ISNA(R179),NA(),IF(ISBLANK(Q179),IF(FloatAmortizationFrequency=0,P178,IF(MOD((O179-1),FloatAmortizationFrequency)&lt;&gt;0,P178,P178-FloatAmortization)),Q179))</f>
        <v>#N/A</v>
      </c>
      <c r="Q179" s="67"/>
      <c r="R179" s="33" t="e">
        <f ca="1"/>
        <v>#N/A</v>
      </c>
      <c r="S179" s="33" t="e">
        <f ca="1"/>
        <v>#N/A</v>
      </c>
      <c r="T179" s="33" t="e">
        <f ca="1"/>
        <v>#N/A</v>
      </c>
      <c r="U179" s="25" t="e">
        <f ca="1"/>
        <v>#N/A</v>
      </c>
      <c r="V179" s="36" t="e">
        <f ca="1"/>
        <v>#N/A</v>
      </c>
      <c r="W179" s="37" t="e">
        <f ca="1"/>
        <v>#N/A</v>
      </c>
      <c r="X179" s="31" t="s">
        <v>1</v>
      </c>
    </row>
    <row r="180" spans="4:24" x14ac:dyDescent="0.25">
      <c r="D180" s="31" t="s">
        <v>1</v>
      </c>
      <c r="E180" s="43">
        <v>172</v>
      </c>
      <c r="F180" s="25" t="e">
        <f ca="1">IF(ISNA(H180),NA(),IF(ISBLANK(G180),IF(FixedAmortizationFrequency=0,F179,IF(MOD((E180-1),FixedAmortizationFrequency)&lt;&gt;0,F179,F179-FixedAmortization)),G180))</f>
        <v>#N/A</v>
      </c>
      <c r="G180" s="67"/>
      <c r="H180" s="63" t="e">
        <f ca="1"/>
        <v>#N/A</v>
      </c>
      <c r="I180" s="33" t="e">
        <f ca="1"/>
        <v>#N/A</v>
      </c>
      <c r="J180" s="33" t="e">
        <f ca="1"/>
        <v>#N/A</v>
      </c>
      <c r="K180" s="25" t="e">
        <f ca="1"/>
        <v>#N/A</v>
      </c>
      <c r="L180" s="36" t="e">
        <f ca="1"/>
        <v>#N/A</v>
      </c>
      <c r="M180" s="37" t="e">
        <f ca="1"/>
        <v>#N/A</v>
      </c>
      <c r="N180" s="38" t="s">
        <v>1</v>
      </c>
      <c r="O180" s="43">
        <v>172</v>
      </c>
      <c r="P180" s="25" t="e">
        <f ca="1">IF(ISNA(R180),NA(),IF(ISBLANK(Q180),IF(FloatAmortizationFrequency=0,P179,IF(MOD((O180-1),FloatAmortizationFrequency)&lt;&gt;0,P179,P179-FloatAmortization)),Q180))</f>
        <v>#N/A</v>
      </c>
      <c r="Q180" s="67"/>
      <c r="R180" s="33" t="e">
        <f ca="1"/>
        <v>#N/A</v>
      </c>
      <c r="S180" s="33" t="e">
        <f ca="1"/>
        <v>#N/A</v>
      </c>
      <c r="T180" s="33" t="e">
        <f ca="1"/>
        <v>#N/A</v>
      </c>
      <c r="U180" s="25" t="e">
        <f ca="1"/>
        <v>#N/A</v>
      </c>
      <c r="V180" s="36" t="e">
        <f ca="1"/>
        <v>#N/A</v>
      </c>
      <c r="W180" s="37" t="e">
        <f ca="1"/>
        <v>#N/A</v>
      </c>
      <c r="X180" s="31" t="s">
        <v>1</v>
      </c>
    </row>
    <row r="181" spans="4:24" x14ac:dyDescent="0.25">
      <c r="D181" s="31" t="s">
        <v>1</v>
      </c>
      <c r="E181" s="43">
        <v>173</v>
      </c>
      <c r="F181" s="25" t="e">
        <f ca="1">IF(ISNA(H181),NA(),IF(ISBLANK(G181),IF(FixedAmortizationFrequency=0,F180,IF(MOD((E181-1),FixedAmortizationFrequency)&lt;&gt;0,F180,F180-FixedAmortization)),G181))</f>
        <v>#N/A</v>
      </c>
      <c r="G181" s="67"/>
      <c r="H181" s="63" t="e">
        <f ca="1"/>
        <v>#N/A</v>
      </c>
      <c r="I181" s="33" t="e">
        <f ca="1"/>
        <v>#N/A</v>
      </c>
      <c r="J181" s="33" t="e">
        <f ca="1"/>
        <v>#N/A</v>
      </c>
      <c r="K181" s="25" t="e">
        <f ca="1"/>
        <v>#N/A</v>
      </c>
      <c r="L181" s="36" t="e">
        <f ca="1"/>
        <v>#N/A</v>
      </c>
      <c r="M181" s="37" t="e">
        <f ca="1"/>
        <v>#N/A</v>
      </c>
      <c r="N181" s="38" t="s">
        <v>1</v>
      </c>
      <c r="O181" s="43">
        <v>173</v>
      </c>
      <c r="P181" s="25" t="e">
        <f ca="1">IF(ISNA(R181),NA(),IF(ISBLANK(Q181),IF(FloatAmortizationFrequency=0,P180,IF(MOD((O181-1),FloatAmortizationFrequency)&lt;&gt;0,P180,P180-FloatAmortization)),Q181))</f>
        <v>#N/A</v>
      </c>
      <c r="Q181" s="67"/>
      <c r="R181" s="33" t="e">
        <f ca="1"/>
        <v>#N/A</v>
      </c>
      <c r="S181" s="33" t="e">
        <f ca="1"/>
        <v>#N/A</v>
      </c>
      <c r="T181" s="33" t="e">
        <f ca="1"/>
        <v>#N/A</v>
      </c>
      <c r="U181" s="25" t="e">
        <f ca="1"/>
        <v>#N/A</v>
      </c>
      <c r="V181" s="36" t="e">
        <f ca="1"/>
        <v>#N/A</v>
      </c>
      <c r="W181" s="37" t="e">
        <f ca="1"/>
        <v>#N/A</v>
      </c>
      <c r="X181" s="31" t="s">
        <v>1</v>
      </c>
    </row>
    <row r="182" spans="4:24" x14ac:dyDescent="0.25">
      <c r="D182" s="31" t="s">
        <v>1</v>
      </c>
      <c r="E182" s="43">
        <v>174</v>
      </c>
      <c r="F182" s="25" t="e">
        <f ca="1">IF(ISNA(H182),NA(),IF(ISBLANK(G182),IF(FixedAmortizationFrequency=0,F181,IF(MOD((E182-1),FixedAmortizationFrequency)&lt;&gt;0,F181,F181-FixedAmortization)),G182))</f>
        <v>#N/A</v>
      </c>
      <c r="G182" s="67"/>
      <c r="H182" s="63" t="e">
        <f ca="1"/>
        <v>#N/A</v>
      </c>
      <c r="I182" s="33" t="e">
        <f ca="1"/>
        <v>#N/A</v>
      </c>
      <c r="J182" s="33" t="e">
        <f ca="1"/>
        <v>#N/A</v>
      </c>
      <c r="K182" s="25" t="e">
        <f ca="1"/>
        <v>#N/A</v>
      </c>
      <c r="L182" s="36" t="e">
        <f ca="1"/>
        <v>#N/A</v>
      </c>
      <c r="M182" s="37" t="e">
        <f ca="1"/>
        <v>#N/A</v>
      </c>
      <c r="N182" s="38" t="s">
        <v>1</v>
      </c>
      <c r="O182" s="43">
        <v>174</v>
      </c>
      <c r="P182" s="25" t="e">
        <f ca="1">IF(ISNA(R182),NA(),IF(ISBLANK(Q182),IF(FloatAmortizationFrequency=0,P181,IF(MOD((O182-1),FloatAmortizationFrequency)&lt;&gt;0,P181,P181-FloatAmortization)),Q182))</f>
        <v>#N/A</v>
      </c>
      <c r="Q182" s="67"/>
      <c r="R182" s="33" t="e">
        <f ca="1"/>
        <v>#N/A</v>
      </c>
      <c r="S182" s="33" t="e">
        <f ca="1"/>
        <v>#N/A</v>
      </c>
      <c r="T182" s="33" t="e">
        <f ca="1"/>
        <v>#N/A</v>
      </c>
      <c r="U182" s="25" t="e">
        <f ca="1"/>
        <v>#N/A</v>
      </c>
      <c r="V182" s="36" t="e">
        <f ca="1"/>
        <v>#N/A</v>
      </c>
      <c r="W182" s="37" t="e">
        <f ca="1"/>
        <v>#N/A</v>
      </c>
      <c r="X182" s="31" t="s">
        <v>1</v>
      </c>
    </row>
    <row r="183" spans="4:24" x14ac:dyDescent="0.25">
      <c r="D183" s="31" t="s">
        <v>1</v>
      </c>
      <c r="E183" s="43">
        <v>175</v>
      </c>
      <c r="F183" s="25" t="e">
        <f ca="1">IF(ISNA(H183),NA(),IF(ISBLANK(G183),IF(FixedAmortizationFrequency=0,F182,IF(MOD((E183-1),FixedAmortizationFrequency)&lt;&gt;0,F182,F182-FixedAmortization)),G183))</f>
        <v>#N/A</v>
      </c>
      <c r="G183" s="67"/>
      <c r="H183" s="63" t="e">
        <f ca="1"/>
        <v>#N/A</v>
      </c>
      <c r="I183" s="33" t="e">
        <f ca="1"/>
        <v>#N/A</v>
      </c>
      <c r="J183" s="33" t="e">
        <f ca="1"/>
        <v>#N/A</v>
      </c>
      <c r="K183" s="25" t="e">
        <f ca="1"/>
        <v>#N/A</v>
      </c>
      <c r="L183" s="36" t="e">
        <f ca="1"/>
        <v>#N/A</v>
      </c>
      <c r="M183" s="37" t="e">
        <f ca="1"/>
        <v>#N/A</v>
      </c>
      <c r="N183" s="38" t="s">
        <v>1</v>
      </c>
      <c r="O183" s="43">
        <v>175</v>
      </c>
      <c r="P183" s="25" t="e">
        <f ca="1">IF(ISNA(R183),NA(),IF(ISBLANK(Q183),IF(FloatAmortizationFrequency=0,P182,IF(MOD((O183-1),FloatAmortizationFrequency)&lt;&gt;0,P182,P182-FloatAmortization)),Q183))</f>
        <v>#N/A</v>
      </c>
      <c r="Q183" s="67"/>
      <c r="R183" s="33" t="e">
        <f ca="1"/>
        <v>#N/A</v>
      </c>
      <c r="S183" s="33" t="e">
        <f ca="1"/>
        <v>#N/A</v>
      </c>
      <c r="T183" s="33" t="e">
        <f ca="1"/>
        <v>#N/A</v>
      </c>
      <c r="U183" s="25" t="e">
        <f ca="1"/>
        <v>#N/A</v>
      </c>
      <c r="V183" s="36" t="e">
        <f ca="1"/>
        <v>#N/A</v>
      </c>
      <c r="W183" s="37" t="e">
        <f ca="1"/>
        <v>#N/A</v>
      </c>
      <c r="X183" s="31" t="s">
        <v>1</v>
      </c>
    </row>
    <row r="184" spans="4:24" x14ac:dyDescent="0.25">
      <c r="D184" s="31" t="s">
        <v>1</v>
      </c>
      <c r="E184" s="43">
        <v>176</v>
      </c>
      <c r="F184" s="25" t="e">
        <f ca="1">IF(ISNA(H184),NA(),IF(ISBLANK(G184),IF(FixedAmortizationFrequency=0,F183,IF(MOD((E184-1),FixedAmortizationFrequency)&lt;&gt;0,F183,F183-FixedAmortization)),G184))</f>
        <v>#N/A</v>
      </c>
      <c r="G184" s="67"/>
      <c r="H184" s="63" t="e">
        <f ca="1"/>
        <v>#N/A</v>
      </c>
      <c r="I184" s="33" t="e">
        <f ca="1"/>
        <v>#N/A</v>
      </c>
      <c r="J184" s="33" t="e">
        <f ca="1"/>
        <v>#N/A</v>
      </c>
      <c r="K184" s="25" t="e">
        <f ca="1"/>
        <v>#N/A</v>
      </c>
      <c r="L184" s="36" t="e">
        <f ca="1"/>
        <v>#N/A</v>
      </c>
      <c r="M184" s="37" t="e">
        <f ca="1"/>
        <v>#N/A</v>
      </c>
      <c r="N184" s="38" t="s">
        <v>1</v>
      </c>
      <c r="O184" s="43">
        <v>176</v>
      </c>
      <c r="P184" s="25" t="e">
        <f ca="1">IF(ISNA(R184),NA(),IF(ISBLANK(Q184),IF(FloatAmortizationFrequency=0,P183,IF(MOD((O184-1),FloatAmortizationFrequency)&lt;&gt;0,P183,P183-FloatAmortization)),Q184))</f>
        <v>#N/A</v>
      </c>
      <c r="Q184" s="67"/>
      <c r="R184" s="33" t="e">
        <f ca="1"/>
        <v>#N/A</v>
      </c>
      <c r="S184" s="33" t="e">
        <f ca="1"/>
        <v>#N/A</v>
      </c>
      <c r="T184" s="33" t="e">
        <f ca="1"/>
        <v>#N/A</v>
      </c>
      <c r="U184" s="25" t="e">
        <f ca="1"/>
        <v>#N/A</v>
      </c>
      <c r="V184" s="36" t="e">
        <f ca="1"/>
        <v>#N/A</v>
      </c>
      <c r="W184" s="37" t="e">
        <f ca="1"/>
        <v>#N/A</v>
      </c>
      <c r="X184" s="31" t="s">
        <v>1</v>
      </c>
    </row>
    <row r="185" spans="4:24" x14ac:dyDescent="0.25">
      <c r="D185" s="31" t="s">
        <v>1</v>
      </c>
      <c r="E185" s="43">
        <v>177</v>
      </c>
      <c r="F185" s="25" t="e">
        <f ca="1">IF(ISNA(H185),NA(),IF(ISBLANK(G185),IF(FixedAmortizationFrequency=0,F184,IF(MOD((E185-1),FixedAmortizationFrequency)&lt;&gt;0,F184,F184-FixedAmortization)),G185))</f>
        <v>#N/A</v>
      </c>
      <c r="G185" s="67"/>
      <c r="H185" s="63" t="e">
        <f ca="1"/>
        <v>#N/A</v>
      </c>
      <c r="I185" s="33" t="e">
        <f ca="1"/>
        <v>#N/A</v>
      </c>
      <c r="J185" s="33" t="e">
        <f ca="1"/>
        <v>#N/A</v>
      </c>
      <c r="K185" s="25" t="e">
        <f ca="1"/>
        <v>#N/A</v>
      </c>
      <c r="L185" s="36" t="e">
        <f ca="1"/>
        <v>#N/A</v>
      </c>
      <c r="M185" s="37" t="e">
        <f ca="1"/>
        <v>#N/A</v>
      </c>
      <c r="N185" s="38" t="s">
        <v>1</v>
      </c>
      <c r="O185" s="43">
        <v>177</v>
      </c>
      <c r="P185" s="25" t="e">
        <f ca="1">IF(ISNA(R185),NA(),IF(ISBLANK(Q185),IF(FloatAmortizationFrequency=0,P184,IF(MOD((O185-1),FloatAmortizationFrequency)&lt;&gt;0,P184,P184-FloatAmortization)),Q185))</f>
        <v>#N/A</v>
      </c>
      <c r="Q185" s="67"/>
      <c r="R185" s="33" t="e">
        <f ca="1"/>
        <v>#N/A</v>
      </c>
      <c r="S185" s="33" t="e">
        <f ca="1"/>
        <v>#N/A</v>
      </c>
      <c r="T185" s="33" t="e">
        <f ca="1"/>
        <v>#N/A</v>
      </c>
      <c r="U185" s="25" t="e">
        <f ca="1"/>
        <v>#N/A</v>
      </c>
      <c r="V185" s="36" t="e">
        <f ca="1"/>
        <v>#N/A</v>
      </c>
      <c r="W185" s="37" t="e">
        <f ca="1"/>
        <v>#N/A</v>
      </c>
      <c r="X185" s="31" t="s">
        <v>1</v>
      </c>
    </row>
    <row r="186" spans="4:24" x14ac:dyDescent="0.25">
      <c r="D186" s="31" t="s">
        <v>1</v>
      </c>
      <c r="E186" s="43">
        <v>178</v>
      </c>
      <c r="F186" s="25" t="e">
        <f ca="1">IF(ISNA(H186),NA(),IF(ISBLANK(G186),IF(FixedAmortizationFrequency=0,F185,IF(MOD((E186-1),FixedAmortizationFrequency)&lt;&gt;0,F185,F185-FixedAmortization)),G186))</f>
        <v>#N/A</v>
      </c>
      <c r="G186" s="67"/>
      <c r="H186" s="63" t="e">
        <f ca="1"/>
        <v>#N/A</v>
      </c>
      <c r="I186" s="33" t="e">
        <f ca="1"/>
        <v>#N/A</v>
      </c>
      <c r="J186" s="33" t="e">
        <f ca="1"/>
        <v>#N/A</v>
      </c>
      <c r="K186" s="25" t="e">
        <f ca="1"/>
        <v>#N/A</v>
      </c>
      <c r="L186" s="36" t="e">
        <f ca="1"/>
        <v>#N/A</v>
      </c>
      <c r="M186" s="37" t="e">
        <f ca="1"/>
        <v>#N/A</v>
      </c>
      <c r="N186" s="38" t="s">
        <v>1</v>
      </c>
      <c r="O186" s="43">
        <v>178</v>
      </c>
      <c r="P186" s="25" t="e">
        <f ca="1">IF(ISNA(R186),NA(),IF(ISBLANK(Q186),IF(FloatAmortizationFrequency=0,P185,IF(MOD((O186-1),FloatAmortizationFrequency)&lt;&gt;0,P185,P185-FloatAmortization)),Q186))</f>
        <v>#N/A</v>
      </c>
      <c r="Q186" s="67"/>
      <c r="R186" s="33" t="e">
        <f ca="1"/>
        <v>#N/A</v>
      </c>
      <c r="S186" s="33" t="e">
        <f ca="1"/>
        <v>#N/A</v>
      </c>
      <c r="T186" s="33" t="e">
        <f ca="1"/>
        <v>#N/A</v>
      </c>
      <c r="U186" s="25" t="e">
        <f ca="1"/>
        <v>#N/A</v>
      </c>
      <c r="V186" s="36" t="e">
        <f ca="1"/>
        <v>#N/A</v>
      </c>
      <c r="W186" s="37" t="e">
        <f ca="1"/>
        <v>#N/A</v>
      </c>
      <c r="X186" s="31" t="s">
        <v>1</v>
      </c>
    </row>
    <row r="187" spans="4:24" x14ac:dyDescent="0.25">
      <c r="D187" s="31" t="s">
        <v>1</v>
      </c>
      <c r="E187" s="43">
        <v>179</v>
      </c>
      <c r="F187" s="25" t="e">
        <f ca="1">IF(ISNA(H187),NA(),IF(ISBLANK(G187),IF(FixedAmortizationFrequency=0,F186,IF(MOD((E187-1),FixedAmortizationFrequency)&lt;&gt;0,F186,F186-FixedAmortization)),G187))</f>
        <v>#N/A</v>
      </c>
      <c r="G187" s="67"/>
      <c r="H187" s="63" t="e">
        <f ca="1"/>
        <v>#N/A</v>
      </c>
      <c r="I187" s="33" t="e">
        <f ca="1"/>
        <v>#N/A</v>
      </c>
      <c r="J187" s="33" t="e">
        <f ca="1"/>
        <v>#N/A</v>
      </c>
      <c r="K187" s="25" t="e">
        <f ca="1"/>
        <v>#N/A</v>
      </c>
      <c r="L187" s="36" t="e">
        <f ca="1"/>
        <v>#N/A</v>
      </c>
      <c r="M187" s="37" t="e">
        <f ca="1"/>
        <v>#N/A</v>
      </c>
      <c r="N187" s="38" t="s">
        <v>1</v>
      </c>
      <c r="O187" s="43">
        <v>179</v>
      </c>
      <c r="P187" s="25" t="e">
        <f ca="1">IF(ISNA(R187),NA(),IF(ISBLANK(Q187),IF(FloatAmortizationFrequency=0,P186,IF(MOD((O187-1),FloatAmortizationFrequency)&lt;&gt;0,P186,P186-FloatAmortization)),Q187))</f>
        <v>#N/A</v>
      </c>
      <c r="Q187" s="67"/>
      <c r="R187" s="33" t="e">
        <f ca="1"/>
        <v>#N/A</v>
      </c>
      <c r="S187" s="33" t="e">
        <f ca="1"/>
        <v>#N/A</v>
      </c>
      <c r="T187" s="33" t="e">
        <f ca="1"/>
        <v>#N/A</v>
      </c>
      <c r="U187" s="25" t="e">
        <f ca="1"/>
        <v>#N/A</v>
      </c>
      <c r="V187" s="36" t="e">
        <f ca="1"/>
        <v>#N/A</v>
      </c>
      <c r="W187" s="37" t="e">
        <f ca="1"/>
        <v>#N/A</v>
      </c>
      <c r="X187" s="31" t="s">
        <v>1</v>
      </c>
    </row>
    <row r="188" spans="4:24" x14ac:dyDescent="0.25">
      <c r="D188" s="31" t="s">
        <v>1</v>
      </c>
      <c r="E188" s="43">
        <v>180</v>
      </c>
      <c r="F188" s="25" t="e">
        <f ca="1">IF(ISNA(H188),NA(),IF(ISBLANK(G188),IF(FixedAmortizationFrequency=0,F187,IF(MOD((E188-1),FixedAmortizationFrequency)&lt;&gt;0,F187,F187-FixedAmortization)),G188))</f>
        <v>#N/A</v>
      </c>
      <c r="G188" s="67"/>
      <c r="H188" s="63" t="e">
        <f ca="1"/>
        <v>#N/A</v>
      </c>
      <c r="I188" s="33" t="e">
        <f ca="1"/>
        <v>#N/A</v>
      </c>
      <c r="J188" s="33" t="e">
        <f ca="1"/>
        <v>#N/A</v>
      </c>
      <c r="K188" s="25" t="e">
        <f ca="1"/>
        <v>#N/A</v>
      </c>
      <c r="L188" s="36" t="e">
        <f ca="1"/>
        <v>#N/A</v>
      </c>
      <c r="M188" s="37" t="e">
        <f ca="1"/>
        <v>#N/A</v>
      </c>
      <c r="N188" s="38" t="s">
        <v>1</v>
      </c>
      <c r="O188" s="43">
        <v>180</v>
      </c>
      <c r="P188" s="25" t="e">
        <f ca="1">IF(ISNA(R188),NA(),IF(ISBLANK(Q188),IF(FloatAmortizationFrequency=0,P187,IF(MOD((O188-1),FloatAmortizationFrequency)&lt;&gt;0,P187,P187-FloatAmortization)),Q188))</f>
        <v>#N/A</v>
      </c>
      <c r="Q188" s="67"/>
      <c r="R188" s="33" t="e">
        <f ca="1"/>
        <v>#N/A</v>
      </c>
      <c r="S188" s="33" t="e">
        <f ca="1"/>
        <v>#N/A</v>
      </c>
      <c r="T188" s="33" t="e">
        <f ca="1"/>
        <v>#N/A</v>
      </c>
      <c r="U188" s="25" t="e">
        <f ca="1"/>
        <v>#N/A</v>
      </c>
      <c r="V188" s="36" t="e">
        <f ca="1"/>
        <v>#N/A</v>
      </c>
      <c r="W188" s="37" t="e">
        <f ca="1"/>
        <v>#N/A</v>
      </c>
      <c r="X188" s="31" t="s">
        <v>1</v>
      </c>
    </row>
    <row r="189" spans="4:24" x14ac:dyDescent="0.25">
      <c r="D189" s="31" t="s">
        <v>1</v>
      </c>
      <c r="E189" s="43">
        <v>181</v>
      </c>
      <c r="F189" s="25" t="e">
        <f ca="1">IF(ISNA(H189),NA(),IF(ISBLANK(G189),IF(FixedAmortizationFrequency=0,F188,IF(MOD((E189-1),FixedAmortizationFrequency)&lt;&gt;0,F188,F188-FixedAmortization)),G189))</f>
        <v>#N/A</v>
      </c>
      <c r="G189" s="67"/>
      <c r="H189" s="63" t="e">
        <f ca="1"/>
        <v>#N/A</v>
      </c>
      <c r="I189" s="33" t="e">
        <f ca="1"/>
        <v>#N/A</v>
      </c>
      <c r="J189" s="33" t="e">
        <f ca="1"/>
        <v>#N/A</v>
      </c>
      <c r="K189" s="25" t="e">
        <f ca="1"/>
        <v>#N/A</v>
      </c>
      <c r="L189" s="36" t="e">
        <f ca="1"/>
        <v>#N/A</v>
      </c>
      <c r="M189" s="37" t="e">
        <f ca="1"/>
        <v>#N/A</v>
      </c>
      <c r="N189" s="38" t="s">
        <v>1</v>
      </c>
      <c r="O189" s="43">
        <v>181</v>
      </c>
      <c r="P189" s="25" t="e">
        <f ca="1">IF(ISNA(R189),NA(),IF(ISBLANK(Q189),IF(FloatAmortizationFrequency=0,P188,IF(MOD((O189-1),FloatAmortizationFrequency)&lt;&gt;0,P188,P188-FloatAmortization)),Q189))</f>
        <v>#N/A</v>
      </c>
      <c r="Q189" s="67"/>
      <c r="R189" s="33" t="e">
        <f ca="1"/>
        <v>#N/A</v>
      </c>
      <c r="S189" s="33" t="e">
        <f ca="1"/>
        <v>#N/A</v>
      </c>
      <c r="T189" s="33" t="e">
        <f ca="1"/>
        <v>#N/A</v>
      </c>
      <c r="U189" s="25" t="e">
        <f ca="1"/>
        <v>#N/A</v>
      </c>
      <c r="V189" s="36" t="e">
        <f ca="1"/>
        <v>#N/A</v>
      </c>
      <c r="W189" s="37" t="e">
        <f ca="1"/>
        <v>#N/A</v>
      </c>
      <c r="X189" s="31" t="s">
        <v>1</v>
      </c>
    </row>
    <row r="190" spans="4:24" x14ac:dyDescent="0.25">
      <c r="D190" s="31" t="s">
        <v>1</v>
      </c>
      <c r="E190" s="43">
        <v>182</v>
      </c>
      <c r="F190" s="25" t="e">
        <f ca="1">IF(ISNA(H190),NA(),IF(ISBLANK(G190),IF(FixedAmortizationFrequency=0,F189,IF(MOD((E190-1),FixedAmortizationFrequency)&lt;&gt;0,F189,F189-FixedAmortization)),G190))</f>
        <v>#N/A</v>
      </c>
      <c r="G190" s="67"/>
      <c r="H190" s="63" t="e">
        <f ca="1"/>
        <v>#N/A</v>
      </c>
      <c r="I190" s="33" t="e">
        <f ca="1"/>
        <v>#N/A</v>
      </c>
      <c r="J190" s="33" t="e">
        <f ca="1"/>
        <v>#N/A</v>
      </c>
      <c r="K190" s="25" t="e">
        <f ca="1"/>
        <v>#N/A</v>
      </c>
      <c r="L190" s="36" t="e">
        <f ca="1"/>
        <v>#N/A</v>
      </c>
      <c r="M190" s="37" t="e">
        <f ca="1"/>
        <v>#N/A</v>
      </c>
      <c r="N190" s="38" t="s">
        <v>1</v>
      </c>
      <c r="O190" s="43">
        <v>182</v>
      </c>
      <c r="P190" s="25" t="e">
        <f ca="1">IF(ISNA(R190),NA(),IF(ISBLANK(Q190),IF(FloatAmortizationFrequency=0,P189,IF(MOD((O190-1),FloatAmortizationFrequency)&lt;&gt;0,P189,P189-FloatAmortization)),Q190))</f>
        <v>#N/A</v>
      </c>
      <c r="Q190" s="67"/>
      <c r="R190" s="33" t="e">
        <f ca="1"/>
        <v>#N/A</v>
      </c>
      <c r="S190" s="33" t="e">
        <f ca="1"/>
        <v>#N/A</v>
      </c>
      <c r="T190" s="33" t="e">
        <f ca="1"/>
        <v>#N/A</v>
      </c>
      <c r="U190" s="25" t="e">
        <f ca="1"/>
        <v>#N/A</v>
      </c>
      <c r="V190" s="36" t="e">
        <f ca="1"/>
        <v>#N/A</v>
      </c>
      <c r="W190" s="37" t="e">
        <f ca="1"/>
        <v>#N/A</v>
      </c>
      <c r="X190" s="31" t="s">
        <v>1</v>
      </c>
    </row>
    <row r="191" spans="4:24" x14ac:dyDescent="0.25">
      <c r="D191" s="31" t="s">
        <v>1</v>
      </c>
      <c r="E191" s="43">
        <v>183</v>
      </c>
      <c r="F191" s="25" t="e">
        <f ca="1">IF(ISNA(H191),NA(),IF(ISBLANK(G191),IF(FixedAmortizationFrequency=0,F190,IF(MOD((E191-1),FixedAmortizationFrequency)&lt;&gt;0,F190,F190-FixedAmortization)),G191))</f>
        <v>#N/A</v>
      </c>
      <c r="G191" s="67"/>
      <c r="H191" s="63" t="e">
        <f ca="1"/>
        <v>#N/A</v>
      </c>
      <c r="I191" s="33" t="e">
        <f ca="1"/>
        <v>#N/A</v>
      </c>
      <c r="J191" s="33" t="e">
        <f ca="1"/>
        <v>#N/A</v>
      </c>
      <c r="K191" s="25" t="e">
        <f ca="1"/>
        <v>#N/A</v>
      </c>
      <c r="L191" s="36" t="e">
        <f ca="1"/>
        <v>#N/A</v>
      </c>
      <c r="M191" s="37" t="e">
        <f ca="1"/>
        <v>#N/A</v>
      </c>
      <c r="N191" s="38" t="s">
        <v>1</v>
      </c>
      <c r="O191" s="43">
        <v>183</v>
      </c>
      <c r="P191" s="25" t="e">
        <f ca="1">IF(ISNA(R191),NA(),IF(ISBLANK(Q191),IF(FloatAmortizationFrequency=0,P190,IF(MOD((O191-1),FloatAmortizationFrequency)&lt;&gt;0,P190,P190-FloatAmortization)),Q191))</f>
        <v>#N/A</v>
      </c>
      <c r="Q191" s="67"/>
      <c r="R191" s="33" t="e">
        <f ca="1"/>
        <v>#N/A</v>
      </c>
      <c r="S191" s="33" t="e">
        <f ca="1"/>
        <v>#N/A</v>
      </c>
      <c r="T191" s="33" t="e">
        <f ca="1"/>
        <v>#N/A</v>
      </c>
      <c r="U191" s="25" t="e">
        <f ca="1"/>
        <v>#N/A</v>
      </c>
      <c r="V191" s="36" t="e">
        <f ca="1"/>
        <v>#N/A</v>
      </c>
      <c r="W191" s="37" t="e">
        <f ca="1"/>
        <v>#N/A</v>
      </c>
      <c r="X191" s="31" t="s">
        <v>1</v>
      </c>
    </row>
    <row r="192" spans="4:24" x14ac:dyDescent="0.25">
      <c r="D192" s="31" t="s">
        <v>1</v>
      </c>
      <c r="E192" s="43">
        <v>184</v>
      </c>
      <c r="F192" s="25" t="e">
        <f ca="1">IF(ISNA(H192),NA(),IF(ISBLANK(G192),IF(FixedAmortizationFrequency=0,F191,IF(MOD((E192-1),FixedAmortizationFrequency)&lt;&gt;0,F191,F191-FixedAmortization)),G192))</f>
        <v>#N/A</v>
      </c>
      <c r="G192" s="67"/>
      <c r="H192" s="63" t="e">
        <f ca="1"/>
        <v>#N/A</v>
      </c>
      <c r="I192" s="33" t="e">
        <f ca="1"/>
        <v>#N/A</v>
      </c>
      <c r="J192" s="33" t="e">
        <f ca="1"/>
        <v>#N/A</v>
      </c>
      <c r="K192" s="25" t="e">
        <f ca="1"/>
        <v>#N/A</v>
      </c>
      <c r="L192" s="36" t="e">
        <f ca="1"/>
        <v>#N/A</v>
      </c>
      <c r="M192" s="37" t="e">
        <f ca="1"/>
        <v>#N/A</v>
      </c>
      <c r="N192" s="38" t="s">
        <v>1</v>
      </c>
      <c r="O192" s="43">
        <v>184</v>
      </c>
      <c r="P192" s="25" t="e">
        <f ca="1">IF(ISNA(R192),NA(),IF(ISBLANK(Q192),IF(FloatAmortizationFrequency=0,P191,IF(MOD((O192-1),FloatAmortizationFrequency)&lt;&gt;0,P191,P191-FloatAmortization)),Q192))</f>
        <v>#N/A</v>
      </c>
      <c r="Q192" s="67"/>
      <c r="R192" s="33" t="e">
        <f ca="1"/>
        <v>#N/A</v>
      </c>
      <c r="S192" s="33" t="e">
        <f ca="1"/>
        <v>#N/A</v>
      </c>
      <c r="T192" s="33" t="e">
        <f ca="1"/>
        <v>#N/A</v>
      </c>
      <c r="U192" s="25" t="e">
        <f ca="1"/>
        <v>#N/A</v>
      </c>
      <c r="V192" s="36" t="e">
        <f ca="1"/>
        <v>#N/A</v>
      </c>
      <c r="W192" s="37" t="e">
        <f ca="1"/>
        <v>#N/A</v>
      </c>
      <c r="X192" s="31" t="s">
        <v>1</v>
      </c>
    </row>
    <row r="193" spans="4:24" x14ac:dyDescent="0.25">
      <c r="D193" s="31" t="s">
        <v>1</v>
      </c>
      <c r="E193" s="43">
        <v>185</v>
      </c>
      <c r="F193" s="25" t="e">
        <f ca="1">IF(ISNA(H193),NA(),IF(ISBLANK(G193),IF(FixedAmortizationFrequency=0,F192,IF(MOD((E193-1),FixedAmortizationFrequency)&lt;&gt;0,F192,F192-FixedAmortization)),G193))</f>
        <v>#N/A</v>
      </c>
      <c r="G193" s="67"/>
      <c r="H193" s="63" t="e">
        <f ca="1"/>
        <v>#N/A</v>
      </c>
      <c r="I193" s="33" t="e">
        <f ca="1"/>
        <v>#N/A</v>
      </c>
      <c r="J193" s="33" t="e">
        <f ca="1"/>
        <v>#N/A</v>
      </c>
      <c r="K193" s="25" t="e">
        <f ca="1"/>
        <v>#N/A</v>
      </c>
      <c r="L193" s="36" t="e">
        <f ca="1"/>
        <v>#N/A</v>
      </c>
      <c r="M193" s="37" t="e">
        <f ca="1"/>
        <v>#N/A</v>
      </c>
      <c r="N193" s="38" t="s">
        <v>1</v>
      </c>
      <c r="O193" s="43">
        <v>185</v>
      </c>
      <c r="P193" s="25" t="e">
        <f ca="1">IF(ISNA(R193),NA(),IF(ISBLANK(Q193),IF(FloatAmortizationFrequency=0,P192,IF(MOD((O193-1),FloatAmortizationFrequency)&lt;&gt;0,P192,P192-FloatAmortization)),Q193))</f>
        <v>#N/A</v>
      </c>
      <c r="Q193" s="67"/>
      <c r="R193" s="33" t="e">
        <f ca="1"/>
        <v>#N/A</v>
      </c>
      <c r="S193" s="33" t="e">
        <f ca="1"/>
        <v>#N/A</v>
      </c>
      <c r="T193" s="33" t="e">
        <f ca="1"/>
        <v>#N/A</v>
      </c>
      <c r="U193" s="25" t="e">
        <f ca="1"/>
        <v>#N/A</v>
      </c>
      <c r="V193" s="36" t="e">
        <f ca="1"/>
        <v>#N/A</v>
      </c>
      <c r="W193" s="37" t="e">
        <f ca="1"/>
        <v>#N/A</v>
      </c>
      <c r="X193" s="31" t="s">
        <v>1</v>
      </c>
    </row>
    <row r="194" spans="4:24" x14ac:dyDescent="0.25">
      <c r="D194" s="31" t="s">
        <v>1</v>
      </c>
      <c r="E194" s="43">
        <v>186</v>
      </c>
      <c r="F194" s="25" t="e">
        <f ca="1">IF(ISNA(H194),NA(),IF(ISBLANK(G194),IF(FixedAmortizationFrequency=0,F193,IF(MOD((E194-1),FixedAmortizationFrequency)&lt;&gt;0,F193,F193-FixedAmortization)),G194))</f>
        <v>#N/A</v>
      </c>
      <c r="G194" s="67"/>
      <c r="H194" s="63" t="e">
        <f ca="1"/>
        <v>#N/A</v>
      </c>
      <c r="I194" s="33" t="e">
        <f ca="1"/>
        <v>#N/A</v>
      </c>
      <c r="J194" s="33" t="e">
        <f ca="1"/>
        <v>#N/A</v>
      </c>
      <c r="K194" s="25" t="e">
        <f ca="1"/>
        <v>#N/A</v>
      </c>
      <c r="L194" s="36" t="e">
        <f ca="1"/>
        <v>#N/A</v>
      </c>
      <c r="M194" s="37" t="e">
        <f ca="1"/>
        <v>#N/A</v>
      </c>
      <c r="N194" s="38" t="s">
        <v>1</v>
      </c>
      <c r="O194" s="43">
        <v>186</v>
      </c>
      <c r="P194" s="25" t="e">
        <f ca="1">IF(ISNA(R194),NA(),IF(ISBLANK(Q194),IF(FloatAmortizationFrequency=0,P193,IF(MOD((O194-1),FloatAmortizationFrequency)&lt;&gt;0,P193,P193-FloatAmortization)),Q194))</f>
        <v>#N/A</v>
      </c>
      <c r="Q194" s="67"/>
      <c r="R194" s="33" t="e">
        <f ca="1"/>
        <v>#N/A</v>
      </c>
      <c r="S194" s="33" t="e">
        <f ca="1"/>
        <v>#N/A</v>
      </c>
      <c r="T194" s="33" t="e">
        <f ca="1"/>
        <v>#N/A</v>
      </c>
      <c r="U194" s="25" t="e">
        <f ca="1"/>
        <v>#N/A</v>
      </c>
      <c r="V194" s="36" t="e">
        <f ca="1"/>
        <v>#N/A</v>
      </c>
      <c r="W194" s="37" t="e">
        <f ca="1"/>
        <v>#N/A</v>
      </c>
      <c r="X194" s="31" t="s">
        <v>1</v>
      </c>
    </row>
    <row r="195" spans="4:24" x14ac:dyDescent="0.25">
      <c r="D195" s="31" t="s">
        <v>1</v>
      </c>
      <c r="E195" s="43">
        <v>187</v>
      </c>
      <c r="F195" s="25" t="e">
        <f ca="1">IF(ISNA(H195),NA(),IF(ISBLANK(G195),IF(FixedAmortizationFrequency=0,F194,IF(MOD((E195-1),FixedAmortizationFrequency)&lt;&gt;0,F194,F194-FixedAmortization)),G195))</f>
        <v>#N/A</v>
      </c>
      <c r="G195" s="67"/>
      <c r="H195" s="63" t="e">
        <f ca="1"/>
        <v>#N/A</v>
      </c>
      <c r="I195" s="33" t="e">
        <f ca="1"/>
        <v>#N/A</v>
      </c>
      <c r="J195" s="33" t="e">
        <f ca="1"/>
        <v>#N/A</v>
      </c>
      <c r="K195" s="25" t="e">
        <f ca="1"/>
        <v>#N/A</v>
      </c>
      <c r="L195" s="36" t="e">
        <f ca="1"/>
        <v>#N/A</v>
      </c>
      <c r="M195" s="37" t="e">
        <f ca="1"/>
        <v>#N/A</v>
      </c>
      <c r="N195" s="38" t="s">
        <v>1</v>
      </c>
      <c r="O195" s="43">
        <v>187</v>
      </c>
      <c r="P195" s="25" t="e">
        <f ca="1">IF(ISNA(R195),NA(),IF(ISBLANK(Q195),IF(FloatAmortizationFrequency=0,P194,IF(MOD((O195-1),FloatAmortizationFrequency)&lt;&gt;0,P194,P194-FloatAmortization)),Q195))</f>
        <v>#N/A</v>
      </c>
      <c r="Q195" s="67"/>
      <c r="R195" s="33" t="e">
        <f ca="1"/>
        <v>#N/A</v>
      </c>
      <c r="S195" s="33" t="e">
        <f ca="1"/>
        <v>#N/A</v>
      </c>
      <c r="T195" s="33" t="e">
        <f ca="1"/>
        <v>#N/A</v>
      </c>
      <c r="U195" s="25" t="e">
        <f ca="1"/>
        <v>#N/A</v>
      </c>
      <c r="V195" s="36" t="e">
        <f ca="1"/>
        <v>#N/A</v>
      </c>
      <c r="W195" s="37" t="e">
        <f ca="1"/>
        <v>#N/A</v>
      </c>
      <c r="X195" s="31" t="s">
        <v>1</v>
      </c>
    </row>
    <row r="196" spans="4:24" x14ac:dyDescent="0.25">
      <c r="D196" s="31" t="s">
        <v>1</v>
      </c>
      <c r="E196" s="43">
        <v>188</v>
      </c>
      <c r="F196" s="25" t="e">
        <f ca="1">IF(ISNA(H196),NA(),IF(ISBLANK(G196),IF(FixedAmortizationFrequency=0,F195,IF(MOD((E196-1),FixedAmortizationFrequency)&lt;&gt;0,F195,F195-FixedAmortization)),G196))</f>
        <v>#N/A</v>
      </c>
      <c r="G196" s="67"/>
      <c r="H196" s="63" t="e">
        <f ca="1"/>
        <v>#N/A</v>
      </c>
      <c r="I196" s="33" t="e">
        <f ca="1"/>
        <v>#N/A</v>
      </c>
      <c r="J196" s="33" t="e">
        <f ca="1"/>
        <v>#N/A</v>
      </c>
      <c r="K196" s="25" t="e">
        <f ca="1"/>
        <v>#N/A</v>
      </c>
      <c r="L196" s="36" t="e">
        <f ca="1"/>
        <v>#N/A</v>
      </c>
      <c r="M196" s="37" t="e">
        <f ca="1"/>
        <v>#N/A</v>
      </c>
      <c r="N196" s="38" t="s">
        <v>1</v>
      </c>
      <c r="O196" s="43">
        <v>188</v>
      </c>
      <c r="P196" s="25" t="e">
        <f ca="1">IF(ISNA(R196),NA(),IF(ISBLANK(Q196),IF(FloatAmortizationFrequency=0,P195,IF(MOD((O196-1),FloatAmortizationFrequency)&lt;&gt;0,P195,P195-FloatAmortization)),Q196))</f>
        <v>#N/A</v>
      </c>
      <c r="Q196" s="67"/>
      <c r="R196" s="33" t="e">
        <f ca="1"/>
        <v>#N/A</v>
      </c>
      <c r="S196" s="33" t="e">
        <f ca="1"/>
        <v>#N/A</v>
      </c>
      <c r="T196" s="33" t="e">
        <f ca="1"/>
        <v>#N/A</v>
      </c>
      <c r="U196" s="25" t="e">
        <f ca="1"/>
        <v>#N/A</v>
      </c>
      <c r="V196" s="36" t="e">
        <f ca="1"/>
        <v>#N/A</v>
      </c>
      <c r="W196" s="37" t="e">
        <f ca="1"/>
        <v>#N/A</v>
      </c>
      <c r="X196" s="31" t="s">
        <v>1</v>
      </c>
    </row>
    <row r="197" spans="4:24" x14ac:dyDescent="0.25">
      <c r="D197" s="31" t="s">
        <v>1</v>
      </c>
      <c r="E197" s="43">
        <v>189</v>
      </c>
      <c r="F197" s="25" t="e">
        <f ca="1">IF(ISNA(H197),NA(),IF(ISBLANK(G197),IF(FixedAmortizationFrequency=0,F196,IF(MOD((E197-1),FixedAmortizationFrequency)&lt;&gt;0,F196,F196-FixedAmortization)),G197))</f>
        <v>#N/A</v>
      </c>
      <c r="G197" s="67"/>
      <c r="H197" s="63" t="e">
        <f ca="1"/>
        <v>#N/A</v>
      </c>
      <c r="I197" s="33" t="e">
        <f ca="1"/>
        <v>#N/A</v>
      </c>
      <c r="J197" s="33" t="e">
        <f ca="1"/>
        <v>#N/A</v>
      </c>
      <c r="K197" s="25" t="e">
        <f ca="1"/>
        <v>#N/A</v>
      </c>
      <c r="L197" s="36" t="e">
        <f ca="1"/>
        <v>#N/A</v>
      </c>
      <c r="M197" s="37" t="e">
        <f ca="1"/>
        <v>#N/A</v>
      </c>
      <c r="N197" s="38" t="s">
        <v>1</v>
      </c>
      <c r="O197" s="43">
        <v>189</v>
      </c>
      <c r="P197" s="25" t="e">
        <f ca="1">IF(ISNA(R197),NA(),IF(ISBLANK(Q197),IF(FloatAmortizationFrequency=0,P196,IF(MOD((O197-1),FloatAmortizationFrequency)&lt;&gt;0,P196,P196-FloatAmortization)),Q197))</f>
        <v>#N/A</v>
      </c>
      <c r="Q197" s="67"/>
      <c r="R197" s="33" t="e">
        <f ca="1"/>
        <v>#N/A</v>
      </c>
      <c r="S197" s="33" t="e">
        <f ca="1"/>
        <v>#N/A</v>
      </c>
      <c r="T197" s="33" t="e">
        <f ca="1"/>
        <v>#N/A</v>
      </c>
      <c r="U197" s="25" t="e">
        <f ca="1"/>
        <v>#N/A</v>
      </c>
      <c r="V197" s="36" t="e">
        <f ca="1"/>
        <v>#N/A</v>
      </c>
      <c r="W197" s="37" t="e">
        <f ca="1"/>
        <v>#N/A</v>
      </c>
      <c r="X197" s="31" t="s">
        <v>1</v>
      </c>
    </row>
    <row r="198" spans="4:24" x14ac:dyDescent="0.25">
      <c r="D198" s="31" t="s">
        <v>1</v>
      </c>
      <c r="E198" s="43">
        <v>190</v>
      </c>
      <c r="F198" s="25" t="e">
        <f ca="1">IF(ISNA(H198),NA(),IF(ISBLANK(G198),IF(FixedAmortizationFrequency=0,F197,IF(MOD((E198-1),FixedAmortizationFrequency)&lt;&gt;0,F197,F197-FixedAmortization)),G198))</f>
        <v>#N/A</v>
      </c>
      <c r="G198" s="67"/>
      <c r="H198" s="63" t="e">
        <f ca="1"/>
        <v>#N/A</v>
      </c>
      <c r="I198" s="33" t="e">
        <f ca="1"/>
        <v>#N/A</v>
      </c>
      <c r="J198" s="33" t="e">
        <f ca="1"/>
        <v>#N/A</v>
      </c>
      <c r="K198" s="25" t="e">
        <f ca="1"/>
        <v>#N/A</v>
      </c>
      <c r="L198" s="36" t="e">
        <f ca="1"/>
        <v>#N/A</v>
      </c>
      <c r="M198" s="37" t="e">
        <f ca="1"/>
        <v>#N/A</v>
      </c>
      <c r="N198" s="38" t="s">
        <v>1</v>
      </c>
      <c r="O198" s="43">
        <v>190</v>
      </c>
      <c r="P198" s="25" t="e">
        <f ca="1">IF(ISNA(R198),NA(),IF(ISBLANK(Q198),IF(FloatAmortizationFrequency=0,P197,IF(MOD((O198-1),FloatAmortizationFrequency)&lt;&gt;0,P197,P197-FloatAmortization)),Q198))</f>
        <v>#N/A</v>
      </c>
      <c r="Q198" s="67"/>
      <c r="R198" s="33" t="e">
        <f ca="1"/>
        <v>#N/A</v>
      </c>
      <c r="S198" s="33" t="e">
        <f ca="1"/>
        <v>#N/A</v>
      </c>
      <c r="T198" s="33" t="e">
        <f ca="1"/>
        <v>#N/A</v>
      </c>
      <c r="U198" s="25" t="e">
        <f ca="1"/>
        <v>#N/A</v>
      </c>
      <c r="V198" s="36" t="e">
        <f ca="1"/>
        <v>#N/A</v>
      </c>
      <c r="W198" s="37" t="e">
        <f ca="1"/>
        <v>#N/A</v>
      </c>
      <c r="X198" s="31" t="s">
        <v>1</v>
      </c>
    </row>
    <row r="199" spans="4:24" x14ac:dyDescent="0.25">
      <c r="D199" s="31" t="s">
        <v>1</v>
      </c>
      <c r="E199" s="43">
        <v>191</v>
      </c>
      <c r="F199" s="25" t="e">
        <f ca="1">IF(ISNA(H199),NA(),IF(ISBLANK(G199),IF(FixedAmortizationFrequency=0,F198,IF(MOD((E199-1),FixedAmortizationFrequency)&lt;&gt;0,F198,F198-FixedAmortization)),G199))</f>
        <v>#N/A</v>
      </c>
      <c r="G199" s="67"/>
      <c r="H199" s="63" t="e">
        <f ca="1"/>
        <v>#N/A</v>
      </c>
      <c r="I199" s="33" t="e">
        <f ca="1"/>
        <v>#N/A</v>
      </c>
      <c r="J199" s="33" t="e">
        <f ca="1"/>
        <v>#N/A</v>
      </c>
      <c r="K199" s="25" t="e">
        <f ca="1"/>
        <v>#N/A</v>
      </c>
      <c r="L199" s="36" t="e">
        <f ca="1"/>
        <v>#N/A</v>
      </c>
      <c r="M199" s="37" t="e">
        <f ca="1"/>
        <v>#N/A</v>
      </c>
      <c r="N199" s="38" t="s">
        <v>1</v>
      </c>
      <c r="O199" s="43">
        <v>191</v>
      </c>
      <c r="P199" s="25" t="e">
        <f ca="1">IF(ISNA(R199),NA(),IF(ISBLANK(Q199),IF(FloatAmortizationFrequency=0,P198,IF(MOD((O199-1),FloatAmortizationFrequency)&lt;&gt;0,P198,P198-FloatAmortization)),Q199))</f>
        <v>#N/A</v>
      </c>
      <c r="Q199" s="67"/>
      <c r="R199" s="33" t="e">
        <f ca="1"/>
        <v>#N/A</v>
      </c>
      <c r="S199" s="33" t="e">
        <f ca="1"/>
        <v>#N/A</v>
      </c>
      <c r="T199" s="33" t="e">
        <f ca="1"/>
        <v>#N/A</v>
      </c>
      <c r="U199" s="25" t="e">
        <f ca="1"/>
        <v>#N/A</v>
      </c>
      <c r="V199" s="36" t="e">
        <f ca="1"/>
        <v>#N/A</v>
      </c>
      <c r="W199" s="37" t="e">
        <f ca="1"/>
        <v>#N/A</v>
      </c>
      <c r="X199" s="31" t="s">
        <v>1</v>
      </c>
    </row>
    <row r="200" spans="4:24" x14ac:dyDescent="0.25">
      <c r="D200" s="31" t="s">
        <v>1</v>
      </c>
      <c r="E200" s="43">
        <v>192</v>
      </c>
      <c r="F200" s="25" t="e">
        <f ca="1">IF(ISNA(H200),NA(),IF(ISBLANK(G200),IF(FixedAmortizationFrequency=0,F199,IF(MOD((E200-1),FixedAmortizationFrequency)&lt;&gt;0,F199,F199-FixedAmortization)),G200))</f>
        <v>#N/A</v>
      </c>
      <c r="G200" s="67"/>
      <c r="H200" s="63" t="e">
        <f ca="1"/>
        <v>#N/A</v>
      </c>
      <c r="I200" s="33" t="e">
        <f ca="1"/>
        <v>#N/A</v>
      </c>
      <c r="J200" s="33" t="e">
        <f ca="1"/>
        <v>#N/A</v>
      </c>
      <c r="K200" s="25" t="e">
        <f ca="1"/>
        <v>#N/A</v>
      </c>
      <c r="L200" s="36" t="e">
        <f ca="1"/>
        <v>#N/A</v>
      </c>
      <c r="M200" s="37" t="e">
        <f ca="1"/>
        <v>#N/A</v>
      </c>
      <c r="N200" s="38" t="s">
        <v>1</v>
      </c>
      <c r="O200" s="43">
        <v>192</v>
      </c>
      <c r="P200" s="25" t="e">
        <f ca="1">IF(ISNA(R200),NA(),IF(ISBLANK(Q200),IF(FloatAmortizationFrequency=0,P199,IF(MOD((O200-1),FloatAmortizationFrequency)&lt;&gt;0,P199,P199-FloatAmortization)),Q200))</f>
        <v>#N/A</v>
      </c>
      <c r="Q200" s="67"/>
      <c r="R200" s="33" t="e">
        <f ca="1"/>
        <v>#N/A</v>
      </c>
      <c r="S200" s="33" t="e">
        <f ca="1"/>
        <v>#N/A</v>
      </c>
      <c r="T200" s="33" t="e">
        <f ca="1"/>
        <v>#N/A</v>
      </c>
      <c r="U200" s="25" t="e">
        <f ca="1"/>
        <v>#N/A</v>
      </c>
      <c r="V200" s="36" t="e">
        <f ca="1"/>
        <v>#N/A</v>
      </c>
      <c r="W200" s="37" t="e">
        <f ca="1"/>
        <v>#N/A</v>
      </c>
      <c r="X200" s="31" t="s">
        <v>1</v>
      </c>
    </row>
    <row r="201" spans="4:24" x14ac:dyDescent="0.25">
      <c r="D201" s="31" t="s">
        <v>1</v>
      </c>
      <c r="E201" s="43">
        <v>193</v>
      </c>
      <c r="F201" s="25" t="e">
        <f ca="1">IF(ISNA(H201),NA(),IF(ISBLANK(G201),IF(FixedAmortizationFrequency=0,F200,IF(MOD((E201-1),FixedAmortizationFrequency)&lt;&gt;0,F200,F200-FixedAmortization)),G201))</f>
        <v>#N/A</v>
      </c>
      <c r="G201" s="67"/>
      <c r="H201" s="63" t="e">
        <f ca="1"/>
        <v>#N/A</v>
      </c>
      <c r="I201" s="33" t="e">
        <f ca="1"/>
        <v>#N/A</v>
      </c>
      <c r="J201" s="33" t="e">
        <f ca="1"/>
        <v>#N/A</v>
      </c>
      <c r="K201" s="25" t="e">
        <f ca="1"/>
        <v>#N/A</v>
      </c>
      <c r="L201" s="36" t="e">
        <f ca="1"/>
        <v>#N/A</v>
      </c>
      <c r="M201" s="37" t="e">
        <f ca="1"/>
        <v>#N/A</v>
      </c>
      <c r="N201" s="38" t="s">
        <v>1</v>
      </c>
      <c r="O201" s="43">
        <v>193</v>
      </c>
      <c r="P201" s="25" t="e">
        <f ca="1">IF(ISNA(R201),NA(),IF(ISBLANK(Q201),IF(FloatAmortizationFrequency=0,P200,IF(MOD((O201-1),FloatAmortizationFrequency)&lt;&gt;0,P200,P200-FloatAmortization)),Q201))</f>
        <v>#N/A</v>
      </c>
      <c r="Q201" s="67"/>
      <c r="R201" s="33" t="e">
        <f ca="1"/>
        <v>#N/A</v>
      </c>
      <c r="S201" s="33" t="e">
        <f ca="1"/>
        <v>#N/A</v>
      </c>
      <c r="T201" s="33" t="e">
        <f ca="1"/>
        <v>#N/A</v>
      </c>
      <c r="U201" s="25" t="e">
        <f ca="1"/>
        <v>#N/A</v>
      </c>
      <c r="V201" s="36" t="e">
        <f ca="1"/>
        <v>#N/A</v>
      </c>
      <c r="W201" s="37" t="e">
        <f ca="1"/>
        <v>#N/A</v>
      </c>
      <c r="X201" s="31" t="s">
        <v>1</v>
      </c>
    </row>
    <row r="202" spans="4:24" x14ac:dyDescent="0.25">
      <c r="D202" s="31" t="s">
        <v>1</v>
      </c>
      <c r="E202" s="43">
        <v>194</v>
      </c>
      <c r="F202" s="25" t="e">
        <f ca="1">IF(ISNA(H202),NA(),IF(ISBLANK(G202),IF(FixedAmortizationFrequency=0,F201,IF(MOD((E202-1),FixedAmortizationFrequency)&lt;&gt;0,F201,F201-FixedAmortization)),G202))</f>
        <v>#N/A</v>
      </c>
      <c r="G202" s="67"/>
      <c r="H202" s="63" t="e">
        <f ca="1"/>
        <v>#N/A</v>
      </c>
      <c r="I202" s="33" t="e">
        <f ca="1"/>
        <v>#N/A</v>
      </c>
      <c r="J202" s="33" t="e">
        <f ca="1"/>
        <v>#N/A</v>
      </c>
      <c r="K202" s="25" t="e">
        <f ca="1"/>
        <v>#N/A</v>
      </c>
      <c r="L202" s="36" t="e">
        <f ca="1"/>
        <v>#N/A</v>
      </c>
      <c r="M202" s="37" t="e">
        <f ca="1"/>
        <v>#N/A</v>
      </c>
      <c r="N202" s="38" t="s">
        <v>1</v>
      </c>
      <c r="O202" s="43">
        <v>194</v>
      </c>
      <c r="P202" s="25" t="e">
        <f ca="1">IF(ISNA(R202),NA(),IF(ISBLANK(Q202),IF(FloatAmortizationFrequency=0,P201,IF(MOD((O202-1),FloatAmortizationFrequency)&lt;&gt;0,P201,P201-FloatAmortization)),Q202))</f>
        <v>#N/A</v>
      </c>
      <c r="Q202" s="67"/>
      <c r="R202" s="33" t="e">
        <f ca="1"/>
        <v>#N/A</v>
      </c>
      <c r="S202" s="33" t="e">
        <f ca="1"/>
        <v>#N/A</v>
      </c>
      <c r="T202" s="33" t="e">
        <f ca="1"/>
        <v>#N/A</v>
      </c>
      <c r="U202" s="25" t="e">
        <f ca="1"/>
        <v>#N/A</v>
      </c>
      <c r="V202" s="36" t="e">
        <f ca="1"/>
        <v>#N/A</v>
      </c>
      <c r="W202" s="37" t="e">
        <f ca="1"/>
        <v>#N/A</v>
      </c>
      <c r="X202" s="31" t="s">
        <v>1</v>
      </c>
    </row>
    <row r="203" spans="4:24" x14ac:dyDescent="0.25">
      <c r="D203" s="31" t="s">
        <v>1</v>
      </c>
      <c r="E203" s="43">
        <v>195</v>
      </c>
      <c r="F203" s="25" t="e">
        <f ca="1">IF(ISNA(H203),NA(),IF(ISBLANK(G203),IF(FixedAmortizationFrequency=0,F202,IF(MOD((E203-1),FixedAmortizationFrequency)&lt;&gt;0,F202,F202-FixedAmortization)),G203))</f>
        <v>#N/A</v>
      </c>
      <c r="G203" s="67"/>
      <c r="H203" s="63" t="e">
        <f ca="1"/>
        <v>#N/A</v>
      </c>
      <c r="I203" s="33" t="e">
        <f ca="1"/>
        <v>#N/A</v>
      </c>
      <c r="J203" s="33" t="e">
        <f ca="1"/>
        <v>#N/A</v>
      </c>
      <c r="K203" s="25" t="e">
        <f ca="1"/>
        <v>#N/A</v>
      </c>
      <c r="L203" s="36" t="e">
        <f ca="1"/>
        <v>#N/A</v>
      </c>
      <c r="M203" s="37" t="e">
        <f ca="1"/>
        <v>#N/A</v>
      </c>
      <c r="N203" s="38" t="s">
        <v>1</v>
      </c>
      <c r="O203" s="43">
        <v>195</v>
      </c>
      <c r="P203" s="25" t="e">
        <f ca="1">IF(ISNA(R203),NA(),IF(ISBLANK(Q203),IF(FloatAmortizationFrequency=0,P202,IF(MOD((O203-1),FloatAmortizationFrequency)&lt;&gt;0,P202,P202-FloatAmortization)),Q203))</f>
        <v>#N/A</v>
      </c>
      <c r="Q203" s="67"/>
      <c r="R203" s="33" t="e">
        <f ca="1"/>
        <v>#N/A</v>
      </c>
      <c r="S203" s="33" t="e">
        <f ca="1"/>
        <v>#N/A</v>
      </c>
      <c r="T203" s="33" t="e">
        <f ca="1"/>
        <v>#N/A</v>
      </c>
      <c r="U203" s="25" t="e">
        <f ca="1"/>
        <v>#N/A</v>
      </c>
      <c r="V203" s="36" t="e">
        <f ca="1"/>
        <v>#N/A</v>
      </c>
      <c r="W203" s="37" t="e">
        <f ca="1"/>
        <v>#N/A</v>
      </c>
      <c r="X203" s="31" t="s">
        <v>1</v>
      </c>
    </row>
    <row r="204" spans="4:24" x14ac:dyDescent="0.25">
      <c r="D204" s="31" t="s">
        <v>1</v>
      </c>
      <c r="E204" s="43">
        <v>196</v>
      </c>
      <c r="F204" s="25" t="e">
        <f ca="1">IF(ISNA(H204),NA(),IF(ISBLANK(G204),IF(FixedAmortizationFrequency=0,F203,IF(MOD((E204-1),FixedAmortizationFrequency)&lt;&gt;0,F203,F203-FixedAmortization)),G204))</f>
        <v>#N/A</v>
      </c>
      <c r="G204" s="67"/>
      <c r="H204" s="63" t="e">
        <f ca="1"/>
        <v>#N/A</v>
      </c>
      <c r="I204" s="33" t="e">
        <f ca="1"/>
        <v>#N/A</v>
      </c>
      <c r="J204" s="33" t="e">
        <f ca="1"/>
        <v>#N/A</v>
      </c>
      <c r="K204" s="25" t="e">
        <f ca="1"/>
        <v>#N/A</v>
      </c>
      <c r="L204" s="36" t="e">
        <f ca="1"/>
        <v>#N/A</v>
      </c>
      <c r="M204" s="37" t="e">
        <f ca="1"/>
        <v>#N/A</v>
      </c>
      <c r="N204" s="38" t="s">
        <v>1</v>
      </c>
      <c r="O204" s="43">
        <v>196</v>
      </c>
      <c r="P204" s="25" t="e">
        <f ca="1">IF(ISNA(R204),NA(),IF(ISBLANK(Q204),IF(FloatAmortizationFrequency=0,P203,IF(MOD((O204-1),FloatAmortizationFrequency)&lt;&gt;0,P203,P203-FloatAmortization)),Q204))</f>
        <v>#N/A</v>
      </c>
      <c r="Q204" s="67"/>
      <c r="R204" s="33" t="e">
        <f ca="1"/>
        <v>#N/A</v>
      </c>
      <c r="S204" s="33" t="e">
        <f ca="1"/>
        <v>#N/A</v>
      </c>
      <c r="T204" s="33" t="e">
        <f ca="1"/>
        <v>#N/A</v>
      </c>
      <c r="U204" s="25" t="e">
        <f ca="1"/>
        <v>#N/A</v>
      </c>
      <c r="V204" s="36" t="e">
        <f ca="1"/>
        <v>#N/A</v>
      </c>
      <c r="W204" s="37" t="e">
        <f ca="1"/>
        <v>#N/A</v>
      </c>
      <c r="X204" s="31" t="s">
        <v>1</v>
      </c>
    </row>
    <row r="205" spans="4:24" x14ac:dyDescent="0.25">
      <c r="D205" s="31" t="s">
        <v>1</v>
      </c>
      <c r="E205" s="43">
        <v>197</v>
      </c>
      <c r="F205" s="25" t="e">
        <f ca="1">IF(ISNA(H205),NA(),IF(ISBLANK(G205),IF(FixedAmortizationFrequency=0,F204,IF(MOD((E205-1),FixedAmortizationFrequency)&lt;&gt;0,F204,F204-FixedAmortization)),G205))</f>
        <v>#N/A</v>
      </c>
      <c r="G205" s="67"/>
      <c r="H205" s="63" t="e">
        <f ca="1"/>
        <v>#N/A</v>
      </c>
      <c r="I205" s="33" t="e">
        <f ca="1"/>
        <v>#N/A</v>
      </c>
      <c r="J205" s="33" t="e">
        <f ca="1"/>
        <v>#N/A</v>
      </c>
      <c r="K205" s="25" t="e">
        <f ca="1"/>
        <v>#N/A</v>
      </c>
      <c r="L205" s="36" t="e">
        <f ca="1"/>
        <v>#N/A</v>
      </c>
      <c r="M205" s="37" t="e">
        <f ca="1"/>
        <v>#N/A</v>
      </c>
      <c r="N205" s="38" t="s">
        <v>1</v>
      </c>
      <c r="O205" s="43">
        <v>197</v>
      </c>
      <c r="P205" s="25" t="e">
        <f ca="1">IF(ISNA(R205),NA(),IF(ISBLANK(Q205),IF(FloatAmortizationFrequency=0,P204,IF(MOD((O205-1),FloatAmortizationFrequency)&lt;&gt;0,P204,P204-FloatAmortization)),Q205))</f>
        <v>#N/A</v>
      </c>
      <c r="Q205" s="67"/>
      <c r="R205" s="33" t="e">
        <f ca="1"/>
        <v>#N/A</v>
      </c>
      <c r="S205" s="33" t="e">
        <f ca="1"/>
        <v>#N/A</v>
      </c>
      <c r="T205" s="33" t="e">
        <f ca="1"/>
        <v>#N/A</v>
      </c>
      <c r="U205" s="25" t="e">
        <f ca="1"/>
        <v>#N/A</v>
      </c>
      <c r="V205" s="36" t="e">
        <f ca="1"/>
        <v>#N/A</v>
      </c>
      <c r="W205" s="37" t="e">
        <f ca="1"/>
        <v>#N/A</v>
      </c>
      <c r="X205" s="31" t="s">
        <v>1</v>
      </c>
    </row>
    <row r="206" spans="4:24" x14ac:dyDescent="0.25">
      <c r="D206" s="31" t="s">
        <v>1</v>
      </c>
      <c r="E206" s="43">
        <v>198</v>
      </c>
      <c r="F206" s="25" t="e">
        <f ca="1">IF(ISNA(H206),NA(),IF(ISBLANK(G206),IF(FixedAmortizationFrequency=0,F205,IF(MOD((E206-1),FixedAmortizationFrequency)&lt;&gt;0,F205,F205-FixedAmortization)),G206))</f>
        <v>#N/A</v>
      </c>
      <c r="G206" s="67"/>
      <c r="H206" s="63" t="e">
        <f ca="1"/>
        <v>#N/A</v>
      </c>
      <c r="I206" s="33" t="e">
        <f ca="1"/>
        <v>#N/A</v>
      </c>
      <c r="J206" s="33" t="e">
        <f ca="1"/>
        <v>#N/A</v>
      </c>
      <c r="K206" s="25" t="e">
        <f ca="1"/>
        <v>#N/A</v>
      </c>
      <c r="L206" s="36" t="e">
        <f ca="1"/>
        <v>#N/A</v>
      </c>
      <c r="M206" s="37" t="e">
        <f ca="1"/>
        <v>#N/A</v>
      </c>
      <c r="N206" s="38" t="s">
        <v>1</v>
      </c>
      <c r="O206" s="43">
        <v>198</v>
      </c>
      <c r="P206" s="25" t="e">
        <f ca="1">IF(ISNA(R206),NA(),IF(ISBLANK(Q206),IF(FloatAmortizationFrequency=0,P205,IF(MOD((O206-1),FloatAmortizationFrequency)&lt;&gt;0,P205,P205-FloatAmortization)),Q206))</f>
        <v>#N/A</v>
      </c>
      <c r="Q206" s="67"/>
      <c r="R206" s="33" t="e">
        <f ca="1"/>
        <v>#N/A</v>
      </c>
      <c r="S206" s="33" t="e">
        <f ca="1"/>
        <v>#N/A</v>
      </c>
      <c r="T206" s="33" t="e">
        <f ca="1"/>
        <v>#N/A</v>
      </c>
      <c r="U206" s="25" t="e">
        <f ca="1"/>
        <v>#N/A</v>
      </c>
      <c r="V206" s="36" t="e">
        <f ca="1"/>
        <v>#N/A</v>
      </c>
      <c r="W206" s="37" t="e">
        <f ca="1"/>
        <v>#N/A</v>
      </c>
      <c r="X206" s="31" t="s">
        <v>1</v>
      </c>
    </row>
    <row r="207" spans="4:24" x14ac:dyDescent="0.25">
      <c r="D207" s="31" t="s">
        <v>1</v>
      </c>
      <c r="E207" s="43">
        <v>199</v>
      </c>
      <c r="F207" s="25" t="e">
        <f ca="1">IF(ISNA(H207),NA(),IF(ISBLANK(G207),IF(FixedAmortizationFrequency=0,F206,IF(MOD((E207-1),FixedAmortizationFrequency)&lt;&gt;0,F206,F206-FixedAmortization)),G207))</f>
        <v>#N/A</v>
      </c>
      <c r="G207" s="67"/>
      <c r="H207" s="63" t="e">
        <f ca="1"/>
        <v>#N/A</v>
      </c>
      <c r="I207" s="33" t="e">
        <f ca="1"/>
        <v>#N/A</v>
      </c>
      <c r="J207" s="33" t="e">
        <f ca="1"/>
        <v>#N/A</v>
      </c>
      <c r="K207" s="25" t="e">
        <f ca="1"/>
        <v>#N/A</v>
      </c>
      <c r="L207" s="36" t="e">
        <f ca="1"/>
        <v>#N/A</v>
      </c>
      <c r="M207" s="37" t="e">
        <f ca="1"/>
        <v>#N/A</v>
      </c>
      <c r="N207" s="38" t="s">
        <v>1</v>
      </c>
      <c r="O207" s="43">
        <v>199</v>
      </c>
      <c r="P207" s="25" t="e">
        <f ca="1">IF(ISNA(R207),NA(),IF(ISBLANK(Q207),IF(FloatAmortizationFrequency=0,P206,IF(MOD((O207-1),FloatAmortizationFrequency)&lt;&gt;0,P206,P206-FloatAmortization)),Q207))</f>
        <v>#N/A</v>
      </c>
      <c r="Q207" s="67"/>
      <c r="R207" s="33" t="e">
        <f ca="1"/>
        <v>#N/A</v>
      </c>
      <c r="S207" s="33" t="e">
        <f ca="1"/>
        <v>#N/A</v>
      </c>
      <c r="T207" s="33" t="e">
        <f ca="1"/>
        <v>#N/A</v>
      </c>
      <c r="U207" s="25" t="e">
        <f ca="1"/>
        <v>#N/A</v>
      </c>
      <c r="V207" s="36" t="e">
        <f ca="1"/>
        <v>#N/A</v>
      </c>
      <c r="W207" s="37" t="e">
        <f ca="1"/>
        <v>#N/A</v>
      </c>
      <c r="X207" s="31" t="s">
        <v>1</v>
      </c>
    </row>
    <row r="208" spans="4:24" x14ac:dyDescent="0.25">
      <c r="D208" s="31" t="s">
        <v>1</v>
      </c>
      <c r="E208" s="43">
        <v>200</v>
      </c>
      <c r="F208" s="25" t="e">
        <f ca="1">IF(ISNA(H208),NA(),IF(ISBLANK(G208),IF(FixedAmortizationFrequency=0,F207,IF(MOD((E208-1),FixedAmortizationFrequency)&lt;&gt;0,F207,F207-FixedAmortization)),G208))</f>
        <v>#N/A</v>
      </c>
      <c r="G208" s="67"/>
      <c r="H208" s="63" t="e">
        <f ca="1"/>
        <v>#N/A</v>
      </c>
      <c r="I208" s="33" t="e">
        <f ca="1"/>
        <v>#N/A</v>
      </c>
      <c r="J208" s="33" t="e">
        <f ca="1"/>
        <v>#N/A</v>
      </c>
      <c r="K208" s="25" t="e">
        <f ca="1"/>
        <v>#N/A</v>
      </c>
      <c r="L208" s="36" t="e">
        <f ca="1"/>
        <v>#N/A</v>
      </c>
      <c r="M208" s="37" t="e">
        <f ca="1"/>
        <v>#N/A</v>
      </c>
      <c r="N208" s="38" t="s">
        <v>1</v>
      </c>
      <c r="O208" s="43">
        <v>200</v>
      </c>
      <c r="P208" s="25" t="e">
        <f ca="1">IF(ISNA(R208),NA(),IF(ISBLANK(Q208),IF(FloatAmortizationFrequency=0,P207,IF(MOD((O208-1),FloatAmortizationFrequency)&lt;&gt;0,P207,P207-FloatAmortization)),Q208))</f>
        <v>#N/A</v>
      </c>
      <c r="Q208" s="67"/>
      <c r="R208" s="33" t="e">
        <f ca="1"/>
        <v>#N/A</v>
      </c>
      <c r="S208" s="33" t="e">
        <f ca="1"/>
        <v>#N/A</v>
      </c>
      <c r="T208" s="33" t="e">
        <f ca="1"/>
        <v>#N/A</v>
      </c>
      <c r="U208" s="25" t="e">
        <f ca="1"/>
        <v>#N/A</v>
      </c>
      <c r="V208" s="36" t="e">
        <f ca="1"/>
        <v>#N/A</v>
      </c>
      <c r="W208" s="37" t="e">
        <f ca="1"/>
        <v>#N/A</v>
      </c>
      <c r="X208" s="31" t="s">
        <v>1</v>
      </c>
    </row>
    <row r="209" spans="4:24" x14ac:dyDescent="0.25">
      <c r="D209" s="31" t="s">
        <v>1</v>
      </c>
      <c r="E209" s="43">
        <v>201</v>
      </c>
      <c r="F209" s="25" t="e">
        <f ca="1">IF(ISNA(H209),NA(),IF(ISBLANK(G209),IF(FixedAmortizationFrequency=0,F208,IF(MOD((E209-1),FixedAmortizationFrequency)&lt;&gt;0,F208,F208-FixedAmortization)),G209))</f>
        <v>#N/A</v>
      </c>
      <c r="G209" s="67"/>
      <c r="H209" s="63" t="e">
        <f ca="1"/>
        <v>#N/A</v>
      </c>
      <c r="I209" s="33" t="e">
        <f ca="1"/>
        <v>#N/A</v>
      </c>
      <c r="J209" s="33" t="e">
        <f ca="1"/>
        <v>#N/A</v>
      </c>
      <c r="K209" s="25" t="e">
        <f ca="1"/>
        <v>#N/A</v>
      </c>
      <c r="L209" s="36" t="e">
        <f ca="1"/>
        <v>#N/A</v>
      </c>
      <c r="M209" s="37" t="e">
        <f ca="1"/>
        <v>#N/A</v>
      </c>
      <c r="N209" s="38" t="s">
        <v>1</v>
      </c>
      <c r="O209" s="43">
        <v>201</v>
      </c>
      <c r="P209" s="25" t="e">
        <f ca="1">IF(ISNA(R209),NA(),IF(ISBLANK(Q209),IF(FloatAmortizationFrequency=0,P208,IF(MOD((O209-1),FloatAmortizationFrequency)&lt;&gt;0,P208,P208-FloatAmortization)),Q209))</f>
        <v>#N/A</v>
      </c>
      <c r="Q209" s="67"/>
      <c r="R209" s="33" t="e">
        <f ca="1"/>
        <v>#N/A</v>
      </c>
      <c r="S209" s="33" t="e">
        <f ca="1"/>
        <v>#N/A</v>
      </c>
      <c r="T209" s="33" t="e">
        <f ca="1"/>
        <v>#N/A</v>
      </c>
      <c r="U209" s="25" t="e">
        <f ca="1"/>
        <v>#N/A</v>
      </c>
      <c r="V209" s="36" t="e">
        <f ca="1"/>
        <v>#N/A</v>
      </c>
      <c r="W209" s="37" t="e">
        <f ca="1"/>
        <v>#N/A</v>
      </c>
      <c r="X209" s="31" t="s">
        <v>1</v>
      </c>
    </row>
    <row r="210" spans="4:24" x14ac:dyDescent="0.25">
      <c r="D210" s="31" t="s">
        <v>1</v>
      </c>
      <c r="E210" s="43">
        <v>202</v>
      </c>
      <c r="F210" s="25" t="e">
        <f ca="1">IF(ISNA(H210),NA(),IF(ISBLANK(G210),IF(FixedAmortizationFrequency=0,F209,IF(MOD((E210-1),FixedAmortizationFrequency)&lt;&gt;0,F209,F209-FixedAmortization)),G210))</f>
        <v>#N/A</v>
      </c>
      <c r="G210" s="67"/>
      <c r="H210" s="63" t="e">
        <f ca="1"/>
        <v>#N/A</v>
      </c>
      <c r="I210" s="33" t="e">
        <f ca="1"/>
        <v>#N/A</v>
      </c>
      <c r="J210" s="33" t="e">
        <f ca="1"/>
        <v>#N/A</v>
      </c>
      <c r="K210" s="25" t="e">
        <f ca="1"/>
        <v>#N/A</v>
      </c>
      <c r="L210" s="36" t="e">
        <f ca="1"/>
        <v>#N/A</v>
      </c>
      <c r="M210" s="37" t="e">
        <f ca="1"/>
        <v>#N/A</v>
      </c>
      <c r="N210" s="38" t="s">
        <v>1</v>
      </c>
      <c r="O210" s="43">
        <v>202</v>
      </c>
      <c r="P210" s="25" t="e">
        <f ca="1">IF(ISNA(R210),NA(),IF(ISBLANK(Q210),IF(FloatAmortizationFrequency=0,P209,IF(MOD((O210-1),FloatAmortizationFrequency)&lt;&gt;0,P209,P209-FloatAmortization)),Q210))</f>
        <v>#N/A</v>
      </c>
      <c r="Q210" s="67"/>
      <c r="R210" s="33" t="e">
        <f ca="1"/>
        <v>#N/A</v>
      </c>
      <c r="S210" s="33" t="e">
        <f ca="1"/>
        <v>#N/A</v>
      </c>
      <c r="T210" s="33" t="e">
        <f ca="1"/>
        <v>#N/A</v>
      </c>
      <c r="U210" s="25" t="e">
        <f ca="1"/>
        <v>#N/A</v>
      </c>
      <c r="V210" s="36" t="e">
        <f ca="1"/>
        <v>#N/A</v>
      </c>
      <c r="W210" s="37" t="e">
        <f ca="1"/>
        <v>#N/A</v>
      </c>
      <c r="X210" s="31" t="s">
        <v>1</v>
      </c>
    </row>
    <row r="211" spans="4:24" x14ac:dyDescent="0.25">
      <c r="D211" s="31" t="s">
        <v>1</v>
      </c>
      <c r="E211" s="43">
        <v>203</v>
      </c>
      <c r="F211" s="25" t="e">
        <f ca="1">IF(ISNA(H211),NA(),IF(ISBLANK(G211),IF(FixedAmortizationFrequency=0,F210,IF(MOD((E211-1),FixedAmortizationFrequency)&lt;&gt;0,F210,F210-FixedAmortization)),G211))</f>
        <v>#N/A</v>
      </c>
      <c r="G211" s="67"/>
      <c r="H211" s="63" t="e">
        <f ca="1"/>
        <v>#N/A</v>
      </c>
      <c r="I211" s="33" t="e">
        <f ca="1"/>
        <v>#N/A</v>
      </c>
      <c r="J211" s="33" t="e">
        <f ca="1"/>
        <v>#N/A</v>
      </c>
      <c r="K211" s="25" t="e">
        <f ca="1"/>
        <v>#N/A</v>
      </c>
      <c r="L211" s="36" t="e">
        <f ca="1"/>
        <v>#N/A</v>
      </c>
      <c r="M211" s="37" t="e">
        <f ca="1"/>
        <v>#N/A</v>
      </c>
      <c r="N211" s="38" t="s">
        <v>1</v>
      </c>
      <c r="O211" s="43">
        <v>203</v>
      </c>
      <c r="P211" s="25" t="e">
        <f ca="1">IF(ISNA(R211),NA(),IF(ISBLANK(Q211),IF(FloatAmortizationFrequency=0,P210,IF(MOD((O211-1),FloatAmortizationFrequency)&lt;&gt;0,P210,P210-FloatAmortization)),Q211))</f>
        <v>#N/A</v>
      </c>
      <c r="Q211" s="67"/>
      <c r="R211" s="33" t="e">
        <f ca="1"/>
        <v>#N/A</v>
      </c>
      <c r="S211" s="33" t="e">
        <f ca="1"/>
        <v>#N/A</v>
      </c>
      <c r="T211" s="33" t="e">
        <f ca="1"/>
        <v>#N/A</v>
      </c>
      <c r="U211" s="25" t="e">
        <f ca="1"/>
        <v>#N/A</v>
      </c>
      <c r="V211" s="36" t="e">
        <f ca="1"/>
        <v>#N/A</v>
      </c>
      <c r="W211" s="37" t="e">
        <f ca="1"/>
        <v>#N/A</v>
      </c>
      <c r="X211" s="31" t="s">
        <v>1</v>
      </c>
    </row>
    <row r="212" spans="4:24" x14ac:dyDescent="0.25">
      <c r="D212" s="31" t="s">
        <v>1</v>
      </c>
      <c r="E212" s="43">
        <v>204</v>
      </c>
      <c r="F212" s="25" t="e">
        <f ca="1">IF(ISNA(H212),NA(),IF(ISBLANK(G212),IF(FixedAmortizationFrequency=0,F211,IF(MOD((E212-1),FixedAmortizationFrequency)&lt;&gt;0,F211,F211-FixedAmortization)),G212))</f>
        <v>#N/A</v>
      </c>
      <c r="G212" s="67"/>
      <c r="H212" s="63" t="e">
        <f ca="1"/>
        <v>#N/A</v>
      </c>
      <c r="I212" s="33" t="e">
        <f ca="1"/>
        <v>#N/A</v>
      </c>
      <c r="J212" s="33" t="e">
        <f ca="1"/>
        <v>#N/A</v>
      </c>
      <c r="K212" s="25" t="e">
        <f ca="1"/>
        <v>#N/A</v>
      </c>
      <c r="L212" s="36" t="e">
        <f ca="1"/>
        <v>#N/A</v>
      </c>
      <c r="M212" s="37" t="e">
        <f ca="1"/>
        <v>#N/A</v>
      </c>
      <c r="N212" s="38" t="s">
        <v>1</v>
      </c>
      <c r="O212" s="43">
        <v>204</v>
      </c>
      <c r="P212" s="25" t="e">
        <f ca="1">IF(ISNA(R212),NA(),IF(ISBLANK(Q212),IF(FloatAmortizationFrequency=0,P211,IF(MOD((O212-1),FloatAmortizationFrequency)&lt;&gt;0,P211,P211-FloatAmortization)),Q212))</f>
        <v>#N/A</v>
      </c>
      <c r="Q212" s="67"/>
      <c r="R212" s="33" t="e">
        <f ca="1"/>
        <v>#N/A</v>
      </c>
      <c r="S212" s="33" t="e">
        <f ca="1"/>
        <v>#N/A</v>
      </c>
      <c r="T212" s="33" t="e">
        <f ca="1"/>
        <v>#N/A</v>
      </c>
      <c r="U212" s="25" t="e">
        <f ca="1"/>
        <v>#N/A</v>
      </c>
      <c r="V212" s="36" t="e">
        <f ca="1"/>
        <v>#N/A</v>
      </c>
      <c r="W212" s="37" t="e">
        <f ca="1"/>
        <v>#N/A</v>
      </c>
      <c r="X212" s="31" t="s">
        <v>1</v>
      </c>
    </row>
    <row r="213" spans="4:24" x14ac:dyDescent="0.25">
      <c r="D213" s="31" t="s">
        <v>1</v>
      </c>
      <c r="E213" s="43">
        <v>205</v>
      </c>
      <c r="F213" s="25" t="e">
        <f ca="1">IF(ISNA(H213),NA(),IF(ISBLANK(G213),IF(FixedAmortizationFrequency=0,F212,IF(MOD((E213-1),FixedAmortizationFrequency)&lt;&gt;0,F212,F212-FixedAmortization)),G213))</f>
        <v>#N/A</v>
      </c>
      <c r="G213" s="67"/>
      <c r="H213" s="63" t="e">
        <f ca="1"/>
        <v>#N/A</v>
      </c>
      <c r="I213" s="33" t="e">
        <f ca="1"/>
        <v>#N/A</v>
      </c>
      <c r="J213" s="33" t="e">
        <f ca="1"/>
        <v>#N/A</v>
      </c>
      <c r="K213" s="25" t="e">
        <f ca="1"/>
        <v>#N/A</v>
      </c>
      <c r="L213" s="36" t="e">
        <f ca="1"/>
        <v>#N/A</v>
      </c>
      <c r="M213" s="37" t="e">
        <f ca="1"/>
        <v>#N/A</v>
      </c>
      <c r="N213" s="38" t="s">
        <v>1</v>
      </c>
      <c r="O213" s="43">
        <v>205</v>
      </c>
      <c r="P213" s="25" t="e">
        <f ca="1">IF(ISNA(R213),NA(),IF(ISBLANK(Q213),IF(FloatAmortizationFrequency=0,P212,IF(MOD((O213-1),FloatAmortizationFrequency)&lt;&gt;0,P212,P212-FloatAmortization)),Q213))</f>
        <v>#N/A</v>
      </c>
      <c r="Q213" s="67"/>
      <c r="R213" s="33" t="e">
        <f ca="1"/>
        <v>#N/A</v>
      </c>
      <c r="S213" s="33" t="e">
        <f ca="1"/>
        <v>#N/A</v>
      </c>
      <c r="T213" s="33" t="e">
        <f ca="1"/>
        <v>#N/A</v>
      </c>
      <c r="U213" s="25" t="e">
        <f ca="1"/>
        <v>#N/A</v>
      </c>
      <c r="V213" s="36" t="e">
        <f ca="1"/>
        <v>#N/A</v>
      </c>
      <c r="W213" s="37" t="e">
        <f ca="1"/>
        <v>#N/A</v>
      </c>
      <c r="X213" s="31" t="s">
        <v>1</v>
      </c>
    </row>
    <row r="214" spans="4:24" x14ac:dyDescent="0.25">
      <c r="D214" s="31" t="s">
        <v>1</v>
      </c>
      <c r="E214" s="43">
        <v>206</v>
      </c>
      <c r="F214" s="25" t="e">
        <f ca="1">IF(ISNA(H214),NA(),IF(ISBLANK(G214),IF(FixedAmortizationFrequency=0,F213,IF(MOD((E214-1),FixedAmortizationFrequency)&lt;&gt;0,F213,F213-FixedAmortization)),G214))</f>
        <v>#N/A</v>
      </c>
      <c r="G214" s="67"/>
      <c r="H214" s="63" t="e">
        <f ca="1"/>
        <v>#N/A</v>
      </c>
      <c r="I214" s="33" t="e">
        <f ca="1"/>
        <v>#N/A</v>
      </c>
      <c r="J214" s="33" t="e">
        <f ca="1"/>
        <v>#N/A</v>
      </c>
      <c r="K214" s="25" t="e">
        <f ca="1"/>
        <v>#N/A</v>
      </c>
      <c r="L214" s="36" t="e">
        <f ca="1"/>
        <v>#N/A</v>
      </c>
      <c r="M214" s="37" t="e">
        <f ca="1"/>
        <v>#N/A</v>
      </c>
      <c r="N214" s="38" t="s">
        <v>1</v>
      </c>
      <c r="O214" s="43">
        <v>206</v>
      </c>
      <c r="P214" s="25" t="e">
        <f ca="1">IF(ISNA(R214),NA(),IF(ISBLANK(Q214),IF(FloatAmortizationFrequency=0,P213,IF(MOD((O214-1),FloatAmortizationFrequency)&lt;&gt;0,P213,P213-FloatAmortization)),Q214))</f>
        <v>#N/A</v>
      </c>
      <c r="Q214" s="67"/>
      <c r="R214" s="33" t="e">
        <f ca="1"/>
        <v>#N/A</v>
      </c>
      <c r="S214" s="33" t="e">
        <f ca="1"/>
        <v>#N/A</v>
      </c>
      <c r="T214" s="33" t="e">
        <f ca="1"/>
        <v>#N/A</v>
      </c>
      <c r="U214" s="25" t="e">
        <f ca="1"/>
        <v>#N/A</v>
      </c>
      <c r="V214" s="36" t="e">
        <f ca="1"/>
        <v>#N/A</v>
      </c>
      <c r="W214" s="37" t="e">
        <f ca="1"/>
        <v>#N/A</v>
      </c>
      <c r="X214" s="31" t="s">
        <v>1</v>
      </c>
    </row>
    <row r="215" spans="4:24" x14ac:dyDescent="0.25">
      <c r="D215" s="31" t="s">
        <v>1</v>
      </c>
      <c r="E215" s="43">
        <v>207</v>
      </c>
      <c r="F215" s="25" t="e">
        <f ca="1">IF(ISNA(H215),NA(),IF(ISBLANK(G215),IF(FixedAmortizationFrequency=0,F214,IF(MOD((E215-1),FixedAmortizationFrequency)&lt;&gt;0,F214,F214-FixedAmortization)),G215))</f>
        <v>#N/A</v>
      </c>
      <c r="G215" s="67"/>
      <c r="H215" s="63" t="e">
        <f ca="1"/>
        <v>#N/A</v>
      </c>
      <c r="I215" s="33" t="e">
        <f ca="1"/>
        <v>#N/A</v>
      </c>
      <c r="J215" s="33" t="e">
        <f ca="1"/>
        <v>#N/A</v>
      </c>
      <c r="K215" s="25" t="e">
        <f ca="1"/>
        <v>#N/A</v>
      </c>
      <c r="L215" s="36" t="e">
        <f ca="1"/>
        <v>#N/A</v>
      </c>
      <c r="M215" s="37" t="e">
        <f ca="1"/>
        <v>#N/A</v>
      </c>
      <c r="N215" s="38" t="s">
        <v>1</v>
      </c>
      <c r="O215" s="43">
        <v>207</v>
      </c>
      <c r="P215" s="25" t="e">
        <f ca="1">IF(ISNA(R215),NA(),IF(ISBLANK(Q215),IF(FloatAmortizationFrequency=0,P214,IF(MOD((O215-1),FloatAmortizationFrequency)&lt;&gt;0,P214,P214-FloatAmortization)),Q215))</f>
        <v>#N/A</v>
      </c>
      <c r="Q215" s="67"/>
      <c r="R215" s="33" t="e">
        <f ca="1"/>
        <v>#N/A</v>
      </c>
      <c r="S215" s="33" t="e">
        <f ca="1"/>
        <v>#N/A</v>
      </c>
      <c r="T215" s="33" t="e">
        <f ca="1"/>
        <v>#N/A</v>
      </c>
      <c r="U215" s="25" t="e">
        <f ca="1"/>
        <v>#N/A</v>
      </c>
      <c r="V215" s="36" t="e">
        <f ca="1"/>
        <v>#N/A</v>
      </c>
      <c r="W215" s="37" t="e">
        <f ca="1"/>
        <v>#N/A</v>
      </c>
      <c r="X215" s="31" t="s">
        <v>1</v>
      </c>
    </row>
    <row r="216" spans="4:24" x14ac:dyDescent="0.25">
      <c r="D216" s="31" t="s">
        <v>1</v>
      </c>
      <c r="E216" s="43">
        <v>208</v>
      </c>
      <c r="F216" s="25" t="e">
        <f ca="1">IF(ISNA(H216),NA(),IF(ISBLANK(G216),IF(FixedAmortizationFrequency=0,F215,IF(MOD((E216-1),FixedAmortizationFrequency)&lt;&gt;0,F215,F215-FixedAmortization)),G216))</f>
        <v>#N/A</v>
      </c>
      <c r="G216" s="67"/>
      <c r="H216" s="63" t="e">
        <f ca="1"/>
        <v>#N/A</v>
      </c>
      <c r="I216" s="33" t="e">
        <f ca="1"/>
        <v>#N/A</v>
      </c>
      <c r="J216" s="33" t="e">
        <f ca="1"/>
        <v>#N/A</v>
      </c>
      <c r="K216" s="25" t="e">
        <f ca="1"/>
        <v>#N/A</v>
      </c>
      <c r="L216" s="36" t="e">
        <f ca="1"/>
        <v>#N/A</v>
      </c>
      <c r="M216" s="37" t="e">
        <f ca="1"/>
        <v>#N/A</v>
      </c>
      <c r="N216" s="38" t="s">
        <v>1</v>
      </c>
      <c r="O216" s="43">
        <v>208</v>
      </c>
      <c r="P216" s="25" t="e">
        <f ca="1">IF(ISNA(R216),NA(),IF(ISBLANK(Q216),IF(FloatAmortizationFrequency=0,P215,IF(MOD((O216-1),FloatAmortizationFrequency)&lt;&gt;0,P215,P215-FloatAmortization)),Q216))</f>
        <v>#N/A</v>
      </c>
      <c r="Q216" s="67"/>
      <c r="R216" s="33" t="e">
        <f ca="1"/>
        <v>#N/A</v>
      </c>
      <c r="S216" s="33" t="e">
        <f ca="1"/>
        <v>#N/A</v>
      </c>
      <c r="T216" s="33" t="e">
        <f ca="1"/>
        <v>#N/A</v>
      </c>
      <c r="U216" s="25" t="e">
        <f ca="1"/>
        <v>#N/A</v>
      </c>
      <c r="V216" s="36" t="e">
        <f ca="1"/>
        <v>#N/A</v>
      </c>
      <c r="W216" s="37" t="e">
        <f ca="1"/>
        <v>#N/A</v>
      </c>
      <c r="X216" s="31" t="s">
        <v>1</v>
      </c>
    </row>
    <row r="217" spans="4:24" x14ac:dyDescent="0.25">
      <c r="D217" s="31" t="s">
        <v>1</v>
      </c>
      <c r="E217" s="43">
        <v>209</v>
      </c>
      <c r="F217" s="25" t="e">
        <f ca="1">IF(ISNA(H217),NA(),IF(ISBLANK(G217),IF(FixedAmortizationFrequency=0,F216,IF(MOD((E217-1),FixedAmortizationFrequency)&lt;&gt;0,F216,F216-FixedAmortization)),G217))</f>
        <v>#N/A</v>
      </c>
      <c r="G217" s="67"/>
      <c r="H217" s="63" t="e">
        <f ca="1"/>
        <v>#N/A</v>
      </c>
      <c r="I217" s="33" t="e">
        <f ca="1"/>
        <v>#N/A</v>
      </c>
      <c r="J217" s="33" t="e">
        <f ca="1"/>
        <v>#N/A</v>
      </c>
      <c r="K217" s="25" t="e">
        <f ca="1"/>
        <v>#N/A</v>
      </c>
      <c r="L217" s="36" t="e">
        <f ca="1"/>
        <v>#N/A</v>
      </c>
      <c r="M217" s="37" t="e">
        <f ca="1"/>
        <v>#N/A</v>
      </c>
      <c r="N217" s="38" t="s">
        <v>1</v>
      </c>
      <c r="O217" s="43">
        <v>209</v>
      </c>
      <c r="P217" s="25" t="e">
        <f ca="1">IF(ISNA(R217),NA(),IF(ISBLANK(Q217),IF(FloatAmortizationFrequency=0,P216,IF(MOD((O217-1),FloatAmortizationFrequency)&lt;&gt;0,P216,P216-FloatAmortization)),Q217))</f>
        <v>#N/A</v>
      </c>
      <c r="Q217" s="67"/>
      <c r="R217" s="33" t="e">
        <f ca="1"/>
        <v>#N/A</v>
      </c>
      <c r="S217" s="33" t="e">
        <f ca="1"/>
        <v>#N/A</v>
      </c>
      <c r="T217" s="33" t="e">
        <f ca="1"/>
        <v>#N/A</v>
      </c>
      <c r="U217" s="25" t="e">
        <f ca="1"/>
        <v>#N/A</v>
      </c>
      <c r="V217" s="36" t="e">
        <f ca="1"/>
        <v>#N/A</v>
      </c>
      <c r="W217" s="37" t="e">
        <f ca="1"/>
        <v>#N/A</v>
      </c>
      <c r="X217" s="31" t="s">
        <v>1</v>
      </c>
    </row>
    <row r="218" spans="4:24" x14ac:dyDescent="0.25">
      <c r="D218" s="31" t="s">
        <v>1</v>
      </c>
      <c r="E218" s="43">
        <v>210</v>
      </c>
      <c r="F218" s="25" t="e">
        <f ca="1">IF(ISNA(H218),NA(),IF(ISBLANK(G218),IF(FixedAmortizationFrequency=0,F217,IF(MOD((E218-1),FixedAmortizationFrequency)&lt;&gt;0,F217,F217-FixedAmortization)),G218))</f>
        <v>#N/A</v>
      </c>
      <c r="G218" s="67"/>
      <c r="H218" s="63" t="e">
        <f ca="1"/>
        <v>#N/A</v>
      </c>
      <c r="I218" s="33" t="e">
        <f ca="1"/>
        <v>#N/A</v>
      </c>
      <c r="J218" s="33" t="e">
        <f ca="1"/>
        <v>#N/A</v>
      </c>
      <c r="K218" s="25" t="e">
        <f ca="1"/>
        <v>#N/A</v>
      </c>
      <c r="L218" s="36" t="e">
        <f ca="1"/>
        <v>#N/A</v>
      </c>
      <c r="M218" s="37" t="e">
        <f ca="1"/>
        <v>#N/A</v>
      </c>
      <c r="N218" s="38" t="s">
        <v>1</v>
      </c>
      <c r="O218" s="43">
        <v>210</v>
      </c>
      <c r="P218" s="25" t="e">
        <f ca="1">IF(ISNA(R218),NA(),IF(ISBLANK(Q218),IF(FloatAmortizationFrequency=0,P217,IF(MOD((O218-1),FloatAmortizationFrequency)&lt;&gt;0,P217,P217-FloatAmortization)),Q218))</f>
        <v>#N/A</v>
      </c>
      <c r="Q218" s="67"/>
      <c r="R218" s="33" t="e">
        <f ca="1"/>
        <v>#N/A</v>
      </c>
      <c r="S218" s="33" t="e">
        <f ca="1"/>
        <v>#N/A</v>
      </c>
      <c r="T218" s="33" t="e">
        <f ca="1"/>
        <v>#N/A</v>
      </c>
      <c r="U218" s="25" t="e">
        <f ca="1"/>
        <v>#N/A</v>
      </c>
      <c r="V218" s="36" t="e">
        <f ca="1"/>
        <v>#N/A</v>
      </c>
      <c r="W218" s="37" t="e">
        <f ca="1"/>
        <v>#N/A</v>
      </c>
      <c r="X218" s="31" t="s">
        <v>1</v>
      </c>
    </row>
    <row r="219" spans="4:24" x14ac:dyDescent="0.25">
      <c r="D219" s="31" t="s">
        <v>1</v>
      </c>
      <c r="E219" s="43">
        <v>211</v>
      </c>
      <c r="F219" s="25" t="e">
        <f ca="1">IF(ISNA(H219),NA(),IF(ISBLANK(G219),IF(FixedAmortizationFrequency=0,F218,IF(MOD((E219-1),FixedAmortizationFrequency)&lt;&gt;0,F218,F218-FixedAmortization)),G219))</f>
        <v>#N/A</v>
      </c>
      <c r="G219" s="67"/>
      <c r="H219" s="63" t="e">
        <f ca="1"/>
        <v>#N/A</v>
      </c>
      <c r="I219" s="33" t="e">
        <f ca="1"/>
        <v>#N/A</v>
      </c>
      <c r="J219" s="33" t="e">
        <f ca="1"/>
        <v>#N/A</v>
      </c>
      <c r="K219" s="25" t="e">
        <f ca="1"/>
        <v>#N/A</v>
      </c>
      <c r="L219" s="36" t="e">
        <f ca="1"/>
        <v>#N/A</v>
      </c>
      <c r="M219" s="37" t="e">
        <f ca="1"/>
        <v>#N/A</v>
      </c>
      <c r="N219" s="38" t="s">
        <v>1</v>
      </c>
      <c r="O219" s="43">
        <v>211</v>
      </c>
      <c r="P219" s="25" t="e">
        <f ca="1">IF(ISNA(R219),NA(),IF(ISBLANK(Q219),IF(FloatAmortizationFrequency=0,P218,IF(MOD((O219-1),FloatAmortizationFrequency)&lt;&gt;0,P218,P218-FloatAmortization)),Q219))</f>
        <v>#N/A</v>
      </c>
      <c r="Q219" s="67"/>
      <c r="R219" s="33" t="e">
        <f ca="1"/>
        <v>#N/A</v>
      </c>
      <c r="S219" s="33" t="e">
        <f ca="1"/>
        <v>#N/A</v>
      </c>
      <c r="T219" s="33" t="e">
        <f ca="1"/>
        <v>#N/A</v>
      </c>
      <c r="U219" s="25" t="e">
        <f ca="1"/>
        <v>#N/A</v>
      </c>
      <c r="V219" s="36" t="e">
        <f ca="1"/>
        <v>#N/A</v>
      </c>
      <c r="W219" s="37" t="e">
        <f ca="1"/>
        <v>#N/A</v>
      </c>
      <c r="X219" s="31" t="s">
        <v>1</v>
      </c>
    </row>
    <row r="220" spans="4:24" x14ac:dyDescent="0.25">
      <c r="D220" s="31" t="s">
        <v>1</v>
      </c>
      <c r="E220" s="43">
        <v>212</v>
      </c>
      <c r="F220" s="25" t="e">
        <f ca="1">IF(ISNA(H220),NA(),IF(ISBLANK(G220),IF(FixedAmortizationFrequency=0,F219,IF(MOD((E220-1),FixedAmortizationFrequency)&lt;&gt;0,F219,F219-FixedAmortization)),G220))</f>
        <v>#N/A</v>
      </c>
      <c r="G220" s="67"/>
      <c r="H220" s="63" t="e">
        <f ca="1"/>
        <v>#N/A</v>
      </c>
      <c r="I220" s="33" t="e">
        <f ca="1"/>
        <v>#N/A</v>
      </c>
      <c r="J220" s="33" t="e">
        <f ca="1"/>
        <v>#N/A</v>
      </c>
      <c r="K220" s="25" t="e">
        <f ca="1"/>
        <v>#N/A</v>
      </c>
      <c r="L220" s="36" t="e">
        <f ca="1"/>
        <v>#N/A</v>
      </c>
      <c r="M220" s="37" t="e">
        <f ca="1"/>
        <v>#N/A</v>
      </c>
      <c r="N220" s="38" t="s">
        <v>1</v>
      </c>
      <c r="O220" s="43">
        <v>212</v>
      </c>
      <c r="P220" s="25" t="e">
        <f ca="1">IF(ISNA(R220),NA(),IF(ISBLANK(Q220),IF(FloatAmortizationFrequency=0,P219,IF(MOD((O220-1),FloatAmortizationFrequency)&lt;&gt;0,P219,P219-FloatAmortization)),Q220))</f>
        <v>#N/A</v>
      </c>
      <c r="Q220" s="67"/>
      <c r="R220" s="33" t="e">
        <f ca="1"/>
        <v>#N/A</v>
      </c>
      <c r="S220" s="33" t="e">
        <f ca="1"/>
        <v>#N/A</v>
      </c>
      <c r="T220" s="33" t="e">
        <f ca="1"/>
        <v>#N/A</v>
      </c>
      <c r="U220" s="25" t="e">
        <f ca="1"/>
        <v>#N/A</v>
      </c>
      <c r="V220" s="36" t="e">
        <f ca="1"/>
        <v>#N/A</v>
      </c>
      <c r="W220" s="37" t="e">
        <f ca="1"/>
        <v>#N/A</v>
      </c>
      <c r="X220" s="31" t="s">
        <v>1</v>
      </c>
    </row>
    <row r="221" spans="4:24" x14ac:dyDescent="0.25">
      <c r="D221" s="31" t="s">
        <v>1</v>
      </c>
      <c r="E221" s="43">
        <v>213</v>
      </c>
      <c r="F221" s="25" t="e">
        <f ca="1">IF(ISNA(H221),NA(),IF(ISBLANK(G221),IF(FixedAmortizationFrequency=0,F220,IF(MOD((E221-1),FixedAmortizationFrequency)&lt;&gt;0,F220,F220-FixedAmortization)),G221))</f>
        <v>#N/A</v>
      </c>
      <c r="G221" s="67"/>
      <c r="H221" s="63" t="e">
        <f ca="1"/>
        <v>#N/A</v>
      </c>
      <c r="I221" s="33" t="e">
        <f ca="1"/>
        <v>#N/A</v>
      </c>
      <c r="J221" s="33" t="e">
        <f ca="1"/>
        <v>#N/A</v>
      </c>
      <c r="K221" s="25" t="e">
        <f ca="1"/>
        <v>#N/A</v>
      </c>
      <c r="L221" s="36" t="e">
        <f ca="1"/>
        <v>#N/A</v>
      </c>
      <c r="M221" s="37" t="e">
        <f ca="1"/>
        <v>#N/A</v>
      </c>
      <c r="N221" s="38" t="s">
        <v>1</v>
      </c>
      <c r="O221" s="43">
        <v>213</v>
      </c>
      <c r="P221" s="25" t="e">
        <f ca="1">IF(ISNA(R221),NA(),IF(ISBLANK(Q221),IF(FloatAmortizationFrequency=0,P220,IF(MOD((O221-1),FloatAmortizationFrequency)&lt;&gt;0,P220,P220-FloatAmortization)),Q221))</f>
        <v>#N/A</v>
      </c>
      <c r="Q221" s="67"/>
      <c r="R221" s="33" t="e">
        <f ca="1"/>
        <v>#N/A</v>
      </c>
      <c r="S221" s="33" t="e">
        <f ca="1"/>
        <v>#N/A</v>
      </c>
      <c r="T221" s="33" t="e">
        <f ca="1"/>
        <v>#N/A</v>
      </c>
      <c r="U221" s="25" t="e">
        <f ca="1"/>
        <v>#N/A</v>
      </c>
      <c r="V221" s="36" t="e">
        <f ca="1"/>
        <v>#N/A</v>
      </c>
      <c r="W221" s="37" t="e">
        <f ca="1"/>
        <v>#N/A</v>
      </c>
      <c r="X221" s="31" t="s">
        <v>1</v>
      </c>
    </row>
    <row r="222" spans="4:24" x14ac:dyDescent="0.25">
      <c r="D222" s="31" t="s">
        <v>1</v>
      </c>
      <c r="E222" s="43">
        <v>214</v>
      </c>
      <c r="F222" s="25" t="e">
        <f ca="1">IF(ISNA(H222),NA(),IF(ISBLANK(G222),IF(FixedAmortizationFrequency=0,F221,IF(MOD((E222-1),FixedAmortizationFrequency)&lt;&gt;0,F221,F221-FixedAmortization)),G222))</f>
        <v>#N/A</v>
      </c>
      <c r="G222" s="67"/>
      <c r="H222" s="63" t="e">
        <f ca="1"/>
        <v>#N/A</v>
      </c>
      <c r="I222" s="33" t="e">
        <f ca="1"/>
        <v>#N/A</v>
      </c>
      <c r="J222" s="33" t="e">
        <f ca="1"/>
        <v>#N/A</v>
      </c>
      <c r="K222" s="25" t="e">
        <f ca="1"/>
        <v>#N/A</v>
      </c>
      <c r="L222" s="36" t="e">
        <f ca="1"/>
        <v>#N/A</v>
      </c>
      <c r="M222" s="37" t="e">
        <f ca="1"/>
        <v>#N/A</v>
      </c>
      <c r="N222" s="38" t="s">
        <v>1</v>
      </c>
      <c r="O222" s="43">
        <v>214</v>
      </c>
      <c r="P222" s="25" t="e">
        <f ca="1">IF(ISNA(R222),NA(),IF(ISBLANK(Q222),IF(FloatAmortizationFrequency=0,P221,IF(MOD((O222-1),FloatAmortizationFrequency)&lt;&gt;0,P221,P221-FloatAmortization)),Q222))</f>
        <v>#N/A</v>
      </c>
      <c r="Q222" s="67"/>
      <c r="R222" s="33" t="e">
        <f ca="1"/>
        <v>#N/A</v>
      </c>
      <c r="S222" s="33" t="e">
        <f ca="1"/>
        <v>#N/A</v>
      </c>
      <c r="T222" s="33" t="e">
        <f ca="1"/>
        <v>#N/A</v>
      </c>
      <c r="U222" s="25" t="e">
        <f ca="1"/>
        <v>#N/A</v>
      </c>
      <c r="V222" s="36" t="e">
        <f ca="1"/>
        <v>#N/A</v>
      </c>
      <c r="W222" s="37" t="e">
        <f ca="1"/>
        <v>#N/A</v>
      </c>
      <c r="X222" s="31" t="s">
        <v>1</v>
      </c>
    </row>
    <row r="223" spans="4:24" x14ac:dyDescent="0.25">
      <c r="D223" s="31" t="s">
        <v>1</v>
      </c>
      <c r="E223" s="43">
        <v>215</v>
      </c>
      <c r="F223" s="25" t="e">
        <f ca="1">IF(ISNA(H223),NA(),IF(ISBLANK(G223),IF(FixedAmortizationFrequency=0,F222,IF(MOD((E223-1),FixedAmortizationFrequency)&lt;&gt;0,F222,F222-FixedAmortization)),G223))</f>
        <v>#N/A</v>
      </c>
      <c r="G223" s="67"/>
      <c r="H223" s="63" t="e">
        <f ca="1"/>
        <v>#N/A</v>
      </c>
      <c r="I223" s="33" t="e">
        <f ca="1"/>
        <v>#N/A</v>
      </c>
      <c r="J223" s="33" t="e">
        <f ca="1"/>
        <v>#N/A</v>
      </c>
      <c r="K223" s="25" t="e">
        <f ca="1"/>
        <v>#N/A</v>
      </c>
      <c r="L223" s="36" t="e">
        <f ca="1"/>
        <v>#N/A</v>
      </c>
      <c r="M223" s="37" t="e">
        <f ca="1"/>
        <v>#N/A</v>
      </c>
      <c r="N223" s="38" t="s">
        <v>1</v>
      </c>
      <c r="O223" s="43">
        <v>215</v>
      </c>
      <c r="P223" s="25" t="e">
        <f ca="1">IF(ISNA(R223),NA(),IF(ISBLANK(Q223),IF(FloatAmortizationFrequency=0,P222,IF(MOD((O223-1),FloatAmortizationFrequency)&lt;&gt;0,P222,P222-FloatAmortization)),Q223))</f>
        <v>#N/A</v>
      </c>
      <c r="Q223" s="67"/>
      <c r="R223" s="33" t="e">
        <f ca="1"/>
        <v>#N/A</v>
      </c>
      <c r="S223" s="33" t="e">
        <f ca="1"/>
        <v>#N/A</v>
      </c>
      <c r="T223" s="33" t="e">
        <f ca="1"/>
        <v>#N/A</v>
      </c>
      <c r="U223" s="25" t="e">
        <f ca="1"/>
        <v>#N/A</v>
      </c>
      <c r="V223" s="36" t="e">
        <f ca="1"/>
        <v>#N/A</v>
      </c>
      <c r="W223" s="37" t="e">
        <f ca="1"/>
        <v>#N/A</v>
      </c>
      <c r="X223" s="31" t="s">
        <v>1</v>
      </c>
    </row>
    <row r="224" spans="4:24" x14ac:dyDescent="0.25">
      <c r="D224" s="31" t="s">
        <v>1</v>
      </c>
      <c r="E224" s="43">
        <v>216</v>
      </c>
      <c r="F224" s="25" t="e">
        <f ca="1">IF(ISNA(H224),NA(),IF(ISBLANK(G224),IF(FixedAmortizationFrequency=0,F223,IF(MOD((E224-1),FixedAmortizationFrequency)&lt;&gt;0,F223,F223-FixedAmortization)),G224))</f>
        <v>#N/A</v>
      </c>
      <c r="G224" s="67"/>
      <c r="H224" s="63" t="e">
        <f ca="1"/>
        <v>#N/A</v>
      </c>
      <c r="I224" s="33" t="e">
        <f ca="1"/>
        <v>#N/A</v>
      </c>
      <c r="J224" s="33" t="e">
        <f ca="1"/>
        <v>#N/A</v>
      </c>
      <c r="K224" s="25" t="e">
        <f ca="1"/>
        <v>#N/A</v>
      </c>
      <c r="L224" s="36" t="e">
        <f ca="1"/>
        <v>#N/A</v>
      </c>
      <c r="M224" s="37" t="e">
        <f ca="1"/>
        <v>#N/A</v>
      </c>
      <c r="N224" s="38" t="s">
        <v>1</v>
      </c>
      <c r="O224" s="43">
        <v>216</v>
      </c>
      <c r="P224" s="25" t="e">
        <f ca="1">IF(ISNA(R224),NA(),IF(ISBLANK(Q224),IF(FloatAmortizationFrequency=0,P223,IF(MOD((O224-1),FloatAmortizationFrequency)&lt;&gt;0,P223,P223-FloatAmortization)),Q224))</f>
        <v>#N/A</v>
      </c>
      <c r="Q224" s="67"/>
      <c r="R224" s="33" t="e">
        <f ca="1"/>
        <v>#N/A</v>
      </c>
      <c r="S224" s="33" t="e">
        <f ca="1"/>
        <v>#N/A</v>
      </c>
      <c r="T224" s="33" t="e">
        <f ca="1"/>
        <v>#N/A</v>
      </c>
      <c r="U224" s="25" t="e">
        <f ca="1"/>
        <v>#N/A</v>
      </c>
      <c r="V224" s="36" t="e">
        <f ca="1"/>
        <v>#N/A</v>
      </c>
      <c r="W224" s="37" t="e">
        <f ca="1"/>
        <v>#N/A</v>
      </c>
      <c r="X224" s="31" t="s">
        <v>1</v>
      </c>
    </row>
    <row r="225" spans="4:24" x14ac:dyDescent="0.25">
      <c r="D225" s="31" t="s">
        <v>1</v>
      </c>
      <c r="E225" s="43">
        <v>217</v>
      </c>
      <c r="F225" s="25" t="e">
        <f ca="1">IF(ISNA(H225),NA(),IF(ISBLANK(G225),IF(FixedAmortizationFrequency=0,F224,IF(MOD((E225-1),FixedAmortizationFrequency)&lt;&gt;0,F224,F224-FixedAmortization)),G225))</f>
        <v>#N/A</v>
      </c>
      <c r="G225" s="67"/>
      <c r="H225" s="63" t="e">
        <f ca="1"/>
        <v>#N/A</v>
      </c>
      <c r="I225" s="33" t="e">
        <f ca="1"/>
        <v>#N/A</v>
      </c>
      <c r="J225" s="33" t="e">
        <f ca="1"/>
        <v>#N/A</v>
      </c>
      <c r="K225" s="25" t="e">
        <f ca="1"/>
        <v>#N/A</v>
      </c>
      <c r="L225" s="36" t="e">
        <f ca="1"/>
        <v>#N/A</v>
      </c>
      <c r="M225" s="37" t="e">
        <f ca="1"/>
        <v>#N/A</v>
      </c>
      <c r="N225" s="38" t="s">
        <v>1</v>
      </c>
      <c r="O225" s="43">
        <v>217</v>
      </c>
      <c r="P225" s="25" t="e">
        <f ca="1">IF(ISNA(R225),NA(),IF(ISBLANK(Q225),IF(FloatAmortizationFrequency=0,P224,IF(MOD((O225-1),FloatAmortizationFrequency)&lt;&gt;0,P224,P224-FloatAmortization)),Q225))</f>
        <v>#N/A</v>
      </c>
      <c r="Q225" s="67"/>
      <c r="R225" s="33" t="e">
        <f ca="1"/>
        <v>#N/A</v>
      </c>
      <c r="S225" s="33" t="e">
        <f ca="1"/>
        <v>#N/A</v>
      </c>
      <c r="T225" s="33" t="e">
        <f ca="1"/>
        <v>#N/A</v>
      </c>
      <c r="U225" s="25" t="e">
        <f ca="1"/>
        <v>#N/A</v>
      </c>
      <c r="V225" s="36" t="e">
        <f ca="1"/>
        <v>#N/A</v>
      </c>
      <c r="W225" s="37" t="e">
        <f ca="1"/>
        <v>#N/A</v>
      </c>
      <c r="X225" s="31" t="s">
        <v>1</v>
      </c>
    </row>
    <row r="226" spans="4:24" x14ac:dyDescent="0.25">
      <c r="D226" s="31" t="s">
        <v>1</v>
      </c>
      <c r="E226" s="43">
        <v>218</v>
      </c>
      <c r="F226" s="25" t="e">
        <f ca="1">IF(ISNA(H226),NA(),IF(ISBLANK(G226),IF(FixedAmortizationFrequency=0,F225,IF(MOD((E226-1),FixedAmortizationFrequency)&lt;&gt;0,F225,F225-FixedAmortization)),G226))</f>
        <v>#N/A</v>
      </c>
      <c r="G226" s="67"/>
      <c r="H226" s="63" t="e">
        <f ca="1"/>
        <v>#N/A</v>
      </c>
      <c r="I226" s="33" t="e">
        <f ca="1"/>
        <v>#N/A</v>
      </c>
      <c r="J226" s="33" t="e">
        <f ca="1"/>
        <v>#N/A</v>
      </c>
      <c r="K226" s="25" t="e">
        <f ca="1"/>
        <v>#N/A</v>
      </c>
      <c r="L226" s="36" t="e">
        <f ca="1"/>
        <v>#N/A</v>
      </c>
      <c r="M226" s="37" t="e">
        <f ca="1"/>
        <v>#N/A</v>
      </c>
      <c r="N226" s="38" t="s">
        <v>1</v>
      </c>
      <c r="O226" s="43">
        <v>218</v>
      </c>
      <c r="P226" s="25" t="e">
        <f ca="1">IF(ISNA(R226),NA(),IF(ISBLANK(Q226),IF(FloatAmortizationFrequency=0,P225,IF(MOD((O226-1),FloatAmortizationFrequency)&lt;&gt;0,P225,P225-FloatAmortization)),Q226))</f>
        <v>#N/A</v>
      </c>
      <c r="Q226" s="67"/>
      <c r="R226" s="33" t="e">
        <f ca="1"/>
        <v>#N/A</v>
      </c>
      <c r="S226" s="33" t="e">
        <f ca="1"/>
        <v>#N/A</v>
      </c>
      <c r="T226" s="33" t="e">
        <f ca="1"/>
        <v>#N/A</v>
      </c>
      <c r="U226" s="25" t="e">
        <f ca="1"/>
        <v>#N/A</v>
      </c>
      <c r="V226" s="36" t="e">
        <f ca="1"/>
        <v>#N/A</v>
      </c>
      <c r="W226" s="37" t="e">
        <f ca="1"/>
        <v>#N/A</v>
      </c>
      <c r="X226" s="31" t="s">
        <v>1</v>
      </c>
    </row>
    <row r="227" spans="4:24" x14ac:dyDescent="0.25">
      <c r="D227" s="31" t="s">
        <v>1</v>
      </c>
      <c r="E227" s="43">
        <v>219</v>
      </c>
      <c r="F227" s="25" t="e">
        <f ca="1">IF(ISNA(H227),NA(),IF(ISBLANK(G227),IF(FixedAmortizationFrequency=0,F226,IF(MOD((E227-1),FixedAmortizationFrequency)&lt;&gt;0,F226,F226-FixedAmortization)),G227))</f>
        <v>#N/A</v>
      </c>
      <c r="G227" s="67"/>
      <c r="H227" s="63" t="e">
        <f ca="1"/>
        <v>#N/A</v>
      </c>
      <c r="I227" s="33" t="e">
        <f ca="1"/>
        <v>#N/A</v>
      </c>
      <c r="J227" s="33" t="e">
        <f ca="1"/>
        <v>#N/A</v>
      </c>
      <c r="K227" s="25" t="e">
        <f ca="1"/>
        <v>#N/A</v>
      </c>
      <c r="L227" s="36" t="e">
        <f ca="1"/>
        <v>#N/A</v>
      </c>
      <c r="M227" s="37" t="e">
        <f ca="1"/>
        <v>#N/A</v>
      </c>
      <c r="N227" s="38" t="s">
        <v>1</v>
      </c>
      <c r="O227" s="43">
        <v>219</v>
      </c>
      <c r="P227" s="25" t="e">
        <f ca="1">IF(ISNA(R227),NA(),IF(ISBLANK(Q227),IF(FloatAmortizationFrequency=0,P226,IF(MOD((O227-1),FloatAmortizationFrequency)&lt;&gt;0,P226,P226-FloatAmortization)),Q227))</f>
        <v>#N/A</v>
      </c>
      <c r="Q227" s="67"/>
      <c r="R227" s="33" t="e">
        <f ca="1"/>
        <v>#N/A</v>
      </c>
      <c r="S227" s="33" t="e">
        <f ca="1"/>
        <v>#N/A</v>
      </c>
      <c r="T227" s="33" t="e">
        <f ca="1"/>
        <v>#N/A</v>
      </c>
      <c r="U227" s="25" t="e">
        <f ca="1"/>
        <v>#N/A</v>
      </c>
      <c r="V227" s="36" t="e">
        <f ca="1"/>
        <v>#N/A</v>
      </c>
      <c r="W227" s="37" t="e">
        <f ca="1"/>
        <v>#N/A</v>
      </c>
      <c r="X227" s="31" t="s">
        <v>1</v>
      </c>
    </row>
    <row r="228" spans="4:24" x14ac:dyDescent="0.25">
      <c r="D228" s="31" t="s">
        <v>1</v>
      </c>
      <c r="E228" s="43">
        <v>220</v>
      </c>
      <c r="F228" s="25" t="e">
        <f ca="1">IF(ISNA(H228),NA(),IF(ISBLANK(G228),IF(FixedAmortizationFrequency=0,F227,IF(MOD((E228-1),FixedAmortizationFrequency)&lt;&gt;0,F227,F227-FixedAmortization)),G228))</f>
        <v>#N/A</v>
      </c>
      <c r="G228" s="67"/>
      <c r="H228" s="63" t="e">
        <f ca="1"/>
        <v>#N/A</v>
      </c>
      <c r="I228" s="33" t="e">
        <f ca="1"/>
        <v>#N/A</v>
      </c>
      <c r="J228" s="33" t="e">
        <f ca="1"/>
        <v>#N/A</v>
      </c>
      <c r="K228" s="25" t="e">
        <f ca="1"/>
        <v>#N/A</v>
      </c>
      <c r="L228" s="36" t="e">
        <f ca="1"/>
        <v>#N/A</v>
      </c>
      <c r="M228" s="37" t="e">
        <f ca="1"/>
        <v>#N/A</v>
      </c>
      <c r="N228" s="38" t="s">
        <v>1</v>
      </c>
      <c r="O228" s="43">
        <v>220</v>
      </c>
      <c r="P228" s="25" t="e">
        <f ca="1">IF(ISNA(R228),NA(),IF(ISBLANK(Q228),IF(FloatAmortizationFrequency=0,P227,IF(MOD((O228-1),FloatAmortizationFrequency)&lt;&gt;0,P227,P227-FloatAmortization)),Q228))</f>
        <v>#N/A</v>
      </c>
      <c r="Q228" s="67"/>
      <c r="R228" s="33" t="e">
        <f ca="1"/>
        <v>#N/A</v>
      </c>
      <c r="S228" s="33" t="e">
        <f ca="1"/>
        <v>#N/A</v>
      </c>
      <c r="T228" s="33" t="e">
        <f ca="1"/>
        <v>#N/A</v>
      </c>
      <c r="U228" s="25" t="e">
        <f ca="1"/>
        <v>#N/A</v>
      </c>
      <c r="V228" s="36" t="e">
        <f ca="1"/>
        <v>#N/A</v>
      </c>
      <c r="W228" s="37" t="e">
        <f ca="1"/>
        <v>#N/A</v>
      </c>
      <c r="X228" s="31" t="s">
        <v>1</v>
      </c>
    </row>
    <row r="229" spans="4:24" x14ac:dyDescent="0.25">
      <c r="D229" s="31" t="s">
        <v>1</v>
      </c>
      <c r="E229" s="43">
        <v>221</v>
      </c>
      <c r="F229" s="25" t="e">
        <f ca="1">IF(ISNA(H229),NA(),IF(ISBLANK(G229),IF(FixedAmortizationFrequency=0,F228,IF(MOD((E229-1),FixedAmortizationFrequency)&lt;&gt;0,F228,F228-FixedAmortization)),G229))</f>
        <v>#N/A</v>
      </c>
      <c r="G229" s="67"/>
      <c r="H229" s="63" t="e">
        <f ca="1"/>
        <v>#N/A</v>
      </c>
      <c r="I229" s="33" t="e">
        <f ca="1"/>
        <v>#N/A</v>
      </c>
      <c r="J229" s="33" t="e">
        <f ca="1"/>
        <v>#N/A</v>
      </c>
      <c r="K229" s="25" t="e">
        <f ca="1"/>
        <v>#N/A</v>
      </c>
      <c r="L229" s="36" t="e">
        <f ca="1"/>
        <v>#N/A</v>
      </c>
      <c r="M229" s="37" t="e">
        <f ca="1"/>
        <v>#N/A</v>
      </c>
      <c r="N229" s="38" t="s">
        <v>1</v>
      </c>
      <c r="O229" s="43">
        <v>221</v>
      </c>
      <c r="P229" s="25" t="e">
        <f ca="1">IF(ISNA(R229),NA(),IF(ISBLANK(Q229),IF(FloatAmortizationFrequency=0,P228,IF(MOD((O229-1),FloatAmortizationFrequency)&lt;&gt;0,P228,P228-FloatAmortization)),Q229))</f>
        <v>#N/A</v>
      </c>
      <c r="Q229" s="67"/>
      <c r="R229" s="33" t="e">
        <f ca="1"/>
        <v>#N/A</v>
      </c>
      <c r="S229" s="33" t="e">
        <f ca="1"/>
        <v>#N/A</v>
      </c>
      <c r="T229" s="33" t="e">
        <f ca="1"/>
        <v>#N/A</v>
      </c>
      <c r="U229" s="25" t="e">
        <f ca="1"/>
        <v>#N/A</v>
      </c>
      <c r="V229" s="36" t="e">
        <f ca="1"/>
        <v>#N/A</v>
      </c>
      <c r="W229" s="37" t="e">
        <f ca="1"/>
        <v>#N/A</v>
      </c>
      <c r="X229" s="31" t="s">
        <v>1</v>
      </c>
    </row>
    <row r="230" spans="4:24" x14ac:dyDescent="0.25">
      <c r="D230" s="31" t="s">
        <v>1</v>
      </c>
      <c r="E230" s="43">
        <v>222</v>
      </c>
      <c r="F230" s="25" t="e">
        <f ca="1">IF(ISNA(H230),NA(),IF(ISBLANK(G230),IF(FixedAmortizationFrequency=0,F229,IF(MOD((E230-1),FixedAmortizationFrequency)&lt;&gt;0,F229,F229-FixedAmortization)),G230))</f>
        <v>#N/A</v>
      </c>
      <c r="G230" s="67"/>
      <c r="H230" s="63" t="e">
        <f ca="1"/>
        <v>#N/A</v>
      </c>
      <c r="I230" s="33" t="e">
        <f ca="1"/>
        <v>#N/A</v>
      </c>
      <c r="J230" s="33" t="e">
        <f ca="1"/>
        <v>#N/A</v>
      </c>
      <c r="K230" s="25" t="e">
        <f ca="1"/>
        <v>#N/A</v>
      </c>
      <c r="L230" s="36" t="e">
        <f ca="1"/>
        <v>#N/A</v>
      </c>
      <c r="M230" s="37" t="e">
        <f ca="1"/>
        <v>#N/A</v>
      </c>
      <c r="N230" s="38" t="s">
        <v>1</v>
      </c>
      <c r="O230" s="43">
        <v>222</v>
      </c>
      <c r="P230" s="25" t="e">
        <f ca="1">IF(ISNA(R230),NA(),IF(ISBLANK(Q230),IF(FloatAmortizationFrequency=0,P229,IF(MOD((O230-1),FloatAmortizationFrequency)&lt;&gt;0,P229,P229-FloatAmortization)),Q230))</f>
        <v>#N/A</v>
      </c>
      <c r="Q230" s="67"/>
      <c r="R230" s="33" t="e">
        <f ca="1"/>
        <v>#N/A</v>
      </c>
      <c r="S230" s="33" t="e">
        <f ca="1"/>
        <v>#N/A</v>
      </c>
      <c r="T230" s="33" t="e">
        <f ca="1"/>
        <v>#N/A</v>
      </c>
      <c r="U230" s="25" t="e">
        <f ca="1"/>
        <v>#N/A</v>
      </c>
      <c r="V230" s="36" t="e">
        <f ca="1"/>
        <v>#N/A</v>
      </c>
      <c r="W230" s="37" t="e">
        <f ca="1"/>
        <v>#N/A</v>
      </c>
      <c r="X230" s="31" t="s">
        <v>1</v>
      </c>
    </row>
    <row r="231" spans="4:24" x14ac:dyDescent="0.25">
      <c r="D231" s="31" t="s">
        <v>1</v>
      </c>
      <c r="E231" s="43">
        <v>223</v>
      </c>
      <c r="F231" s="25" t="e">
        <f ca="1">IF(ISNA(H231),NA(),IF(ISBLANK(G231),IF(FixedAmortizationFrequency=0,F230,IF(MOD((E231-1),FixedAmortizationFrequency)&lt;&gt;0,F230,F230-FixedAmortization)),G231))</f>
        <v>#N/A</v>
      </c>
      <c r="G231" s="67"/>
      <c r="H231" s="63" t="e">
        <f ca="1"/>
        <v>#N/A</v>
      </c>
      <c r="I231" s="33" t="e">
        <f ca="1"/>
        <v>#N/A</v>
      </c>
      <c r="J231" s="33" t="e">
        <f ca="1"/>
        <v>#N/A</v>
      </c>
      <c r="K231" s="25" t="e">
        <f ca="1"/>
        <v>#N/A</v>
      </c>
      <c r="L231" s="36" t="e">
        <f ca="1"/>
        <v>#N/A</v>
      </c>
      <c r="M231" s="37" t="e">
        <f ca="1"/>
        <v>#N/A</v>
      </c>
      <c r="N231" s="38" t="s">
        <v>1</v>
      </c>
      <c r="O231" s="43">
        <v>223</v>
      </c>
      <c r="P231" s="25" t="e">
        <f ca="1">IF(ISNA(R231),NA(),IF(ISBLANK(Q231),IF(FloatAmortizationFrequency=0,P230,IF(MOD((O231-1),FloatAmortizationFrequency)&lt;&gt;0,P230,P230-FloatAmortization)),Q231))</f>
        <v>#N/A</v>
      </c>
      <c r="Q231" s="67"/>
      <c r="R231" s="33" t="e">
        <f ca="1"/>
        <v>#N/A</v>
      </c>
      <c r="S231" s="33" t="e">
        <f ca="1"/>
        <v>#N/A</v>
      </c>
      <c r="T231" s="33" t="e">
        <f ca="1"/>
        <v>#N/A</v>
      </c>
      <c r="U231" s="25" t="e">
        <f ca="1"/>
        <v>#N/A</v>
      </c>
      <c r="V231" s="36" t="e">
        <f ca="1"/>
        <v>#N/A</v>
      </c>
      <c r="W231" s="37" t="e">
        <f ca="1"/>
        <v>#N/A</v>
      </c>
      <c r="X231" s="31" t="s">
        <v>1</v>
      </c>
    </row>
    <row r="232" spans="4:24" x14ac:dyDescent="0.25">
      <c r="D232" s="31" t="s">
        <v>1</v>
      </c>
      <c r="E232" s="43">
        <v>224</v>
      </c>
      <c r="F232" s="25" t="e">
        <f ca="1">IF(ISNA(H232),NA(),IF(ISBLANK(G232),IF(FixedAmortizationFrequency=0,F231,IF(MOD((E232-1),FixedAmortizationFrequency)&lt;&gt;0,F231,F231-FixedAmortization)),G232))</f>
        <v>#N/A</v>
      </c>
      <c r="G232" s="67"/>
      <c r="H232" s="63" t="e">
        <f ca="1"/>
        <v>#N/A</v>
      </c>
      <c r="I232" s="33" t="e">
        <f ca="1"/>
        <v>#N/A</v>
      </c>
      <c r="J232" s="33" t="e">
        <f ca="1"/>
        <v>#N/A</v>
      </c>
      <c r="K232" s="25" t="e">
        <f ca="1"/>
        <v>#N/A</v>
      </c>
      <c r="L232" s="36" t="e">
        <f ca="1"/>
        <v>#N/A</v>
      </c>
      <c r="M232" s="37" t="e">
        <f ca="1"/>
        <v>#N/A</v>
      </c>
      <c r="N232" s="38" t="s">
        <v>1</v>
      </c>
      <c r="O232" s="43">
        <v>224</v>
      </c>
      <c r="P232" s="25" t="e">
        <f ca="1">IF(ISNA(R232),NA(),IF(ISBLANK(Q232),IF(FloatAmortizationFrequency=0,P231,IF(MOD((O232-1),FloatAmortizationFrequency)&lt;&gt;0,P231,P231-FloatAmortization)),Q232))</f>
        <v>#N/A</v>
      </c>
      <c r="Q232" s="67"/>
      <c r="R232" s="33" t="e">
        <f ca="1"/>
        <v>#N/A</v>
      </c>
      <c r="S232" s="33" t="e">
        <f ca="1"/>
        <v>#N/A</v>
      </c>
      <c r="T232" s="33" t="e">
        <f ca="1"/>
        <v>#N/A</v>
      </c>
      <c r="U232" s="25" t="e">
        <f ca="1"/>
        <v>#N/A</v>
      </c>
      <c r="V232" s="36" t="e">
        <f ca="1"/>
        <v>#N/A</v>
      </c>
      <c r="W232" s="37" t="e">
        <f ca="1"/>
        <v>#N/A</v>
      </c>
      <c r="X232" s="31" t="s">
        <v>1</v>
      </c>
    </row>
    <row r="233" spans="4:24" x14ac:dyDescent="0.25">
      <c r="D233" s="31" t="s">
        <v>1</v>
      </c>
      <c r="E233" s="43">
        <v>225</v>
      </c>
      <c r="F233" s="25" t="e">
        <f ca="1">IF(ISNA(H233),NA(),IF(ISBLANK(G233),IF(FixedAmortizationFrequency=0,F232,IF(MOD((E233-1),FixedAmortizationFrequency)&lt;&gt;0,F232,F232-FixedAmortization)),G233))</f>
        <v>#N/A</v>
      </c>
      <c r="G233" s="67"/>
      <c r="H233" s="63" t="e">
        <f ca="1"/>
        <v>#N/A</v>
      </c>
      <c r="I233" s="33" t="e">
        <f ca="1"/>
        <v>#N/A</v>
      </c>
      <c r="J233" s="33" t="e">
        <f ca="1"/>
        <v>#N/A</v>
      </c>
      <c r="K233" s="25" t="e">
        <f ca="1"/>
        <v>#N/A</v>
      </c>
      <c r="L233" s="36" t="e">
        <f ca="1"/>
        <v>#N/A</v>
      </c>
      <c r="M233" s="37" t="e">
        <f ca="1"/>
        <v>#N/A</v>
      </c>
      <c r="N233" s="38" t="s">
        <v>1</v>
      </c>
      <c r="O233" s="43">
        <v>225</v>
      </c>
      <c r="P233" s="25" t="e">
        <f ca="1">IF(ISNA(R233),NA(),IF(ISBLANK(Q233),IF(FloatAmortizationFrequency=0,P232,IF(MOD((O233-1),FloatAmortizationFrequency)&lt;&gt;0,P232,P232-FloatAmortization)),Q233))</f>
        <v>#N/A</v>
      </c>
      <c r="Q233" s="67"/>
      <c r="R233" s="33" t="e">
        <f ca="1"/>
        <v>#N/A</v>
      </c>
      <c r="S233" s="33" t="e">
        <f ca="1"/>
        <v>#N/A</v>
      </c>
      <c r="T233" s="33" t="e">
        <f ca="1"/>
        <v>#N/A</v>
      </c>
      <c r="U233" s="25" t="e">
        <f ca="1"/>
        <v>#N/A</v>
      </c>
      <c r="V233" s="36" t="e">
        <f ca="1"/>
        <v>#N/A</v>
      </c>
      <c r="W233" s="37" t="e">
        <f ca="1"/>
        <v>#N/A</v>
      </c>
      <c r="X233" s="31" t="s">
        <v>1</v>
      </c>
    </row>
    <row r="234" spans="4:24" x14ac:dyDescent="0.25">
      <c r="D234" s="31" t="s">
        <v>1</v>
      </c>
      <c r="E234" s="43">
        <v>226</v>
      </c>
      <c r="F234" s="25" t="e">
        <f ca="1">IF(ISNA(H234),NA(),IF(ISBLANK(G234),IF(FixedAmortizationFrequency=0,F233,IF(MOD((E234-1),FixedAmortizationFrequency)&lt;&gt;0,F233,F233-FixedAmortization)),G234))</f>
        <v>#N/A</v>
      </c>
      <c r="G234" s="67"/>
      <c r="H234" s="63" t="e">
        <f ca="1"/>
        <v>#N/A</v>
      </c>
      <c r="I234" s="33" t="e">
        <f ca="1"/>
        <v>#N/A</v>
      </c>
      <c r="J234" s="33" t="e">
        <f ca="1"/>
        <v>#N/A</v>
      </c>
      <c r="K234" s="25" t="e">
        <f ca="1"/>
        <v>#N/A</v>
      </c>
      <c r="L234" s="36" t="e">
        <f ca="1"/>
        <v>#N/A</v>
      </c>
      <c r="M234" s="37" t="e">
        <f ca="1"/>
        <v>#N/A</v>
      </c>
      <c r="N234" s="38" t="s">
        <v>1</v>
      </c>
      <c r="O234" s="43">
        <v>226</v>
      </c>
      <c r="P234" s="25" t="e">
        <f ca="1">IF(ISNA(R234),NA(),IF(ISBLANK(Q234),IF(FloatAmortizationFrequency=0,P233,IF(MOD((O234-1),FloatAmortizationFrequency)&lt;&gt;0,P233,P233-FloatAmortization)),Q234))</f>
        <v>#N/A</v>
      </c>
      <c r="Q234" s="67"/>
      <c r="R234" s="33" t="e">
        <f ca="1"/>
        <v>#N/A</v>
      </c>
      <c r="S234" s="33" t="e">
        <f ca="1"/>
        <v>#N/A</v>
      </c>
      <c r="T234" s="33" t="e">
        <f ca="1"/>
        <v>#N/A</v>
      </c>
      <c r="U234" s="25" t="e">
        <f ca="1"/>
        <v>#N/A</v>
      </c>
      <c r="V234" s="36" t="e">
        <f ca="1"/>
        <v>#N/A</v>
      </c>
      <c r="W234" s="37" t="e">
        <f ca="1"/>
        <v>#N/A</v>
      </c>
      <c r="X234" s="31" t="s">
        <v>1</v>
      </c>
    </row>
    <row r="235" spans="4:24" x14ac:dyDescent="0.25">
      <c r="D235" s="31" t="s">
        <v>1</v>
      </c>
      <c r="E235" s="43">
        <v>227</v>
      </c>
      <c r="F235" s="25" t="e">
        <f ca="1">IF(ISNA(H235),NA(),IF(ISBLANK(G235),IF(FixedAmortizationFrequency=0,F234,IF(MOD((E235-1),FixedAmortizationFrequency)&lt;&gt;0,F234,F234-FixedAmortization)),G235))</f>
        <v>#N/A</v>
      </c>
      <c r="G235" s="67"/>
      <c r="H235" s="63" t="e">
        <f ca="1"/>
        <v>#N/A</v>
      </c>
      <c r="I235" s="33" t="e">
        <f ca="1"/>
        <v>#N/A</v>
      </c>
      <c r="J235" s="33" t="e">
        <f ca="1"/>
        <v>#N/A</v>
      </c>
      <c r="K235" s="25" t="e">
        <f ca="1"/>
        <v>#N/A</v>
      </c>
      <c r="L235" s="36" t="e">
        <f ca="1"/>
        <v>#N/A</v>
      </c>
      <c r="M235" s="37" t="e">
        <f ca="1"/>
        <v>#N/A</v>
      </c>
      <c r="N235" s="38" t="s">
        <v>1</v>
      </c>
      <c r="O235" s="43">
        <v>227</v>
      </c>
      <c r="P235" s="25" t="e">
        <f ca="1">IF(ISNA(R235),NA(),IF(ISBLANK(Q235),IF(FloatAmortizationFrequency=0,P234,IF(MOD((O235-1),FloatAmortizationFrequency)&lt;&gt;0,P234,P234-FloatAmortization)),Q235))</f>
        <v>#N/A</v>
      </c>
      <c r="Q235" s="67"/>
      <c r="R235" s="33" t="e">
        <f ca="1"/>
        <v>#N/A</v>
      </c>
      <c r="S235" s="33" t="e">
        <f ca="1"/>
        <v>#N/A</v>
      </c>
      <c r="T235" s="33" t="e">
        <f ca="1"/>
        <v>#N/A</v>
      </c>
      <c r="U235" s="25" t="e">
        <f ca="1"/>
        <v>#N/A</v>
      </c>
      <c r="V235" s="36" t="e">
        <f ca="1"/>
        <v>#N/A</v>
      </c>
      <c r="W235" s="37" t="e">
        <f ca="1"/>
        <v>#N/A</v>
      </c>
      <c r="X235" s="31" t="s">
        <v>1</v>
      </c>
    </row>
    <row r="236" spans="4:24" x14ac:dyDescent="0.25">
      <c r="D236" s="31" t="s">
        <v>1</v>
      </c>
      <c r="E236" s="43">
        <v>228</v>
      </c>
      <c r="F236" s="25" t="e">
        <f ca="1">IF(ISNA(H236),NA(),IF(ISBLANK(G236),IF(FixedAmortizationFrequency=0,F235,IF(MOD((E236-1),FixedAmortizationFrequency)&lt;&gt;0,F235,F235-FixedAmortization)),G236))</f>
        <v>#N/A</v>
      </c>
      <c r="G236" s="67"/>
      <c r="H236" s="63" t="e">
        <f ca="1"/>
        <v>#N/A</v>
      </c>
      <c r="I236" s="33" t="e">
        <f ca="1"/>
        <v>#N/A</v>
      </c>
      <c r="J236" s="33" t="e">
        <f ca="1"/>
        <v>#N/A</v>
      </c>
      <c r="K236" s="25" t="e">
        <f ca="1"/>
        <v>#N/A</v>
      </c>
      <c r="L236" s="36" t="e">
        <f ca="1"/>
        <v>#N/A</v>
      </c>
      <c r="M236" s="37" t="e">
        <f ca="1"/>
        <v>#N/A</v>
      </c>
      <c r="N236" s="38" t="s">
        <v>1</v>
      </c>
      <c r="O236" s="43">
        <v>228</v>
      </c>
      <c r="P236" s="25" t="e">
        <f ca="1">IF(ISNA(R236),NA(),IF(ISBLANK(Q236),IF(FloatAmortizationFrequency=0,P235,IF(MOD((O236-1),FloatAmortizationFrequency)&lt;&gt;0,P235,P235-FloatAmortization)),Q236))</f>
        <v>#N/A</v>
      </c>
      <c r="Q236" s="67"/>
      <c r="R236" s="33" t="e">
        <f ca="1"/>
        <v>#N/A</v>
      </c>
      <c r="S236" s="33" t="e">
        <f ca="1"/>
        <v>#N/A</v>
      </c>
      <c r="T236" s="33" t="e">
        <f ca="1"/>
        <v>#N/A</v>
      </c>
      <c r="U236" s="25" t="e">
        <f ca="1"/>
        <v>#N/A</v>
      </c>
      <c r="V236" s="36" t="e">
        <f ca="1"/>
        <v>#N/A</v>
      </c>
      <c r="W236" s="37" t="e">
        <f ca="1"/>
        <v>#N/A</v>
      </c>
      <c r="X236" s="31" t="s">
        <v>1</v>
      </c>
    </row>
    <row r="237" spans="4:24" x14ac:dyDescent="0.25">
      <c r="D237" s="31" t="s">
        <v>1</v>
      </c>
      <c r="E237" s="43">
        <v>229</v>
      </c>
      <c r="F237" s="25" t="e">
        <f ca="1">IF(ISNA(H237),NA(),IF(ISBLANK(G237),IF(FixedAmortizationFrequency=0,F236,IF(MOD((E237-1),FixedAmortizationFrequency)&lt;&gt;0,F236,F236-FixedAmortization)),G237))</f>
        <v>#N/A</v>
      </c>
      <c r="G237" s="67"/>
      <c r="H237" s="63" t="e">
        <f ca="1"/>
        <v>#N/A</v>
      </c>
      <c r="I237" s="33" t="e">
        <f ca="1"/>
        <v>#N/A</v>
      </c>
      <c r="J237" s="33" t="e">
        <f ca="1"/>
        <v>#N/A</v>
      </c>
      <c r="K237" s="25" t="e">
        <f ca="1"/>
        <v>#N/A</v>
      </c>
      <c r="L237" s="36" t="e">
        <f ca="1"/>
        <v>#N/A</v>
      </c>
      <c r="M237" s="37" t="e">
        <f ca="1"/>
        <v>#N/A</v>
      </c>
      <c r="N237" s="38" t="s">
        <v>1</v>
      </c>
      <c r="O237" s="43">
        <v>229</v>
      </c>
      <c r="P237" s="25" t="e">
        <f ca="1">IF(ISNA(R237),NA(),IF(ISBLANK(Q237),IF(FloatAmortizationFrequency=0,P236,IF(MOD((O237-1),FloatAmortizationFrequency)&lt;&gt;0,P236,P236-FloatAmortization)),Q237))</f>
        <v>#N/A</v>
      </c>
      <c r="Q237" s="67"/>
      <c r="R237" s="33" t="e">
        <f ca="1"/>
        <v>#N/A</v>
      </c>
      <c r="S237" s="33" t="e">
        <f ca="1"/>
        <v>#N/A</v>
      </c>
      <c r="T237" s="33" t="e">
        <f ca="1"/>
        <v>#N/A</v>
      </c>
      <c r="U237" s="25" t="e">
        <f ca="1"/>
        <v>#N/A</v>
      </c>
      <c r="V237" s="36" t="e">
        <f ca="1"/>
        <v>#N/A</v>
      </c>
      <c r="W237" s="37" t="e">
        <f ca="1"/>
        <v>#N/A</v>
      </c>
      <c r="X237" s="31" t="s">
        <v>1</v>
      </c>
    </row>
    <row r="238" spans="4:24" x14ac:dyDescent="0.25">
      <c r="D238" s="31" t="s">
        <v>1</v>
      </c>
      <c r="E238" s="43">
        <v>230</v>
      </c>
      <c r="F238" s="25" t="e">
        <f ca="1">IF(ISNA(H238),NA(),IF(ISBLANK(G238),IF(FixedAmortizationFrequency=0,F237,IF(MOD((E238-1),FixedAmortizationFrequency)&lt;&gt;0,F237,F237-FixedAmortization)),G238))</f>
        <v>#N/A</v>
      </c>
      <c r="G238" s="67"/>
      <c r="H238" s="63" t="e">
        <f ca="1"/>
        <v>#N/A</v>
      </c>
      <c r="I238" s="33" t="e">
        <f ca="1"/>
        <v>#N/A</v>
      </c>
      <c r="J238" s="33" t="e">
        <f ca="1"/>
        <v>#N/A</v>
      </c>
      <c r="K238" s="25" t="e">
        <f ca="1"/>
        <v>#N/A</v>
      </c>
      <c r="L238" s="36" t="e">
        <f ca="1"/>
        <v>#N/A</v>
      </c>
      <c r="M238" s="37" t="e">
        <f ca="1"/>
        <v>#N/A</v>
      </c>
      <c r="N238" s="38" t="s">
        <v>1</v>
      </c>
      <c r="O238" s="43">
        <v>230</v>
      </c>
      <c r="P238" s="25" t="e">
        <f ca="1">IF(ISNA(R238),NA(),IF(ISBLANK(Q238),IF(FloatAmortizationFrequency=0,P237,IF(MOD((O238-1),FloatAmortizationFrequency)&lt;&gt;0,P237,P237-FloatAmortization)),Q238))</f>
        <v>#N/A</v>
      </c>
      <c r="Q238" s="67"/>
      <c r="R238" s="33" t="e">
        <f ca="1"/>
        <v>#N/A</v>
      </c>
      <c r="S238" s="33" t="e">
        <f ca="1"/>
        <v>#N/A</v>
      </c>
      <c r="T238" s="33" t="e">
        <f ca="1"/>
        <v>#N/A</v>
      </c>
      <c r="U238" s="25" t="e">
        <f ca="1"/>
        <v>#N/A</v>
      </c>
      <c r="V238" s="36" t="e">
        <f ca="1"/>
        <v>#N/A</v>
      </c>
      <c r="W238" s="37" t="e">
        <f ca="1"/>
        <v>#N/A</v>
      </c>
      <c r="X238" s="31" t="s">
        <v>1</v>
      </c>
    </row>
    <row r="239" spans="4:24" x14ac:dyDescent="0.25">
      <c r="D239" s="31" t="s">
        <v>1</v>
      </c>
      <c r="E239" s="43">
        <v>231</v>
      </c>
      <c r="F239" s="25" t="e">
        <f ca="1">IF(ISNA(H239),NA(),IF(ISBLANK(G239),IF(FixedAmortizationFrequency=0,F238,IF(MOD((E239-1),FixedAmortizationFrequency)&lt;&gt;0,F238,F238-FixedAmortization)),G239))</f>
        <v>#N/A</v>
      </c>
      <c r="G239" s="67"/>
      <c r="H239" s="63" t="e">
        <f ca="1"/>
        <v>#N/A</v>
      </c>
      <c r="I239" s="33" t="e">
        <f ca="1"/>
        <v>#N/A</v>
      </c>
      <c r="J239" s="33" t="e">
        <f ca="1"/>
        <v>#N/A</v>
      </c>
      <c r="K239" s="25" t="e">
        <f ca="1"/>
        <v>#N/A</v>
      </c>
      <c r="L239" s="36" t="e">
        <f ca="1"/>
        <v>#N/A</v>
      </c>
      <c r="M239" s="37" t="e">
        <f ca="1"/>
        <v>#N/A</v>
      </c>
      <c r="N239" s="38" t="s">
        <v>1</v>
      </c>
      <c r="O239" s="43">
        <v>231</v>
      </c>
      <c r="P239" s="25" t="e">
        <f ca="1">IF(ISNA(R239),NA(),IF(ISBLANK(Q239),IF(FloatAmortizationFrequency=0,P238,IF(MOD((O239-1),FloatAmortizationFrequency)&lt;&gt;0,P238,P238-FloatAmortization)),Q239))</f>
        <v>#N/A</v>
      </c>
      <c r="Q239" s="67"/>
      <c r="R239" s="33" t="e">
        <f ca="1"/>
        <v>#N/A</v>
      </c>
      <c r="S239" s="33" t="e">
        <f ca="1"/>
        <v>#N/A</v>
      </c>
      <c r="T239" s="33" t="e">
        <f ca="1"/>
        <v>#N/A</v>
      </c>
      <c r="U239" s="25" t="e">
        <f ca="1"/>
        <v>#N/A</v>
      </c>
      <c r="V239" s="36" t="e">
        <f ca="1"/>
        <v>#N/A</v>
      </c>
      <c r="W239" s="37" t="e">
        <f ca="1"/>
        <v>#N/A</v>
      </c>
      <c r="X239" s="31" t="s">
        <v>1</v>
      </c>
    </row>
    <row r="240" spans="4:24" x14ac:dyDescent="0.25">
      <c r="D240" s="31" t="s">
        <v>1</v>
      </c>
      <c r="E240" s="43">
        <v>232</v>
      </c>
      <c r="F240" s="25" t="e">
        <f ca="1">IF(ISNA(H240),NA(),IF(ISBLANK(G240),IF(FixedAmortizationFrequency=0,F239,IF(MOD((E240-1),FixedAmortizationFrequency)&lt;&gt;0,F239,F239-FixedAmortization)),G240))</f>
        <v>#N/A</v>
      </c>
      <c r="G240" s="67"/>
      <c r="H240" s="63" t="e">
        <f ca="1"/>
        <v>#N/A</v>
      </c>
      <c r="I240" s="33" t="e">
        <f ca="1"/>
        <v>#N/A</v>
      </c>
      <c r="J240" s="33" t="e">
        <f ca="1"/>
        <v>#N/A</v>
      </c>
      <c r="K240" s="25" t="e">
        <f ca="1"/>
        <v>#N/A</v>
      </c>
      <c r="L240" s="36" t="e">
        <f ca="1"/>
        <v>#N/A</v>
      </c>
      <c r="M240" s="37" t="e">
        <f ca="1"/>
        <v>#N/A</v>
      </c>
      <c r="N240" s="38" t="s">
        <v>1</v>
      </c>
      <c r="O240" s="43">
        <v>232</v>
      </c>
      <c r="P240" s="25" t="e">
        <f ca="1">IF(ISNA(R240),NA(),IF(ISBLANK(Q240),IF(FloatAmortizationFrequency=0,P239,IF(MOD((O240-1),FloatAmortizationFrequency)&lt;&gt;0,P239,P239-FloatAmortization)),Q240))</f>
        <v>#N/A</v>
      </c>
      <c r="Q240" s="67"/>
      <c r="R240" s="33" t="e">
        <f ca="1"/>
        <v>#N/A</v>
      </c>
      <c r="S240" s="33" t="e">
        <f ca="1"/>
        <v>#N/A</v>
      </c>
      <c r="T240" s="33" t="e">
        <f ca="1"/>
        <v>#N/A</v>
      </c>
      <c r="U240" s="25" t="e">
        <f ca="1"/>
        <v>#N/A</v>
      </c>
      <c r="V240" s="36" t="e">
        <f ca="1"/>
        <v>#N/A</v>
      </c>
      <c r="W240" s="37" t="e">
        <f ca="1"/>
        <v>#N/A</v>
      </c>
      <c r="X240" s="31" t="s">
        <v>1</v>
      </c>
    </row>
    <row r="241" spans="4:24" x14ac:dyDescent="0.25">
      <c r="D241" s="31" t="s">
        <v>1</v>
      </c>
      <c r="E241" s="43">
        <v>233</v>
      </c>
      <c r="F241" s="25" t="e">
        <f ca="1">IF(ISNA(H241),NA(),IF(ISBLANK(G241),IF(FixedAmortizationFrequency=0,F240,IF(MOD((E241-1),FixedAmortizationFrequency)&lt;&gt;0,F240,F240-FixedAmortization)),G241))</f>
        <v>#N/A</v>
      </c>
      <c r="G241" s="67"/>
      <c r="H241" s="63" t="e">
        <f ca="1"/>
        <v>#N/A</v>
      </c>
      <c r="I241" s="33" t="e">
        <f ca="1"/>
        <v>#N/A</v>
      </c>
      <c r="J241" s="33" t="e">
        <f ca="1"/>
        <v>#N/A</v>
      </c>
      <c r="K241" s="25" t="e">
        <f ca="1"/>
        <v>#N/A</v>
      </c>
      <c r="L241" s="36" t="e">
        <f ca="1"/>
        <v>#N/A</v>
      </c>
      <c r="M241" s="37" t="e">
        <f ca="1"/>
        <v>#N/A</v>
      </c>
      <c r="N241" s="38" t="s">
        <v>1</v>
      </c>
      <c r="O241" s="43">
        <v>233</v>
      </c>
      <c r="P241" s="25" t="e">
        <f ca="1">IF(ISNA(R241),NA(),IF(ISBLANK(Q241),IF(FloatAmortizationFrequency=0,P240,IF(MOD((O241-1),FloatAmortizationFrequency)&lt;&gt;0,P240,P240-FloatAmortization)),Q241))</f>
        <v>#N/A</v>
      </c>
      <c r="Q241" s="67"/>
      <c r="R241" s="33" t="e">
        <f ca="1"/>
        <v>#N/A</v>
      </c>
      <c r="S241" s="33" t="e">
        <f ca="1"/>
        <v>#N/A</v>
      </c>
      <c r="T241" s="33" t="e">
        <f ca="1"/>
        <v>#N/A</v>
      </c>
      <c r="U241" s="25" t="e">
        <f ca="1"/>
        <v>#N/A</v>
      </c>
      <c r="V241" s="36" t="e">
        <f ca="1"/>
        <v>#N/A</v>
      </c>
      <c r="W241" s="37" t="e">
        <f ca="1"/>
        <v>#N/A</v>
      </c>
      <c r="X241" s="31" t="s">
        <v>1</v>
      </c>
    </row>
    <row r="242" spans="4:24" x14ac:dyDescent="0.25">
      <c r="D242" s="31" t="s">
        <v>1</v>
      </c>
      <c r="E242" s="43">
        <v>234</v>
      </c>
      <c r="F242" s="25" t="e">
        <f ca="1">IF(ISNA(H242),NA(),IF(ISBLANK(G242),IF(FixedAmortizationFrequency=0,F241,IF(MOD((E242-1),FixedAmortizationFrequency)&lt;&gt;0,F241,F241-FixedAmortization)),G242))</f>
        <v>#N/A</v>
      </c>
      <c r="G242" s="67"/>
      <c r="H242" s="63" t="e">
        <f ca="1"/>
        <v>#N/A</v>
      </c>
      <c r="I242" s="33" t="e">
        <f ca="1"/>
        <v>#N/A</v>
      </c>
      <c r="J242" s="33" t="e">
        <f ca="1"/>
        <v>#N/A</v>
      </c>
      <c r="K242" s="25" t="e">
        <f ca="1"/>
        <v>#N/A</v>
      </c>
      <c r="L242" s="36" t="e">
        <f ca="1"/>
        <v>#N/A</v>
      </c>
      <c r="M242" s="37" t="e">
        <f ca="1"/>
        <v>#N/A</v>
      </c>
      <c r="N242" s="38" t="s">
        <v>1</v>
      </c>
      <c r="O242" s="43">
        <v>234</v>
      </c>
      <c r="P242" s="25" t="e">
        <f ca="1">IF(ISNA(R242),NA(),IF(ISBLANK(Q242),IF(FloatAmortizationFrequency=0,P241,IF(MOD((O242-1),FloatAmortizationFrequency)&lt;&gt;0,P241,P241-FloatAmortization)),Q242))</f>
        <v>#N/A</v>
      </c>
      <c r="Q242" s="67"/>
      <c r="R242" s="33" t="e">
        <f ca="1"/>
        <v>#N/A</v>
      </c>
      <c r="S242" s="33" t="e">
        <f ca="1"/>
        <v>#N/A</v>
      </c>
      <c r="T242" s="33" t="e">
        <f ca="1"/>
        <v>#N/A</v>
      </c>
      <c r="U242" s="25" t="e">
        <f ca="1"/>
        <v>#N/A</v>
      </c>
      <c r="V242" s="36" t="e">
        <f ca="1"/>
        <v>#N/A</v>
      </c>
      <c r="W242" s="37" t="e">
        <f ca="1"/>
        <v>#N/A</v>
      </c>
      <c r="X242" s="31" t="s">
        <v>1</v>
      </c>
    </row>
    <row r="243" spans="4:24" x14ac:dyDescent="0.25">
      <c r="D243" s="31" t="s">
        <v>1</v>
      </c>
      <c r="E243" s="43">
        <v>235</v>
      </c>
      <c r="F243" s="25" t="e">
        <f ca="1">IF(ISNA(H243),NA(),IF(ISBLANK(G243),IF(FixedAmortizationFrequency=0,F242,IF(MOD((E243-1),FixedAmortizationFrequency)&lt;&gt;0,F242,F242-FixedAmortization)),G243))</f>
        <v>#N/A</v>
      </c>
      <c r="G243" s="67"/>
      <c r="H243" s="63" t="e">
        <f ca="1"/>
        <v>#N/A</v>
      </c>
      <c r="I243" s="33" t="e">
        <f ca="1"/>
        <v>#N/A</v>
      </c>
      <c r="J243" s="33" t="e">
        <f ca="1"/>
        <v>#N/A</v>
      </c>
      <c r="K243" s="25" t="e">
        <f ca="1"/>
        <v>#N/A</v>
      </c>
      <c r="L243" s="36" t="e">
        <f ca="1"/>
        <v>#N/A</v>
      </c>
      <c r="M243" s="37" t="e">
        <f ca="1"/>
        <v>#N/A</v>
      </c>
      <c r="N243" s="38" t="s">
        <v>1</v>
      </c>
      <c r="O243" s="43">
        <v>235</v>
      </c>
      <c r="P243" s="25" t="e">
        <f ca="1">IF(ISNA(R243),NA(),IF(ISBLANK(Q243),IF(FloatAmortizationFrequency=0,P242,IF(MOD((O243-1),FloatAmortizationFrequency)&lt;&gt;0,P242,P242-FloatAmortization)),Q243))</f>
        <v>#N/A</v>
      </c>
      <c r="Q243" s="67"/>
      <c r="R243" s="33" t="e">
        <f ca="1"/>
        <v>#N/A</v>
      </c>
      <c r="S243" s="33" t="e">
        <f ca="1"/>
        <v>#N/A</v>
      </c>
      <c r="T243" s="33" t="e">
        <f ca="1"/>
        <v>#N/A</v>
      </c>
      <c r="U243" s="25" t="e">
        <f ca="1"/>
        <v>#N/A</v>
      </c>
      <c r="V243" s="36" t="e">
        <f ca="1"/>
        <v>#N/A</v>
      </c>
      <c r="W243" s="37" t="e">
        <f ca="1"/>
        <v>#N/A</v>
      </c>
      <c r="X243" s="31" t="s">
        <v>1</v>
      </c>
    </row>
    <row r="244" spans="4:24" x14ac:dyDescent="0.25">
      <c r="D244" s="31" t="s">
        <v>1</v>
      </c>
      <c r="E244" s="43">
        <v>236</v>
      </c>
      <c r="F244" s="25" t="e">
        <f ca="1">IF(ISNA(H244),NA(),IF(ISBLANK(G244),IF(FixedAmortizationFrequency=0,F243,IF(MOD((E244-1),FixedAmortizationFrequency)&lt;&gt;0,F243,F243-FixedAmortization)),G244))</f>
        <v>#N/A</v>
      </c>
      <c r="G244" s="67"/>
      <c r="H244" s="63" t="e">
        <f ca="1"/>
        <v>#N/A</v>
      </c>
      <c r="I244" s="33" t="e">
        <f ca="1"/>
        <v>#N/A</v>
      </c>
      <c r="J244" s="33" t="e">
        <f ca="1"/>
        <v>#N/A</v>
      </c>
      <c r="K244" s="25" t="e">
        <f ca="1"/>
        <v>#N/A</v>
      </c>
      <c r="L244" s="36" t="e">
        <f ca="1"/>
        <v>#N/A</v>
      </c>
      <c r="M244" s="37" t="e">
        <f ca="1"/>
        <v>#N/A</v>
      </c>
      <c r="N244" s="38" t="s">
        <v>1</v>
      </c>
      <c r="O244" s="43">
        <v>236</v>
      </c>
      <c r="P244" s="25" t="e">
        <f ca="1">IF(ISNA(R244),NA(),IF(ISBLANK(Q244),IF(FloatAmortizationFrequency=0,P243,IF(MOD((O244-1),FloatAmortizationFrequency)&lt;&gt;0,P243,P243-FloatAmortization)),Q244))</f>
        <v>#N/A</v>
      </c>
      <c r="Q244" s="67"/>
      <c r="R244" s="33" t="e">
        <f ca="1"/>
        <v>#N/A</v>
      </c>
      <c r="S244" s="33" t="e">
        <f ca="1"/>
        <v>#N/A</v>
      </c>
      <c r="T244" s="33" t="e">
        <f ca="1"/>
        <v>#N/A</v>
      </c>
      <c r="U244" s="25" t="e">
        <f ca="1"/>
        <v>#N/A</v>
      </c>
      <c r="V244" s="36" t="e">
        <f ca="1"/>
        <v>#N/A</v>
      </c>
      <c r="W244" s="37" t="e">
        <f ca="1"/>
        <v>#N/A</v>
      </c>
      <c r="X244" s="31" t="s">
        <v>1</v>
      </c>
    </row>
    <row r="245" spans="4:24" x14ac:dyDescent="0.25">
      <c r="D245" s="31" t="s">
        <v>1</v>
      </c>
      <c r="E245" s="43">
        <v>237</v>
      </c>
      <c r="F245" s="25" t="e">
        <f ca="1">IF(ISNA(H245),NA(),IF(ISBLANK(G245),IF(FixedAmortizationFrequency=0,F244,IF(MOD((E245-1),FixedAmortizationFrequency)&lt;&gt;0,F244,F244-FixedAmortization)),G245))</f>
        <v>#N/A</v>
      </c>
      <c r="G245" s="67"/>
      <c r="H245" s="63" t="e">
        <f ca="1"/>
        <v>#N/A</v>
      </c>
      <c r="I245" s="33" t="e">
        <f ca="1"/>
        <v>#N/A</v>
      </c>
      <c r="J245" s="33" t="e">
        <f ca="1"/>
        <v>#N/A</v>
      </c>
      <c r="K245" s="25" t="e">
        <f ca="1"/>
        <v>#N/A</v>
      </c>
      <c r="L245" s="36" t="e">
        <f ca="1"/>
        <v>#N/A</v>
      </c>
      <c r="M245" s="37" t="e">
        <f ca="1"/>
        <v>#N/A</v>
      </c>
      <c r="N245" s="38" t="s">
        <v>1</v>
      </c>
      <c r="O245" s="43">
        <v>237</v>
      </c>
      <c r="P245" s="25" t="e">
        <f ca="1">IF(ISNA(R245),NA(),IF(ISBLANK(Q245),IF(FloatAmortizationFrequency=0,P244,IF(MOD((O245-1),FloatAmortizationFrequency)&lt;&gt;0,P244,P244-FloatAmortization)),Q245))</f>
        <v>#N/A</v>
      </c>
      <c r="Q245" s="67"/>
      <c r="R245" s="33" t="e">
        <f ca="1"/>
        <v>#N/A</v>
      </c>
      <c r="S245" s="33" t="e">
        <f ca="1"/>
        <v>#N/A</v>
      </c>
      <c r="T245" s="33" t="e">
        <f ca="1"/>
        <v>#N/A</v>
      </c>
      <c r="U245" s="25" t="e">
        <f ca="1"/>
        <v>#N/A</v>
      </c>
      <c r="V245" s="36" t="e">
        <f ca="1"/>
        <v>#N/A</v>
      </c>
      <c r="W245" s="37" t="e">
        <f ca="1"/>
        <v>#N/A</v>
      </c>
      <c r="X245" s="31" t="s">
        <v>1</v>
      </c>
    </row>
    <row r="246" spans="4:24" x14ac:dyDescent="0.25">
      <c r="D246" s="31" t="s">
        <v>1</v>
      </c>
      <c r="E246" s="43">
        <v>238</v>
      </c>
      <c r="F246" s="25" t="e">
        <f ca="1">IF(ISNA(H246),NA(),IF(ISBLANK(G246),IF(FixedAmortizationFrequency=0,F245,IF(MOD((E246-1),FixedAmortizationFrequency)&lt;&gt;0,F245,F245-FixedAmortization)),G246))</f>
        <v>#N/A</v>
      </c>
      <c r="G246" s="67"/>
      <c r="H246" s="63" t="e">
        <f ca="1"/>
        <v>#N/A</v>
      </c>
      <c r="I246" s="33" t="e">
        <f ca="1"/>
        <v>#N/A</v>
      </c>
      <c r="J246" s="33" t="e">
        <f ca="1"/>
        <v>#N/A</v>
      </c>
      <c r="K246" s="25" t="e">
        <f ca="1"/>
        <v>#N/A</v>
      </c>
      <c r="L246" s="36" t="e">
        <f ca="1"/>
        <v>#N/A</v>
      </c>
      <c r="M246" s="37" t="e">
        <f ca="1"/>
        <v>#N/A</v>
      </c>
      <c r="N246" s="38" t="s">
        <v>1</v>
      </c>
      <c r="O246" s="43">
        <v>238</v>
      </c>
      <c r="P246" s="25" t="e">
        <f ca="1">IF(ISNA(R246),NA(),IF(ISBLANK(Q246),IF(FloatAmortizationFrequency=0,P245,IF(MOD((O246-1),FloatAmortizationFrequency)&lt;&gt;0,P245,P245-FloatAmortization)),Q246))</f>
        <v>#N/A</v>
      </c>
      <c r="Q246" s="67"/>
      <c r="R246" s="33" t="e">
        <f ca="1"/>
        <v>#N/A</v>
      </c>
      <c r="S246" s="33" t="e">
        <f ca="1"/>
        <v>#N/A</v>
      </c>
      <c r="T246" s="33" t="e">
        <f ca="1"/>
        <v>#N/A</v>
      </c>
      <c r="U246" s="25" t="e">
        <f ca="1"/>
        <v>#N/A</v>
      </c>
      <c r="V246" s="36" t="e">
        <f ca="1"/>
        <v>#N/A</v>
      </c>
      <c r="W246" s="37" t="e">
        <f ca="1"/>
        <v>#N/A</v>
      </c>
      <c r="X246" s="31" t="s">
        <v>1</v>
      </c>
    </row>
    <row r="247" spans="4:24" x14ac:dyDescent="0.25">
      <c r="D247" s="31" t="s">
        <v>1</v>
      </c>
      <c r="E247" s="43">
        <v>239</v>
      </c>
      <c r="F247" s="25" t="e">
        <f ca="1">IF(ISNA(H247),NA(),IF(ISBLANK(G247),IF(FixedAmortizationFrequency=0,F246,IF(MOD((E247-1),FixedAmortizationFrequency)&lt;&gt;0,F246,F246-FixedAmortization)),G247))</f>
        <v>#N/A</v>
      </c>
      <c r="G247" s="67"/>
      <c r="H247" s="63" t="e">
        <f ca="1"/>
        <v>#N/A</v>
      </c>
      <c r="I247" s="33" t="e">
        <f ca="1"/>
        <v>#N/A</v>
      </c>
      <c r="J247" s="33" t="e">
        <f ca="1"/>
        <v>#N/A</v>
      </c>
      <c r="K247" s="25" t="e">
        <f ca="1"/>
        <v>#N/A</v>
      </c>
      <c r="L247" s="36" t="e">
        <f ca="1"/>
        <v>#N/A</v>
      </c>
      <c r="M247" s="37" t="e">
        <f ca="1"/>
        <v>#N/A</v>
      </c>
      <c r="N247" s="38" t="s">
        <v>1</v>
      </c>
      <c r="O247" s="43">
        <v>239</v>
      </c>
      <c r="P247" s="25" t="e">
        <f ca="1">IF(ISNA(R247),NA(),IF(ISBLANK(Q247),IF(FloatAmortizationFrequency=0,P246,IF(MOD((O247-1),FloatAmortizationFrequency)&lt;&gt;0,P246,P246-FloatAmortization)),Q247))</f>
        <v>#N/A</v>
      </c>
      <c r="Q247" s="67"/>
      <c r="R247" s="33" t="e">
        <f ca="1"/>
        <v>#N/A</v>
      </c>
      <c r="S247" s="33" t="e">
        <f ca="1"/>
        <v>#N/A</v>
      </c>
      <c r="T247" s="33" t="e">
        <f ca="1"/>
        <v>#N/A</v>
      </c>
      <c r="U247" s="25" t="e">
        <f ca="1"/>
        <v>#N/A</v>
      </c>
      <c r="V247" s="36" t="e">
        <f ca="1"/>
        <v>#N/A</v>
      </c>
      <c r="W247" s="37" t="e">
        <f ca="1"/>
        <v>#N/A</v>
      </c>
      <c r="X247" s="31" t="s">
        <v>1</v>
      </c>
    </row>
    <row r="248" spans="4:24" x14ac:dyDescent="0.25">
      <c r="D248" s="31" t="s">
        <v>1</v>
      </c>
      <c r="E248" s="43">
        <v>240</v>
      </c>
      <c r="F248" s="25" t="e">
        <f ca="1">IF(ISNA(H248),NA(),IF(ISBLANK(G248),IF(FixedAmortizationFrequency=0,F247,IF(MOD((E248-1),FixedAmortizationFrequency)&lt;&gt;0,F247,F247-FixedAmortization)),G248))</f>
        <v>#N/A</v>
      </c>
      <c r="G248" s="67"/>
      <c r="H248" s="63" t="e">
        <f ca="1"/>
        <v>#N/A</v>
      </c>
      <c r="I248" s="33" t="e">
        <f ca="1"/>
        <v>#N/A</v>
      </c>
      <c r="J248" s="33" t="e">
        <f ca="1"/>
        <v>#N/A</v>
      </c>
      <c r="K248" s="25" t="e">
        <f ca="1"/>
        <v>#N/A</v>
      </c>
      <c r="L248" s="36" t="e">
        <f ca="1"/>
        <v>#N/A</v>
      </c>
      <c r="M248" s="37" t="e">
        <f ca="1"/>
        <v>#N/A</v>
      </c>
      <c r="N248" s="38" t="s">
        <v>1</v>
      </c>
      <c r="O248" s="43">
        <v>240</v>
      </c>
      <c r="P248" s="25" t="e">
        <f ca="1">IF(ISNA(R248),NA(),IF(ISBLANK(Q248),IF(FloatAmortizationFrequency=0,P247,IF(MOD((O248-1),FloatAmortizationFrequency)&lt;&gt;0,P247,P247-FloatAmortization)),Q248))</f>
        <v>#N/A</v>
      </c>
      <c r="Q248" s="67"/>
      <c r="R248" s="33" t="e">
        <f ca="1"/>
        <v>#N/A</v>
      </c>
      <c r="S248" s="33" t="e">
        <f ca="1"/>
        <v>#N/A</v>
      </c>
      <c r="T248" s="33" t="e">
        <f ca="1"/>
        <v>#N/A</v>
      </c>
      <c r="U248" s="25" t="e">
        <f ca="1"/>
        <v>#N/A</v>
      </c>
      <c r="V248" s="36" t="e">
        <f ca="1"/>
        <v>#N/A</v>
      </c>
      <c r="W248" s="37" t="e">
        <f ca="1"/>
        <v>#N/A</v>
      </c>
      <c r="X248" s="31" t="s">
        <v>1</v>
      </c>
    </row>
    <row r="249" spans="4:24" x14ac:dyDescent="0.25">
      <c r="D249" s="31" t="s">
        <v>1</v>
      </c>
      <c r="E249" s="43">
        <v>241</v>
      </c>
      <c r="F249" s="25" t="e">
        <f ca="1">IF(ISNA(H249),NA(),IF(ISBLANK(G249),IF(FixedAmortizationFrequency=0,F248,IF(MOD((E249-1),FixedAmortizationFrequency)&lt;&gt;0,F248,F248-FixedAmortization)),G249))</f>
        <v>#N/A</v>
      </c>
      <c r="G249" s="67"/>
      <c r="H249" s="63" t="e">
        <f ca="1"/>
        <v>#N/A</v>
      </c>
      <c r="I249" s="33" t="e">
        <f ca="1"/>
        <v>#N/A</v>
      </c>
      <c r="J249" s="33" t="e">
        <f ca="1"/>
        <v>#N/A</v>
      </c>
      <c r="K249" s="25" t="e">
        <f ca="1"/>
        <v>#N/A</v>
      </c>
      <c r="L249" s="36" t="e">
        <f ca="1"/>
        <v>#N/A</v>
      </c>
      <c r="M249" s="37" t="e">
        <f ca="1"/>
        <v>#N/A</v>
      </c>
      <c r="N249" s="38" t="s">
        <v>1</v>
      </c>
      <c r="O249" s="43">
        <v>241</v>
      </c>
      <c r="P249" s="25" t="e">
        <f ca="1">IF(ISNA(R249),NA(),IF(ISBLANK(Q249),IF(FloatAmortizationFrequency=0,P248,IF(MOD((O249-1),FloatAmortizationFrequency)&lt;&gt;0,P248,P248-FloatAmortization)),Q249))</f>
        <v>#N/A</v>
      </c>
      <c r="Q249" s="67"/>
      <c r="R249" s="33" t="e">
        <f ca="1"/>
        <v>#N/A</v>
      </c>
      <c r="S249" s="33" t="e">
        <f ca="1"/>
        <v>#N/A</v>
      </c>
      <c r="T249" s="33" t="e">
        <f ca="1"/>
        <v>#N/A</v>
      </c>
      <c r="U249" s="25" t="e">
        <f ca="1"/>
        <v>#N/A</v>
      </c>
      <c r="V249" s="36" t="e">
        <f ca="1"/>
        <v>#N/A</v>
      </c>
      <c r="W249" s="37" t="e">
        <f ca="1"/>
        <v>#N/A</v>
      </c>
      <c r="X249" s="31" t="s">
        <v>1</v>
      </c>
    </row>
    <row r="250" spans="4:24" x14ac:dyDescent="0.25">
      <c r="D250" s="31" t="s">
        <v>1</v>
      </c>
      <c r="E250" s="43">
        <v>242</v>
      </c>
      <c r="F250" s="25" t="e">
        <f ca="1">IF(ISNA(H250),NA(),IF(ISBLANK(G250),IF(FixedAmortizationFrequency=0,F249,IF(MOD((E250-1),FixedAmortizationFrequency)&lt;&gt;0,F249,F249-FixedAmortization)),G250))</f>
        <v>#N/A</v>
      </c>
      <c r="G250" s="67"/>
      <c r="H250" s="63" t="e">
        <f ca="1"/>
        <v>#N/A</v>
      </c>
      <c r="I250" s="33" t="e">
        <f ca="1"/>
        <v>#N/A</v>
      </c>
      <c r="J250" s="33" t="e">
        <f ca="1"/>
        <v>#N/A</v>
      </c>
      <c r="K250" s="25" t="e">
        <f ca="1"/>
        <v>#N/A</v>
      </c>
      <c r="L250" s="36" t="e">
        <f ca="1"/>
        <v>#N/A</v>
      </c>
      <c r="M250" s="37" t="e">
        <f ca="1"/>
        <v>#N/A</v>
      </c>
      <c r="N250" s="38" t="s">
        <v>1</v>
      </c>
      <c r="O250" s="43">
        <v>242</v>
      </c>
      <c r="P250" s="25" t="e">
        <f ca="1">IF(ISNA(R250),NA(),IF(ISBLANK(Q250),IF(FloatAmortizationFrequency=0,P249,IF(MOD((O250-1),FloatAmortizationFrequency)&lt;&gt;0,P249,P249-FloatAmortization)),Q250))</f>
        <v>#N/A</v>
      </c>
      <c r="Q250" s="67"/>
      <c r="R250" s="33" t="e">
        <f ca="1"/>
        <v>#N/A</v>
      </c>
      <c r="S250" s="33" t="e">
        <f ca="1"/>
        <v>#N/A</v>
      </c>
      <c r="T250" s="33" t="e">
        <f ca="1"/>
        <v>#N/A</v>
      </c>
      <c r="U250" s="25" t="e">
        <f ca="1"/>
        <v>#N/A</v>
      </c>
      <c r="V250" s="36" t="e">
        <f ca="1"/>
        <v>#N/A</v>
      </c>
      <c r="W250" s="37" t="e">
        <f ca="1"/>
        <v>#N/A</v>
      </c>
      <c r="X250" s="31" t="s">
        <v>1</v>
      </c>
    </row>
    <row r="251" spans="4:24" x14ac:dyDescent="0.25">
      <c r="D251" s="31" t="s">
        <v>1</v>
      </c>
      <c r="E251" s="43">
        <v>243</v>
      </c>
      <c r="F251" s="25" t="e">
        <f ca="1">IF(ISNA(H251),NA(),IF(ISBLANK(G251),IF(FixedAmortizationFrequency=0,F250,IF(MOD((E251-1),FixedAmortizationFrequency)&lt;&gt;0,F250,F250-FixedAmortization)),G251))</f>
        <v>#N/A</v>
      </c>
      <c r="G251" s="67"/>
      <c r="H251" s="63" t="e">
        <f ca="1"/>
        <v>#N/A</v>
      </c>
      <c r="I251" s="33" t="e">
        <f ca="1"/>
        <v>#N/A</v>
      </c>
      <c r="J251" s="33" t="e">
        <f ca="1"/>
        <v>#N/A</v>
      </c>
      <c r="K251" s="25" t="e">
        <f ca="1"/>
        <v>#N/A</v>
      </c>
      <c r="L251" s="36" t="e">
        <f ca="1"/>
        <v>#N/A</v>
      </c>
      <c r="M251" s="37" t="e">
        <f ca="1"/>
        <v>#N/A</v>
      </c>
      <c r="N251" s="38" t="s">
        <v>1</v>
      </c>
      <c r="O251" s="43">
        <v>243</v>
      </c>
      <c r="P251" s="25" t="e">
        <f ca="1">IF(ISNA(R251),NA(),IF(ISBLANK(Q251),IF(FloatAmortizationFrequency=0,P250,IF(MOD((O251-1),FloatAmortizationFrequency)&lt;&gt;0,P250,P250-FloatAmortization)),Q251))</f>
        <v>#N/A</v>
      </c>
      <c r="Q251" s="67"/>
      <c r="R251" s="33" t="e">
        <f ca="1"/>
        <v>#N/A</v>
      </c>
      <c r="S251" s="33" t="e">
        <f ca="1"/>
        <v>#N/A</v>
      </c>
      <c r="T251" s="33" t="e">
        <f ca="1"/>
        <v>#N/A</v>
      </c>
      <c r="U251" s="25" t="e">
        <f ca="1"/>
        <v>#N/A</v>
      </c>
      <c r="V251" s="36" t="e">
        <f ca="1"/>
        <v>#N/A</v>
      </c>
      <c r="W251" s="37" t="e">
        <f ca="1"/>
        <v>#N/A</v>
      </c>
      <c r="X251" s="31" t="s">
        <v>1</v>
      </c>
    </row>
    <row r="252" spans="4:24" x14ac:dyDescent="0.25">
      <c r="D252" s="31" t="s">
        <v>1</v>
      </c>
      <c r="E252" s="43">
        <v>244</v>
      </c>
      <c r="F252" s="25" t="e">
        <f ca="1">IF(ISNA(H252),NA(),IF(ISBLANK(G252),IF(FixedAmortizationFrequency=0,F251,IF(MOD((E252-1),FixedAmortizationFrequency)&lt;&gt;0,F251,F251-FixedAmortization)),G252))</f>
        <v>#N/A</v>
      </c>
      <c r="G252" s="67"/>
      <c r="H252" s="63" t="e">
        <f ca="1"/>
        <v>#N/A</v>
      </c>
      <c r="I252" s="33" t="e">
        <f ca="1"/>
        <v>#N/A</v>
      </c>
      <c r="J252" s="33" t="e">
        <f ca="1"/>
        <v>#N/A</v>
      </c>
      <c r="K252" s="25" t="e">
        <f ca="1"/>
        <v>#N/A</v>
      </c>
      <c r="L252" s="36" t="e">
        <f ca="1"/>
        <v>#N/A</v>
      </c>
      <c r="M252" s="37" t="e">
        <f ca="1"/>
        <v>#N/A</v>
      </c>
      <c r="N252" s="38" t="s">
        <v>1</v>
      </c>
      <c r="O252" s="43">
        <v>244</v>
      </c>
      <c r="P252" s="25" t="e">
        <f ca="1">IF(ISNA(R252),NA(),IF(ISBLANK(Q252),IF(FloatAmortizationFrequency=0,P251,IF(MOD((O252-1),FloatAmortizationFrequency)&lt;&gt;0,P251,P251-FloatAmortization)),Q252))</f>
        <v>#N/A</v>
      </c>
      <c r="Q252" s="67"/>
      <c r="R252" s="33" t="e">
        <f ca="1"/>
        <v>#N/A</v>
      </c>
      <c r="S252" s="33" t="e">
        <f ca="1"/>
        <v>#N/A</v>
      </c>
      <c r="T252" s="33" t="e">
        <f ca="1"/>
        <v>#N/A</v>
      </c>
      <c r="U252" s="25" t="e">
        <f ca="1"/>
        <v>#N/A</v>
      </c>
      <c r="V252" s="36" t="e">
        <f ca="1"/>
        <v>#N/A</v>
      </c>
      <c r="W252" s="37" t="e">
        <f ca="1"/>
        <v>#N/A</v>
      </c>
      <c r="X252" s="31" t="s">
        <v>1</v>
      </c>
    </row>
    <row r="253" spans="4:24" x14ac:dyDescent="0.25">
      <c r="D253" s="31" t="s">
        <v>1</v>
      </c>
      <c r="E253" s="43">
        <v>245</v>
      </c>
      <c r="F253" s="25" t="e">
        <f ca="1">IF(ISNA(H253),NA(),IF(ISBLANK(G253),IF(FixedAmortizationFrequency=0,F252,IF(MOD((E253-1),FixedAmortizationFrequency)&lt;&gt;0,F252,F252-FixedAmortization)),G253))</f>
        <v>#N/A</v>
      </c>
      <c r="G253" s="67"/>
      <c r="H253" s="63" t="e">
        <f ca="1"/>
        <v>#N/A</v>
      </c>
      <c r="I253" s="33" t="e">
        <f ca="1"/>
        <v>#N/A</v>
      </c>
      <c r="J253" s="33" t="e">
        <f ca="1"/>
        <v>#N/A</v>
      </c>
      <c r="K253" s="25" t="e">
        <f ca="1"/>
        <v>#N/A</v>
      </c>
      <c r="L253" s="36" t="e">
        <f ca="1"/>
        <v>#N/A</v>
      </c>
      <c r="M253" s="37" t="e">
        <f ca="1"/>
        <v>#N/A</v>
      </c>
      <c r="N253" s="38" t="s">
        <v>1</v>
      </c>
      <c r="O253" s="43">
        <v>245</v>
      </c>
      <c r="P253" s="25" t="e">
        <f ca="1">IF(ISNA(R253),NA(),IF(ISBLANK(Q253),IF(FloatAmortizationFrequency=0,P252,IF(MOD((O253-1),FloatAmortizationFrequency)&lt;&gt;0,P252,P252-FloatAmortization)),Q253))</f>
        <v>#N/A</v>
      </c>
      <c r="Q253" s="67"/>
      <c r="R253" s="33" t="e">
        <f ca="1"/>
        <v>#N/A</v>
      </c>
      <c r="S253" s="33" t="e">
        <f ca="1"/>
        <v>#N/A</v>
      </c>
      <c r="T253" s="33" t="e">
        <f ca="1"/>
        <v>#N/A</v>
      </c>
      <c r="U253" s="25" t="e">
        <f ca="1"/>
        <v>#N/A</v>
      </c>
      <c r="V253" s="36" t="e">
        <f ca="1"/>
        <v>#N/A</v>
      </c>
      <c r="W253" s="37" t="e">
        <f ca="1"/>
        <v>#N/A</v>
      </c>
      <c r="X253" s="31" t="s">
        <v>1</v>
      </c>
    </row>
    <row r="254" spans="4:24" x14ac:dyDescent="0.25">
      <c r="D254" s="31" t="s">
        <v>1</v>
      </c>
      <c r="E254" s="43">
        <v>246</v>
      </c>
      <c r="F254" s="25" t="e">
        <f ca="1">IF(ISNA(H254),NA(),IF(ISBLANK(G254),IF(FixedAmortizationFrequency=0,F253,IF(MOD((E254-1),FixedAmortizationFrequency)&lt;&gt;0,F253,F253-FixedAmortization)),G254))</f>
        <v>#N/A</v>
      </c>
      <c r="G254" s="67"/>
      <c r="H254" s="63" t="e">
        <f ca="1"/>
        <v>#N/A</v>
      </c>
      <c r="I254" s="33" t="e">
        <f ca="1"/>
        <v>#N/A</v>
      </c>
      <c r="J254" s="33" t="e">
        <f ca="1"/>
        <v>#N/A</v>
      </c>
      <c r="K254" s="25" t="e">
        <f ca="1"/>
        <v>#N/A</v>
      </c>
      <c r="L254" s="36" t="e">
        <f ca="1"/>
        <v>#N/A</v>
      </c>
      <c r="M254" s="37" t="e">
        <f ca="1"/>
        <v>#N/A</v>
      </c>
      <c r="N254" s="38" t="s">
        <v>1</v>
      </c>
      <c r="O254" s="43">
        <v>246</v>
      </c>
      <c r="P254" s="25" t="e">
        <f ca="1">IF(ISNA(R254),NA(),IF(ISBLANK(Q254),IF(FloatAmortizationFrequency=0,P253,IF(MOD((O254-1),FloatAmortizationFrequency)&lt;&gt;0,P253,P253-FloatAmortization)),Q254))</f>
        <v>#N/A</v>
      </c>
      <c r="Q254" s="67"/>
      <c r="R254" s="33" t="e">
        <f ca="1"/>
        <v>#N/A</v>
      </c>
      <c r="S254" s="33" t="e">
        <f ca="1"/>
        <v>#N/A</v>
      </c>
      <c r="T254" s="33" t="e">
        <f ca="1"/>
        <v>#N/A</v>
      </c>
      <c r="U254" s="25" t="e">
        <f ca="1"/>
        <v>#N/A</v>
      </c>
      <c r="V254" s="36" t="e">
        <f ca="1"/>
        <v>#N/A</v>
      </c>
      <c r="W254" s="37" t="e">
        <f ca="1"/>
        <v>#N/A</v>
      </c>
      <c r="X254" s="31" t="s">
        <v>1</v>
      </c>
    </row>
    <row r="255" spans="4:24" x14ac:dyDescent="0.25">
      <c r="D255" s="31" t="s">
        <v>1</v>
      </c>
      <c r="E255" s="43">
        <v>247</v>
      </c>
      <c r="F255" s="25" t="e">
        <f ca="1">IF(ISNA(H255),NA(),IF(ISBLANK(G255),IF(FixedAmortizationFrequency=0,F254,IF(MOD((E255-1),FixedAmortizationFrequency)&lt;&gt;0,F254,F254-FixedAmortization)),G255))</f>
        <v>#N/A</v>
      </c>
      <c r="G255" s="67"/>
      <c r="H255" s="63" t="e">
        <f ca="1"/>
        <v>#N/A</v>
      </c>
      <c r="I255" s="33" t="e">
        <f ca="1"/>
        <v>#N/A</v>
      </c>
      <c r="J255" s="33" t="e">
        <f ca="1"/>
        <v>#N/A</v>
      </c>
      <c r="K255" s="25" t="e">
        <f ca="1"/>
        <v>#N/A</v>
      </c>
      <c r="L255" s="36" t="e">
        <f ca="1"/>
        <v>#N/A</v>
      </c>
      <c r="M255" s="37" t="e">
        <f ca="1"/>
        <v>#N/A</v>
      </c>
      <c r="N255" s="38" t="s">
        <v>1</v>
      </c>
      <c r="O255" s="43">
        <v>247</v>
      </c>
      <c r="P255" s="25" t="e">
        <f ca="1">IF(ISNA(R255),NA(),IF(ISBLANK(Q255),IF(FloatAmortizationFrequency=0,P254,IF(MOD((O255-1),FloatAmortizationFrequency)&lt;&gt;0,P254,P254-FloatAmortization)),Q255))</f>
        <v>#N/A</v>
      </c>
      <c r="Q255" s="67"/>
      <c r="R255" s="33" t="e">
        <f ca="1"/>
        <v>#N/A</v>
      </c>
      <c r="S255" s="33" t="e">
        <f ca="1"/>
        <v>#N/A</v>
      </c>
      <c r="T255" s="33" t="e">
        <f ca="1"/>
        <v>#N/A</v>
      </c>
      <c r="U255" s="25" t="e">
        <f ca="1"/>
        <v>#N/A</v>
      </c>
      <c r="V255" s="36" t="e">
        <f ca="1"/>
        <v>#N/A</v>
      </c>
      <c r="W255" s="37" t="e">
        <f ca="1"/>
        <v>#N/A</v>
      </c>
      <c r="X255" s="31" t="s">
        <v>1</v>
      </c>
    </row>
    <row r="256" spans="4:24" x14ac:dyDescent="0.25">
      <c r="D256" s="31" t="s">
        <v>1</v>
      </c>
      <c r="E256" s="43">
        <v>248</v>
      </c>
      <c r="F256" s="25" t="e">
        <f ca="1">IF(ISNA(H256),NA(),IF(ISBLANK(G256),IF(FixedAmortizationFrequency=0,F255,IF(MOD((E256-1),FixedAmortizationFrequency)&lt;&gt;0,F255,F255-FixedAmortization)),G256))</f>
        <v>#N/A</v>
      </c>
      <c r="G256" s="67"/>
      <c r="H256" s="63" t="e">
        <f ca="1"/>
        <v>#N/A</v>
      </c>
      <c r="I256" s="33" t="e">
        <f ca="1"/>
        <v>#N/A</v>
      </c>
      <c r="J256" s="33" t="e">
        <f ca="1"/>
        <v>#N/A</v>
      </c>
      <c r="K256" s="25" t="e">
        <f ca="1"/>
        <v>#N/A</v>
      </c>
      <c r="L256" s="36" t="e">
        <f ca="1"/>
        <v>#N/A</v>
      </c>
      <c r="M256" s="37" t="e">
        <f ca="1"/>
        <v>#N/A</v>
      </c>
      <c r="N256" s="38" t="s">
        <v>1</v>
      </c>
      <c r="O256" s="43">
        <v>248</v>
      </c>
      <c r="P256" s="25" t="e">
        <f ca="1">IF(ISNA(R256),NA(),IF(ISBLANK(Q256),IF(FloatAmortizationFrequency=0,P255,IF(MOD((O256-1),FloatAmortizationFrequency)&lt;&gt;0,P255,P255-FloatAmortization)),Q256))</f>
        <v>#N/A</v>
      </c>
      <c r="Q256" s="67"/>
      <c r="R256" s="33" t="e">
        <f ca="1"/>
        <v>#N/A</v>
      </c>
      <c r="S256" s="33" t="e">
        <f ca="1"/>
        <v>#N/A</v>
      </c>
      <c r="T256" s="33" t="e">
        <f ca="1"/>
        <v>#N/A</v>
      </c>
      <c r="U256" s="25" t="e">
        <f ca="1"/>
        <v>#N/A</v>
      </c>
      <c r="V256" s="36" t="e">
        <f ca="1"/>
        <v>#N/A</v>
      </c>
      <c r="W256" s="37" t="e">
        <f ca="1"/>
        <v>#N/A</v>
      </c>
      <c r="X256" s="31" t="s">
        <v>1</v>
      </c>
    </row>
    <row r="257" spans="4:24" x14ac:dyDescent="0.25">
      <c r="D257" s="31" t="s">
        <v>1</v>
      </c>
      <c r="E257" s="43">
        <v>249</v>
      </c>
      <c r="F257" s="25" t="e">
        <f ca="1">IF(ISNA(H257),NA(),IF(ISBLANK(G257),IF(FixedAmortizationFrequency=0,F256,IF(MOD((E257-1),FixedAmortizationFrequency)&lt;&gt;0,F256,F256-FixedAmortization)),G257))</f>
        <v>#N/A</v>
      </c>
      <c r="G257" s="67"/>
      <c r="H257" s="63" t="e">
        <f ca="1"/>
        <v>#N/A</v>
      </c>
      <c r="I257" s="33" t="e">
        <f ca="1"/>
        <v>#N/A</v>
      </c>
      <c r="J257" s="33" t="e">
        <f ca="1"/>
        <v>#N/A</v>
      </c>
      <c r="K257" s="25" t="e">
        <f ca="1"/>
        <v>#N/A</v>
      </c>
      <c r="L257" s="36" t="e">
        <f ca="1"/>
        <v>#N/A</v>
      </c>
      <c r="M257" s="37" t="e">
        <f ca="1"/>
        <v>#N/A</v>
      </c>
      <c r="N257" s="38" t="s">
        <v>1</v>
      </c>
      <c r="O257" s="43">
        <v>249</v>
      </c>
      <c r="P257" s="25" t="e">
        <f ca="1">IF(ISNA(R257),NA(),IF(ISBLANK(Q257),IF(FloatAmortizationFrequency=0,P256,IF(MOD((O257-1),FloatAmortizationFrequency)&lt;&gt;0,P256,P256-FloatAmortization)),Q257))</f>
        <v>#N/A</v>
      </c>
      <c r="Q257" s="67"/>
      <c r="R257" s="33" t="e">
        <f ca="1"/>
        <v>#N/A</v>
      </c>
      <c r="S257" s="33" t="e">
        <f ca="1"/>
        <v>#N/A</v>
      </c>
      <c r="T257" s="33" t="e">
        <f ca="1"/>
        <v>#N/A</v>
      </c>
      <c r="U257" s="25" t="e">
        <f ca="1"/>
        <v>#N/A</v>
      </c>
      <c r="V257" s="36" t="e">
        <f ca="1"/>
        <v>#N/A</v>
      </c>
      <c r="W257" s="37" t="e">
        <f ca="1"/>
        <v>#N/A</v>
      </c>
      <c r="X257" s="31" t="s">
        <v>1</v>
      </c>
    </row>
    <row r="258" spans="4:24" x14ac:dyDescent="0.25">
      <c r="D258" s="31" t="s">
        <v>1</v>
      </c>
      <c r="E258" s="43">
        <v>250</v>
      </c>
      <c r="F258" s="25" t="e">
        <f ca="1">IF(ISNA(H258),NA(),IF(ISBLANK(G258),IF(FixedAmortizationFrequency=0,F257,IF(MOD((E258-1),FixedAmortizationFrequency)&lt;&gt;0,F257,F257-FixedAmortization)),G258))</f>
        <v>#N/A</v>
      </c>
      <c r="G258" s="67"/>
      <c r="H258" s="63" t="e">
        <f ca="1"/>
        <v>#N/A</v>
      </c>
      <c r="I258" s="33" t="e">
        <f ca="1"/>
        <v>#N/A</v>
      </c>
      <c r="J258" s="33" t="e">
        <f ca="1"/>
        <v>#N/A</v>
      </c>
      <c r="K258" s="25" t="e">
        <f ca="1"/>
        <v>#N/A</v>
      </c>
      <c r="L258" s="36" t="e">
        <f ca="1"/>
        <v>#N/A</v>
      </c>
      <c r="M258" s="37" t="e">
        <f ca="1"/>
        <v>#N/A</v>
      </c>
      <c r="N258" s="38" t="s">
        <v>1</v>
      </c>
      <c r="O258" s="43">
        <v>250</v>
      </c>
      <c r="P258" s="25" t="e">
        <f ca="1">IF(ISNA(R258),NA(),IF(ISBLANK(Q258),IF(FloatAmortizationFrequency=0,P257,IF(MOD((O258-1),FloatAmortizationFrequency)&lt;&gt;0,P257,P257-FloatAmortization)),Q258))</f>
        <v>#N/A</v>
      </c>
      <c r="Q258" s="67"/>
      <c r="R258" s="33" t="e">
        <f ca="1"/>
        <v>#N/A</v>
      </c>
      <c r="S258" s="33" t="e">
        <f ca="1"/>
        <v>#N/A</v>
      </c>
      <c r="T258" s="33" t="e">
        <f ca="1"/>
        <v>#N/A</v>
      </c>
      <c r="U258" s="25" t="e">
        <f ca="1"/>
        <v>#N/A</v>
      </c>
      <c r="V258" s="36" t="e">
        <f ca="1"/>
        <v>#N/A</v>
      </c>
      <c r="W258" s="37" t="e">
        <f ca="1"/>
        <v>#N/A</v>
      </c>
      <c r="X258" s="31" t="s">
        <v>1</v>
      </c>
    </row>
    <row r="259" spans="4:24" x14ac:dyDescent="0.25">
      <c r="D259" s="31" t="s">
        <v>1</v>
      </c>
      <c r="E259" s="43">
        <v>251</v>
      </c>
      <c r="F259" s="25" t="e">
        <f ca="1">IF(ISNA(H259),NA(),IF(ISBLANK(G259),IF(FixedAmortizationFrequency=0,F258,IF(MOD((E259-1),FixedAmortizationFrequency)&lt;&gt;0,F258,F258-FixedAmortization)),G259))</f>
        <v>#N/A</v>
      </c>
      <c r="G259" s="67"/>
      <c r="H259" s="63" t="e">
        <f ca="1"/>
        <v>#N/A</v>
      </c>
      <c r="I259" s="33" t="e">
        <f ca="1"/>
        <v>#N/A</v>
      </c>
      <c r="J259" s="33" t="e">
        <f ca="1"/>
        <v>#N/A</v>
      </c>
      <c r="K259" s="25" t="e">
        <f ca="1"/>
        <v>#N/A</v>
      </c>
      <c r="L259" s="36" t="e">
        <f ca="1"/>
        <v>#N/A</v>
      </c>
      <c r="M259" s="37" t="e">
        <f ca="1"/>
        <v>#N/A</v>
      </c>
      <c r="N259" s="38" t="s">
        <v>1</v>
      </c>
      <c r="O259" s="43">
        <v>251</v>
      </c>
      <c r="P259" s="25" t="e">
        <f ca="1">IF(ISNA(R259),NA(),IF(ISBLANK(Q259),IF(FloatAmortizationFrequency=0,P258,IF(MOD((O259-1),FloatAmortizationFrequency)&lt;&gt;0,P258,P258-FloatAmortization)),Q259))</f>
        <v>#N/A</v>
      </c>
      <c r="Q259" s="67"/>
      <c r="R259" s="33" t="e">
        <f ca="1"/>
        <v>#N/A</v>
      </c>
      <c r="S259" s="33" t="e">
        <f ca="1"/>
        <v>#N/A</v>
      </c>
      <c r="T259" s="33" t="e">
        <f ca="1"/>
        <v>#N/A</v>
      </c>
      <c r="U259" s="25" t="e">
        <f ca="1"/>
        <v>#N/A</v>
      </c>
      <c r="V259" s="36" t="e">
        <f ca="1"/>
        <v>#N/A</v>
      </c>
      <c r="W259" s="37" t="e">
        <f ca="1"/>
        <v>#N/A</v>
      </c>
      <c r="X259" s="31" t="s">
        <v>1</v>
      </c>
    </row>
    <row r="260" spans="4:24" x14ac:dyDescent="0.25">
      <c r="D260" s="31" t="s">
        <v>1</v>
      </c>
      <c r="E260" s="43">
        <v>252</v>
      </c>
      <c r="F260" s="25" t="e">
        <f ca="1">IF(ISNA(H260),NA(),IF(ISBLANK(G260),IF(FixedAmortizationFrequency=0,F259,IF(MOD((E260-1),FixedAmortizationFrequency)&lt;&gt;0,F259,F259-FixedAmortization)),G260))</f>
        <v>#N/A</v>
      </c>
      <c r="G260" s="67"/>
      <c r="H260" s="63" t="e">
        <f ca="1"/>
        <v>#N/A</v>
      </c>
      <c r="I260" s="33" t="e">
        <f ca="1"/>
        <v>#N/A</v>
      </c>
      <c r="J260" s="33" t="e">
        <f ca="1"/>
        <v>#N/A</v>
      </c>
      <c r="K260" s="25" t="e">
        <f ca="1"/>
        <v>#N/A</v>
      </c>
      <c r="L260" s="36" t="e">
        <f ca="1"/>
        <v>#N/A</v>
      </c>
      <c r="M260" s="37" t="e">
        <f ca="1"/>
        <v>#N/A</v>
      </c>
      <c r="N260" s="38" t="s">
        <v>1</v>
      </c>
      <c r="O260" s="43">
        <v>252</v>
      </c>
      <c r="P260" s="25" t="e">
        <f ca="1">IF(ISNA(R260),NA(),IF(ISBLANK(Q260),IF(FloatAmortizationFrequency=0,P259,IF(MOD((O260-1),FloatAmortizationFrequency)&lt;&gt;0,P259,P259-FloatAmortization)),Q260))</f>
        <v>#N/A</v>
      </c>
      <c r="Q260" s="67"/>
      <c r="R260" s="33" t="e">
        <f ca="1"/>
        <v>#N/A</v>
      </c>
      <c r="S260" s="33" t="e">
        <f ca="1"/>
        <v>#N/A</v>
      </c>
      <c r="T260" s="33" t="e">
        <f ca="1"/>
        <v>#N/A</v>
      </c>
      <c r="U260" s="25" t="e">
        <f ca="1"/>
        <v>#N/A</v>
      </c>
      <c r="V260" s="36" t="e">
        <f ca="1"/>
        <v>#N/A</v>
      </c>
      <c r="W260" s="37" t="e">
        <f ca="1"/>
        <v>#N/A</v>
      </c>
      <c r="X260" s="31" t="s">
        <v>1</v>
      </c>
    </row>
    <row r="261" spans="4:24" x14ac:dyDescent="0.25">
      <c r="D261" s="31" t="s">
        <v>1</v>
      </c>
      <c r="E261" s="43">
        <v>253</v>
      </c>
      <c r="F261" s="25" t="e">
        <f ca="1">IF(ISNA(H261),NA(),IF(ISBLANK(G261),IF(FixedAmortizationFrequency=0,F260,IF(MOD((E261-1),FixedAmortizationFrequency)&lt;&gt;0,F260,F260-FixedAmortization)),G261))</f>
        <v>#N/A</v>
      </c>
      <c r="G261" s="67"/>
      <c r="H261" s="63" t="e">
        <f ca="1"/>
        <v>#N/A</v>
      </c>
      <c r="I261" s="33" t="e">
        <f ca="1"/>
        <v>#N/A</v>
      </c>
      <c r="J261" s="33" t="e">
        <f ca="1"/>
        <v>#N/A</v>
      </c>
      <c r="K261" s="25" t="e">
        <f ca="1"/>
        <v>#N/A</v>
      </c>
      <c r="L261" s="36" t="e">
        <f ca="1"/>
        <v>#N/A</v>
      </c>
      <c r="M261" s="37" t="e">
        <f ca="1"/>
        <v>#N/A</v>
      </c>
      <c r="N261" s="38" t="s">
        <v>1</v>
      </c>
      <c r="O261" s="43">
        <v>253</v>
      </c>
      <c r="P261" s="25" t="e">
        <f ca="1">IF(ISNA(R261),NA(),IF(ISBLANK(Q261),IF(FloatAmortizationFrequency=0,P260,IF(MOD((O261-1),FloatAmortizationFrequency)&lt;&gt;0,P260,P260-FloatAmortization)),Q261))</f>
        <v>#N/A</v>
      </c>
      <c r="Q261" s="67"/>
      <c r="R261" s="33" t="e">
        <f ca="1"/>
        <v>#N/A</v>
      </c>
      <c r="S261" s="33" t="e">
        <f ca="1"/>
        <v>#N/A</v>
      </c>
      <c r="T261" s="33" t="e">
        <f ca="1"/>
        <v>#N/A</v>
      </c>
      <c r="U261" s="25" t="e">
        <f ca="1"/>
        <v>#N/A</v>
      </c>
      <c r="V261" s="36" t="e">
        <f ca="1"/>
        <v>#N/A</v>
      </c>
      <c r="W261" s="37" t="e">
        <f ca="1"/>
        <v>#N/A</v>
      </c>
      <c r="X261" s="31" t="s">
        <v>1</v>
      </c>
    </row>
    <row r="262" spans="4:24" x14ac:dyDescent="0.25">
      <c r="D262" s="31" t="s">
        <v>1</v>
      </c>
      <c r="E262" s="43">
        <v>254</v>
      </c>
      <c r="F262" s="25" t="e">
        <f ca="1">IF(ISNA(H262),NA(),IF(ISBLANK(G262),IF(FixedAmortizationFrequency=0,F261,IF(MOD((E262-1),FixedAmortizationFrequency)&lt;&gt;0,F261,F261-FixedAmortization)),G262))</f>
        <v>#N/A</v>
      </c>
      <c r="G262" s="67"/>
      <c r="H262" s="63" t="e">
        <f ca="1"/>
        <v>#N/A</v>
      </c>
      <c r="I262" s="33" t="e">
        <f ca="1"/>
        <v>#N/A</v>
      </c>
      <c r="J262" s="33" t="e">
        <f ca="1"/>
        <v>#N/A</v>
      </c>
      <c r="K262" s="25" t="e">
        <f ca="1"/>
        <v>#N/A</v>
      </c>
      <c r="L262" s="36" t="e">
        <f ca="1"/>
        <v>#N/A</v>
      </c>
      <c r="M262" s="37" t="e">
        <f ca="1"/>
        <v>#N/A</v>
      </c>
      <c r="N262" s="38" t="s">
        <v>1</v>
      </c>
      <c r="O262" s="43">
        <v>254</v>
      </c>
      <c r="P262" s="25" t="e">
        <f ca="1">IF(ISNA(R262),NA(),IF(ISBLANK(Q262),IF(FloatAmortizationFrequency=0,P261,IF(MOD((O262-1),FloatAmortizationFrequency)&lt;&gt;0,P261,P261-FloatAmortization)),Q262))</f>
        <v>#N/A</v>
      </c>
      <c r="Q262" s="67"/>
      <c r="R262" s="33" t="e">
        <f ca="1"/>
        <v>#N/A</v>
      </c>
      <c r="S262" s="33" t="e">
        <f ca="1"/>
        <v>#N/A</v>
      </c>
      <c r="T262" s="33" t="e">
        <f ca="1"/>
        <v>#N/A</v>
      </c>
      <c r="U262" s="25" t="e">
        <f ca="1"/>
        <v>#N/A</v>
      </c>
      <c r="V262" s="36" t="e">
        <f ca="1"/>
        <v>#N/A</v>
      </c>
      <c r="W262" s="37" t="e">
        <f ca="1"/>
        <v>#N/A</v>
      </c>
      <c r="X262" s="31" t="s">
        <v>1</v>
      </c>
    </row>
    <row r="263" spans="4:24" x14ac:dyDescent="0.25">
      <c r="D263" s="31" t="s">
        <v>1</v>
      </c>
      <c r="E263" s="43">
        <v>255</v>
      </c>
      <c r="F263" s="25" t="e">
        <f ca="1">IF(ISNA(H263),NA(),IF(ISBLANK(G263),IF(FixedAmortizationFrequency=0,F262,IF(MOD((E263-1),FixedAmortizationFrequency)&lt;&gt;0,F262,F262-FixedAmortization)),G263))</f>
        <v>#N/A</v>
      </c>
      <c r="G263" s="67"/>
      <c r="H263" s="63" t="e">
        <f ca="1"/>
        <v>#N/A</v>
      </c>
      <c r="I263" s="33" t="e">
        <f ca="1"/>
        <v>#N/A</v>
      </c>
      <c r="J263" s="33" t="e">
        <f ca="1"/>
        <v>#N/A</v>
      </c>
      <c r="K263" s="25" t="e">
        <f ca="1"/>
        <v>#N/A</v>
      </c>
      <c r="L263" s="36" t="e">
        <f ca="1"/>
        <v>#N/A</v>
      </c>
      <c r="M263" s="37" t="e">
        <f ca="1"/>
        <v>#N/A</v>
      </c>
      <c r="N263" s="38" t="s">
        <v>1</v>
      </c>
      <c r="O263" s="43">
        <v>255</v>
      </c>
      <c r="P263" s="25" t="e">
        <f ca="1">IF(ISNA(R263),NA(),IF(ISBLANK(Q263),IF(FloatAmortizationFrequency=0,P262,IF(MOD((O263-1),FloatAmortizationFrequency)&lt;&gt;0,P262,P262-FloatAmortization)),Q263))</f>
        <v>#N/A</v>
      </c>
      <c r="Q263" s="67"/>
      <c r="R263" s="33" t="e">
        <f ca="1"/>
        <v>#N/A</v>
      </c>
      <c r="S263" s="33" t="e">
        <f ca="1"/>
        <v>#N/A</v>
      </c>
      <c r="T263" s="33" t="e">
        <f ca="1"/>
        <v>#N/A</v>
      </c>
      <c r="U263" s="25" t="e">
        <f ca="1"/>
        <v>#N/A</v>
      </c>
      <c r="V263" s="36" t="e">
        <f ca="1"/>
        <v>#N/A</v>
      </c>
      <c r="W263" s="37" t="e">
        <f ca="1"/>
        <v>#N/A</v>
      </c>
      <c r="X263" s="31" t="s">
        <v>1</v>
      </c>
    </row>
    <row r="264" spans="4:24" x14ac:dyDescent="0.25">
      <c r="D264" s="31" t="s">
        <v>1</v>
      </c>
      <c r="E264" s="43">
        <v>256</v>
      </c>
      <c r="F264" s="25" t="e">
        <f ca="1">IF(ISNA(H264),NA(),IF(ISBLANK(G264),IF(FixedAmortizationFrequency=0,F263,IF(MOD((E264-1),FixedAmortizationFrequency)&lt;&gt;0,F263,F263-FixedAmortization)),G264))</f>
        <v>#N/A</v>
      </c>
      <c r="G264" s="67"/>
      <c r="H264" s="63" t="e">
        <f ca="1"/>
        <v>#N/A</v>
      </c>
      <c r="I264" s="33" t="e">
        <f ca="1"/>
        <v>#N/A</v>
      </c>
      <c r="J264" s="33" t="e">
        <f ca="1"/>
        <v>#N/A</v>
      </c>
      <c r="K264" s="25" t="e">
        <f ca="1"/>
        <v>#N/A</v>
      </c>
      <c r="L264" s="36" t="e">
        <f ca="1"/>
        <v>#N/A</v>
      </c>
      <c r="M264" s="37" t="e">
        <f ca="1"/>
        <v>#N/A</v>
      </c>
      <c r="N264" s="38" t="s">
        <v>1</v>
      </c>
      <c r="O264" s="43">
        <v>256</v>
      </c>
      <c r="P264" s="25" t="e">
        <f ca="1">IF(ISNA(R264),NA(),IF(ISBLANK(Q264),IF(FloatAmortizationFrequency=0,P263,IF(MOD((O264-1),FloatAmortizationFrequency)&lt;&gt;0,P263,P263-FloatAmortization)),Q264))</f>
        <v>#N/A</v>
      </c>
      <c r="Q264" s="67"/>
      <c r="R264" s="33" t="e">
        <f ca="1"/>
        <v>#N/A</v>
      </c>
      <c r="S264" s="33" t="e">
        <f ca="1"/>
        <v>#N/A</v>
      </c>
      <c r="T264" s="33" t="e">
        <f ca="1"/>
        <v>#N/A</v>
      </c>
      <c r="U264" s="25" t="e">
        <f ca="1"/>
        <v>#N/A</v>
      </c>
      <c r="V264" s="36" t="e">
        <f ca="1"/>
        <v>#N/A</v>
      </c>
      <c r="W264" s="37" t="e">
        <f ca="1"/>
        <v>#N/A</v>
      </c>
      <c r="X264" s="31" t="s">
        <v>1</v>
      </c>
    </row>
    <row r="265" spans="4:24" x14ac:dyDescent="0.25">
      <c r="D265" s="31" t="s">
        <v>1</v>
      </c>
      <c r="E265" s="43">
        <v>257</v>
      </c>
      <c r="F265" s="25" t="e">
        <f ca="1">IF(ISNA(H265),NA(),IF(ISBLANK(G265),IF(FixedAmortizationFrequency=0,F264,IF(MOD((E265-1),FixedAmortizationFrequency)&lt;&gt;0,F264,F264-FixedAmortization)),G265))</f>
        <v>#N/A</v>
      </c>
      <c r="G265" s="67"/>
      <c r="H265" s="63" t="e">
        <f ca="1"/>
        <v>#N/A</v>
      </c>
      <c r="I265" s="33" t="e">
        <f ca="1"/>
        <v>#N/A</v>
      </c>
      <c r="J265" s="33" t="e">
        <f ca="1"/>
        <v>#N/A</v>
      </c>
      <c r="K265" s="25" t="e">
        <f ca="1"/>
        <v>#N/A</v>
      </c>
      <c r="L265" s="36" t="e">
        <f ca="1"/>
        <v>#N/A</v>
      </c>
      <c r="M265" s="37" t="e">
        <f ca="1"/>
        <v>#N/A</v>
      </c>
      <c r="N265" s="38" t="s">
        <v>1</v>
      </c>
      <c r="O265" s="43">
        <v>257</v>
      </c>
      <c r="P265" s="25" t="e">
        <f ca="1">IF(ISNA(R265),NA(),IF(ISBLANK(Q265),IF(FloatAmortizationFrequency=0,P264,IF(MOD((O265-1),FloatAmortizationFrequency)&lt;&gt;0,P264,P264-FloatAmortization)),Q265))</f>
        <v>#N/A</v>
      </c>
      <c r="Q265" s="67"/>
      <c r="R265" s="33" t="e">
        <f ca="1"/>
        <v>#N/A</v>
      </c>
      <c r="S265" s="33" t="e">
        <f ca="1"/>
        <v>#N/A</v>
      </c>
      <c r="T265" s="33" t="e">
        <f ca="1"/>
        <v>#N/A</v>
      </c>
      <c r="U265" s="25" t="e">
        <f ca="1"/>
        <v>#N/A</v>
      </c>
      <c r="V265" s="36" t="e">
        <f ca="1"/>
        <v>#N/A</v>
      </c>
      <c r="W265" s="37" t="e">
        <f ca="1"/>
        <v>#N/A</v>
      </c>
      <c r="X265" s="31" t="s">
        <v>1</v>
      </c>
    </row>
    <row r="266" spans="4:24" x14ac:dyDescent="0.25">
      <c r="D266" s="31" t="s">
        <v>1</v>
      </c>
      <c r="E266" s="43">
        <v>258</v>
      </c>
      <c r="F266" s="25" t="e">
        <f ca="1">IF(ISNA(H266),NA(),IF(ISBLANK(G266),IF(FixedAmortizationFrequency=0,F265,IF(MOD((E266-1),FixedAmortizationFrequency)&lt;&gt;0,F265,F265-FixedAmortization)),G266))</f>
        <v>#N/A</v>
      </c>
      <c r="G266" s="67"/>
      <c r="H266" s="63" t="e">
        <f ca="1"/>
        <v>#N/A</v>
      </c>
      <c r="I266" s="33" t="e">
        <f ca="1"/>
        <v>#N/A</v>
      </c>
      <c r="J266" s="33" t="e">
        <f ca="1"/>
        <v>#N/A</v>
      </c>
      <c r="K266" s="25" t="e">
        <f ca="1"/>
        <v>#N/A</v>
      </c>
      <c r="L266" s="36" t="e">
        <f ca="1"/>
        <v>#N/A</v>
      </c>
      <c r="M266" s="37" t="e">
        <f ca="1"/>
        <v>#N/A</v>
      </c>
      <c r="N266" s="38" t="s">
        <v>1</v>
      </c>
      <c r="O266" s="43">
        <v>258</v>
      </c>
      <c r="P266" s="25" t="e">
        <f ca="1">IF(ISNA(R266),NA(),IF(ISBLANK(Q266),IF(FloatAmortizationFrequency=0,P265,IF(MOD((O266-1),FloatAmortizationFrequency)&lt;&gt;0,P265,P265-FloatAmortization)),Q266))</f>
        <v>#N/A</v>
      </c>
      <c r="Q266" s="67"/>
      <c r="R266" s="33" t="e">
        <f ca="1"/>
        <v>#N/A</v>
      </c>
      <c r="S266" s="33" t="e">
        <f ca="1"/>
        <v>#N/A</v>
      </c>
      <c r="T266" s="33" t="e">
        <f ca="1"/>
        <v>#N/A</v>
      </c>
      <c r="U266" s="25" t="e">
        <f ca="1"/>
        <v>#N/A</v>
      </c>
      <c r="V266" s="36" t="e">
        <f ca="1"/>
        <v>#N/A</v>
      </c>
      <c r="W266" s="37" t="e">
        <f ca="1"/>
        <v>#N/A</v>
      </c>
      <c r="X266" s="31" t="s">
        <v>1</v>
      </c>
    </row>
    <row r="267" spans="4:24" x14ac:dyDescent="0.25">
      <c r="D267" s="31" t="s">
        <v>1</v>
      </c>
      <c r="E267" s="43">
        <v>259</v>
      </c>
      <c r="F267" s="25" t="e">
        <f ca="1">IF(ISNA(H267),NA(),IF(ISBLANK(G267),IF(FixedAmortizationFrequency=0,F266,IF(MOD((E267-1),FixedAmortizationFrequency)&lt;&gt;0,F266,F266-FixedAmortization)),G267))</f>
        <v>#N/A</v>
      </c>
      <c r="G267" s="67"/>
      <c r="H267" s="63" t="e">
        <f ca="1"/>
        <v>#N/A</v>
      </c>
      <c r="I267" s="33" t="e">
        <f ca="1"/>
        <v>#N/A</v>
      </c>
      <c r="J267" s="33" t="e">
        <f ca="1"/>
        <v>#N/A</v>
      </c>
      <c r="K267" s="25" t="e">
        <f ca="1"/>
        <v>#N/A</v>
      </c>
      <c r="L267" s="36" t="e">
        <f ca="1"/>
        <v>#N/A</v>
      </c>
      <c r="M267" s="37" t="e">
        <f ca="1"/>
        <v>#N/A</v>
      </c>
      <c r="N267" s="38" t="s">
        <v>1</v>
      </c>
      <c r="O267" s="43">
        <v>259</v>
      </c>
      <c r="P267" s="25" t="e">
        <f ca="1">IF(ISNA(R267),NA(),IF(ISBLANK(Q267),IF(FloatAmortizationFrequency=0,P266,IF(MOD((O267-1),FloatAmortizationFrequency)&lt;&gt;0,P266,P266-FloatAmortization)),Q267))</f>
        <v>#N/A</v>
      </c>
      <c r="Q267" s="67"/>
      <c r="R267" s="33" t="e">
        <f ca="1"/>
        <v>#N/A</v>
      </c>
      <c r="S267" s="33" t="e">
        <f ca="1"/>
        <v>#N/A</v>
      </c>
      <c r="T267" s="33" t="e">
        <f ca="1"/>
        <v>#N/A</v>
      </c>
      <c r="U267" s="25" t="e">
        <f ca="1"/>
        <v>#N/A</v>
      </c>
      <c r="V267" s="36" t="e">
        <f ca="1"/>
        <v>#N/A</v>
      </c>
      <c r="W267" s="37" t="e">
        <f ca="1"/>
        <v>#N/A</v>
      </c>
      <c r="X267" s="31" t="s">
        <v>1</v>
      </c>
    </row>
    <row r="268" spans="4:24" x14ac:dyDescent="0.25">
      <c r="D268" s="31" t="s">
        <v>1</v>
      </c>
      <c r="E268" s="43">
        <v>260</v>
      </c>
      <c r="F268" s="25" t="e">
        <f ca="1">IF(ISNA(H268),NA(),IF(ISBLANK(G268),IF(FixedAmortizationFrequency=0,F267,IF(MOD((E268-1),FixedAmortizationFrequency)&lt;&gt;0,F267,F267-FixedAmortization)),G268))</f>
        <v>#N/A</v>
      </c>
      <c r="G268" s="67"/>
      <c r="H268" s="63" t="e">
        <f ca="1"/>
        <v>#N/A</v>
      </c>
      <c r="I268" s="33" t="e">
        <f ca="1"/>
        <v>#N/A</v>
      </c>
      <c r="J268" s="33" t="e">
        <f ca="1"/>
        <v>#N/A</v>
      </c>
      <c r="K268" s="25" t="e">
        <f ca="1"/>
        <v>#N/A</v>
      </c>
      <c r="L268" s="36" t="e">
        <f ca="1"/>
        <v>#N/A</v>
      </c>
      <c r="M268" s="37" t="e">
        <f ca="1"/>
        <v>#N/A</v>
      </c>
      <c r="N268" s="38" t="s">
        <v>1</v>
      </c>
      <c r="O268" s="43">
        <v>260</v>
      </c>
      <c r="P268" s="25" t="e">
        <f ca="1">IF(ISNA(R268),NA(),IF(ISBLANK(Q268),IF(FloatAmortizationFrequency=0,P267,IF(MOD((O268-1),FloatAmortizationFrequency)&lt;&gt;0,P267,P267-FloatAmortization)),Q268))</f>
        <v>#N/A</v>
      </c>
      <c r="Q268" s="67"/>
      <c r="R268" s="33" t="e">
        <f ca="1"/>
        <v>#N/A</v>
      </c>
      <c r="S268" s="33" t="e">
        <f ca="1"/>
        <v>#N/A</v>
      </c>
      <c r="T268" s="33" t="e">
        <f ca="1"/>
        <v>#N/A</v>
      </c>
      <c r="U268" s="25" t="e">
        <f ca="1"/>
        <v>#N/A</v>
      </c>
      <c r="V268" s="36" t="e">
        <f ca="1"/>
        <v>#N/A</v>
      </c>
      <c r="W268" s="37" t="e">
        <f ca="1"/>
        <v>#N/A</v>
      </c>
      <c r="X268" s="31" t="s">
        <v>1</v>
      </c>
    </row>
    <row r="269" spans="4:24" x14ac:dyDescent="0.25">
      <c r="D269" s="31" t="s">
        <v>1</v>
      </c>
      <c r="E269" s="43">
        <v>261</v>
      </c>
      <c r="F269" s="25" t="e">
        <f ca="1">IF(ISNA(H269),NA(),IF(ISBLANK(G269),IF(FixedAmortizationFrequency=0,F268,IF(MOD((E269-1),FixedAmortizationFrequency)&lt;&gt;0,F268,F268-FixedAmortization)),G269))</f>
        <v>#N/A</v>
      </c>
      <c r="G269" s="67"/>
      <c r="H269" s="63" t="e">
        <f ca="1"/>
        <v>#N/A</v>
      </c>
      <c r="I269" s="33" t="e">
        <f ca="1"/>
        <v>#N/A</v>
      </c>
      <c r="J269" s="33" t="e">
        <f ca="1"/>
        <v>#N/A</v>
      </c>
      <c r="K269" s="25" t="e">
        <f ca="1"/>
        <v>#N/A</v>
      </c>
      <c r="L269" s="36" t="e">
        <f ca="1"/>
        <v>#N/A</v>
      </c>
      <c r="M269" s="37" t="e">
        <f ca="1"/>
        <v>#N/A</v>
      </c>
      <c r="N269" s="38" t="s">
        <v>1</v>
      </c>
      <c r="O269" s="43">
        <v>261</v>
      </c>
      <c r="P269" s="25" t="e">
        <f ca="1">IF(ISNA(R269),NA(),IF(ISBLANK(Q269),IF(FloatAmortizationFrequency=0,P268,IF(MOD((O269-1),FloatAmortizationFrequency)&lt;&gt;0,P268,P268-FloatAmortization)),Q269))</f>
        <v>#N/A</v>
      </c>
      <c r="Q269" s="67"/>
      <c r="R269" s="33" t="e">
        <f ca="1"/>
        <v>#N/A</v>
      </c>
      <c r="S269" s="33" t="e">
        <f ca="1"/>
        <v>#N/A</v>
      </c>
      <c r="T269" s="33" t="e">
        <f ca="1"/>
        <v>#N/A</v>
      </c>
      <c r="U269" s="25" t="e">
        <f ca="1"/>
        <v>#N/A</v>
      </c>
      <c r="V269" s="36" t="e">
        <f ca="1"/>
        <v>#N/A</v>
      </c>
      <c r="W269" s="37" t="e">
        <f ca="1"/>
        <v>#N/A</v>
      </c>
      <c r="X269" s="31" t="s">
        <v>1</v>
      </c>
    </row>
    <row r="270" spans="4:24" x14ac:dyDescent="0.25">
      <c r="D270" s="31" t="s">
        <v>1</v>
      </c>
      <c r="E270" s="43">
        <v>262</v>
      </c>
      <c r="F270" s="25" t="e">
        <f ca="1">IF(ISNA(H270),NA(),IF(ISBLANK(G270),IF(FixedAmortizationFrequency=0,F269,IF(MOD((E270-1),FixedAmortizationFrequency)&lt;&gt;0,F269,F269-FixedAmortization)),G270))</f>
        <v>#N/A</v>
      </c>
      <c r="G270" s="67"/>
      <c r="H270" s="63" t="e">
        <f ca="1"/>
        <v>#N/A</v>
      </c>
      <c r="I270" s="33" t="e">
        <f ca="1"/>
        <v>#N/A</v>
      </c>
      <c r="J270" s="33" t="e">
        <f ca="1"/>
        <v>#N/A</v>
      </c>
      <c r="K270" s="25" t="e">
        <f ca="1"/>
        <v>#N/A</v>
      </c>
      <c r="L270" s="36" t="e">
        <f ca="1"/>
        <v>#N/A</v>
      </c>
      <c r="M270" s="37" t="e">
        <f ca="1"/>
        <v>#N/A</v>
      </c>
      <c r="N270" s="38" t="s">
        <v>1</v>
      </c>
      <c r="O270" s="43">
        <v>262</v>
      </c>
      <c r="P270" s="25" t="e">
        <f ca="1">IF(ISNA(R270),NA(),IF(ISBLANK(Q270),IF(FloatAmortizationFrequency=0,P269,IF(MOD((O270-1),FloatAmortizationFrequency)&lt;&gt;0,P269,P269-FloatAmortization)),Q270))</f>
        <v>#N/A</v>
      </c>
      <c r="Q270" s="67"/>
      <c r="R270" s="33" t="e">
        <f ca="1"/>
        <v>#N/A</v>
      </c>
      <c r="S270" s="33" t="e">
        <f ca="1"/>
        <v>#N/A</v>
      </c>
      <c r="T270" s="33" t="e">
        <f ca="1"/>
        <v>#N/A</v>
      </c>
      <c r="U270" s="25" t="e">
        <f ca="1"/>
        <v>#N/A</v>
      </c>
      <c r="V270" s="36" t="e">
        <f ca="1"/>
        <v>#N/A</v>
      </c>
      <c r="W270" s="37" t="e">
        <f ca="1"/>
        <v>#N/A</v>
      </c>
      <c r="X270" s="31" t="s">
        <v>1</v>
      </c>
    </row>
    <row r="271" spans="4:24" x14ac:dyDescent="0.25">
      <c r="D271" s="31" t="s">
        <v>1</v>
      </c>
      <c r="E271" s="43">
        <v>263</v>
      </c>
      <c r="F271" s="25" t="e">
        <f ca="1">IF(ISNA(H271),NA(),IF(ISBLANK(G271),IF(FixedAmortizationFrequency=0,F270,IF(MOD((E271-1),FixedAmortizationFrequency)&lt;&gt;0,F270,F270-FixedAmortization)),G271))</f>
        <v>#N/A</v>
      </c>
      <c r="G271" s="67"/>
      <c r="H271" s="63" t="e">
        <f ca="1"/>
        <v>#N/A</v>
      </c>
      <c r="I271" s="33" t="e">
        <f ca="1"/>
        <v>#N/A</v>
      </c>
      <c r="J271" s="33" t="e">
        <f ca="1"/>
        <v>#N/A</v>
      </c>
      <c r="K271" s="25" t="e">
        <f ca="1"/>
        <v>#N/A</v>
      </c>
      <c r="L271" s="36" t="e">
        <f ca="1"/>
        <v>#N/A</v>
      </c>
      <c r="M271" s="37" t="e">
        <f ca="1"/>
        <v>#N/A</v>
      </c>
      <c r="N271" s="38" t="s">
        <v>1</v>
      </c>
      <c r="O271" s="43">
        <v>263</v>
      </c>
      <c r="P271" s="25" t="e">
        <f ca="1">IF(ISNA(R271),NA(),IF(ISBLANK(Q271),IF(FloatAmortizationFrequency=0,P270,IF(MOD((O271-1),FloatAmortizationFrequency)&lt;&gt;0,P270,P270-FloatAmortization)),Q271))</f>
        <v>#N/A</v>
      </c>
      <c r="Q271" s="67"/>
      <c r="R271" s="33" t="e">
        <f ca="1"/>
        <v>#N/A</v>
      </c>
      <c r="S271" s="33" t="e">
        <f ca="1"/>
        <v>#N/A</v>
      </c>
      <c r="T271" s="33" t="e">
        <f ca="1"/>
        <v>#N/A</v>
      </c>
      <c r="U271" s="25" t="e">
        <f ca="1"/>
        <v>#N/A</v>
      </c>
      <c r="V271" s="36" t="e">
        <f ca="1"/>
        <v>#N/A</v>
      </c>
      <c r="W271" s="37" t="e">
        <f ca="1"/>
        <v>#N/A</v>
      </c>
      <c r="X271" s="31" t="s">
        <v>1</v>
      </c>
    </row>
    <row r="272" spans="4:24" x14ac:dyDescent="0.25">
      <c r="D272" s="31" t="s">
        <v>1</v>
      </c>
      <c r="E272" s="43">
        <v>264</v>
      </c>
      <c r="F272" s="25" t="e">
        <f ca="1">IF(ISNA(H272),NA(),IF(ISBLANK(G272),IF(FixedAmortizationFrequency=0,F271,IF(MOD((E272-1),FixedAmortizationFrequency)&lt;&gt;0,F271,F271-FixedAmortization)),G272))</f>
        <v>#N/A</v>
      </c>
      <c r="G272" s="67"/>
      <c r="H272" s="63" t="e">
        <f ca="1"/>
        <v>#N/A</v>
      </c>
      <c r="I272" s="33" t="e">
        <f ca="1"/>
        <v>#N/A</v>
      </c>
      <c r="J272" s="33" t="e">
        <f ca="1"/>
        <v>#N/A</v>
      </c>
      <c r="K272" s="25" t="e">
        <f ca="1"/>
        <v>#N/A</v>
      </c>
      <c r="L272" s="36" t="e">
        <f ca="1"/>
        <v>#N/A</v>
      </c>
      <c r="M272" s="37" t="e">
        <f ca="1"/>
        <v>#N/A</v>
      </c>
      <c r="N272" s="38" t="s">
        <v>1</v>
      </c>
      <c r="O272" s="43">
        <v>264</v>
      </c>
      <c r="P272" s="25" t="e">
        <f ca="1">IF(ISNA(R272),NA(),IF(ISBLANK(Q272),IF(FloatAmortizationFrequency=0,P271,IF(MOD((O272-1),FloatAmortizationFrequency)&lt;&gt;0,P271,P271-FloatAmortization)),Q272))</f>
        <v>#N/A</v>
      </c>
      <c r="Q272" s="67"/>
      <c r="R272" s="33" t="e">
        <f ca="1"/>
        <v>#N/A</v>
      </c>
      <c r="S272" s="33" t="e">
        <f ca="1"/>
        <v>#N/A</v>
      </c>
      <c r="T272" s="33" t="e">
        <f ca="1"/>
        <v>#N/A</v>
      </c>
      <c r="U272" s="25" t="e">
        <f ca="1"/>
        <v>#N/A</v>
      </c>
      <c r="V272" s="36" t="e">
        <f ca="1"/>
        <v>#N/A</v>
      </c>
      <c r="W272" s="37" t="e">
        <f ca="1"/>
        <v>#N/A</v>
      </c>
      <c r="X272" s="31" t="s">
        <v>1</v>
      </c>
    </row>
    <row r="273" spans="4:24" x14ac:dyDescent="0.25">
      <c r="D273" s="31" t="s">
        <v>1</v>
      </c>
      <c r="E273" s="43">
        <v>265</v>
      </c>
      <c r="F273" s="25" t="e">
        <f ca="1">IF(ISNA(H273),NA(),IF(ISBLANK(G273),IF(FixedAmortizationFrequency=0,F272,IF(MOD((E273-1),FixedAmortizationFrequency)&lt;&gt;0,F272,F272-FixedAmortization)),G273))</f>
        <v>#N/A</v>
      </c>
      <c r="G273" s="67"/>
      <c r="H273" s="63" t="e">
        <f ca="1"/>
        <v>#N/A</v>
      </c>
      <c r="I273" s="33" t="e">
        <f ca="1"/>
        <v>#N/A</v>
      </c>
      <c r="J273" s="33" t="e">
        <f ca="1"/>
        <v>#N/A</v>
      </c>
      <c r="K273" s="25" t="e">
        <f ca="1"/>
        <v>#N/A</v>
      </c>
      <c r="L273" s="36" t="e">
        <f ca="1"/>
        <v>#N/A</v>
      </c>
      <c r="M273" s="37" t="e">
        <f ca="1"/>
        <v>#N/A</v>
      </c>
      <c r="N273" s="38" t="s">
        <v>1</v>
      </c>
      <c r="O273" s="43">
        <v>265</v>
      </c>
      <c r="P273" s="25" t="e">
        <f ca="1">IF(ISNA(R273),NA(),IF(ISBLANK(Q273),IF(FloatAmortizationFrequency=0,P272,IF(MOD((O273-1),FloatAmortizationFrequency)&lt;&gt;0,P272,P272-FloatAmortization)),Q273))</f>
        <v>#N/A</v>
      </c>
      <c r="Q273" s="67"/>
      <c r="R273" s="33" t="e">
        <f ca="1"/>
        <v>#N/A</v>
      </c>
      <c r="S273" s="33" t="e">
        <f ca="1"/>
        <v>#N/A</v>
      </c>
      <c r="T273" s="33" t="e">
        <f ca="1"/>
        <v>#N/A</v>
      </c>
      <c r="U273" s="25" t="e">
        <f ca="1"/>
        <v>#N/A</v>
      </c>
      <c r="V273" s="36" t="e">
        <f ca="1"/>
        <v>#N/A</v>
      </c>
      <c r="W273" s="37" t="e">
        <f ca="1"/>
        <v>#N/A</v>
      </c>
      <c r="X273" s="31" t="s">
        <v>1</v>
      </c>
    </row>
    <row r="274" spans="4:24" x14ac:dyDescent="0.25">
      <c r="D274" s="31" t="s">
        <v>1</v>
      </c>
      <c r="E274" s="43">
        <v>266</v>
      </c>
      <c r="F274" s="25" t="e">
        <f ca="1">IF(ISNA(H274),NA(),IF(ISBLANK(G274),IF(FixedAmortizationFrequency=0,F273,IF(MOD((E274-1),FixedAmortizationFrequency)&lt;&gt;0,F273,F273-FixedAmortization)),G274))</f>
        <v>#N/A</v>
      </c>
      <c r="G274" s="67"/>
      <c r="H274" s="63" t="e">
        <f ca="1"/>
        <v>#N/A</v>
      </c>
      <c r="I274" s="33" t="e">
        <f ca="1"/>
        <v>#N/A</v>
      </c>
      <c r="J274" s="33" t="e">
        <f ca="1"/>
        <v>#N/A</v>
      </c>
      <c r="K274" s="25" t="e">
        <f ca="1"/>
        <v>#N/A</v>
      </c>
      <c r="L274" s="36" t="e">
        <f ca="1"/>
        <v>#N/A</v>
      </c>
      <c r="M274" s="37" t="e">
        <f ca="1"/>
        <v>#N/A</v>
      </c>
      <c r="N274" s="38" t="s">
        <v>1</v>
      </c>
      <c r="O274" s="43">
        <v>266</v>
      </c>
      <c r="P274" s="25" t="e">
        <f ca="1">IF(ISNA(R274),NA(),IF(ISBLANK(Q274),IF(FloatAmortizationFrequency=0,P273,IF(MOD((O274-1),FloatAmortizationFrequency)&lt;&gt;0,P273,P273-FloatAmortization)),Q274))</f>
        <v>#N/A</v>
      </c>
      <c r="Q274" s="67"/>
      <c r="R274" s="33" t="e">
        <f ca="1"/>
        <v>#N/A</v>
      </c>
      <c r="S274" s="33" t="e">
        <f ca="1"/>
        <v>#N/A</v>
      </c>
      <c r="T274" s="33" t="e">
        <f ca="1"/>
        <v>#N/A</v>
      </c>
      <c r="U274" s="25" t="e">
        <f ca="1"/>
        <v>#N/A</v>
      </c>
      <c r="V274" s="36" t="e">
        <f ca="1"/>
        <v>#N/A</v>
      </c>
      <c r="W274" s="37" t="e">
        <f ca="1"/>
        <v>#N/A</v>
      </c>
      <c r="X274" s="31" t="s">
        <v>1</v>
      </c>
    </row>
    <row r="275" spans="4:24" x14ac:dyDescent="0.25">
      <c r="D275" s="31" t="s">
        <v>1</v>
      </c>
      <c r="E275" s="43">
        <v>267</v>
      </c>
      <c r="F275" s="25" t="e">
        <f ca="1">IF(ISNA(H275),NA(),IF(ISBLANK(G275),IF(FixedAmortizationFrequency=0,F274,IF(MOD((E275-1),FixedAmortizationFrequency)&lt;&gt;0,F274,F274-FixedAmortization)),G275))</f>
        <v>#N/A</v>
      </c>
      <c r="G275" s="67"/>
      <c r="H275" s="63" t="e">
        <f ca="1"/>
        <v>#N/A</v>
      </c>
      <c r="I275" s="33" t="e">
        <f ca="1"/>
        <v>#N/A</v>
      </c>
      <c r="J275" s="33" t="e">
        <f ca="1"/>
        <v>#N/A</v>
      </c>
      <c r="K275" s="25" t="e">
        <f ca="1"/>
        <v>#N/A</v>
      </c>
      <c r="L275" s="36" t="e">
        <f ca="1"/>
        <v>#N/A</v>
      </c>
      <c r="M275" s="37" t="e">
        <f ca="1"/>
        <v>#N/A</v>
      </c>
      <c r="N275" s="38" t="s">
        <v>1</v>
      </c>
      <c r="O275" s="43">
        <v>267</v>
      </c>
      <c r="P275" s="25" t="e">
        <f ca="1">IF(ISNA(R275),NA(),IF(ISBLANK(Q275),IF(FloatAmortizationFrequency=0,P274,IF(MOD((O275-1),FloatAmortizationFrequency)&lt;&gt;0,P274,P274-FloatAmortization)),Q275))</f>
        <v>#N/A</v>
      </c>
      <c r="Q275" s="67"/>
      <c r="R275" s="33" t="e">
        <f ca="1"/>
        <v>#N/A</v>
      </c>
      <c r="S275" s="33" t="e">
        <f ca="1"/>
        <v>#N/A</v>
      </c>
      <c r="T275" s="33" t="e">
        <f ca="1"/>
        <v>#N/A</v>
      </c>
      <c r="U275" s="25" t="e">
        <f ca="1"/>
        <v>#N/A</v>
      </c>
      <c r="V275" s="36" t="e">
        <f ca="1"/>
        <v>#N/A</v>
      </c>
      <c r="W275" s="37" t="e">
        <f ca="1"/>
        <v>#N/A</v>
      </c>
      <c r="X275" s="31" t="s">
        <v>1</v>
      </c>
    </row>
    <row r="276" spans="4:24" x14ac:dyDescent="0.25">
      <c r="D276" s="31" t="s">
        <v>1</v>
      </c>
      <c r="E276" s="43">
        <v>268</v>
      </c>
      <c r="F276" s="25" t="e">
        <f ca="1">IF(ISNA(H276),NA(),IF(ISBLANK(G276),IF(FixedAmortizationFrequency=0,F275,IF(MOD((E276-1),FixedAmortizationFrequency)&lt;&gt;0,F275,F275-FixedAmortization)),G276))</f>
        <v>#N/A</v>
      </c>
      <c r="G276" s="67"/>
      <c r="H276" s="63" t="e">
        <f ca="1"/>
        <v>#N/A</v>
      </c>
      <c r="I276" s="33" t="e">
        <f ca="1"/>
        <v>#N/A</v>
      </c>
      <c r="J276" s="33" t="e">
        <f ca="1"/>
        <v>#N/A</v>
      </c>
      <c r="K276" s="25" t="e">
        <f ca="1"/>
        <v>#N/A</v>
      </c>
      <c r="L276" s="36" t="e">
        <f ca="1"/>
        <v>#N/A</v>
      </c>
      <c r="M276" s="37" t="e">
        <f ca="1"/>
        <v>#N/A</v>
      </c>
      <c r="N276" s="38" t="s">
        <v>1</v>
      </c>
      <c r="O276" s="43">
        <v>268</v>
      </c>
      <c r="P276" s="25" t="e">
        <f ca="1">IF(ISNA(R276),NA(),IF(ISBLANK(Q276),IF(FloatAmortizationFrequency=0,P275,IF(MOD((O276-1),FloatAmortizationFrequency)&lt;&gt;0,P275,P275-FloatAmortization)),Q276))</f>
        <v>#N/A</v>
      </c>
      <c r="Q276" s="67"/>
      <c r="R276" s="33" t="e">
        <f ca="1"/>
        <v>#N/A</v>
      </c>
      <c r="S276" s="33" t="e">
        <f ca="1"/>
        <v>#N/A</v>
      </c>
      <c r="T276" s="33" t="e">
        <f ca="1"/>
        <v>#N/A</v>
      </c>
      <c r="U276" s="25" t="e">
        <f ca="1"/>
        <v>#N/A</v>
      </c>
      <c r="V276" s="36" t="e">
        <f ca="1"/>
        <v>#N/A</v>
      </c>
      <c r="W276" s="37" t="e">
        <f ca="1"/>
        <v>#N/A</v>
      </c>
      <c r="X276" s="31" t="s">
        <v>1</v>
      </c>
    </row>
    <row r="277" spans="4:24" x14ac:dyDescent="0.25">
      <c r="D277" s="31" t="s">
        <v>1</v>
      </c>
      <c r="E277" s="43">
        <v>269</v>
      </c>
      <c r="F277" s="25" t="e">
        <f ca="1">IF(ISNA(H277),NA(),IF(ISBLANK(G277),IF(FixedAmortizationFrequency=0,F276,IF(MOD((E277-1),FixedAmortizationFrequency)&lt;&gt;0,F276,F276-FixedAmortization)),G277))</f>
        <v>#N/A</v>
      </c>
      <c r="G277" s="67"/>
      <c r="H277" s="63" t="e">
        <f ca="1"/>
        <v>#N/A</v>
      </c>
      <c r="I277" s="33" t="e">
        <f ca="1"/>
        <v>#N/A</v>
      </c>
      <c r="J277" s="33" t="e">
        <f ca="1"/>
        <v>#N/A</v>
      </c>
      <c r="K277" s="25" t="e">
        <f ca="1"/>
        <v>#N/A</v>
      </c>
      <c r="L277" s="36" t="e">
        <f ca="1"/>
        <v>#N/A</v>
      </c>
      <c r="M277" s="37" t="e">
        <f ca="1"/>
        <v>#N/A</v>
      </c>
      <c r="N277" s="38" t="s">
        <v>1</v>
      </c>
      <c r="O277" s="43">
        <v>269</v>
      </c>
      <c r="P277" s="25" t="e">
        <f ca="1">IF(ISNA(R277),NA(),IF(ISBLANK(Q277),IF(FloatAmortizationFrequency=0,P276,IF(MOD((O277-1),FloatAmortizationFrequency)&lt;&gt;0,P276,P276-FloatAmortization)),Q277))</f>
        <v>#N/A</v>
      </c>
      <c r="Q277" s="67"/>
      <c r="R277" s="33" t="e">
        <f ca="1"/>
        <v>#N/A</v>
      </c>
      <c r="S277" s="33" t="e">
        <f ca="1"/>
        <v>#N/A</v>
      </c>
      <c r="T277" s="33" t="e">
        <f ca="1"/>
        <v>#N/A</v>
      </c>
      <c r="U277" s="25" t="e">
        <f ca="1"/>
        <v>#N/A</v>
      </c>
      <c r="V277" s="36" t="e">
        <f ca="1"/>
        <v>#N/A</v>
      </c>
      <c r="W277" s="37" t="e">
        <f ca="1"/>
        <v>#N/A</v>
      </c>
      <c r="X277" s="31" t="s">
        <v>1</v>
      </c>
    </row>
    <row r="278" spans="4:24" x14ac:dyDescent="0.25">
      <c r="D278" s="31" t="s">
        <v>1</v>
      </c>
      <c r="E278" s="43">
        <v>270</v>
      </c>
      <c r="F278" s="25" t="e">
        <f ca="1">IF(ISNA(H278),NA(),IF(ISBLANK(G278),IF(FixedAmortizationFrequency=0,F277,IF(MOD((E278-1),FixedAmortizationFrequency)&lt;&gt;0,F277,F277-FixedAmortization)),G278))</f>
        <v>#N/A</v>
      </c>
      <c r="G278" s="67"/>
      <c r="H278" s="63" t="e">
        <f ca="1"/>
        <v>#N/A</v>
      </c>
      <c r="I278" s="33" t="e">
        <f ca="1"/>
        <v>#N/A</v>
      </c>
      <c r="J278" s="33" t="e">
        <f ca="1"/>
        <v>#N/A</v>
      </c>
      <c r="K278" s="25" t="e">
        <f ca="1"/>
        <v>#N/A</v>
      </c>
      <c r="L278" s="36" t="e">
        <f ca="1"/>
        <v>#N/A</v>
      </c>
      <c r="M278" s="37" t="e">
        <f ca="1"/>
        <v>#N/A</v>
      </c>
      <c r="N278" s="38" t="s">
        <v>1</v>
      </c>
      <c r="O278" s="43">
        <v>270</v>
      </c>
      <c r="P278" s="25" t="e">
        <f ca="1">IF(ISNA(R278),NA(),IF(ISBLANK(Q278),IF(FloatAmortizationFrequency=0,P277,IF(MOD((O278-1),FloatAmortizationFrequency)&lt;&gt;0,P277,P277-FloatAmortization)),Q278))</f>
        <v>#N/A</v>
      </c>
      <c r="Q278" s="67"/>
      <c r="R278" s="33" t="e">
        <f ca="1"/>
        <v>#N/A</v>
      </c>
      <c r="S278" s="33" t="e">
        <f ca="1"/>
        <v>#N/A</v>
      </c>
      <c r="T278" s="33" t="e">
        <f ca="1"/>
        <v>#N/A</v>
      </c>
      <c r="U278" s="25" t="e">
        <f ca="1"/>
        <v>#N/A</v>
      </c>
      <c r="V278" s="36" t="e">
        <f ca="1"/>
        <v>#N/A</v>
      </c>
      <c r="W278" s="37" t="e">
        <f ca="1"/>
        <v>#N/A</v>
      </c>
      <c r="X278" s="31" t="s">
        <v>1</v>
      </c>
    </row>
    <row r="279" spans="4:24" x14ac:dyDescent="0.25">
      <c r="D279" s="31" t="s">
        <v>1</v>
      </c>
      <c r="E279" s="43">
        <v>271</v>
      </c>
      <c r="F279" s="25" t="e">
        <f ca="1">IF(ISNA(H279),NA(),IF(ISBLANK(G279),IF(FixedAmortizationFrequency=0,F278,IF(MOD((E279-1),FixedAmortizationFrequency)&lt;&gt;0,F278,F278-FixedAmortization)),G279))</f>
        <v>#N/A</v>
      </c>
      <c r="G279" s="67"/>
      <c r="H279" s="63" t="e">
        <f ca="1"/>
        <v>#N/A</v>
      </c>
      <c r="I279" s="33" t="e">
        <f ca="1"/>
        <v>#N/A</v>
      </c>
      <c r="J279" s="33" t="e">
        <f ca="1"/>
        <v>#N/A</v>
      </c>
      <c r="K279" s="25" t="e">
        <f ca="1"/>
        <v>#N/A</v>
      </c>
      <c r="L279" s="36" t="e">
        <f ca="1"/>
        <v>#N/A</v>
      </c>
      <c r="M279" s="37" t="e">
        <f ca="1"/>
        <v>#N/A</v>
      </c>
      <c r="N279" s="38" t="s">
        <v>1</v>
      </c>
      <c r="O279" s="43">
        <v>271</v>
      </c>
      <c r="P279" s="25" t="e">
        <f ca="1">IF(ISNA(R279),NA(),IF(ISBLANK(Q279),IF(FloatAmortizationFrequency=0,P278,IF(MOD((O279-1),FloatAmortizationFrequency)&lt;&gt;0,P278,P278-FloatAmortization)),Q279))</f>
        <v>#N/A</v>
      </c>
      <c r="Q279" s="67"/>
      <c r="R279" s="33" t="e">
        <f ca="1"/>
        <v>#N/A</v>
      </c>
      <c r="S279" s="33" t="e">
        <f ca="1"/>
        <v>#N/A</v>
      </c>
      <c r="T279" s="33" t="e">
        <f ca="1"/>
        <v>#N/A</v>
      </c>
      <c r="U279" s="25" t="e">
        <f ca="1"/>
        <v>#N/A</v>
      </c>
      <c r="V279" s="36" t="e">
        <f ca="1"/>
        <v>#N/A</v>
      </c>
      <c r="W279" s="37" t="e">
        <f ca="1"/>
        <v>#N/A</v>
      </c>
      <c r="X279" s="31" t="s">
        <v>1</v>
      </c>
    </row>
    <row r="280" spans="4:24" x14ac:dyDescent="0.25">
      <c r="D280" s="31" t="s">
        <v>1</v>
      </c>
      <c r="E280" s="43">
        <v>272</v>
      </c>
      <c r="F280" s="25" t="e">
        <f ca="1">IF(ISNA(H280),NA(),IF(ISBLANK(G280),IF(FixedAmortizationFrequency=0,F279,IF(MOD((E280-1),FixedAmortizationFrequency)&lt;&gt;0,F279,F279-FixedAmortization)),G280))</f>
        <v>#N/A</v>
      </c>
      <c r="G280" s="67"/>
      <c r="H280" s="63" t="e">
        <f ca="1"/>
        <v>#N/A</v>
      </c>
      <c r="I280" s="33" t="e">
        <f ca="1"/>
        <v>#N/A</v>
      </c>
      <c r="J280" s="33" t="e">
        <f ca="1"/>
        <v>#N/A</v>
      </c>
      <c r="K280" s="25" t="e">
        <f ca="1"/>
        <v>#N/A</v>
      </c>
      <c r="L280" s="36" t="e">
        <f ca="1"/>
        <v>#N/A</v>
      </c>
      <c r="M280" s="37" t="e">
        <f ca="1"/>
        <v>#N/A</v>
      </c>
      <c r="N280" s="38" t="s">
        <v>1</v>
      </c>
      <c r="O280" s="43">
        <v>272</v>
      </c>
      <c r="P280" s="25" t="e">
        <f ca="1">IF(ISNA(R280),NA(),IF(ISBLANK(Q280),IF(FloatAmortizationFrequency=0,P279,IF(MOD((O280-1),FloatAmortizationFrequency)&lt;&gt;0,P279,P279-FloatAmortization)),Q280))</f>
        <v>#N/A</v>
      </c>
      <c r="Q280" s="67"/>
      <c r="R280" s="33" t="e">
        <f ca="1"/>
        <v>#N/A</v>
      </c>
      <c r="S280" s="33" t="e">
        <f ca="1"/>
        <v>#N/A</v>
      </c>
      <c r="T280" s="33" t="e">
        <f ca="1"/>
        <v>#N/A</v>
      </c>
      <c r="U280" s="25" t="e">
        <f ca="1"/>
        <v>#N/A</v>
      </c>
      <c r="V280" s="36" t="e">
        <f ca="1"/>
        <v>#N/A</v>
      </c>
      <c r="W280" s="37" t="e">
        <f ca="1"/>
        <v>#N/A</v>
      </c>
      <c r="X280" s="31" t="s">
        <v>1</v>
      </c>
    </row>
    <row r="281" spans="4:24" x14ac:dyDescent="0.25">
      <c r="D281" s="31" t="s">
        <v>1</v>
      </c>
      <c r="E281" s="43">
        <v>273</v>
      </c>
      <c r="F281" s="25" t="e">
        <f ca="1">IF(ISNA(H281),NA(),IF(ISBLANK(G281),IF(FixedAmortizationFrequency=0,F280,IF(MOD((E281-1),FixedAmortizationFrequency)&lt;&gt;0,F280,F280-FixedAmortization)),G281))</f>
        <v>#N/A</v>
      </c>
      <c r="G281" s="67"/>
      <c r="H281" s="63" t="e">
        <f ca="1"/>
        <v>#N/A</v>
      </c>
      <c r="I281" s="33" t="e">
        <f ca="1"/>
        <v>#N/A</v>
      </c>
      <c r="J281" s="33" t="e">
        <f ca="1"/>
        <v>#N/A</v>
      </c>
      <c r="K281" s="25" t="e">
        <f ca="1"/>
        <v>#N/A</v>
      </c>
      <c r="L281" s="36" t="e">
        <f ca="1"/>
        <v>#N/A</v>
      </c>
      <c r="M281" s="37" t="e">
        <f ca="1"/>
        <v>#N/A</v>
      </c>
      <c r="N281" s="38" t="s">
        <v>1</v>
      </c>
      <c r="O281" s="43">
        <v>273</v>
      </c>
      <c r="P281" s="25" t="e">
        <f ca="1">IF(ISNA(R281),NA(),IF(ISBLANK(Q281),IF(FloatAmortizationFrequency=0,P280,IF(MOD((O281-1),FloatAmortizationFrequency)&lt;&gt;0,P280,P280-FloatAmortization)),Q281))</f>
        <v>#N/A</v>
      </c>
      <c r="Q281" s="67"/>
      <c r="R281" s="33" t="e">
        <f ca="1"/>
        <v>#N/A</v>
      </c>
      <c r="S281" s="33" t="e">
        <f ca="1"/>
        <v>#N/A</v>
      </c>
      <c r="T281" s="33" t="e">
        <f ca="1"/>
        <v>#N/A</v>
      </c>
      <c r="U281" s="25" t="e">
        <f ca="1"/>
        <v>#N/A</v>
      </c>
      <c r="V281" s="36" t="e">
        <f ca="1"/>
        <v>#N/A</v>
      </c>
      <c r="W281" s="37" t="e">
        <f ca="1"/>
        <v>#N/A</v>
      </c>
      <c r="X281" s="31" t="s">
        <v>1</v>
      </c>
    </row>
    <row r="282" spans="4:24" x14ac:dyDescent="0.25">
      <c r="D282" s="31" t="s">
        <v>1</v>
      </c>
      <c r="E282" s="43">
        <v>274</v>
      </c>
      <c r="F282" s="25" t="e">
        <f ca="1">IF(ISNA(H282),NA(),IF(ISBLANK(G282),IF(FixedAmortizationFrequency=0,F281,IF(MOD((E282-1),FixedAmortizationFrequency)&lt;&gt;0,F281,F281-FixedAmortization)),G282))</f>
        <v>#N/A</v>
      </c>
      <c r="G282" s="67"/>
      <c r="H282" s="63" t="e">
        <f ca="1"/>
        <v>#N/A</v>
      </c>
      <c r="I282" s="33" t="e">
        <f ca="1"/>
        <v>#N/A</v>
      </c>
      <c r="J282" s="33" t="e">
        <f ca="1"/>
        <v>#N/A</v>
      </c>
      <c r="K282" s="25" t="e">
        <f ca="1"/>
        <v>#N/A</v>
      </c>
      <c r="L282" s="36" t="e">
        <f ca="1"/>
        <v>#N/A</v>
      </c>
      <c r="M282" s="37" t="e">
        <f ca="1"/>
        <v>#N/A</v>
      </c>
      <c r="N282" s="38" t="s">
        <v>1</v>
      </c>
      <c r="O282" s="43">
        <v>274</v>
      </c>
      <c r="P282" s="25" t="e">
        <f ca="1">IF(ISNA(R282),NA(),IF(ISBLANK(Q282),IF(FloatAmortizationFrequency=0,P281,IF(MOD((O282-1),FloatAmortizationFrequency)&lt;&gt;0,P281,P281-FloatAmortization)),Q282))</f>
        <v>#N/A</v>
      </c>
      <c r="Q282" s="67"/>
      <c r="R282" s="33" t="e">
        <f ca="1"/>
        <v>#N/A</v>
      </c>
      <c r="S282" s="33" t="e">
        <f ca="1"/>
        <v>#N/A</v>
      </c>
      <c r="T282" s="33" t="e">
        <f ca="1"/>
        <v>#N/A</v>
      </c>
      <c r="U282" s="25" t="e">
        <f ca="1"/>
        <v>#N/A</v>
      </c>
      <c r="V282" s="36" t="e">
        <f ca="1"/>
        <v>#N/A</v>
      </c>
      <c r="W282" s="37" t="e">
        <f ca="1"/>
        <v>#N/A</v>
      </c>
      <c r="X282" s="31" t="s">
        <v>1</v>
      </c>
    </row>
    <row r="283" spans="4:24" x14ac:dyDescent="0.25">
      <c r="D283" s="31" t="s">
        <v>1</v>
      </c>
      <c r="E283" s="43">
        <v>275</v>
      </c>
      <c r="F283" s="25" t="e">
        <f ca="1">IF(ISNA(H283),NA(),IF(ISBLANK(G283),IF(FixedAmortizationFrequency=0,F282,IF(MOD((E283-1),FixedAmortizationFrequency)&lt;&gt;0,F282,F282-FixedAmortization)),G283))</f>
        <v>#N/A</v>
      </c>
      <c r="G283" s="67"/>
      <c r="H283" s="63" t="e">
        <f ca="1"/>
        <v>#N/A</v>
      </c>
      <c r="I283" s="33" t="e">
        <f ca="1"/>
        <v>#N/A</v>
      </c>
      <c r="J283" s="33" t="e">
        <f ca="1"/>
        <v>#N/A</v>
      </c>
      <c r="K283" s="25" t="e">
        <f ca="1"/>
        <v>#N/A</v>
      </c>
      <c r="L283" s="36" t="e">
        <f ca="1"/>
        <v>#N/A</v>
      </c>
      <c r="M283" s="37" t="e">
        <f ca="1"/>
        <v>#N/A</v>
      </c>
      <c r="N283" s="38" t="s">
        <v>1</v>
      </c>
      <c r="O283" s="43">
        <v>275</v>
      </c>
      <c r="P283" s="25" t="e">
        <f ca="1">IF(ISNA(R283),NA(),IF(ISBLANK(Q283),IF(FloatAmortizationFrequency=0,P282,IF(MOD((O283-1),FloatAmortizationFrequency)&lt;&gt;0,P282,P282-FloatAmortization)),Q283))</f>
        <v>#N/A</v>
      </c>
      <c r="Q283" s="67"/>
      <c r="R283" s="33" t="e">
        <f ca="1"/>
        <v>#N/A</v>
      </c>
      <c r="S283" s="33" t="e">
        <f ca="1"/>
        <v>#N/A</v>
      </c>
      <c r="T283" s="33" t="e">
        <f ca="1"/>
        <v>#N/A</v>
      </c>
      <c r="U283" s="25" t="e">
        <f ca="1"/>
        <v>#N/A</v>
      </c>
      <c r="V283" s="36" t="e">
        <f ca="1"/>
        <v>#N/A</v>
      </c>
      <c r="W283" s="37" t="e">
        <f ca="1"/>
        <v>#N/A</v>
      </c>
      <c r="X283" s="31" t="s">
        <v>1</v>
      </c>
    </row>
    <row r="284" spans="4:24" x14ac:dyDescent="0.25">
      <c r="D284" s="31" t="s">
        <v>1</v>
      </c>
      <c r="E284" s="43">
        <v>276</v>
      </c>
      <c r="F284" s="25" t="e">
        <f ca="1">IF(ISNA(H284),NA(),IF(ISBLANK(G284),IF(FixedAmortizationFrequency=0,F283,IF(MOD((E284-1),FixedAmortizationFrequency)&lt;&gt;0,F283,F283-FixedAmortization)),G284))</f>
        <v>#N/A</v>
      </c>
      <c r="G284" s="67"/>
      <c r="H284" s="63" t="e">
        <f ca="1"/>
        <v>#N/A</v>
      </c>
      <c r="I284" s="33" t="e">
        <f ca="1"/>
        <v>#N/A</v>
      </c>
      <c r="J284" s="33" t="e">
        <f ca="1"/>
        <v>#N/A</v>
      </c>
      <c r="K284" s="25" t="e">
        <f ca="1"/>
        <v>#N/A</v>
      </c>
      <c r="L284" s="36" t="e">
        <f ca="1"/>
        <v>#N/A</v>
      </c>
      <c r="M284" s="37" t="e">
        <f ca="1"/>
        <v>#N/A</v>
      </c>
      <c r="N284" s="38" t="s">
        <v>1</v>
      </c>
      <c r="O284" s="43">
        <v>276</v>
      </c>
      <c r="P284" s="25" t="e">
        <f ca="1">IF(ISNA(R284),NA(),IF(ISBLANK(Q284),IF(FloatAmortizationFrequency=0,P283,IF(MOD((O284-1),FloatAmortizationFrequency)&lt;&gt;0,P283,P283-FloatAmortization)),Q284))</f>
        <v>#N/A</v>
      </c>
      <c r="Q284" s="67"/>
      <c r="R284" s="33" t="e">
        <f ca="1"/>
        <v>#N/A</v>
      </c>
      <c r="S284" s="33" t="e">
        <f ca="1"/>
        <v>#N/A</v>
      </c>
      <c r="T284" s="33" t="e">
        <f ca="1"/>
        <v>#N/A</v>
      </c>
      <c r="U284" s="25" t="e">
        <f ca="1"/>
        <v>#N/A</v>
      </c>
      <c r="V284" s="36" t="e">
        <f ca="1"/>
        <v>#N/A</v>
      </c>
      <c r="W284" s="37" t="e">
        <f ca="1"/>
        <v>#N/A</v>
      </c>
      <c r="X284" s="31" t="s">
        <v>1</v>
      </c>
    </row>
    <row r="285" spans="4:24" x14ac:dyDescent="0.25">
      <c r="D285" s="31" t="s">
        <v>1</v>
      </c>
      <c r="E285" s="43">
        <v>277</v>
      </c>
      <c r="F285" s="25" t="e">
        <f ca="1">IF(ISNA(H285),NA(),IF(ISBLANK(G285),IF(FixedAmortizationFrequency=0,F284,IF(MOD((E285-1),FixedAmortizationFrequency)&lt;&gt;0,F284,F284-FixedAmortization)),G285))</f>
        <v>#N/A</v>
      </c>
      <c r="G285" s="67"/>
      <c r="H285" s="63" t="e">
        <f ca="1"/>
        <v>#N/A</v>
      </c>
      <c r="I285" s="33" t="e">
        <f ca="1"/>
        <v>#N/A</v>
      </c>
      <c r="J285" s="33" t="e">
        <f ca="1"/>
        <v>#N/A</v>
      </c>
      <c r="K285" s="25" t="e">
        <f ca="1"/>
        <v>#N/A</v>
      </c>
      <c r="L285" s="36" t="e">
        <f ca="1"/>
        <v>#N/A</v>
      </c>
      <c r="M285" s="37" t="e">
        <f ca="1"/>
        <v>#N/A</v>
      </c>
      <c r="N285" s="38" t="s">
        <v>1</v>
      </c>
      <c r="O285" s="43">
        <v>277</v>
      </c>
      <c r="P285" s="25" t="e">
        <f ca="1">IF(ISNA(R285),NA(),IF(ISBLANK(Q285),IF(FloatAmortizationFrequency=0,P284,IF(MOD((O285-1),FloatAmortizationFrequency)&lt;&gt;0,P284,P284-FloatAmortization)),Q285))</f>
        <v>#N/A</v>
      </c>
      <c r="Q285" s="67"/>
      <c r="R285" s="33" t="e">
        <f ca="1"/>
        <v>#N/A</v>
      </c>
      <c r="S285" s="33" t="e">
        <f ca="1"/>
        <v>#N/A</v>
      </c>
      <c r="T285" s="33" t="e">
        <f ca="1"/>
        <v>#N/A</v>
      </c>
      <c r="U285" s="25" t="e">
        <f ca="1"/>
        <v>#N/A</v>
      </c>
      <c r="V285" s="36" t="e">
        <f ca="1"/>
        <v>#N/A</v>
      </c>
      <c r="W285" s="37" t="e">
        <f ca="1"/>
        <v>#N/A</v>
      </c>
      <c r="X285" s="31" t="s">
        <v>1</v>
      </c>
    </row>
    <row r="286" spans="4:24" x14ac:dyDescent="0.25">
      <c r="D286" s="31" t="s">
        <v>1</v>
      </c>
      <c r="E286" s="43">
        <v>278</v>
      </c>
      <c r="F286" s="25" t="e">
        <f ca="1">IF(ISNA(H286),NA(),IF(ISBLANK(G286),IF(FixedAmortizationFrequency=0,F285,IF(MOD((E286-1),FixedAmortizationFrequency)&lt;&gt;0,F285,F285-FixedAmortization)),G286))</f>
        <v>#N/A</v>
      </c>
      <c r="G286" s="67"/>
      <c r="H286" s="63" t="e">
        <f ca="1"/>
        <v>#N/A</v>
      </c>
      <c r="I286" s="33" t="e">
        <f ca="1"/>
        <v>#N/A</v>
      </c>
      <c r="J286" s="33" t="e">
        <f ca="1"/>
        <v>#N/A</v>
      </c>
      <c r="K286" s="25" t="e">
        <f ca="1"/>
        <v>#N/A</v>
      </c>
      <c r="L286" s="36" t="e">
        <f ca="1"/>
        <v>#N/A</v>
      </c>
      <c r="M286" s="37" t="e">
        <f ca="1"/>
        <v>#N/A</v>
      </c>
      <c r="N286" s="38" t="s">
        <v>1</v>
      </c>
      <c r="O286" s="43">
        <v>278</v>
      </c>
      <c r="P286" s="25" t="e">
        <f ca="1">IF(ISNA(R286),NA(),IF(ISBLANK(Q286),IF(FloatAmortizationFrequency=0,P285,IF(MOD((O286-1),FloatAmortizationFrequency)&lt;&gt;0,P285,P285-FloatAmortization)),Q286))</f>
        <v>#N/A</v>
      </c>
      <c r="Q286" s="67"/>
      <c r="R286" s="33" t="e">
        <f ca="1"/>
        <v>#N/A</v>
      </c>
      <c r="S286" s="33" t="e">
        <f ca="1"/>
        <v>#N/A</v>
      </c>
      <c r="T286" s="33" t="e">
        <f ca="1"/>
        <v>#N/A</v>
      </c>
      <c r="U286" s="25" t="e">
        <f ca="1"/>
        <v>#N/A</v>
      </c>
      <c r="V286" s="36" t="e">
        <f ca="1"/>
        <v>#N/A</v>
      </c>
      <c r="W286" s="37" t="e">
        <f ca="1"/>
        <v>#N/A</v>
      </c>
      <c r="X286" s="31" t="s">
        <v>1</v>
      </c>
    </row>
    <row r="287" spans="4:24" x14ac:dyDescent="0.25">
      <c r="D287" s="31" t="s">
        <v>1</v>
      </c>
      <c r="E287" s="43">
        <v>279</v>
      </c>
      <c r="F287" s="25" t="e">
        <f ca="1">IF(ISNA(H287),NA(),IF(ISBLANK(G287),IF(FixedAmortizationFrequency=0,F286,IF(MOD((E287-1),FixedAmortizationFrequency)&lt;&gt;0,F286,F286-FixedAmortization)),G287))</f>
        <v>#N/A</v>
      </c>
      <c r="G287" s="67"/>
      <c r="H287" s="63" t="e">
        <f ca="1"/>
        <v>#N/A</v>
      </c>
      <c r="I287" s="33" t="e">
        <f ca="1"/>
        <v>#N/A</v>
      </c>
      <c r="J287" s="33" t="e">
        <f ca="1"/>
        <v>#N/A</v>
      </c>
      <c r="K287" s="25" t="e">
        <f ca="1"/>
        <v>#N/A</v>
      </c>
      <c r="L287" s="36" t="e">
        <f ca="1"/>
        <v>#N/A</v>
      </c>
      <c r="M287" s="37" t="e">
        <f ca="1"/>
        <v>#N/A</v>
      </c>
      <c r="N287" s="38" t="s">
        <v>1</v>
      </c>
      <c r="O287" s="43">
        <v>279</v>
      </c>
      <c r="P287" s="25" t="e">
        <f ca="1">IF(ISNA(R287),NA(),IF(ISBLANK(Q287),IF(FloatAmortizationFrequency=0,P286,IF(MOD((O287-1),FloatAmortizationFrequency)&lt;&gt;0,P286,P286-FloatAmortization)),Q287))</f>
        <v>#N/A</v>
      </c>
      <c r="Q287" s="67"/>
      <c r="R287" s="33" t="e">
        <f ca="1"/>
        <v>#N/A</v>
      </c>
      <c r="S287" s="33" t="e">
        <f ca="1"/>
        <v>#N/A</v>
      </c>
      <c r="T287" s="33" t="e">
        <f ca="1"/>
        <v>#N/A</v>
      </c>
      <c r="U287" s="25" t="e">
        <f ca="1"/>
        <v>#N/A</v>
      </c>
      <c r="V287" s="36" t="e">
        <f ca="1"/>
        <v>#N/A</v>
      </c>
      <c r="W287" s="37" t="e">
        <f ca="1"/>
        <v>#N/A</v>
      </c>
      <c r="X287" s="31" t="s">
        <v>1</v>
      </c>
    </row>
    <row r="288" spans="4:24" x14ac:dyDescent="0.25">
      <c r="D288" s="31" t="s">
        <v>1</v>
      </c>
      <c r="E288" s="43">
        <v>280</v>
      </c>
      <c r="F288" s="25" t="e">
        <f ca="1">IF(ISNA(H288),NA(),IF(ISBLANK(G288),IF(FixedAmortizationFrequency=0,F287,IF(MOD((E288-1),FixedAmortizationFrequency)&lt;&gt;0,F287,F287-FixedAmortization)),G288))</f>
        <v>#N/A</v>
      </c>
      <c r="G288" s="67"/>
      <c r="H288" s="63" t="e">
        <f ca="1"/>
        <v>#N/A</v>
      </c>
      <c r="I288" s="33" t="e">
        <f ca="1"/>
        <v>#N/A</v>
      </c>
      <c r="J288" s="33" t="e">
        <f ca="1"/>
        <v>#N/A</v>
      </c>
      <c r="K288" s="25" t="e">
        <f ca="1"/>
        <v>#N/A</v>
      </c>
      <c r="L288" s="36" t="e">
        <f ca="1"/>
        <v>#N/A</v>
      </c>
      <c r="M288" s="37" t="e">
        <f ca="1"/>
        <v>#N/A</v>
      </c>
      <c r="N288" s="38" t="s">
        <v>1</v>
      </c>
      <c r="O288" s="43">
        <v>280</v>
      </c>
      <c r="P288" s="25" t="e">
        <f ca="1">IF(ISNA(R288),NA(),IF(ISBLANK(Q288),IF(FloatAmortizationFrequency=0,P287,IF(MOD((O288-1),FloatAmortizationFrequency)&lt;&gt;0,P287,P287-FloatAmortization)),Q288))</f>
        <v>#N/A</v>
      </c>
      <c r="Q288" s="67"/>
      <c r="R288" s="33" t="e">
        <f ca="1"/>
        <v>#N/A</v>
      </c>
      <c r="S288" s="33" t="e">
        <f ca="1"/>
        <v>#N/A</v>
      </c>
      <c r="T288" s="33" t="e">
        <f ca="1"/>
        <v>#N/A</v>
      </c>
      <c r="U288" s="25" t="e">
        <f ca="1"/>
        <v>#N/A</v>
      </c>
      <c r="V288" s="36" t="e">
        <f ca="1"/>
        <v>#N/A</v>
      </c>
      <c r="W288" s="37" t="e">
        <f ca="1"/>
        <v>#N/A</v>
      </c>
      <c r="X288" s="31" t="s">
        <v>1</v>
      </c>
    </row>
    <row r="289" spans="4:24" x14ac:dyDescent="0.25">
      <c r="D289" s="31" t="s">
        <v>1</v>
      </c>
      <c r="E289" s="43">
        <v>281</v>
      </c>
      <c r="F289" s="25" t="e">
        <f ca="1">IF(ISNA(H289),NA(),IF(ISBLANK(G289),IF(FixedAmortizationFrequency=0,F288,IF(MOD((E289-1),FixedAmortizationFrequency)&lt;&gt;0,F288,F288-FixedAmortization)),G289))</f>
        <v>#N/A</v>
      </c>
      <c r="G289" s="67"/>
      <c r="H289" s="63" t="e">
        <f ca="1"/>
        <v>#N/A</v>
      </c>
      <c r="I289" s="33" t="e">
        <f ca="1"/>
        <v>#N/A</v>
      </c>
      <c r="J289" s="33" t="e">
        <f ca="1"/>
        <v>#N/A</v>
      </c>
      <c r="K289" s="25" t="e">
        <f ca="1"/>
        <v>#N/A</v>
      </c>
      <c r="L289" s="36" t="e">
        <f ca="1"/>
        <v>#N/A</v>
      </c>
      <c r="M289" s="37" t="e">
        <f ca="1"/>
        <v>#N/A</v>
      </c>
      <c r="N289" s="38" t="s">
        <v>1</v>
      </c>
      <c r="O289" s="43">
        <v>281</v>
      </c>
      <c r="P289" s="25" t="e">
        <f ca="1">IF(ISNA(R289),NA(),IF(ISBLANK(Q289),IF(FloatAmortizationFrequency=0,P288,IF(MOD((O289-1),FloatAmortizationFrequency)&lt;&gt;0,P288,P288-FloatAmortization)),Q289))</f>
        <v>#N/A</v>
      </c>
      <c r="Q289" s="67"/>
      <c r="R289" s="33" t="e">
        <f ca="1"/>
        <v>#N/A</v>
      </c>
      <c r="S289" s="33" t="e">
        <f ca="1"/>
        <v>#N/A</v>
      </c>
      <c r="T289" s="33" t="e">
        <f ca="1"/>
        <v>#N/A</v>
      </c>
      <c r="U289" s="25" t="e">
        <f ca="1"/>
        <v>#N/A</v>
      </c>
      <c r="V289" s="36" t="e">
        <f ca="1"/>
        <v>#N/A</v>
      </c>
      <c r="W289" s="37" t="e">
        <f ca="1"/>
        <v>#N/A</v>
      </c>
      <c r="X289" s="31" t="s">
        <v>1</v>
      </c>
    </row>
    <row r="290" spans="4:24" x14ac:dyDescent="0.25">
      <c r="D290" s="31" t="s">
        <v>1</v>
      </c>
      <c r="E290" s="43">
        <v>282</v>
      </c>
      <c r="F290" s="25" t="e">
        <f ca="1">IF(ISNA(H290),NA(),IF(ISBLANK(G290),IF(FixedAmortizationFrequency=0,F289,IF(MOD((E290-1),FixedAmortizationFrequency)&lt;&gt;0,F289,F289-FixedAmortization)),G290))</f>
        <v>#N/A</v>
      </c>
      <c r="G290" s="67"/>
      <c r="H290" s="63" t="e">
        <f ca="1"/>
        <v>#N/A</v>
      </c>
      <c r="I290" s="33" t="e">
        <f ca="1"/>
        <v>#N/A</v>
      </c>
      <c r="J290" s="33" t="e">
        <f ca="1"/>
        <v>#N/A</v>
      </c>
      <c r="K290" s="25" t="e">
        <f ca="1"/>
        <v>#N/A</v>
      </c>
      <c r="L290" s="36" t="e">
        <f ca="1"/>
        <v>#N/A</v>
      </c>
      <c r="M290" s="37" t="e">
        <f ca="1"/>
        <v>#N/A</v>
      </c>
      <c r="N290" s="38" t="s">
        <v>1</v>
      </c>
      <c r="O290" s="43">
        <v>282</v>
      </c>
      <c r="P290" s="25" t="e">
        <f ca="1">IF(ISNA(R290),NA(),IF(ISBLANK(Q290),IF(FloatAmortizationFrequency=0,P289,IF(MOD((O290-1),FloatAmortizationFrequency)&lt;&gt;0,P289,P289-FloatAmortization)),Q290))</f>
        <v>#N/A</v>
      </c>
      <c r="Q290" s="67"/>
      <c r="R290" s="33" t="e">
        <f ca="1"/>
        <v>#N/A</v>
      </c>
      <c r="S290" s="33" t="e">
        <f ca="1"/>
        <v>#N/A</v>
      </c>
      <c r="T290" s="33" t="e">
        <f ca="1"/>
        <v>#N/A</v>
      </c>
      <c r="U290" s="25" t="e">
        <f ca="1"/>
        <v>#N/A</v>
      </c>
      <c r="V290" s="36" t="e">
        <f ca="1"/>
        <v>#N/A</v>
      </c>
      <c r="W290" s="37" t="e">
        <f ca="1"/>
        <v>#N/A</v>
      </c>
      <c r="X290" s="31" t="s">
        <v>1</v>
      </c>
    </row>
    <row r="291" spans="4:24" x14ac:dyDescent="0.25">
      <c r="D291" s="31" t="s">
        <v>1</v>
      </c>
      <c r="E291" s="43">
        <v>283</v>
      </c>
      <c r="F291" s="25" t="e">
        <f ca="1">IF(ISNA(H291),NA(),IF(ISBLANK(G291),IF(FixedAmortizationFrequency=0,F290,IF(MOD((E291-1),FixedAmortizationFrequency)&lt;&gt;0,F290,F290-FixedAmortization)),G291))</f>
        <v>#N/A</v>
      </c>
      <c r="G291" s="67"/>
      <c r="H291" s="63" t="e">
        <f ca="1"/>
        <v>#N/A</v>
      </c>
      <c r="I291" s="33" t="e">
        <f ca="1"/>
        <v>#N/A</v>
      </c>
      <c r="J291" s="33" t="e">
        <f ca="1"/>
        <v>#N/A</v>
      </c>
      <c r="K291" s="25" t="e">
        <f ca="1"/>
        <v>#N/A</v>
      </c>
      <c r="L291" s="36" t="e">
        <f ca="1"/>
        <v>#N/A</v>
      </c>
      <c r="M291" s="37" t="e">
        <f ca="1"/>
        <v>#N/A</v>
      </c>
      <c r="N291" s="38" t="s">
        <v>1</v>
      </c>
      <c r="O291" s="43">
        <v>283</v>
      </c>
      <c r="P291" s="25" t="e">
        <f ca="1">IF(ISNA(R291),NA(),IF(ISBLANK(Q291),IF(FloatAmortizationFrequency=0,P290,IF(MOD((O291-1),FloatAmortizationFrequency)&lt;&gt;0,P290,P290-FloatAmortization)),Q291))</f>
        <v>#N/A</v>
      </c>
      <c r="Q291" s="67"/>
      <c r="R291" s="33" t="e">
        <f ca="1"/>
        <v>#N/A</v>
      </c>
      <c r="S291" s="33" t="e">
        <f ca="1"/>
        <v>#N/A</v>
      </c>
      <c r="T291" s="33" t="e">
        <f ca="1"/>
        <v>#N/A</v>
      </c>
      <c r="U291" s="25" t="e">
        <f ca="1"/>
        <v>#N/A</v>
      </c>
      <c r="V291" s="36" t="e">
        <f ca="1"/>
        <v>#N/A</v>
      </c>
      <c r="W291" s="37" t="e">
        <f ca="1"/>
        <v>#N/A</v>
      </c>
      <c r="X291" s="31" t="s">
        <v>1</v>
      </c>
    </row>
    <row r="292" spans="4:24" x14ac:dyDescent="0.25">
      <c r="D292" s="31" t="s">
        <v>1</v>
      </c>
      <c r="E292" s="43">
        <v>284</v>
      </c>
      <c r="F292" s="25" t="e">
        <f ca="1">IF(ISNA(H292),NA(),IF(ISBLANK(G292),IF(FixedAmortizationFrequency=0,F291,IF(MOD((E292-1),FixedAmortizationFrequency)&lt;&gt;0,F291,F291-FixedAmortization)),G292))</f>
        <v>#N/A</v>
      </c>
      <c r="G292" s="67"/>
      <c r="H292" s="63" t="e">
        <f ca="1"/>
        <v>#N/A</v>
      </c>
      <c r="I292" s="33" t="e">
        <f ca="1"/>
        <v>#N/A</v>
      </c>
      <c r="J292" s="33" t="e">
        <f ca="1"/>
        <v>#N/A</v>
      </c>
      <c r="K292" s="25" t="e">
        <f ca="1"/>
        <v>#N/A</v>
      </c>
      <c r="L292" s="36" t="e">
        <f ca="1"/>
        <v>#N/A</v>
      </c>
      <c r="M292" s="37" t="e">
        <f ca="1"/>
        <v>#N/A</v>
      </c>
      <c r="N292" s="38" t="s">
        <v>1</v>
      </c>
      <c r="O292" s="43">
        <v>284</v>
      </c>
      <c r="P292" s="25" t="e">
        <f ca="1">IF(ISNA(R292),NA(),IF(ISBLANK(Q292),IF(FloatAmortizationFrequency=0,P291,IF(MOD((O292-1),FloatAmortizationFrequency)&lt;&gt;0,P291,P291-FloatAmortization)),Q292))</f>
        <v>#N/A</v>
      </c>
      <c r="Q292" s="67"/>
      <c r="R292" s="33" t="e">
        <f ca="1"/>
        <v>#N/A</v>
      </c>
      <c r="S292" s="33" t="e">
        <f ca="1"/>
        <v>#N/A</v>
      </c>
      <c r="T292" s="33" t="e">
        <f ca="1"/>
        <v>#N/A</v>
      </c>
      <c r="U292" s="25" t="e">
        <f ca="1"/>
        <v>#N/A</v>
      </c>
      <c r="V292" s="36" t="e">
        <f ca="1"/>
        <v>#N/A</v>
      </c>
      <c r="W292" s="37" t="e">
        <f ca="1"/>
        <v>#N/A</v>
      </c>
      <c r="X292" s="31" t="s">
        <v>1</v>
      </c>
    </row>
    <row r="293" spans="4:24" x14ac:dyDescent="0.25">
      <c r="D293" s="31" t="s">
        <v>1</v>
      </c>
      <c r="E293" s="43">
        <v>285</v>
      </c>
      <c r="F293" s="25" t="e">
        <f ca="1">IF(ISNA(H293),NA(),IF(ISBLANK(G293),IF(FixedAmortizationFrequency=0,F292,IF(MOD((E293-1),FixedAmortizationFrequency)&lt;&gt;0,F292,F292-FixedAmortization)),G293))</f>
        <v>#N/A</v>
      </c>
      <c r="G293" s="67"/>
      <c r="H293" s="63" t="e">
        <f ca="1"/>
        <v>#N/A</v>
      </c>
      <c r="I293" s="33" t="e">
        <f ca="1"/>
        <v>#N/A</v>
      </c>
      <c r="J293" s="33" t="e">
        <f ca="1"/>
        <v>#N/A</v>
      </c>
      <c r="K293" s="25" t="e">
        <f ca="1"/>
        <v>#N/A</v>
      </c>
      <c r="L293" s="36" t="e">
        <f ca="1"/>
        <v>#N/A</v>
      </c>
      <c r="M293" s="37" t="e">
        <f ca="1"/>
        <v>#N/A</v>
      </c>
      <c r="N293" s="38" t="s">
        <v>1</v>
      </c>
      <c r="O293" s="43">
        <v>285</v>
      </c>
      <c r="P293" s="25" t="e">
        <f ca="1">IF(ISNA(R293),NA(),IF(ISBLANK(Q293),IF(FloatAmortizationFrequency=0,P292,IF(MOD((O293-1),FloatAmortizationFrequency)&lt;&gt;0,P292,P292-FloatAmortization)),Q293))</f>
        <v>#N/A</v>
      </c>
      <c r="Q293" s="67"/>
      <c r="R293" s="33" t="e">
        <f ca="1"/>
        <v>#N/A</v>
      </c>
      <c r="S293" s="33" t="e">
        <f ca="1"/>
        <v>#N/A</v>
      </c>
      <c r="T293" s="33" t="e">
        <f ca="1"/>
        <v>#N/A</v>
      </c>
      <c r="U293" s="25" t="e">
        <f ca="1"/>
        <v>#N/A</v>
      </c>
      <c r="V293" s="36" t="e">
        <f ca="1"/>
        <v>#N/A</v>
      </c>
      <c r="W293" s="37" t="e">
        <f ca="1"/>
        <v>#N/A</v>
      </c>
      <c r="X293" s="31" t="s">
        <v>1</v>
      </c>
    </row>
    <row r="294" spans="4:24" x14ac:dyDescent="0.25">
      <c r="D294" s="31" t="s">
        <v>1</v>
      </c>
      <c r="E294" s="43">
        <v>286</v>
      </c>
      <c r="F294" s="25" t="e">
        <f ca="1">IF(ISNA(H294),NA(),IF(ISBLANK(G294),IF(FixedAmortizationFrequency=0,F293,IF(MOD((E294-1),FixedAmortizationFrequency)&lt;&gt;0,F293,F293-FixedAmortization)),G294))</f>
        <v>#N/A</v>
      </c>
      <c r="G294" s="67"/>
      <c r="H294" s="63" t="e">
        <f ca="1"/>
        <v>#N/A</v>
      </c>
      <c r="I294" s="33" t="e">
        <f ca="1"/>
        <v>#N/A</v>
      </c>
      <c r="J294" s="33" t="e">
        <f ca="1"/>
        <v>#N/A</v>
      </c>
      <c r="K294" s="25" t="e">
        <f ca="1"/>
        <v>#N/A</v>
      </c>
      <c r="L294" s="36" t="e">
        <f ca="1"/>
        <v>#N/A</v>
      </c>
      <c r="M294" s="37" t="e">
        <f ca="1"/>
        <v>#N/A</v>
      </c>
      <c r="N294" s="38" t="s">
        <v>1</v>
      </c>
      <c r="O294" s="43">
        <v>286</v>
      </c>
      <c r="P294" s="25" t="e">
        <f ca="1">IF(ISNA(R294),NA(),IF(ISBLANK(Q294),IF(FloatAmortizationFrequency=0,P293,IF(MOD((O294-1),FloatAmortizationFrequency)&lt;&gt;0,P293,P293-FloatAmortization)),Q294))</f>
        <v>#N/A</v>
      </c>
      <c r="Q294" s="67"/>
      <c r="R294" s="33" t="e">
        <f ca="1"/>
        <v>#N/A</v>
      </c>
      <c r="S294" s="33" t="e">
        <f ca="1"/>
        <v>#N/A</v>
      </c>
      <c r="T294" s="33" t="e">
        <f ca="1"/>
        <v>#N/A</v>
      </c>
      <c r="U294" s="25" t="e">
        <f ca="1"/>
        <v>#N/A</v>
      </c>
      <c r="V294" s="36" t="e">
        <f ca="1"/>
        <v>#N/A</v>
      </c>
      <c r="W294" s="37" t="e">
        <f ca="1"/>
        <v>#N/A</v>
      </c>
      <c r="X294" s="31" t="s">
        <v>1</v>
      </c>
    </row>
    <row r="295" spans="4:24" x14ac:dyDescent="0.25">
      <c r="D295" s="31" t="s">
        <v>1</v>
      </c>
      <c r="E295" s="43">
        <v>287</v>
      </c>
      <c r="F295" s="25" t="e">
        <f ca="1">IF(ISNA(H295),NA(),IF(ISBLANK(G295),IF(FixedAmortizationFrequency=0,F294,IF(MOD((E295-1),FixedAmortizationFrequency)&lt;&gt;0,F294,F294-FixedAmortization)),G295))</f>
        <v>#N/A</v>
      </c>
      <c r="G295" s="67"/>
      <c r="H295" s="63" t="e">
        <f ca="1"/>
        <v>#N/A</v>
      </c>
      <c r="I295" s="33" t="e">
        <f ca="1"/>
        <v>#N/A</v>
      </c>
      <c r="J295" s="33" t="e">
        <f ca="1"/>
        <v>#N/A</v>
      </c>
      <c r="K295" s="25" t="e">
        <f ca="1"/>
        <v>#N/A</v>
      </c>
      <c r="L295" s="36" t="e">
        <f ca="1"/>
        <v>#N/A</v>
      </c>
      <c r="M295" s="37" t="e">
        <f ca="1"/>
        <v>#N/A</v>
      </c>
      <c r="N295" s="38" t="s">
        <v>1</v>
      </c>
      <c r="O295" s="43">
        <v>287</v>
      </c>
      <c r="P295" s="25" t="e">
        <f ca="1">IF(ISNA(R295),NA(),IF(ISBLANK(Q295),IF(FloatAmortizationFrequency=0,P294,IF(MOD((O295-1),FloatAmortizationFrequency)&lt;&gt;0,P294,P294-FloatAmortization)),Q295))</f>
        <v>#N/A</v>
      </c>
      <c r="Q295" s="67"/>
      <c r="R295" s="33" t="e">
        <f ca="1"/>
        <v>#N/A</v>
      </c>
      <c r="S295" s="33" t="e">
        <f ca="1"/>
        <v>#N/A</v>
      </c>
      <c r="T295" s="33" t="e">
        <f ca="1"/>
        <v>#N/A</v>
      </c>
      <c r="U295" s="25" t="e">
        <f ca="1"/>
        <v>#N/A</v>
      </c>
      <c r="V295" s="36" t="e">
        <f ca="1"/>
        <v>#N/A</v>
      </c>
      <c r="W295" s="37" t="e">
        <f ca="1"/>
        <v>#N/A</v>
      </c>
      <c r="X295" s="31" t="s">
        <v>1</v>
      </c>
    </row>
    <row r="296" spans="4:24" x14ac:dyDescent="0.25">
      <c r="D296" s="31" t="s">
        <v>1</v>
      </c>
      <c r="E296" s="43">
        <v>288</v>
      </c>
      <c r="F296" s="25" t="e">
        <f ca="1">IF(ISNA(H296),NA(),IF(ISBLANK(G296),IF(FixedAmortizationFrequency=0,F295,IF(MOD((E296-1),FixedAmortizationFrequency)&lt;&gt;0,F295,F295-FixedAmortization)),G296))</f>
        <v>#N/A</v>
      </c>
      <c r="G296" s="67"/>
      <c r="H296" s="63" t="e">
        <f ca="1"/>
        <v>#N/A</v>
      </c>
      <c r="I296" s="33" t="e">
        <f ca="1"/>
        <v>#N/A</v>
      </c>
      <c r="J296" s="33" t="e">
        <f ca="1"/>
        <v>#N/A</v>
      </c>
      <c r="K296" s="25" t="e">
        <f ca="1"/>
        <v>#N/A</v>
      </c>
      <c r="L296" s="36" t="e">
        <f ca="1"/>
        <v>#N/A</v>
      </c>
      <c r="M296" s="37" t="e">
        <f ca="1"/>
        <v>#N/A</v>
      </c>
      <c r="N296" s="38" t="s">
        <v>1</v>
      </c>
      <c r="O296" s="43">
        <v>288</v>
      </c>
      <c r="P296" s="25" t="e">
        <f ca="1">IF(ISNA(R296),NA(),IF(ISBLANK(Q296),IF(FloatAmortizationFrequency=0,P295,IF(MOD((O296-1),FloatAmortizationFrequency)&lt;&gt;0,P295,P295-FloatAmortization)),Q296))</f>
        <v>#N/A</v>
      </c>
      <c r="Q296" s="67"/>
      <c r="R296" s="33" t="e">
        <f ca="1"/>
        <v>#N/A</v>
      </c>
      <c r="S296" s="33" t="e">
        <f ca="1"/>
        <v>#N/A</v>
      </c>
      <c r="T296" s="33" t="e">
        <f ca="1"/>
        <v>#N/A</v>
      </c>
      <c r="U296" s="25" t="e">
        <f ca="1"/>
        <v>#N/A</v>
      </c>
      <c r="V296" s="36" t="e">
        <f ca="1"/>
        <v>#N/A</v>
      </c>
      <c r="W296" s="37" t="e">
        <f ca="1"/>
        <v>#N/A</v>
      </c>
      <c r="X296" s="31" t="s">
        <v>1</v>
      </c>
    </row>
    <row r="297" spans="4:24" x14ac:dyDescent="0.25">
      <c r="D297" s="31" t="s">
        <v>1</v>
      </c>
      <c r="E297" s="43">
        <v>289</v>
      </c>
      <c r="F297" s="25" t="e">
        <f ca="1">IF(ISNA(H297),NA(),IF(ISBLANK(G297),IF(FixedAmortizationFrequency=0,F296,IF(MOD((E297-1),FixedAmortizationFrequency)&lt;&gt;0,F296,F296-FixedAmortization)),G297))</f>
        <v>#N/A</v>
      </c>
      <c r="G297" s="67"/>
      <c r="H297" s="63" t="e">
        <f ca="1"/>
        <v>#N/A</v>
      </c>
      <c r="I297" s="33" t="e">
        <f ca="1"/>
        <v>#N/A</v>
      </c>
      <c r="J297" s="33" t="e">
        <f ca="1"/>
        <v>#N/A</v>
      </c>
      <c r="K297" s="25" t="e">
        <f ca="1"/>
        <v>#N/A</v>
      </c>
      <c r="L297" s="36" t="e">
        <f ca="1"/>
        <v>#N/A</v>
      </c>
      <c r="M297" s="37" t="e">
        <f ca="1"/>
        <v>#N/A</v>
      </c>
      <c r="N297" s="38" t="s">
        <v>1</v>
      </c>
      <c r="O297" s="43">
        <v>289</v>
      </c>
      <c r="P297" s="25" t="e">
        <f ca="1">IF(ISNA(R297),NA(),IF(ISBLANK(Q297),IF(FloatAmortizationFrequency=0,P296,IF(MOD((O297-1),FloatAmortizationFrequency)&lt;&gt;0,P296,P296-FloatAmortization)),Q297))</f>
        <v>#N/A</v>
      </c>
      <c r="Q297" s="67"/>
      <c r="R297" s="33" t="e">
        <f ca="1"/>
        <v>#N/A</v>
      </c>
      <c r="S297" s="33" t="e">
        <f ca="1"/>
        <v>#N/A</v>
      </c>
      <c r="T297" s="33" t="e">
        <f ca="1"/>
        <v>#N/A</v>
      </c>
      <c r="U297" s="25" t="e">
        <f ca="1"/>
        <v>#N/A</v>
      </c>
      <c r="V297" s="36" t="e">
        <f ca="1"/>
        <v>#N/A</v>
      </c>
      <c r="W297" s="37" t="e">
        <f ca="1"/>
        <v>#N/A</v>
      </c>
      <c r="X297" s="31" t="s">
        <v>1</v>
      </c>
    </row>
    <row r="298" spans="4:24" x14ac:dyDescent="0.25">
      <c r="D298" s="31" t="s">
        <v>1</v>
      </c>
      <c r="E298" s="43">
        <v>290</v>
      </c>
      <c r="F298" s="25" t="e">
        <f ca="1">IF(ISNA(H298),NA(),IF(ISBLANK(G298),IF(FixedAmortizationFrequency=0,F297,IF(MOD((E298-1),FixedAmortizationFrequency)&lt;&gt;0,F297,F297-FixedAmortization)),G298))</f>
        <v>#N/A</v>
      </c>
      <c r="G298" s="67"/>
      <c r="H298" s="63" t="e">
        <f ca="1"/>
        <v>#N/A</v>
      </c>
      <c r="I298" s="33" t="e">
        <f ca="1"/>
        <v>#N/A</v>
      </c>
      <c r="J298" s="33" t="e">
        <f ca="1"/>
        <v>#N/A</v>
      </c>
      <c r="K298" s="25" t="e">
        <f ca="1"/>
        <v>#N/A</v>
      </c>
      <c r="L298" s="36" t="e">
        <f ca="1"/>
        <v>#N/A</v>
      </c>
      <c r="M298" s="37" t="e">
        <f ca="1"/>
        <v>#N/A</v>
      </c>
      <c r="N298" s="38" t="s">
        <v>1</v>
      </c>
      <c r="O298" s="43">
        <v>290</v>
      </c>
      <c r="P298" s="25" t="e">
        <f ca="1">IF(ISNA(R298),NA(),IF(ISBLANK(Q298),IF(FloatAmortizationFrequency=0,P297,IF(MOD((O298-1),FloatAmortizationFrequency)&lt;&gt;0,P297,P297-FloatAmortization)),Q298))</f>
        <v>#N/A</v>
      </c>
      <c r="Q298" s="67"/>
      <c r="R298" s="33" t="e">
        <f ca="1"/>
        <v>#N/A</v>
      </c>
      <c r="S298" s="33" t="e">
        <f ca="1"/>
        <v>#N/A</v>
      </c>
      <c r="T298" s="33" t="e">
        <f ca="1"/>
        <v>#N/A</v>
      </c>
      <c r="U298" s="25" t="e">
        <f ca="1"/>
        <v>#N/A</v>
      </c>
      <c r="V298" s="36" t="e">
        <f ca="1"/>
        <v>#N/A</v>
      </c>
      <c r="W298" s="37" t="e">
        <f ca="1"/>
        <v>#N/A</v>
      </c>
      <c r="X298" s="31" t="s">
        <v>1</v>
      </c>
    </row>
    <row r="299" spans="4:24" x14ac:dyDescent="0.25">
      <c r="D299" s="31" t="s">
        <v>1</v>
      </c>
      <c r="E299" s="43">
        <v>291</v>
      </c>
      <c r="F299" s="25" t="e">
        <f ca="1">IF(ISNA(H299),NA(),IF(ISBLANK(G299),IF(FixedAmortizationFrequency=0,F298,IF(MOD((E299-1),FixedAmortizationFrequency)&lt;&gt;0,F298,F298-FixedAmortization)),G299))</f>
        <v>#N/A</v>
      </c>
      <c r="G299" s="67"/>
      <c r="H299" s="63" t="e">
        <f ca="1"/>
        <v>#N/A</v>
      </c>
      <c r="I299" s="33" t="e">
        <f ca="1"/>
        <v>#N/A</v>
      </c>
      <c r="J299" s="33" t="e">
        <f ca="1"/>
        <v>#N/A</v>
      </c>
      <c r="K299" s="25" t="e">
        <f ca="1"/>
        <v>#N/A</v>
      </c>
      <c r="L299" s="36" t="e">
        <f ca="1"/>
        <v>#N/A</v>
      </c>
      <c r="M299" s="37" t="e">
        <f ca="1"/>
        <v>#N/A</v>
      </c>
      <c r="N299" s="38" t="s">
        <v>1</v>
      </c>
      <c r="O299" s="43">
        <v>291</v>
      </c>
      <c r="P299" s="25" t="e">
        <f ca="1">IF(ISNA(R299),NA(),IF(ISBLANK(Q299),IF(FloatAmortizationFrequency=0,P298,IF(MOD((O299-1),FloatAmortizationFrequency)&lt;&gt;0,P298,P298-FloatAmortization)),Q299))</f>
        <v>#N/A</v>
      </c>
      <c r="Q299" s="67"/>
      <c r="R299" s="33" t="e">
        <f ca="1"/>
        <v>#N/A</v>
      </c>
      <c r="S299" s="33" t="e">
        <f ca="1"/>
        <v>#N/A</v>
      </c>
      <c r="T299" s="33" t="e">
        <f ca="1"/>
        <v>#N/A</v>
      </c>
      <c r="U299" s="25" t="e">
        <f ca="1"/>
        <v>#N/A</v>
      </c>
      <c r="V299" s="36" t="e">
        <f ca="1"/>
        <v>#N/A</v>
      </c>
      <c r="W299" s="37" t="e">
        <f ca="1"/>
        <v>#N/A</v>
      </c>
      <c r="X299" s="31" t="s">
        <v>1</v>
      </c>
    </row>
    <row r="300" spans="4:24" x14ac:dyDescent="0.25">
      <c r="D300" s="31" t="s">
        <v>1</v>
      </c>
      <c r="E300" s="43">
        <v>292</v>
      </c>
      <c r="F300" s="25" t="e">
        <f ca="1">IF(ISNA(H300),NA(),IF(ISBLANK(G300),IF(FixedAmortizationFrequency=0,F299,IF(MOD((E300-1),FixedAmortizationFrequency)&lt;&gt;0,F299,F299-FixedAmortization)),G300))</f>
        <v>#N/A</v>
      </c>
      <c r="G300" s="67"/>
      <c r="H300" s="63" t="e">
        <f ca="1"/>
        <v>#N/A</v>
      </c>
      <c r="I300" s="33" t="e">
        <f ca="1"/>
        <v>#N/A</v>
      </c>
      <c r="J300" s="33" t="e">
        <f ca="1"/>
        <v>#N/A</v>
      </c>
      <c r="K300" s="25" t="e">
        <f ca="1"/>
        <v>#N/A</v>
      </c>
      <c r="L300" s="36" t="e">
        <f ca="1"/>
        <v>#N/A</v>
      </c>
      <c r="M300" s="37" t="e">
        <f ca="1"/>
        <v>#N/A</v>
      </c>
      <c r="N300" s="38" t="s">
        <v>1</v>
      </c>
      <c r="O300" s="43">
        <v>292</v>
      </c>
      <c r="P300" s="25" t="e">
        <f ca="1">IF(ISNA(R300),NA(),IF(ISBLANK(Q300),IF(FloatAmortizationFrequency=0,P299,IF(MOD((O300-1),FloatAmortizationFrequency)&lt;&gt;0,P299,P299-FloatAmortization)),Q300))</f>
        <v>#N/A</v>
      </c>
      <c r="Q300" s="67"/>
      <c r="R300" s="33" t="e">
        <f ca="1"/>
        <v>#N/A</v>
      </c>
      <c r="S300" s="33" t="e">
        <f ca="1"/>
        <v>#N/A</v>
      </c>
      <c r="T300" s="33" t="e">
        <f ca="1"/>
        <v>#N/A</v>
      </c>
      <c r="U300" s="25" t="e">
        <f ca="1"/>
        <v>#N/A</v>
      </c>
      <c r="V300" s="36" t="e">
        <f ca="1"/>
        <v>#N/A</v>
      </c>
      <c r="W300" s="37" t="e">
        <f ca="1"/>
        <v>#N/A</v>
      </c>
      <c r="X300" s="31" t="s">
        <v>1</v>
      </c>
    </row>
    <row r="301" spans="4:24" x14ac:dyDescent="0.25">
      <c r="D301" s="31" t="s">
        <v>1</v>
      </c>
      <c r="E301" s="43">
        <v>293</v>
      </c>
      <c r="F301" s="25" t="e">
        <f ca="1">IF(ISNA(H301),NA(),IF(ISBLANK(G301),IF(FixedAmortizationFrequency=0,F300,IF(MOD((E301-1),FixedAmortizationFrequency)&lt;&gt;0,F300,F300-FixedAmortization)),G301))</f>
        <v>#N/A</v>
      </c>
      <c r="G301" s="67"/>
      <c r="H301" s="63" t="e">
        <f ca="1"/>
        <v>#N/A</v>
      </c>
      <c r="I301" s="33" t="e">
        <f ca="1"/>
        <v>#N/A</v>
      </c>
      <c r="J301" s="33" t="e">
        <f ca="1"/>
        <v>#N/A</v>
      </c>
      <c r="K301" s="25" t="e">
        <f ca="1"/>
        <v>#N/A</v>
      </c>
      <c r="L301" s="36" t="e">
        <f ca="1"/>
        <v>#N/A</v>
      </c>
      <c r="M301" s="37" t="e">
        <f ca="1"/>
        <v>#N/A</v>
      </c>
      <c r="N301" s="38" t="s">
        <v>1</v>
      </c>
      <c r="O301" s="43">
        <v>293</v>
      </c>
      <c r="P301" s="25" t="e">
        <f ca="1">IF(ISNA(R301),NA(),IF(ISBLANK(Q301),IF(FloatAmortizationFrequency=0,P300,IF(MOD((O301-1),FloatAmortizationFrequency)&lt;&gt;0,P300,P300-FloatAmortization)),Q301))</f>
        <v>#N/A</v>
      </c>
      <c r="Q301" s="67"/>
      <c r="R301" s="33" t="e">
        <f ca="1"/>
        <v>#N/A</v>
      </c>
      <c r="S301" s="33" t="e">
        <f ca="1"/>
        <v>#N/A</v>
      </c>
      <c r="T301" s="33" t="e">
        <f ca="1"/>
        <v>#N/A</v>
      </c>
      <c r="U301" s="25" t="e">
        <f ca="1"/>
        <v>#N/A</v>
      </c>
      <c r="V301" s="36" t="e">
        <f ca="1"/>
        <v>#N/A</v>
      </c>
      <c r="W301" s="37" t="e">
        <f ca="1"/>
        <v>#N/A</v>
      </c>
      <c r="X301" s="31" t="s">
        <v>1</v>
      </c>
    </row>
    <row r="302" spans="4:24" x14ac:dyDescent="0.25">
      <c r="D302" s="31" t="s">
        <v>1</v>
      </c>
      <c r="E302" s="43">
        <v>294</v>
      </c>
      <c r="F302" s="25" t="e">
        <f ca="1">IF(ISNA(H302),NA(),IF(ISBLANK(G302),IF(FixedAmortizationFrequency=0,F301,IF(MOD((E302-1),FixedAmortizationFrequency)&lt;&gt;0,F301,F301-FixedAmortization)),G302))</f>
        <v>#N/A</v>
      </c>
      <c r="G302" s="67"/>
      <c r="H302" s="63" t="e">
        <f ca="1"/>
        <v>#N/A</v>
      </c>
      <c r="I302" s="33" t="e">
        <f ca="1"/>
        <v>#N/A</v>
      </c>
      <c r="J302" s="33" t="e">
        <f ca="1"/>
        <v>#N/A</v>
      </c>
      <c r="K302" s="25" t="e">
        <f ca="1"/>
        <v>#N/A</v>
      </c>
      <c r="L302" s="36" t="e">
        <f ca="1"/>
        <v>#N/A</v>
      </c>
      <c r="M302" s="37" t="e">
        <f ca="1"/>
        <v>#N/A</v>
      </c>
      <c r="N302" s="38" t="s">
        <v>1</v>
      </c>
      <c r="O302" s="43">
        <v>294</v>
      </c>
      <c r="P302" s="25" t="e">
        <f ca="1">IF(ISNA(R302),NA(),IF(ISBLANK(Q302),IF(FloatAmortizationFrequency=0,P301,IF(MOD((O302-1),FloatAmortizationFrequency)&lt;&gt;0,P301,P301-FloatAmortization)),Q302))</f>
        <v>#N/A</v>
      </c>
      <c r="Q302" s="67"/>
      <c r="R302" s="33" t="e">
        <f ca="1"/>
        <v>#N/A</v>
      </c>
      <c r="S302" s="33" t="e">
        <f ca="1"/>
        <v>#N/A</v>
      </c>
      <c r="T302" s="33" t="e">
        <f ca="1"/>
        <v>#N/A</v>
      </c>
      <c r="U302" s="25" t="e">
        <f ca="1"/>
        <v>#N/A</v>
      </c>
      <c r="V302" s="36" t="e">
        <f ca="1"/>
        <v>#N/A</v>
      </c>
      <c r="W302" s="37" t="e">
        <f ca="1"/>
        <v>#N/A</v>
      </c>
      <c r="X302" s="31" t="s">
        <v>1</v>
      </c>
    </row>
    <row r="303" spans="4:24" x14ac:dyDescent="0.25">
      <c r="D303" s="31" t="s">
        <v>1</v>
      </c>
      <c r="E303" s="43">
        <v>295</v>
      </c>
      <c r="F303" s="25" t="e">
        <f ca="1">IF(ISNA(H303),NA(),IF(ISBLANK(G303),IF(FixedAmortizationFrequency=0,F302,IF(MOD((E303-1),FixedAmortizationFrequency)&lt;&gt;0,F302,F302-FixedAmortization)),G303))</f>
        <v>#N/A</v>
      </c>
      <c r="G303" s="67"/>
      <c r="H303" s="63" t="e">
        <f ca="1"/>
        <v>#N/A</v>
      </c>
      <c r="I303" s="33" t="e">
        <f ca="1"/>
        <v>#N/A</v>
      </c>
      <c r="J303" s="33" t="e">
        <f ca="1"/>
        <v>#N/A</v>
      </c>
      <c r="K303" s="25" t="e">
        <f ca="1"/>
        <v>#N/A</v>
      </c>
      <c r="L303" s="36" t="e">
        <f ca="1"/>
        <v>#N/A</v>
      </c>
      <c r="M303" s="37" t="e">
        <f ca="1"/>
        <v>#N/A</v>
      </c>
      <c r="N303" s="38" t="s">
        <v>1</v>
      </c>
      <c r="O303" s="43">
        <v>295</v>
      </c>
      <c r="P303" s="25" t="e">
        <f ca="1">IF(ISNA(R303),NA(),IF(ISBLANK(Q303),IF(FloatAmortizationFrequency=0,P302,IF(MOD((O303-1),FloatAmortizationFrequency)&lt;&gt;0,P302,P302-FloatAmortization)),Q303))</f>
        <v>#N/A</v>
      </c>
      <c r="Q303" s="67"/>
      <c r="R303" s="33" t="e">
        <f ca="1"/>
        <v>#N/A</v>
      </c>
      <c r="S303" s="33" t="e">
        <f ca="1"/>
        <v>#N/A</v>
      </c>
      <c r="T303" s="33" t="e">
        <f ca="1"/>
        <v>#N/A</v>
      </c>
      <c r="U303" s="25" t="e">
        <f ca="1"/>
        <v>#N/A</v>
      </c>
      <c r="V303" s="36" t="e">
        <f ca="1"/>
        <v>#N/A</v>
      </c>
      <c r="W303" s="37" t="e">
        <f ca="1"/>
        <v>#N/A</v>
      </c>
      <c r="X303" s="31" t="s">
        <v>1</v>
      </c>
    </row>
    <row r="304" spans="4:24" x14ac:dyDescent="0.25">
      <c r="D304" s="31" t="s">
        <v>1</v>
      </c>
      <c r="E304" s="43">
        <v>296</v>
      </c>
      <c r="F304" s="25" t="e">
        <f ca="1">IF(ISNA(H304),NA(),IF(ISBLANK(G304),IF(FixedAmortizationFrequency=0,F303,IF(MOD((E304-1),FixedAmortizationFrequency)&lt;&gt;0,F303,F303-FixedAmortization)),G304))</f>
        <v>#N/A</v>
      </c>
      <c r="G304" s="67"/>
      <c r="H304" s="63" t="e">
        <f ca="1"/>
        <v>#N/A</v>
      </c>
      <c r="I304" s="33" t="e">
        <f ca="1"/>
        <v>#N/A</v>
      </c>
      <c r="J304" s="33" t="e">
        <f ca="1"/>
        <v>#N/A</v>
      </c>
      <c r="K304" s="25" t="e">
        <f ca="1"/>
        <v>#N/A</v>
      </c>
      <c r="L304" s="36" t="e">
        <f ca="1"/>
        <v>#N/A</v>
      </c>
      <c r="M304" s="37" t="e">
        <f ca="1"/>
        <v>#N/A</v>
      </c>
      <c r="N304" s="38" t="s">
        <v>1</v>
      </c>
      <c r="O304" s="43">
        <v>296</v>
      </c>
      <c r="P304" s="25" t="e">
        <f ca="1">IF(ISNA(R304),NA(),IF(ISBLANK(Q304),IF(FloatAmortizationFrequency=0,P303,IF(MOD((O304-1),FloatAmortizationFrequency)&lt;&gt;0,P303,P303-FloatAmortization)),Q304))</f>
        <v>#N/A</v>
      </c>
      <c r="Q304" s="67"/>
      <c r="R304" s="33" t="e">
        <f ca="1"/>
        <v>#N/A</v>
      </c>
      <c r="S304" s="33" t="e">
        <f ca="1"/>
        <v>#N/A</v>
      </c>
      <c r="T304" s="33" t="e">
        <f ca="1"/>
        <v>#N/A</v>
      </c>
      <c r="U304" s="25" t="e">
        <f ca="1"/>
        <v>#N/A</v>
      </c>
      <c r="V304" s="36" t="e">
        <f ca="1"/>
        <v>#N/A</v>
      </c>
      <c r="W304" s="37" t="e">
        <f ca="1"/>
        <v>#N/A</v>
      </c>
      <c r="X304" s="31" t="s">
        <v>1</v>
      </c>
    </row>
    <row r="305" spans="4:24" x14ac:dyDescent="0.25">
      <c r="D305" s="31" t="s">
        <v>1</v>
      </c>
      <c r="E305" s="43">
        <v>297</v>
      </c>
      <c r="F305" s="25" t="e">
        <f ca="1">IF(ISNA(H305),NA(),IF(ISBLANK(G305),IF(FixedAmortizationFrequency=0,F304,IF(MOD((E305-1),FixedAmortizationFrequency)&lt;&gt;0,F304,F304-FixedAmortization)),G305))</f>
        <v>#N/A</v>
      </c>
      <c r="G305" s="67"/>
      <c r="H305" s="63" t="e">
        <f ca="1"/>
        <v>#N/A</v>
      </c>
      <c r="I305" s="33" t="e">
        <f ca="1"/>
        <v>#N/A</v>
      </c>
      <c r="J305" s="33" t="e">
        <f ca="1"/>
        <v>#N/A</v>
      </c>
      <c r="K305" s="25" t="e">
        <f ca="1"/>
        <v>#N/A</v>
      </c>
      <c r="L305" s="36" t="e">
        <f ca="1"/>
        <v>#N/A</v>
      </c>
      <c r="M305" s="37" t="e">
        <f ca="1"/>
        <v>#N/A</v>
      </c>
      <c r="N305" s="38" t="s">
        <v>1</v>
      </c>
      <c r="O305" s="43">
        <v>297</v>
      </c>
      <c r="P305" s="25" t="e">
        <f ca="1">IF(ISNA(R305),NA(),IF(ISBLANK(Q305),IF(FloatAmortizationFrequency=0,P304,IF(MOD((O305-1),FloatAmortizationFrequency)&lt;&gt;0,P304,P304-FloatAmortization)),Q305))</f>
        <v>#N/A</v>
      </c>
      <c r="Q305" s="67"/>
      <c r="R305" s="33" t="e">
        <f ca="1"/>
        <v>#N/A</v>
      </c>
      <c r="S305" s="33" t="e">
        <f ca="1"/>
        <v>#N/A</v>
      </c>
      <c r="T305" s="33" t="e">
        <f ca="1"/>
        <v>#N/A</v>
      </c>
      <c r="U305" s="25" t="e">
        <f ca="1"/>
        <v>#N/A</v>
      </c>
      <c r="V305" s="36" t="e">
        <f ca="1"/>
        <v>#N/A</v>
      </c>
      <c r="W305" s="37" t="e">
        <f ca="1"/>
        <v>#N/A</v>
      </c>
      <c r="X305" s="31" t="s">
        <v>1</v>
      </c>
    </row>
    <row r="306" spans="4:24" x14ac:dyDescent="0.25">
      <c r="D306" s="31" t="s">
        <v>1</v>
      </c>
      <c r="E306" s="43">
        <v>298</v>
      </c>
      <c r="F306" s="25" t="e">
        <f ca="1">IF(ISNA(H306),NA(),IF(ISBLANK(G306),IF(FixedAmortizationFrequency=0,F305,IF(MOD((E306-1),FixedAmortizationFrequency)&lt;&gt;0,F305,F305-FixedAmortization)),G306))</f>
        <v>#N/A</v>
      </c>
      <c r="G306" s="67"/>
      <c r="H306" s="63" t="e">
        <f ca="1"/>
        <v>#N/A</v>
      </c>
      <c r="I306" s="33" t="e">
        <f ca="1"/>
        <v>#N/A</v>
      </c>
      <c r="J306" s="33" t="e">
        <f ca="1"/>
        <v>#N/A</v>
      </c>
      <c r="K306" s="25" t="e">
        <f ca="1"/>
        <v>#N/A</v>
      </c>
      <c r="L306" s="36" t="e">
        <f ca="1"/>
        <v>#N/A</v>
      </c>
      <c r="M306" s="37" t="e">
        <f ca="1"/>
        <v>#N/A</v>
      </c>
      <c r="N306" s="38" t="s">
        <v>1</v>
      </c>
      <c r="O306" s="43">
        <v>298</v>
      </c>
      <c r="P306" s="25" t="e">
        <f ca="1">IF(ISNA(R306),NA(),IF(ISBLANK(Q306),IF(FloatAmortizationFrequency=0,P305,IF(MOD((O306-1),FloatAmortizationFrequency)&lt;&gt;0,P305,P305-FloatAmortization)),Q306))</f>
        <v>#N/A</v>
      </c>
      <c r="Q306" s="67"/>
      <c r="R306" s="33" t="e">
        <f ca="1"/>
        <v>#N/A</v>
      </c>
      <c r="S306" s="33" t="e">
        <f ca="1"/>
        <v>#N/A</v>
      </c>
      <c r="T306" s="33" t="e">
        <f ca="1"/>
        <v>#N/A</v>
      </c>
      <c r="U306" s="25" t="e">
        <f ca="1"/>
        <v>#N/A</v>
      </c>
      <c r="V306" s="36" t="e">
        <f ca="1"/>
        <v>#N/A</v>
      </c>
      <c r="W306" s="37" t="e">
        <f ca="1"/>
        <v>#N/A</v>
      </c>
      <c r="X306" s="31" t="s">
        <v>1</v>
      </c>
    </row>
    <row r="307" spans="4:24" x14ac:dyDescent="0.25">
      <c r="D307" s="31" t="s">
        <v>1</v>
      </c>
      <c r="E307" s="43">
        <v>299</v>
      </c>
      <c r="F307" s="25" t="e">
        <f ca="1">IF(ISNA(H307),NA(),IF(ISBLANK(G307),IF(FixedAmortizationFrequency=0,F306,IF(MOD((E307-1),FixedAmortizationFrequency)&lt;&gt;0,F306,F306-FixedAmortization)),G307))</f>
        <v>#N/A</v>
      </c>
      <c r="G307" s="67"/>
      <c r="H307" s="63" t="e">
        <f ca="1"/>
        <v>#N/A</v>
      </c>
      <c r="I307" s="33" t="e">
        <f ca="1"/>
        <v>#N/A</v>
      </c>
      <c r="J307" s="33" t="e">
        <f ca="1"/>
        <v>#N/A</v>
      </c>
      <c r="K307" s="25" t="e">
        <f ca="1"/>
        <v>#N/A</v>
      </c>
      <c r="L307" s="36" t="e">
        <f ca="1"/>
        <v>#N/A</v>
      </c>
      <c r="M307" s="37" t="e">
        <f ca="1"/>
        <v>#N/A</v>
      </c>
      <c r="N307" s="38" t="s">
        <v>1</v>
      </c>
      <c r="O307" s="43">
        <v>299</v>
      </c>
      <c r="P307" s="25" t="e">
        <f ca="1">IF(ISNA(R307),NA(),IF(ISBLANK(Q307),IF(FloatAmortizationFrequency=0,P306,IF(MOD((O307-1),FloatAmortizationFrequency)&lt;&gt;0,P306,P306-FloatAmortization)),Q307))</f>
        <v>#N/A</v>
      </c>
      <c r="Q307" s="67"/>
      <c r="R307" s="33" t="e">
        <f ca="1"/>
        <v>#N/A</v>
      </c>
      <c r="S307" s="33" t="e">
        <f ca="1"/>
        <v>#N/A</v>
      </c>
      <c r="T307" s="33" t="e">
        <f ca="1"/>
        <v>#N/A</v>
      </c>
      <c r="U307" s="25" t="e">
        <f ca="1"/>
        <v>#N/A</v>
      </c>
      <c r="V307" s="36" t="e">
        <f ca="1"/>
        <v>#N/A</v>
      </c>
      <c r="W307" s="37" t="e">
        <f ca="1"/>
        <v>#N/A</v>
      </c>
      <c r="X307" s="31" t="s">
        <v>1</v>
      </c>
    </row>
    <row r="308" spans="4:24" x14ac:dyDescent="0.25">
      <c r="D308" s="31" t="s">
        <v>1</v>
      </c>
      <c r="E308" s="43">
        <v>300</v>
      </c>
      <c r="F308" s="25" t="e">
        <f ca="1">IF(ISNA(H308),NA(),IF(ISBLANK(G308),IF(FixedAmortizationFrequency=0,F307,IF(MOD((E308-1),FixedAmortizationFrequency)&lt;&gt;0,F307,F307-FixedAmortization)),G308))</f>
        <v>#N/A</v>
      </c>
      <c r="G308" s="67"/>
      <c r="H308" s="63" t="e">
        <f ca="1"/>
        <v>#N/A</v>
      </c>
      <c r="I308" s="33" t="e">
        <f ca="1"/>
        <v>#N/A</v>
      </c>
      <c r="J308" s="33" t="e">
        <f ca="1"/>
        <v>#N/A</v>
      </c>
      <c r="K308" s="25" t="e">
        <f ca="1"/>
        <v>#N/A</v>
      </c>
      <c r="L308" s="36" t="e">
        <f ca="1"/>
        <v>#N/A</v>
      </c>
      <c r="M308" s="37" t="e">
        <f ca="1"/>
        <v>#N/A</v>
      </c>
      <c r="N308" s="38" t="s">
        <v>1</v>
      </c>
      <c r="O308" s="43">
        <v>300</v>
      </c>
      <c r="P308" s="25" t="e">
        <f ca="1">IF(ISNA(R308),NA(),IF(ISBLANK(Q308),IF(FloatAmortizationFrequency=0,P307,IF(MOD((O308-1),FloatAmortizationFrequency)&lt;&gt;0,P307,P307-FloatAmortization)),Q308))</f>
        <v>#N/A</v>
      </c>
      <c r="Q308" s="67"/>
      <c r="R308" s="33" t="e">
        <f ca="1"/>
        <v>#N/A</v>
      </c>
      <c r="S308" s="33" t="e">
        <f ca="1"/>
        <v>#N/A</v>
      </c>
      <c r="T308" s="33" t="e">
        <f ca="1"/>
        <v>#N/A</v>
      </c>
      <c r="U308" s="25" t="e">
        <f ca="1"/>
        <v>#N/A</v>
      </c>
      <c r="V308" s="36" t="e">
        <f ca="1"/>
        <v>#N/A</v>
      </c>
      <c r="W308" s="37" t="e">
        <f ca="1"/>
        <v>#N/A</v>
      </c>
      <c r="X308" s="31" t="s">
        <v>1</v>
      </c>
    </row>
    <row r="309" spans="4:24" x14ac:dyDescent="0.25">
      <c r="D309" s="31" t="s">
        <v>1</v>
      </c>
      <c r="E309" s="43">
        <v>301</v>
      </c>
      <c r="F309" s="25" t="e">
        <f ca="1">IF(ISNA(H309),NA(),IF(ISBLANK(G309),IF(FixedAmortizationFrequency=0,F308,IF(MOD((E309-1),FixedAmortizationFrequency)&lt;&gt;0,F308,F308-FixedAmortization)),G309))</f>
        <v>#N/A</v>
      </c>
      <c r="G309" s="67"/>
      <c r="H309" s="63" t="e">
        <f ca="1"/>
        <v>#N/A</v>
      </c>
      <c r="I309" s="33" t="e">
        <f ca="1"/>
        <v>#N/A</v>
      </c>
      <c r="J309" s="33" t="e">
        <f ca="1"/>
        <v>#N/A</v>
      </c>
      <c r="K309" s="25" t="e">
        <f ca="1"/>
        <v>#N/A</v>
      </c>
      <c r="L309" s="36" t="e">
        <f ca="1"/>
        <v>#N/A</v>
      </c>
      <c r="M309" s="37" t="e">
        <f ca="1"/>
        <v>#N/A</v>
      </c>
      <c r="N309" s="38" t="s">
        <v>1</v>
      </c>
      <c r="O309" s="43">
        <v>301</v>
      </c>
      <c r="P309" s="25" t="e">
        <f ca="1">IF(ISNA(R309),NA(),IF(ISBLANK(Q309),IF(FloatAmortizationFrequency=0,P308,IF(MOD((O309-1),FloatAmortizationFrequency)&lt;&gt;0,P308,P308-FloatAmortization)),Q309))</f>
        <v>#N/A</v>
      </c>
      <c r="Q309" s="67"/>
      <c r="R309" s="33" t="e">
        <f ca="1"/>
        <v>#N/A</v>
      </c>
      <c r="S309" s="33" t="e">
        <f ca="1"/>
        <v>#N/A</v>
      </c>
      <c r="T309" s="33" t="e">
        <f ca="1"/>
        <v>#N/A</v>
      </c>
      <c r="U309" s="25" t="e">
        <f ca="1"/>
        <v>#N/A</v>
      </c>
      <c r="V309" s="36" t="e">
        <f ca="1"/>
        <v>#N/A</v>
      </c>
      <c r="W309" s="37" t="e">
        <f ca="1"/>
        <v>#N/A</v>
      </c>
      <c r="X309" s="31" t="s">
        <v>1</v>
      </c>
    </row>
    <row r="310" spans="4:24" x14ac:dyDescent="0.25">
      <c r="D310" s="31" t="s">
        <v>1</v>
      </c>
      <c r="E310" s="43">
        <v>302</v>
      </c>
      <c r="F310" s="25" t="e">
        <f ca="1">IF(ISNA(H310),NA(),IF(ISBLANK(G310),IF(FixedAmortizationFrequency=0,F309,IF(MOD((E310-1),FixedAmortizationFrequency)&lt;&gt;0,F309,F309-FixedAmortization)),G310))</f>
        <v>#N/A</v>
      </c>
      <c r="G310" s="67"/>
      <c r="H310" s="63" t="e">
        <f ca="1"/>
        <v>#N/A</v>
      </c>
      <c r="I310" s="33" t="e">
        <f ca="1"/>
        <v>#N/A</v>
      </c>
      <c r="J310" s="33" t="e">
        <f ca="1"/>
        <v>#N/A</v>
      </c>
      <c r="K310" s="25" t="e">
        <f ca="1"/>
        <v>#N/A</v>
      </c>
      <c r="L310" s="36" t="e">
        <f ca="1"/>
        <v>#N/A</v>
      </c>
      <c r="M310" s="37" t="e">
        <f ca="1"/>
        <v>#N/A</v>
      </c>
      <c r="N310" s="38" t="s">
        <v>1</v>
      </c>
      <c r="O310" s="43">
        <v>302</v>
      </c>
      <c r="P310" s="25" t="e">
        <f ca="1">IF(ISNA(R310),NA(),IF(ISBLANK(Q310),IF(FloatAmortizationFrequency=0,P309,IF(MOD((O310-1),FloatAmortizationFrequency)&lt;&gt;0,P309,P309-FloatAmortization)),Q310))</f>
        <v>#N/A</v>
      </c>
      <c r="Q310" s="67"/>
      <c r="R310" s="33" t="e">
        <f ca="1"/>
        <v>#N/A</v>
      </c>
      <c r="S310" s="33" t="e">
        <f ca="1"/>
        <v>#N/A</v>
      </c>
      <c r="T310" s="33" t="e">
        <f ca="1"/>
        <v>#N/A</v>
      </c>
      <c r="U310" s="25" t="e">
        <f ca="1"/>
        <v>#N/A</v>
      </c>
      <c r="V310" s="36" t="e">
        <f ca="1"/>
        <v>#N/A</v>
      </c>
      <c r="W310" s="37" t="e">
        <f ca="1"/>
        <v>#N/A</v>
      </c>
      <c r="X310" s="31" t="s">
        <v>1</v>
      </c>
    </row>
    <row r="311" spans="4:24" x14ac:dyDescent="0.25">
      <c r="D311" s="31" t="s">
        <v>1</v>
      </c>
      <c r="E311" s="43">
        <v>303</v>
      </c>
      <c r="F311" s="25" t="e">
        <f ca="1">IF(ISNA(H311),NA(),IF(ISBLANK(G311),IF(FixedAmortizationFrequency=0,F310,IF(MOD((E311-1),FixedAmortizationFrequency)&lt;&gt;0,F310,F310-FixedAmortization)),G311))</f>
        <v>#N/A</v>
      </c>
      <c r="G311" s="67"/>
      <c r="H311" s="63" t="e">
        <f ca="1"/>
        <v>#N/A</v>
      </c>
      <c r="I311" s="33" t="e">
        <f ca="1"/>
        <v>#N/A</v>
      </c>
      <c r="J311" s="33" t="e">
        <f ca="1"/>
        <v>#N/A</v>
      </c>
      <c r="K311" s="25" t="e">
        <f ca="1"/>
        <v>#N/A</v>
      </c>
      <c r="L311" s="36" t="e">
        <f ca="1"/>
        <v>#N/A</v>
      </c>
      <c r="M311" s="37" t="e">
        <f ca="1"/>
        <v>#N/A</v>
      </c>
      <c r="N311" s="38" t="s">
        <v>1</v>
      </c>
      <c r="O311" s="43">
        <v>303</v>
      </c>
      <c r="P311" s="25" t="e">
        <f ca="1">IF(ISNA(R311),NA(),IF(ISBLANK(Q311),IF(FloatAmortizationFrequency=0,P310,IF(MOD((O311-1),FloatAmortizationFrequency)&lt;&gt;0,P310,P310-FloatAmortization)),Q311))</f>
        <v>#N/A</v>
      </c>
      <c r="Q311" s="67"/>
      <c r="R311" s="33" t="e">
        <f ca="1"/>
        <v>#N/A</v>
      </c>
      <c r="S311" s="33" t="e">
        <f ca="1"/>
        <v>#N/A</v>
      </c>
      <c r="T311" s="33" t="e">
        <f ca="1"/>
        <v>#N/A</v>
      </c>
      <c r="U311" s="25" t="e">
        <f ca="1"/>
        <v>#N/A</v>
      </c>
      <c r="V311" s="36" t="e">
        <f ca="1"/>
        <v>#N/A</v>
      </c>
      <c r="W311" s="37" t="e">
        <f ca="1"/>
        <v>#N/A</v>
      </c>
      <c r="X311" s="31" t="s">
        <v>1</v>
      </c>
    </row>
    <row r="312" spans="4:24" x14ac:dyDescent="0.25">
      <c r="D312" s="31" t="s">
        <v>1</v>
      </c>
      <c r="E312" s="43">
        <v>304</v>
      </c>
      <c r="F312" s="25" t="e">
        <f ca="1">IF(ISNA(H312),NA(),IF(ISBLANK(G312),IF(FixedAmortizationFrequency=0,F311,IF(MOD((E312-1),FixedAmortizationFrequency)&lt;&gt;0,F311,F311-FixedAmortization)),G312))</f>
        <v>#N/A</v>
      </c>
      <c r="G312" s="67"/>
      <c r="H312" s="63" t="e">
        <f ca="1"/>
        <v>#N/A</v>
      </c>
      <c r="I312" s="33" t="e">
        <f ca="1"/>
        <v>#N/A</v>
      </c>
      <c r="J312" s="33" t="e">
        <f ca="1"/>
        <v>#N/A</v>
      </c>
      <c r="K312" s="25" t="e">
        <f ca="1"/>
        <v>#N/A</v>
      </c>
      <c r="L312" s="36" t="e">
        <f ca="1"/>
        <v>#N/A</v>
      </c>
      <c r="M312" s="37" t="e">
        <f ca="1"/>
        <v>#N/A</v>
      </c>
      <c r="N312" s="38" t="s">
        <v>1</v>
      </c>
      <c r="O312" s="43">
        <v>304</v>
      </c>
      <c r="P312" s="25" t="e">
        <f ca="1">IF(ISNA(R312),NA(),IF(ISBLANK(Q312),IF(FloatAmortizationFrequency=0,P311,IF(MOD((O312-1),FloatAmortizationFrequency)&lt;&gt;0,P311,P311-FloatAmortization)),Q312))</f>
        <v>#N/A</v>
      </c>
      <c r="Q312" s="67"/>
      <c r="R312" s="33" t="e">
        <f ca="1"/>
        <v>#N/A</v>
      </c>
      <c r="S312" s="33" t="e">
        <f ca="1"/>
        <v>#N/A</v>
      </c>
      <c r="T312" s="33" t="e">
        <f ca="1"/>
        <v>#N/A</v>
      </c>
      <c r="U312" s="25" t="e">
        <f ca="1"/>
        <v>#N/A</v>
      </c>
      <c r="V312" s="36" t="e">
        <f ca="1"/>
        <v>#N/A</v>
      </c>
      <c r="W312" s="37" t="e">
        <f ca="1"/>
        <v>#N/A</v>
      </c>
      <c r="X312" s="31" t="s">
        <v>1</v>
      </c>
    </row>
    <row r="313" spans="4:24" x14ac:dyDescent="0.25">
      <c r="D313" s="31" t="s">
        <v>1</v>
      </c>
      <c r="E313" s="43">
        <v>305</v>
      </c>
      <c r="F313" s="25" t="e">
        <f ca="1">IF(ISNA(H313),NA(),IF(ISBLANK(G313),IF(FixedAmortizationFrequency=0,F312,IF(MOD((E313-1),FixedAmortizationFrequency)&lt;&gt;0,F312,F312-FixedAmortization)),G313))</f>
        <v>#N/A</v>
      </c>
      <c r="G313" s="67"/>
      <c r="H313" s="63" t="e">
        <f ca="1"/>
        <v>#N/A</v>
      </c>
      <c r="I313" s="33" t="e">
        <f ca="1"/>
        <v>#N/A</v>
      </c>
      <c r="J313" s="33" t="e">
        <f ca="1"/>
        <v>#N/A</v>
      </c>
      <c r="K313" s="25" t="e">
        <f ca="1"/>
        <v>#N/A</v>
      </c>
      <c r="L313" s="36" t="e">
        <f ca="1"/>
        <v>#N/A</v>
      </c>
      <c r="M313" s="37" t="e">
        <f ca="1"/>
        <v>#N/A</v>
      </c>
      <c r="N313" s="38" t="s">
        <v>1</v>
      </c>
      <c r="O313" s="43">
        <v>305</v>
      </c>
      <c r="P313" s="25" t="e">
        <f ca="1">IF(ISNA(R313),NA(),IF(ISBLANK(Q313),IF(FloatAmortizationFrequency=0,P312,IF(MOD((O313-1),FloatAmortizationFrequency)&lt;&gt;0,P312,P312-FloatAmortization)),Q313))</f>
        <v>#N/A</v>
      </c>
      <c r="Q313" s="67"/>
      <c r="R313" s="33" t="e">
        <f ca="1"/>
        <v>#N/A</v>
      </c>
      <c r="S313" s="33" t="e">
        <f ca="1"/>
        <v>#N/A</v>
      </c>
      <c r="T313" s="33" t="e">
        <f ca="1"/>
        <v>#N/A</v>
      </c>
      <c r="U313" s="25" t="e">
        <f ca="1"/>
        <v>#N/A</v>
      </c>
      <c r="V313" s="36" t="e">
        <f ca="1"/>
        <v>#N/A</v>
      </c>
      <c r="W313" s="37" t="e">
        <f ca="1"/>
        <v>#N/A</v>
      </c>
      <c r="X313" s="31" t="s">
        <v>1</v>
      </c>
    </row>
    <row r="314" spans="4:24" x14ac:dyDescent="0.25">
      <c r="D314" s="31" t="s">
        <v>1</v>
      </c>
      <c r="E314" s="43">
        <v>306</v>
      </c>
      <c r="F314" s="25" t="e">
        <f ca="1">IF(ISNA(H314),NA(),IF(ISBLANK(G314),IF(FixedAmortizationFrequency=0,F313,IF(MOD((E314-1),FixedAmortizationFrequency)&lt;&gt;0,F313,F313-FixedAmortization)),G314))</f>
        <v>#N/A</v>
      </c>
      <c r="G314" s="67"/>
      <c r="H314" s="63" t="e">
        <f ca="1"/>
        <v>#N/A</v>
      </c>
      <c r="I314" s="33" t="e">
        <f ca="1"/>
        <v>#N/A</v>
      </c>
      <c r="J314" s="33" t="e">
        <f ca="1"/>
        <v>#N/A</v>
      </c>
      <c r="K314" s="25" t="e">
        <f ca="1"/>
        <v>#N/A</v>
      </c>
      <c r="L314" s="36" t="e">
        <f ca="1"/>
        <v>#N/A</v>
      </c>
      <c r="M314" s="37" t="e">
        <f ca="1"/>
        <v>#N/A</v>
      </c>
      <c r="N314" s="38" t="s">
        <v>1</v>
      </c>
      <c r="O314" s="43">
        <v>306</v>
      </c>
      <c r="P314" s="25" t="e">
        <f ca="1">IF(ISNA(R314),NA(),IF(ISBLANK(Q314),IF(FloatAmortizationFrequency=0,P313,IF(MOD((O314-1),FloatAmortizationFrequency)&lt;&gt;0,P313,P313-FloatAmortization)),Q314))</f>
        <v>#N/A</v>
      </c>
      <c r="Q314" s="67"/>
      <c r="R314" s="33" t="e">
        <f ca="1"/>
        <v>#N/A</v>
      </c>
      <c r="S314" s="33" t="e">
        <f ca="1"/>
        <v>#N/A</v>
      </c>
      <c r="T314" s="33" t="e">
        <f ca="1"/>
        <v>#N/A</v>
      </c>
      <c r="U314" s="25" t="e">
        <f ca="1"/>
        <v>#N/A</v>
      </c>
      <c r="V314" s="36" t="e">
        <f ca="1"/>
        <v>#N/A</v>
      </c>
      <c r="W314" s="37" t="e">
        <f ca="1"/>
        <v>#N/A</v>
      </c>
      <c r="X314" s="31" t="s">
        <v>1</v>
      </c>
    </row>
    <row r="315" spans="4:24" x14ac:dyDescent="0.25">
      <c r="D315" s="31" t="s">
        <v>1</v>
      </c>
      <c r="E315" s="43">
        <v>307</v>
      </c>
      <c r="F315" s="25" t="e">
        <f ca="1">IF(ISNA(H315),NA(),IF(ISBLANK(G315),IF(FixedAmortizationFrequency=0,F314,IF(MOD((E315-1),FixedAmortizationFrequency)&lt;&gt;0,F314,F314-FixedAmortization)),G315))</f>
        <v>#N/A</v>
      </c>
      <c r="G315" s="67"/>
      <c r="H315" s="63" t="e">
        <f ca="1"/>
        <v>#N/A</v>
      </c>
      <c r="I315" s="33" t="e">
        <f ca="1"/>
        <v>#N/A</v>
      </c>
      <c r="J315" s="33" t="e">
        <f ca="1"/>
        <v>#N/A</v>
      </c>
      <c r="K315" s="25" t="e">
        <f ca="1"/>
        <v>#N/A</v>
      </c>
      <c r="L315" s="36" t="e">
        <f ca="1"/>
        <v>#N/A</v>
      </c>
      <c r="M315" s="37" t="e">
        <f ca="1"/>
        <v>#N/A</v>
      </c>
      <c r="N315" s="38" t="s">
        <v>1</v>
      </c>
      <c r="O315" s="43">
        <v>307</v>
      </c>
      <c r="P315" s="25" t="e">
        <f ca="1">IF(ISNA(R315),NA(),IF(ISBLANK(Q315),IF(FloatAmortizationFrequency=0,P314,IF(MOD((O315-1),FloatAmortizationFrequency)&lt;&gt;0,P314,P314-FloatAmortization)),Q315))</f>
        <v>#N/A</v>
      </c>
      <c r="Q315" s="67"/>
      <c r="R315" s="33" t="e">
        <f ca="1"/>
        <v>#N/A</v>
      </c>
      <c r="S315" s="33" t="e">
        <f ca="1"/>
        <v>#N/A</v>
      </c>
      <c r="T315" s="33" t="e">
        <f ca="1"/>
        <v>#N/A</v>
      </c>
      <c r="U315" s="25" t="e">
        <f ca="1"/>
        <v>#N/A</v>
      </c>
      <c r="V315" s="36" t="e">
        <f ca="1"/>
        <v>#N/A</v>
      </c>
      <c r="W315" s="37" t="e">
        <f ca="1"/>
        <v>#N/A</v>
      </c>
      <c r="X315" s="31" t="s">
        <v>1</v>
      </c>
    </row>
    <row r="316" spans="4:24" x14ac:dyDescent="0.25">
      <c r="D316" s="31" t="s">
        <v>1</v>
      </c>
      <c r="E316" s="43">
        <v>308</v>
      </c>
      <c r="F316" s="25" t="e">
        <f ca="1">IF(ISNA(H316),NA(),IF(ISBLANK(G316),IF(FixedAmortizationFrequency=0,F315,IF(MOD((E316-1),FixedAmortizationFrequency)&lt;&gt;0,F315,F315-FixedAmortization)),G316))</f>
        <v>#N/A</v>
      </c>
      <c r="G316" s="67"/>
      <c r="H316" s="63" t="e">
        <f ca="1"/>
        <v>#N/A</v>
      </c>
      <c r="I316" s="33" t="e">
        <f ca="1"/>
        <v>#N/A</v>
      </c>
      <c r="J316" s="33" t="e">
        <f ca="1"/>
        <v>#N/A</v>
      </c>
      <c r="K316" s="25" t="e">
        <f ca="1"/>
        <v>#N/A</v>
      </c>
      <c r="L316" s="36" t="e">
        <f ca="1"/>
        <v>#N/A</v>
      </c>
      <c r="M316" s="37" t="e">
        <f ca="1"/>
        <v>#N/A</v>
      </c>
      <c r="N316" s="38" t="s">
        <v>1</v>
      </c>
      <c r="O316" s="43">
        <v>308</v>
      </c>
      <c r="P316" s="25" t="e">
        <f ca="1">IF(ISNA(R316),NA(),IF(ISBLANK(Q316),IF(FloatAmortizationFrequency=0,P315,IF(MOD((O316-1),FloatAmortizationFrequency)&lt;&gt;0,P315,P315-FloatAmortization)),Q316))</f>
        <v>#N/A</v>
      </c>
      <c r="Q316" s="67"/>
      <c r="R316" s="33" t="e">
        <f ca="1"/>
        <v>#N/A</v>
      </c>
      <c r="S316" s="33" t="e">
        <f ca="1"/>
        <v>#N/A</v>
      </c>
      <c r="T316" s="33" t="e">
        <f ca="1"/>
        <v>#N/A</v>
      </c>
      <c r="U316" s="25" t="e">
        <f ca="1"/>
        <v>#N/A</v>
      </c>
      <c r="V316" s="36" t="e">
        <f ca="1"/>
        <v>#N/A</v>
      </c>
      <c r="W316" s="37" t="e">
        <f ca="1"/>
        <v>#N/A</v>
      </c>
      <c r="X316" s="31" t="s">
        <v>1</v>
      </c>
    </row>
    <row r="317" spans="4:24" x14ac:dyDescent="0.25">
      <c r="D317" s="31" t="s">
        <v>1</v>
      </c>
      <c r="E317" s="43">
        <v>309</v>
      </c>
      <c r="F317" s="25" t="e">
        <f ca="1">IF(ISNA(H317),NA(),IF(ISBLANK(G317),IF(FixedAmortizationFrequency=0,F316,IF(MOD((E317-1),FixedAmortizationFrequency)&lt;&gt;0,F316,F316-FixedAmortization)),G317))</f>
        <v>#N/A</v>
      </c>
      <c r="G317" s="67"/>
      <c r="H317" s="63" t="e">
        <f ca="1"/>
        <v>#N/A</v>
      </c>
      <c r="I317" s="33" t="e">
        <f ca="1"/>
        <v>#N/A</v>
      </c>
      <c r="J317" s="33" t="e">
        <f ca="1"/>
        <v>#N/A</v>
      </c>
      <c r="K317" s="25" t="e">
        <f ca="1"/>
        <v>#N/A</v>
      </c>
      <c r="L317" s="36" t="e">
        <f ca="1"/>
        <v>#N/A</v>
      </c>
      <c r="M317" s="37" t="e">
        <f ca="1"/>
        <v>#N/A</v>
      </c>
      <c r="N317" s="38" t="s">
        <v>1</v>
      </c>
      <c r="O317" s="43">
        <v>309</v>
      </c>
      <c r="P317" s="25" t="e">
        <f ca="1">IF(ISNA(R317),NA(),IF(ISBLANK(Q317),IF(FloatAmortizationFrequency=0,P316,IF(MOD((O317-1),FloatAmortizationFrequency)&lt;&gt;0,P316,P316-FloatAmortization)),Q317))</f>
        <v>#N/A</v>
      </c>
      <c r="Q317" s="67"/>
      <c r="R317" s="33" t="e">
        <f ca="1"/>
        <v>#N/A</v>
      </c>
      <c r="S317" s="33" t="e">
        <f ca="1"/>
        <v>#N/A</v>
      </c>
      <c r="T317" s="33" t="e">
        <f ca="1"/>
        <v>#N/A</v>
      </c>
      <c r="U317" s="25" t="e">
        <f ca="1"/>
        <v>#N/A</v>
      </c>
      <c r="V317" s="36" t="e">
        <f ca="1"/>
        <v>#N/A</v>
      </c>
      <c r="W317" s="37" t="e">
        <f ca="1"/>
        <v>#N/A</v>
      </c>
      <c r="X317" s="31" t="s">
        <v>1</v>
      </c>
    </row>
    <row r="318" spans="4:24" x14ac:dyDescent="0.25">
      <c r="D318" s="31" t="s">
        <v>1</v>
      </c>
      <c r="E318" s="43">
        <v>310</v>
      </c>
      <c r="F318" s="25" t="e">
        <f ca="1">IF(ISNA(H318),NA(),IF(ISBLANK(G318),IF(FixedAmortizationFrequency=0,F317,IF(MOD((E318-1),FixedAmortizationFrequency)&lt;&gt;0,F317,F317-FixedAmortization)),G318))</f>
        <v>#N/A</v>
      </c>
      <c r="G318" s="67"/>
      <c r="H318" s="63" t="e">
        <f ca="1"/>
        <v>#N/A</v>
      </c>
      <c r="I318" s="33" t="e">
        <f ca="1"/>
        <v>#N/A</v>
      </c>
      <c r="J318" s="33" t="e">
        <f ca="1"/>
        <v>#N/A</v>
      </c>
      <c r="K318" s="25" t="e">
        <f ca="1"/>
        <v>#N/A</v>
      </c>
      <c r="L318" s="36" t="e">
        <f ca="1"/>
        <v>#N/A</v>
      </c>
      <c r="M318" s="37" t="e">
        <f ca="1"/>
        <v>#N/A</v>
      </c>
      <c r="N318" s="38" t="s">
        <v>1</v>
      </c>
      <c r="O318" s="43">
        <v>310</v>
      </c>
      <c r="P318" s="25" t="e">
        <f ca="1">IF(ISNA(R318),NA(),IF(ISBLANK(Q318),IF(FloatAmortizationFrequency=0,P317,IF(MOD((O318-1),FloatAmortizationFrequency)&lt;&gt;0,P317,P317-FloatAmortization)),Q318))</f>
        <v>#N/A</v>
      </c>
      <c r="Q318" s="67"/>
      <c r="R318" s="33" t="e">
        <f ca="1"/>
        <v>#N/A</v>
      </c>
      <c r="S318" s="33" t="e">
        <f ca="1"/>
        <v>#N/A</v>
      </c>
      <c r="T318" s="33" t="e">
        <f ca="1"/>
        <v>#N/A</v>
      </c>
      <c r="U318" s="25" t="e">
        <f ca="1"/>
        <v>#N/A</v>
      </c>
      <c r="V318" s="36" t="e">
        <f ca="1"/>
        <v>#N/A</v>
      </c>
      <c r="W318" s="37" t="e">
        <f ca="1"/>
        <v>#N/A</v>
      </c>
      <c r="X318" s="31" t="s">
        <v>1</v>
      </c>
    </row>
    <row r="319" spans="4:24" x14ac:dyDescent="0.25">
      <c r="D319" s="31" t="s">
        <v>1</v>
      </c>
      <c r="E319" s="43">
        <v>311</v>
      </c>
      <c r="F319" s="25" t="e">
        <f ca="1">IF(ISNA(H319),NA(),IF(ISBLANK(G319),IF(FixedAmortizationFrequency=0,F318,IF(MOD((E319-1),FixedAmortizationFrequency)&lt;&gt;0,F318,F318-FixedAmortization)),G319))</f>
        <v>#N/A</v>
      </c>
      <c r="G319" s="67"/>
      <c r="H319" s="63" t="e">
        <f ca="1"/>
        <v>#N/A</v>
      </c>
      <c r="I319" s="33" t="e">
        <f ca="1"/>
        <v>#N/A</v>
      </c>
      <c r="J319" s="33" t="e">
        <f ca="1"/>
        <v>#N/A</v>
      </c>
      <c r="K319" s="25" t="e">
        <f ca="1"/>
        <v>#N/A</v>
      </c>
      <c r="L319" s="36" t="e">
        <f ca="1"/>
        <v>#N/A</v>
      </c>
      <c r="M319" s="37" t="e">
        <f ca="1"/>
        <v>#N/A</v>
      </c>
      <c r="N319" s="38" t="s">
        <v>1</v>
      </c>
      <c r="O319" s="43">
        <v>311</v>
      </c>
      <c r="P319" s="25" t="e">
        <f ca="1">IF(ISNA(R319),NA(),IF(ISBLANK(Q319),IF(FloatAmortizationFrequency=0,P318,IF(MOD((O319-1),FloatAmortizationFrequency)&lt;&gt;0,P318,P318-FloatAmortization)),Q319))</f>
        <v>#N/A</v>
      </c>
      <c r="Q319" s="67"/>
      <c r="R319" s="33" t="e">
        <f ca="1"/>
        <v>#N/A</v>
      </c>
      <c r="S319" s="33" t="e">
        <f ca="1"/>
        <v>#N/A</v>
      </c>
      <c r="T319" s="33" t="e">
        <f ca="1"/>
        <v>#N/A</v>
      </c>
      <c r="U319" s="25" t="e">
        <f ca="1"/>
        <v>#N/A</v>
      </c>
      <c r="V319" s="36" t="e">
        <f ca="1"/>
        <v>#N/A</v>
      </c>
      <c r="W319" s="37" t="e">
        <f ca="1"/>
        <v>#N/A</v>
      </c>
      <c r="X319" s="31" t="s">
        <v>1</v>
      </c>
    </row>
    <row r="320" spans="4:24" x14ac:dyDescent="0.25">
      <c r="D320" s="31" t="s">
        <v>1</v>
      </c>
      <c r="E320" s="43">
        <v>312</v>
      </c>
      <c r="F320" s="25" t="e">
        <f ca="1">IF(ISNA(H320),NA(),IF(ISBLANK(G320),IF(FixedAmortizationFrequency=0,F319,IF(MOD((E320-1),FixedAmortizationFrequency)&lt;&gt;0,F319,F319-FixedAmortization)),G320))</f>
        <v>#N/A</v>
      </c>
      <c r="G320" s="67"/>
      <c r="H320" s="63" t="e">
        <f ca="1"/>
        <v>#N/A</v>
      </c>
      <c r="I320" s="33" t="e">
        <f ca="1"/>
        <v>#N/A</v>
      </c>
      <c r="J320" s="33" t="e">
        <f ca="1"/>
        <v>#N/A</v>
      </c>
      <c r="K320" s="25" t="e">
        <f ca="1"/>
        <v>#N/A</v>
      </c>
      <c r="L320" s="36" t="e">
        <f ca="1"/>
        <v>#N/A</v>
      </c>
      <c r="M320" s="37" t="e">
        <f ca="1"/>
        <v>#N/A</v>
      </c>
      <c r="N320" s="38" t="s">
        <v>1</v>
      </c>
      <c r="O320" s="43">
        <v>312</v>
      </c>
      <c r="P320" s="25" t="e">
        <f ca="1">IF(ISNA(R320),NA(),IF(ISBLANK(Q320),IF(FloatAmortizationFrequency=0,P319,IF(MOD((O320-1),FloatAmortizationFrequency)&lt;&gt;0,P319,P319-FloatAmortization)),Q320))</f>
        <v>#N/A</v>
      </c>
      <c r="Q320" s="67"/>
      <c r="R320" s="33" t="e">
        <f ca="1"/>
        <v>#N/A</v>
      </c>
      <c r="S320" s="33" t="e">
        <f ca="1"/>
        <v>#N/A</v>
      </c>
      <c r="T320" s="33" t="e">
        <f ca="1"/>
        <v>#N/A</v>
      </c>
      <c r="U320" s="25" t="e">
        <f ca="1"/>
        <v>#N/A</v>
      </c>
      <c r="V320" s="36" t="e">
        <f ca="1"/>
        <v>#N/A</v>
      </c>
      <c r="W320" s="37" t="e">
        <f ca="1"/>
        <v>#N/A</v>
      </c>
      <c r="X320" s="31" t="s">
        <v>1</v>
      </c>
    </row>
    <row r="321" spans="4:24" x14ac:dyDescent="0.25">
      <c r="D321" s="31" t="s">
        <v>1</v>
      </c>
      <c r="E321" s="43">
        <v>313</v>
      </c>
      <c r="F321" s="25" t="e">
        <f ca="1">IF(ISNA(H321),NA(),IF(ISBLANK(G321),IF(FixedAmortizationFrequency=0,F320,IF(MOD((E321-1),FixedAmortizationFrequency)&lt;&gt;0,F320,F320-FixedAmortization)),G321))</f>
        <v>#N/A</v>
      </c>
      <c r="G321" s="67"/>
      <c r="H321" s="63" t="e">
        <f ca="1"/>
        <v>#N/A</v>
      </c>
      <c r="I321" s="33" t="e">
        <f ca="1"/>
        <v>#N/A</v>
      </c>
      <c r="J321" s="33" t="e">
        <f ca="1"/>
        <v>#N/A</v>
      </c>
      <c r="K321" s="25" t="e">
        <f ca="1"/>
        <v>#N/A</v>
      </c>
      <c r="L321" s="36" t="e">
        <f ca="1"/>
        <v>#N/A</v>
      </c>
      <c r="M321" s="37" t="e">
        <f ca="1"/>
        <v>#N/A</v>
      </c>
      <c r="N321" s="38" t="s">
        <v>1</v>
      </c>
      <c r="O321" s="43">
        <v>313</v>
      </c>
      <c r="P321" s="25" t="e">
        <f ca="1">IF(ISNA(R321),NA(),IF(ISBLANK(Q321),IF(FloatAmortizationFrequency=0,P320,IF(MOD((O321-1),FloatAmortizationFrequency)&lt;&gt;0,P320,P320-FloatAmortization)),Q321))</f>
        <v>#N/A</v>
      </c>
      <c r="Q321" s="67"/>
      <c r="R321" s="33" t="e">
        <f ca="1"/>
        <v>#N/A</v>
      </c>
      <c r="S321" s="33" t="e">
        <f ca="1"/>
        <v>#N/A</v>
      </c>
      <c r="T321" s="33" t="e">
        <f ca="1"/>
        <v>#N/A</v>
      </c>
      <c r="U321" s="25" t="e">
        <f ca="1"/>
        <v>#N/A</v>
      </c>
      <c r="V321" s="36" t="e">
        <f ca="1"/>
        <v>#N/A</v>
      </c>
      <c r="W321" s="37" t="e">
        <f ca="1"/>
        <v>#N/A</v>
      </c>
      <c r="X321" s="31" t="s">
        <v>1</v>
      </c>
    </row>
    <row r="322" spans="4:24" x14ac:dyDescent="0.25">
      <c r="D322" s="31" t="s">
        <v>1</v>
      </c>
      <c r="E322" s="43">
        <v>314</v>
      </c>
      <c r="F322" s="25" t="e">
        <f ca="1">IF(ISNA(H322),NA(),IF(ISBLANK(G322),IF(FixedAmortizationFrequency=0,F321,IF(MOD((E322-1),FixedAmortizationFrequency)&lt;&gt;0,F321,F321-FixedAmortization)),G322))</f>
        <v>#N/A</v>
      </c>
      <c r="G322" s="67"/>
      <c r="H322" s="63" t="e">
        <f ca="1"/>
        <v>#N/A</v>
      </c>
      <c r="I322" s="33" t="e">
        <f ca="1"/>
        <v>#N/A</v>
      </c>
      <c r="J322" s="33" t="e">
        <f ca="1"/>
        <v>#N/A</v>
      </c>
      <c r="K322" s="25" t="e">
        <f ca="1"/>
        <v>#N/A</v>
      </c>
      <c r="L322" s="36" t="e">
        <f ca="1"/>
        <v>#N/A</v>
      </c>
      <c r="M322" s="37" t="e">
        <f ca="1"/>
        <v>#N/A</v>
      </c>
      <c r="N322" s="38" t="s">
        <v>1</v>
      </c>
      <c r="O322" s="43">
        <v>314</v>
      </c>
      <c r="P322" s="25" t="e">
        <f ca="1">IF(ISNA(R322),NA(),IF(ISBLANK(Q322),IF(FloatAmortizationFrequency=0,P321,IF(MOD((O322-1),FloatAmortizationFrequency)&lt;&gt;0,P321,P321-FloatAmortization)),Q322))</f>
        <v>#N/A</v>
      </c>
      <c r="Q322" s="67"/>
      <c r="R322" s="33" t="e">
        <f ca="1"/>
        <v>#N/A</v>
      </c>
      <c r="S322" s="33" t="e">
        <f ca="1"/>
        <v>#N/A</v>
      </c>
      <c r="T322" s="33" t="e">
        <f ca="1"/>
        <v>#N/A</v>
      </c>
      <c r="U322" s="25" t="e">
        <f ca="1"/>
        <v>#N/A</v>
      </c>
      <c r="V322" s="36" t="e">
        <f ca="1"/>
        <v>#N/A</v>
      </c>
      <c r="W322" s="37" t="e">
        <f ca="1"/>
        <v>#N/A</v>
      </c>
      <c r="X322" s="31" t="s">
        <v>1</v>
      </c>
    </row>
    <row r="323" spans="4:24" x14ac:dyDescent="0.25">
      <c r="D323" s="31" t="s">
        <v>1</v>
      </c>
      <c r="E323" s="43">
        <v>315</v>
      </c>
      <c r="F323" s="25" t="e">
        <f ca="1">IF(ISNA(H323),NA(),IF(ISBLANK(G323),IF(FixedAmortizationFrequency=0,F322,IF(MOD((E323-1),FixedAmortizationFrequency)&lt;&gt;0,F322,F322-FixedAmortization)),G323))</f>
        <v>#N/A</v>
      </c>
      <c r="G323" s="67"/>
      <c r="H323" s="63" t="e">
        <f ca="1"/>
        <v>#N/A</v>
      </c>
      <c r="I323" s="33" t="e">
        <f ca="1"/>
        <v>#N/A</v>
      </c>
      <c r="J323" s="33" t="e">
        <f ca="1"/>
        <v>#N/A</v>
      </c>
      <c r="K323" s="25" t="e">
        <f ca="1"/>
        <v>#N/A</v>
      </c>
      <c r="L323" s="36" t="e">
        <f ca="1"/>
        <v>#N/A</v>
      </c>
      <c r="M323" s="37" t="e">
        <f ca="1"/>
        <v>#N/A</v>
      </c>
      <c r="N323" s="38" t="s">
        <v>1</v>
      </c>
      <c r="O323" s="43">
        <v>315</v>
      </c>
      <c r="P323" s="25" t="e">
        <f ca="1">IF(ISNA(R323),NA(),IF(ISBLANK(Q323),IF(FloatAmortizationFrequency=0,P322,IF(MOD((O323-1),FloatAmortizationFrequency)&lt;&gt;0,P322,P322-FloatAmortization)),Q323))</f>
        <v>#N/A</v>
      </c>
      <c r="Q323" s="67"/>
      <c r="R323" s="33" t="e">
        <f ca="1"/>
        <v>#N/A</v>
      </c>
      <c r="S323" s="33" t="e">
        <f ca="1"/>
        <v>#N/A</v>
      </c>
      <c r="T323" s="33" t="e">
        <f ca="1"/>
        <v>#N/A</v>
      </c>
      <c r="U323" s="25" t="e">
        <f ca="1"/>
        <v>#N/A</v>
      </c>
      <c r="V323" s="36" t="e">
        <f ca="1"/>
        <v>#N/A</v>
      </c>
      <c r="W323" s="37" t="e">
        <f ca="1"/>
        <v>#N/A</v>
      </c>
      <c r="X323" s="31" t="s">
        <v>1</v>
      </c>
    </row>
    <row r="324" spans="4:24" x14ac:dyDescent="0.25">
      <c r="D324" s="31" t="s">
        <v>1</v>
      </c>
      <c r="E324" s="43">
        <v>316</v>
      </c>
      <c r="F324" s="25" t="e">
        <f ca="1">IF(ISNA(H324),NA(),IF(ISBLANK(G324),IF(FixedAmortizationFrequency=0,F323,IF(MOD((E324-1),FixedAmortizationFrequency)&lt;&gt;0,F323,F323-FixedAmortization)),G324))</f>
        <v>#N/A</v>
      </c>
      <c r="G324" s="67"/>
      <c r="H324" s="63" t="e">
        <f ca="1"/>
        <v>#N/A</v>
      </c>
      <c r="I324" s="33" t="e">
        <f ca="1"/>
        <v>#N/A</v>
      </c>
      <c r="J324" s="33" t="e">
        <f ca="1"/>
        <v>#N/A</v>
      </c>
      <c r="K324" s="25" t="e">
        <f ca="1"/>
        <v>#N/A</v>
      </c>
      <c r="L324" s="36" t="e">
        <f ca="1"/>
        <v>#N/A</v>
      </c>
      <c r="M324" s="37" t="e">
        <f ca="1"/>
        <v>#N/A</v>
      </c>
      <c r="N324" s="38" t="s">
        <v>1</v>
      </c>
      <c r="O324" s="43">
        <v>316</v>
      </c>
      <c r="P324" s="25" t="e">
        <f ca="1">IF(ISNA(R324),NA(),IF(ISBLANK(Q324),IF(FloatAmortizationFrequency=0,P323,IF(MOD((O324-1),FloatAmortizationFrequency)&lt;&gt;0,P323,P323-FloatAmortization)),Q324))</f>
        <v>#N/A</v>
      </c>
      <c r="Q324" s="67"/>
      <c r="R324" s="33" t="e">
        <f ca="1"/>
        <v>#N/A</v>
      </c>
      <c r="S324" s="33" t="e">
        <f ca="1"/>
        <v>#N/A</v>
      </c>
      <c r="T324" s="33" t="e">
        <f ca="1"/>
        <v>#N/A</v>
      </c>
      <c r="U324" s="25" t="e">
        <f ca="1"/>
        <v>#N/A</v>
      </c>
      <c r="V324" s="36" t="e">
        <f ca="1"/>
        <v>#N/A</v>
      </c>
      <c r="W324" s="37" t="e">
        <f ca="1"/>
        <v>#N/A</v>
      </c>
      <c r="X324" s="31" t="s">
        <v>1</v>
      </c>
    </row>
    <row r="325" spans="4:24" x14ac:dyDescent="0.25">
      <c r="D325" s="31" t="s">
        <v>1</v>
      </c>
      <c r="E325" s="43">
        <v>317</v>
      </c>
      <c r="F325" s="25" t="e">
        <f ca="1">IF(ISNA(H325),NA(),IF(ISBLANK(G325),IF(FixedAmortizationFrequency=0,F324,IF(MOD((E325-1),FixedAmortizationFrequency)&lt;&gt;0,F324,F324-FixedAmortization)),G325))</f>
        <v>#N/A</v>
      </c>
      <c r="G325" s="67"/>
      <c r="H325" s="63" t="e">
        <f ca="1"/>
        <v>#N/A</v>
      </c>
      <c r="I325" s="33" t="e">
        <f ca="1"/>
        <v>#N/A</v>
      </c>
      <c r="J325" s="33" t="e">
        <f ca="1"/>
        <v>#N/A</v>
      </c>
      <c r="K325" s="25" t="e">
        <f ca="1"/>
        <v>#N/A</v>
      </c>
      <c r="L325" s="36" t="e">
        <f ca="1"/>
        <v>#N/A</v>
      </c>
      <c r="M325" s="37" t="e">
        <f ca="1"/>
        <v>#N/A</v>
      </c>
      <c r="N325" s="38" t="s">
        <v>1</v>
      </c>
      <c r="O325" s="43">
        <v>317</v>
      </c>
      <c r="P325" s="25" t="e">
        <f ca="1">IF(ISNA(R325),NA(),IF(ISBLANK(Q325),IF(FloatAmortizationFrequency=0,P324,IF(MOD((O325-1),FloatAmortizationFrequency)&lt;&gt;0,P324,P324-FloatAmortization)),Q325))</f>
        <v>#N/A</v>
      </c>
      <c r="Q325" s="67"/>
      <c r="R325" s="33" t="e">
        <f ca="1"/>
        <v>#N/A</v>
      </c>
      <c r="S325" s="33" t="e">
        <f ca="1"/>
        <v>#N/A</v>
      </c>
      <c r="T325" s="33" t="e">
        <f ca="1"/>
        <v>#N/A</v>
      </c>
      <c r="U325" s="25" t="e">
        <f ca="1"/>
        <v>#N/A</v>
      </c>
      <c r="V325" s="36" t="e">
        <f ca="1"/>
        <v>#N/A</v>
      </c>
      <c r="W325" s="37" t="e">
        <f ca="1"/>
        <v>#N/A</v>
      </c>
      <c r="X325" s="31" t="s">
        <v>1</v>
      </c>
    </row>
    <row r="326" spans="4:24" x14ac:dyDescent="0.25">
      <c r="D326" s="31" t="s">
        <v>1</v>
      </c>
      <c r="E326" s="43">
        <v>318</v>
      </c>
      <c r="F326" s="25" t="e">
        <f ca="1">IF(ISNA(H326),NA(),IF(ISBLANK(G326),IF(FixedAmortizationFrequency=0,F325,IF(MOD((E326-1),FixedAmortizationFrequency)&lt;&gt;0,F325,F325-FixedAmortization)),G326))</f>
        <v>#N/A</v>
      </c>
      <c r="G326" s="67"/>
      <c r="H326" s="63" t="e">
        <f ca="1"/>
        <v>#N/A</v>
      </c>
      <c r="I326" s="33" t="e">
        <f ca="1"/>
        <v>#N/A</v>
      </c>
      <c r="J326" s="33" t="e">
        <f ca="1"/>
        <v>#N/A</v>
      </c>
      <c r="K326" s="25" t="e">
        <f ca="1"/>
        <v>#N/A</v>
      </c>
      <c r="L326" s="36" t="e">
        <f ca="1"/>
        <v>#N/A</v>
      </c>
      <c r="M326" s="37" t="e">
        <f ca="1"/>
        <v>#N/A</v>
      </c>
      <c r="N326" s="38" t="s">
        <v>1</v>
      </c>
      <c r="O326" s="43">
        <v>318</v>
      </c>
      <c r="P326" s="25" t="e">
        <f ca="1">IF(ISNA(R326),NA(),IF(ISBLANK(Q326),IF(FloatAmortizationFrequency=0,P325,IF(MOD((O326-1),FloatAmortizationFrequency)&lt;&gt;0,P325,P325-FloatAmortization)),Q326))</f>
        <v>#N/A</v>
      </c>
      <c r="Q326" s="67"/>
      <c r="R326" s="33" t="e">
        <f ca="1"/>
        <v>#N/A</v>
      </c>
      <c r="S326" s="33" t="e">
        <f ca="1"/>
        <v>#N/A</v>
      </c>
      <c r="T326" s="33" t="e">
        <f ca="1"/>
        <v>#N/A</v>
      </c>
      <c r="U326" s="25" t="e">
        <f ca="1"/>
        <v>#N/A</v>
      </c>
      <c r="V326" s="36" t="e">
        <f ca="1"/>
        <v>#N/A</v>
      </c>
      <c r="W326" s="37" t="e">
        <f ca="1"/>
        <v>#N/A</v>
      </c>
      <c r="X326" s="31" t="s">
        <v>1</v>
      </c>
    </row>
    <row r="327" spans="4:24" x14ac:dyDescent="0.25">
      <c r="D327" s="31" t="s">
        <v>1</v>
      </c>
      <c r="E327" s="43">
        <v>319</v>
      </c>
      <c r="F327" s="25" t="e">
        <f ca="1">IF(ISNA(H327),NA(),IF(ISBLANK(G327),IF(FixedAmortizationFrequency=0,F326,IF(MOD((E327-1),FixedAmortizationFrequency)&lt;&gt;0,F326,F326-FixedAmortization)),G327))</f>
        <v>#N/A</v>
      </c>
      <c r="G327" s="67"/>
      <c r="H327" s="63" t="e">
        <f ca="1"/>
        <v>#N/A</v>
      </c>
      <c r="I327" s="33" t="e">
        <f ca="1"/>
        <v>#N/A</v>
      </c>
      <c r="J327" s="33" t="e">
        <f ca="1"/>
        <v>#N/A</v>
      </c>
      <c r="K327" s="25" t="e">
        <f ca="1"/>
        <v>#N/A</v>
      </c>
      <c r="L327" s="36" t="e">
        <f ca="1"/>
        <v>#N/A</v>
      </c>
      <c r="M327" s="37" t="e">
        <f ca="1"/>
        <v>#N/A</v>
      </c>
      <c r="N327" s="38" t="s">
        <v>1</v>
      </c>
      <c r="O327" s="43">
        <v>319</v>
      </c>
      <c r="P327" s="25" t="e">
        <f ca="1">IF(ISNA(R327),NA(),IF(ISBLANK(Q327),IF(FloatAmortizationFrequency=0,P326,IF(MOD((O327-1),FloatAmortizationFrequency)&lt;&gt;0,P326,P326-FloatAmortization)),Q327))</f>
        <v>#N/A</v>
      </c>
      <c r="Q327" s="67"/>
      <c r="R327" s="33" t="e">
        <f ca="1"/>
        <v>#N/A</v>
      </c>
      <c r="S327" s="33" t="e">
        <f ca="1"/>
        <v>#N/A</v>
      </c>
      <c r="T327" s="33" t="e">
        <f ca="1"/>
        <v>#N/A</v>
      </c>
      <c r="U327" s="25" t="e">
        <f ca="1"/>
        <v>#N/A</v>
      </c>
      <c r="V327" s="36" t="e">
        <f ca="1"/>
        <v>#N/A</v>
      </c>
      <c r="W327" s="37" t="e">
        <f ca="1"/>
        <v>#N/A</v>
      </c>
      <c r="X327" s="31" t="s">
        <v>1</v>
      </c>
    </row>
    <row r="328" spans="4:24" x14ac:dyDescent="0.25">
      <c r="D328" s="31" t="s">
        <v>1</v>
      </c>
      <c r="E328" s="43">
        <v>320</v>
      </c>
      <c r="F328" s="25" t="e">
        <f ca="1">IF(ISNA(H328),NA(),IF(ISBLANK(G328),IF(FixedAmortizationFrequency=0,F327,IF(MOD((E328-1),FixedAmortizationFrequency)&lt;&gt;0,F327,F327-FixedAmortization)),G328))</f>
        <v>#N/A</v>
      </c>
      <c r="G328" s="67"/>
      <c r="H328" s="63" t="e">
        <f ca="1"/>
        <v>#N/A</v>
      </c>
      <c r="I328" s="33" t="e">
        <f ca="1"/>
        <v>#N/A</v>
      </c>
      <c r="J328" s="33" t="e">
        <f ca="1"/>
        <v>#N/A</v>
      </c>
      <c r="K328" s="25" t="e">
        <f ca="1"/>
        <v>#N/A</v>
      </c>
      <c r="L328" s="36" t="e">
        <f ca="1"/>
        <v>#N/A</v>
      </c>
      <c r="M328" s="37" t="e">
        <f ca="1"/>
        <v>#N/A</v>
      </c>
      <c r="N328" s="38" t="s">
        <v>1</v>
      </c>
      <c r="O328" s="43">
        <v>320</v>
      </c>
      <c r="P328" s="25" t="e">
        <f ca="1">IF(ISNA(R328),NA(),IF(ISBLANK(Q328),IF(FloatAmortizationFrequency=0,P327,IF(MOD((O328-1),FloatAmortizationFrequency)&lt;&gt;0,P327,P327-FloatAmortization)),Q328))</f>
        <v>#N/A</v>
      </c>
      <c r="Q328" s="67"/>
      <c r="R328" s="33" t="e">
        <f ca="1"/>
        <v>#N/A</v>
      </c>
      <c r="S328" s="33" t="e">
        <f ca="1"/>
        <v>#N/A</v>
      </c>
      <c r="T328" s="33" t="e">
        <f ca="1"/>
        <v>#N/A</v>
      </c>
      <c r="U328" s="25" t="e">
        <f ca="1"/>
        <v>#N/A</v>
      </c>
      <c r="V328" s="36" t="e">
        <f ca="1"/>
        <v>#N/A</v>
      </c>
      <c r="W328" s="37" t="e">
        <f ca="1"/>
        <v>#N/A</v>
      </c>
      <c r="X328" s="31" t="s">
        <v>1</v>
      </c>
    </row>
    <row r="329" spans="4:24" x14ac:dyDescent="0.25">
      <c r="D329" s="31" t="s">
        <v>1</v>
      </c>
      <c r="E329" s="43">
        <v>321</v>
      </c>
      <c r="F329" s="25" t="e">
        <f ca="1">IF(ISNA(H329),NA(),IF(ISBLANK(G329),IF(FixedAmortizationFrequency=0,F328,IF(MOD((E329-1),FixedAmortizationFrequency)&lt;&gt;0,F328,F328-FixedAmortization)),G329))</f>
        <v>#N/A</v>
      </c>
      <c r="G329" s="67"/>
      <c r="H329" s="63" t="e">
        <f ca="1"/>
        <v>#N/A</v>
      </c>
      <c r="I329" s="33" t="e">
        <f ca="1"/>
        <v>#N/A</v>
      </c>
      <c r="J329" s="33" t="e">
        <f ca="1"/>
        <v>#N/A</v>
      </c>
      <c r="K329" s="25" t="e">
        <f ca="1"/>
        <v>#N/A</v>
      </c>
      <c r="L329" s="36" t="e">
        <f ca="1"/>
        <v>#N/A</v>
      </c>
      <c r="M329" s="37" t="e">
        <f ca="1"/>
        <v>#N/A</v>
      </c>
      <c r="N329" s="38" t="s">
        <v>1</v>
      </c>
      <c r="O329" s="43">
        <v>321</v>
      </c>
      <c r="P329" s="25" t="e">
        <f ca="1">IF(ISNA(R329),NA(),IF(ISBLANK(Q329),IF(FloatAmortizationFrequency=0,P328,IF(MOD((O329-1),FloatAmortizationFrequency)&lt;&gt;0,P328,P328-FloatAmortization)),Q329))</f>
        <v>#N/A</v>
      </c>
      <c r="Q329" s="67"/>
      <c r="R329" s="33" t="e">
        <f ca="1"/>
        <v>#N/A</v>
      </c>
      <c r="S329" s="33" t="e">
        <f ca="1"/>
        <v>#N/A</v>
      </c>
      <c r="T329" s="33" t="e">
        <f ca="1"/>
        <v>#N/A</v>
      </c>
      <c r="U329" s="25" t="e">
        <f ca="1"/>
        <v>#N/A</v>
      </c>
      <c r="V329" s="36" t="e">
        <f ca="1"/>
        <v>#N/A</v>
      </c>
      <c r="W329" s="37" t="e">
        <f ca="1"/>
        <v>#N/A</v>
      </c>
      <c r="X329" s="31" t="s">
        <v>1</v>
      </c>
    </row>
    <row r="330" spans="4:24" x14ac:dyDescent="0.25">
      <c r="D330" s="31" t="s">
        <v>1</v>
      </c>
      <c r="E330" s="43">
        <v>322</v>
      </c>
      <c r="F330" s="25" t="e">
        <f ca="1">IF(ISNA(H330),NA(),IF(ISBLANK(G330),IF(FixedAmortizationFrequency=0,F329,IF(MOD((E330-1),FixedAmortizationFrequency)&lt;&gt;0,F329,F329-FixedAmortization)),G330))</f>
        <v>#N/A</v>
      </c>
      <c r="G330" s="67"/>
      <c r="H330" s="63" t="e">
        <f ca="1"/>
        <v>#N/A</v>
      </c>
      <c r="I330" s="33" t="e">
        <f ca="1"/>
        <v>#N/A</v>
      </c>
      <c r="J330" s="33" t="e">
        <f ca="1"/>
        <v>#N/A</v>
      </c>
      <c r="K330" s="25" t="e">
        <f ca="1"/>
        <v>#N/A</v>
      </c>
      <c r="L330" s="36" t="e">
        <f ca="1"/>
        <v>#N/A</v>
      </c>
      <c r="M330" s="37" t="e">
        <f ca="1"/>
        <v>#N/A</v>
      </c>
      <c r="N330" s="38" t="s">
        <v>1</v>
      </c>
      <c r="O330" s="43">
        <v>322</v>
      </c>
      <c r="P330" s="25" t="e">
        <f ca="1">IF(ISNA(R330),NA(),IF(ISBLANK(Q330),IF(FloatAmortizationFrequency=0,P329,IF(MOD((O330-1),FloatAmortizationFrequency)&lt;&gt;0,P329,P329-FloatAmortization)),Q330))</f>
        <v>#N/A</v>
      </c>
      <c r="Q330" s="67"/>
      <c r="R330" s="33" t="e">
        <f ca="1"/>
        <v>#N/A</v>
      </c>
      <c r="S330" s="33" t="e">
        <f ca="1"/>
        <v>#N/A</v>
      </c>
      <c r="T330" s="33" t="e">
        <f ca="1"/>
        <v>#N/A</v>
      </c>
      <c r="U330" s="25" t="e">
        <f ca="1"/>
        <v>#N/A</v>
      </c>
      <c r="V330" s="36" t="e">
        <f ca="1"/>
        <v>#N/A</v>
      </c>
      <c r="W330" s="37" t="e">
        <f ca="1"/>
        <v>#N/A</v>
      </c>
      <c r="X330" s="31" t="s">
        <v>1</v>
      </c>
    </row>
    <row r="331" spans="4:24" x14ac:dyDescent="0.25">
      <c r="D331" s="31" t="s">
        <v>1</v>
      </c>
      <c r="E331" s="43">
        <v>323</v>
      </c>
      <c r="F331" s="25" t="e">
        <f ca="1">IF(ISNA(H331),NA(),IF(ISBLANK(G331),IF(FixedAmortizationFrequency=0,F330,IF(MOD((E331-1),FixedAmortizationFrequency)&lt;&gt;0,F330,F330-FixedAmortization)),G331))</f>
        <v>#N/A</v>
      </c>
      <c r="G331" s="67"/>
      <c r="H331" s="63" t="e">
        <f ca="1"/>
        <v>#N/A</v>
      </c>
      <c r="I331" s="33" t="e">
        <f ca="1"/>
        <v>#N/A</v>
      </c>
      <c r="J331" s="33" t="e">
        <f ca="1"/>
        <v>#N/A</v>
      </c>
      <c r="K331" s="25" t="e">
        <f ca="1"/>
        <v>#N/A</v>
      </c>
      <c r="L331" s="36" t="e">
        <f ca="1"/>
        <v>#N/A</v>
      </c>
      <c r="M331" s="37" t="e">
        <f ca="1"/>
        <v>#N/A</v>
      </c>
      <c r="N331" s="38" t="s">
        <v>1</v>
      </c>
      <c r="O331" s="43">
        <v>323</v>
      </c>
      <c r="P331" s="25" t="e">
        <f ca="1">IF(ISNA(R331),NA(),IF(ISBLANK(Q331),IF(FloatAmortizationFrequency=0,P330,IF(MOD((O331-1),FloatAmortizationFrequency)&lt;&gt;0,P330,P330-FloatAmortization)),Q331))</f>
        <v>#N/A</v>
      </c>
      <c r="Q331" s="67"/>
      <c r="R331" s="33" t="e">
        <f ca="1"/>
        <v>#N/A</v>
      </c>
      <c r="S331" s="33" t="e">
        <f ca="1"/>
        <v>#N/A</v>
      </c>
      <c r="T331" s="33" t="e">
        <f ca="1"/>
        <v>#N/A</v>
      </c>
      <c r="U331" s="25" t="e">
        <f ca="1"/>
        <v>#N/A</v>
      </c>
      <c r="V331" s="36" t="e">
        <f ca="1"/>
        <v>#N/A</v>
      </c>
      <c r="W331" s="37" t="e">
        <f ca="1"/>
        <v>#N/A</v>
      </c>
      <c r="X331" s="31" t="s">
        <v>1</v>
      </c>
    </row>
    <row r="332" spans="4:24" x14ac:dyDescent="0.25">
      <c r="D332" s="31" t="s">
        <v>1</v>
      </c>
      <c r="E332" s="43">
        <v>324</v>
      </c>
      <c r="F332" s="25" t="e">
        <f ca="1">IF(ISNA(H332),NA(),IF(ISBLANK(G332),IF(FixedAmortizationFrequency=0,F331,IF(MOD((E332-1),FixedAmortizationFrequency)&lt;&gt;0,F331,F331-FixedAmortization)),G332))</f>
        <v>#N/A</v>
      </c>
      <c r="G332" s="67"/>
      <c r="H332" s="63" t="e">
        <f ca="1"/>
        <v>#N/A</v>
      </c>
      <c r="I332" s="33" t="e">
        <f ca="1"/>
        <v>#N/A</v>
      </c>
      <c r="J332" s="33" t="e">
        <f ca="1"/>
        <v>#N/A</v>
      </c>
      <c r="K332" s="25" t="e">
        <f ca="1"/>
        <v>#N/A</v>
      </c>
      <c r="L332" s="36" t="e">
        <f ca="1"/>
        <v>#N/A</v>
      </c>
      <c r="M332" s="37" t="e">
        <f ca="1"/>
        <v>#N/A</v>
      </c>
      <c r="N332" s="38" t="s">
        <v>1</v>
      </c>
      <c r="O332" s="43">
        <v>324</v>
      </c>
      <c r="P332" s="25" t="e">
        <f ca="1">IF(ISNA(R332),NA(),IF(ISBLANK(Q332),IF(FloatAmortizationFrequency=0,P331,IF(MOD((O332-1),FloatAmortizationFrequency)&lt;&gt;0,P331,P331-FloatAmortization)),Q332))</f>
        <v>#N/A</v>
      </c>
      <c r="Q332" s="67"/>
      <c r="R332" s="33" t="e">
        <f ca="1"/>
        <v>#N/A</v>
      </c>
      <c r="S332" s="33" t="e">
        <f ca="1"/>
        <v>#N/A</v>
      </c>
      <c r="T332" s="33" t="e">
        <f ca="1"/>
        <v>#N/A</v>
      </c>
      <c r="U332" s="25" t="e">
        <f ca="1"/>
        <v>#N/A</v>
      </c>
      <c r="V332" s="36" t="e">
        <f ca="1"/>
        <v>#N/A</v>
      </c>
      <c r="W332" s="37" t="e">
        <f ca="1"/>
        <v>#N/A</v>
      </c>
      <c r="X332" s="31" t="s">
        <v>1</v>
      </c>
    </row>
    <row r="333" spans="4:24" x14ac:dyDescent="0.25">
      <c r="D333" s="31" t="s">
        <v>1</v>
      </c>
      <c r="E333" s="43">
        <v>325</v>
      </c>
      <c r="F333" s="25" t="e">
        <f ca="1">IF(ISNA(H333),NA(),IF(ISBLANK(G333),IF(FixedAmortizationFrequency=0,F332,IF(MOD((E333-1),FixedAmortizationFrequency)&lt;&gt;0,F332,F332-FixedAmortization)),G333))</f>
        <v>#N/A</v>
      </c>
      <c r="G333" s="67"/>
      <c r="H333" s="63" t="e">
        <f ca="1"/>
        <v>#N/A</v>
      </c>
      <c r="I333" s="33" t="e">
        <f ca="1"/>
        <v>#N/A</v>
      </c>
      <c r="J333" s="33" t="e">
        <f ca="1"/>
        <v>#N/A</v>
      </c>
      <c r="K333" s="25" t="e">
        <f ca="1"/>
        <v>#N/A</v>
      </c>
      <c r="L333" s="36" t="e">
        <f ca="1"/>
        <v>#N/A</v>
      </c>
      <c r="M333" s="37" t="e">
        <f ca="1"/>
        <v>#N/A</v>
      </c>
      <c r="N333" s="38" t="s">
        <v>1</v>
      </c>
      <c r="O333" s="43">
        <v>325</v>
      </c>
      <c r="P333" s="25" t="e">
        <f ca="1">IF(ISNA(R333),NA(),IF(ISBLANK(Q333),IF(FloatAmortizationFrequency=0,P332,IF(MOD((O333-1),FloatAmortizationFrequency)&lt;&gt;0,P332,P332-FloatAmortization)),Q333))</f>
        <v>#N/A</v>
      </c>
      <c r="Q333" s="67"/>
      <c r="R333" s="33" t="e">
        <f ca="1"/>
        <v>#N/A</v>
      </c>
      <c r="S333" s="33" t="e">
        <f ca="1"/>
        <v>#N/A</v>
      </c>
      <c r="T333" s="33" t="e">
        <f ca="1"/>
        <v>#N/A</v>
      </c>
      <c r="U333" s="25" t="e">
        <f ca="1"/>
        <v>#N/A</v>
      </c>
      <c r="V333" s="36" t="e">
        <f ca="1"/>
        <v>#N/A</v>
      </c>
      <c r="W333" s="37" t="e">
        <f ca="1"/>
        <v>#N/A</v>
      </c>
      <c r="X333" s="31" t="s">
        <v>1</v>
      </c>
    </row>
    <row r="334" spans="4:24" x14ac:dyDescent="0.25">
      <c r="D334" s="31" t="s">
        <v>1</v>
      </c>
      <c r="E334" s="43">
        <v>326</v>
      </c>
      <c r="F334" s="25" t="e">
        <f ca="1">IF(ISNA(H334),NA(),IF(ISBLANK(G334),IF(FixedAmortizationFrequency=0,F333,IF(MOD((E334-1),FixedAmortizationFrequency)&lt;&gt;0,F333,F333-FixedAmortization)),G334))</f>
        <v>#N/A</v>
      </c>
      <c r="G334" s="67"/>
      <c r="H334" s="63" t="e">
        <f ca="1"/>
        <v>#N/A</v>
      </c>
      <c r="I334" s="33" t="e">
        <f ca="1"/>
        <v>#N/A</v>
      </c>
      <c r="J334" s="33" t="e">
        <f ca="1"/>
        <v>#N/A</v>
      </c>
      <c r="K334" s="25" t="e">
        <f ca="1"/>
        <v>#N/A</v>
      </c>
      <c r="L334" s="36" t="e">
        <f ca="1"/>
        <v>#N/A</v>
      </c>
      <c r="M334" s="37" t="e">
        <f ca="1"/>
        <v>#N/A</v>
      </c>
      <c r="N334" s="38" t="s">
        <v>1</v>
      </c>
      <c r="O334" s="43">
        <v>326</v>
      </c>
      <c r="P334" s="25" t="e">
        <f ca="1">IF(ISNA(R334),NA(),IF(ISBLANK(Q334),IF(FloatAmortizationFrequency=0,P333,IF(MOD((O334-1),FloatAmortizationFrequency)&lt;&gt;0,P333,P333-FloatAmortization)),Q334))</f>
        <v>#N/A</v>
      </c>
      <c r="Q334" s="67"/>
      <c r="R334" s="33" t="e">
        <f ca="1"/>
        <v>#N/A</v>
      </c>
      <c r="S334" s="33" t="e">
        <f ca="1"/>
        <v>#N/A</v>
      </c>
      <c r="T334" s="33" t="e">
        <f ca="1"/>
        <v>#N/A</v>
      </c>
      <c r="U334" s="25" t="e">
        <f ca="1"/>
        <v>#N/A</v>
      </c>
      <c r="V334" s="36" t="e">
        <f ca="1"/>
        <v>#N/A</v>
      </c>
      <c r="W334" s="37" t="e">
        <f ca="1"/>
        <v>#N/A</v>
      </c>
      <c r="X334" s="31" t="s">
        <v>1</v>
      </c>
    </row>
    <row r="335" spans="4:24" x14ac:dyDescent="0.25">
      <c r="D335" s="31" t="s">
        <v>1</v>
      </c>
      <c r="E335" s="43">
        <v>327</v>
      </c>
      <c r="F335" s="25" t="e">
        <f ca="1">IF(ISNA(H335),NA(),IF(ISBLANK(G335),IF(FixedAmortizationFrequency=0,F334,IF(MOD((E335-1),FixedAmortizationFrequency)&lt;&gt;0,F334,F334-FixedAmortization)),G335))</f>
        <v>#N/A</v>
      </c>
      <c r="G335" s="67"/>
      <c r="H335" s="63" t="e">
        <f ca="1"/>
        <v>#N/A</v>
      </c>
      <c r="I335" s="33" t="e">
        <f ca="1"/>
        <v>#N/A</v>
      </c>
      <c r="J335" s="33" t="e">
        <f ca="1"/>
        <v>#N/A</v>
      </c>
      <c r="K335" s="25" t="e">
        <f ca="1"/>
        <v>#N/A</v>
      </c>
      <c r="L335" s="36" t="e">
        <f ca="1"/>
        <v>#N/A</v>
      </c>
      <c r="M335" s="37" t="e">
        <f ca="1"/>
        <v>#N/A</v>
      </c>
      <c r="N335" s="38" t="s">
        <v>1</v>
      </c>
      <c r="O335" s="43">
        <v>327</v>
      </c>
      <c r="P335" s="25" t="e">
        <f ca="1">IF(ISNA(R335),NA(),IF(ISBLANK(Q335),IF(FloatAmortizationFrequency=0,P334,IF(MOD((O335-1),FloatAmortizationFrequency)&lt;&gt;0,P334,P334-FloatAmortization)),Q335))</f>
        <v>#N/A</v>
      </c>
      <c r="Q335" s="67"/>
      <c r="R335" s="33" t="e">
        <f ca="1"/>
        <v>#N/A</v>
      </c>
      <c r="S335" s="33" t="e">
        <f ca="1"/>
        <v>#N/A</v>
      </c>
      <c r="T335" s="33" t="e">
        <f ca="1"/>
        <v>#N/A</v>
      </c>
      <c r="U335" s="25" t="e">
        <f ca="1"/>
        <v>#N/A</v>
      </c>
      <c r="V335" s="36" t="e">
        <f ca="1"/>
        <v>#N/A</v>
      </c>
      <c r="W335" s="37" t="e">
        <f ca="1"/>
        <v>#N/A</v>
      </c>
      <c r="X335" s="31" t="s">
        <v>1</v>
      </c>
    </row>
    <row r="336" spans="4:24" x14ac:dyDescent="0.25">
      <c r="D336" s="31" t="s">
        <v>1</v>
      </c>
      <c r="E336" s="43">
        <v>328</v>
      </c>
      <c r="F336" s="25" t="e">
        <f ca="1">IF(ISNA(H336),NA(),IF(ISBLANK(G336),IF(FixedAmortizationFrequency=0,F335,IF(MOD((E336-1),FixedAmortizationFrequency)&lt;&gt;0,F335,F335-FixedAmortization)),G336))</f>
        <v>#N/A</v>
      </c>
      <c r="G336" s="67"/>
      <c r="H336" s="63" t="e">
        <f ca="1"/>
        <v>#N/A</v>
      </c>
      <c r="I336" s="33" t="e">
        <f ca="1"/>
        <v>#N/A</v>
      </c>
      <c r="J336" s="33" t="e">
        <f ca="1"/>
        <v>#N/A</v>
      </c>
      <c r="K336" s="25" t="e">
        <f ca="1"/>
        <v>#N/A</v>
      </c>
      <c r="L336" s="36" t="e">
        <f ca="1"/>
        <v>#N/A</v>
      </c>
      <c r="M336" s="37" t="e">
        <f ca="1"/>
        <v>#N/A</v>
      </c>
      <c r="N336" s="38" t="s">
        <v>1</v>
      </c>
      <c r="O336" s="43">
        <v>328</v>
      </c>
      <c r="P336" s="25" t="e">
        <f ca="1">IF(ISNA(R336),NA(),IF(ISBLANK(Q336),IF(FloatAmortizationFrequency=0,P335,IF(MOD((O336-1),FloatAmortizationFrequency)&lt;&gt;0,P335,P335-FloatAmortization)),Q336))</f>
        <v>#N/A</v>
      </c>
      <c r="Q336" s="67"/>
      <c r="R336" s="33" t="e">
        <f ca="1"/>
        <v>#N/A</v>
      </c>
      <c r="S336" s="33" t="e">
        <f ca="1"/>
        <v>#N/A</v>
      </c>
      <c r="T336" s="33" t="e">
        <f ca="1"/>
        <v>#N/A</v>
      </c>
      <c r="U336" s="25" t="e">
        <f ca="1"/>
        <v>#N/A</v>
      </c>
      <c r="V336" s="36" t="e">
        <f ca="1"/>
        <v>#N/A</v>
      </c>
      <c r="W336" s="37" t="e">
        <f ca="1"/>
        <v>#N/A</v>
      </c>
      <c r="X336" s="31" t="s">
        <v>1</v>
      </c>
    </row>
    <row r="337" spans="4:24" x14ac:dyDescent="0.25">
      <c r="D337" s="31" t="s">
        <v>1</v>
      </c>
      <c r="E337" s="43">
        <v>329</v>
      </c>
      <c r="F337" s="25" t="e">
        <f ca="1">IF(ISNA(H337),NA(),IF(ISBLANK(G337),IF(FixedAmortizationFrequency=0,F336,IF(MOD((E337-1),FixedAmortizationFrequency)&lt;&gt;0,F336,F336-FixedAmortization)),G337))</f>
        <v>#N/A</v>
      </c>
      <c r="G337" s="67"/>
      <c r="H337" s="63" t="e">
        <f ca="1"/>
        <v>#N/A</v>
      </c>
      <c r="I337" s="33" t="e">
        <f ca="1"/>
        <v>#N/A</v>
      </c>
      <c r="J337" s="33" t="e">
        <f ca="1"/>
        <v>#N/A</v>
      </c>
      <c r="K337" s="25" t="e">
        <f ca="1"/>
        <v>#N/A</v>
      </c>
      <c r="L337" s="36" t="e">
        <f ca="1"/>
        <v>#N/A</v>
      </c>
      <c r="M337" s="37" t="e">
        <f ca="1"/>
        <v>#N/A</v>
      </c>
      <c r="N337" s="38" t="s">
        <v>1</v>
      </c>
      <c r="O337" s="43">
        <v>329</v>
      </c>
      <c r="P337" s="25" t="e">
        <f ca="1">IF(ISNA(R337),NA(),IF(ISBLANK(Q337),IF(FloatAmortizationFrequency=0,P336,IF(MOD((O337-1),FloatAmortizationFrequency)&lt;&gt;0,P336,P336-FloatAmortization)),Q337))</f>
        <v>#N/A</v>
      </c>
      <c r="Q337" s="67"/>
      <c r="R337" s="33" t="e">
        <f ca="1"/>
        <v>#N/A</v>
      </c>
      <c r="S337" s="33" t="e">
        <f ca="1"/>
        <v>#N/A</v>
      </c>
      <c r="T337" s="33" t="e">
        <f ca="1"/>
        <v>#N/A</v>
      </c>
      <c r="U337" s="25" t="e">
        <f ca="1"/>
        <v>#N/A</v>
      </c>
      <c r="V337" s="36" t="e">
        <f ca="1"/>
        <v>#N/A</v>
      </c>
      <c r="W337" s="37" t="e">
        <f ca="1"/>
        <v>#N/A</v>
      </c>
      <c r="X337" s="31" t="s">
        <v>1</v>
      </c>
    </row>
    <row r="338" spans="4:24" x14ac:dyDescent="0.25">
      <c r="D338" s="31" t="s">
        <v>1</v>
      </c>
      <c r="E338" s="43">
        <v>330</v>
      </c>
      <c r="F338" s="25" t="e">
        <f ca="1">IF(ISNA(H338),NA(),IF(ISBLANK(G338),IF(FixedAmortizationFrequency=0,F337,IF(MOD((E338-1),FixedAmortizationFrequency)&lt;&gt;0,F337,F337-FixedAmortization)),G338))</f>
        <v>#N/A</v>
      </c>
      <c r="G338" s="67"/>
      <c r="H338" s="63" t="e">
        <f ca="1"/>
        <v>#N/A</v>
      </c>
      <c r="I338" s="33" t="e">
        <f ca="1"/>
        <v>#N/A</v>
      </c>
      <c r="J338" s="33" t="e">
        <f ca="1"/>
        <v>#N/A</v>
      </c>
      <c r="K338" s="25" t="e">
        <f ca="1"/>
        <v>#N/A</v>
      </c>
      <c r="L338" s="36" t="e">
        <f ca="1"/>
        <v>#N/A</v>
      </c>
      <c r="M338" s="37" t="e">
        <f ca="1"/>
        <v>#N/A</v>
      </c>
      <c r="N338" s="38" t="s">
        <v>1</v>
      </c>
      <c r="O338" s="43">
        <v>330</v>
      </c>
      <c r="P338" s="25" t="e">
        <f ca="1">IF(ISNA(R338),NA(),IF(ISBLANK(Q338),IF(FloatAmortizationFrequency=0,P337,IF(MOD((O338-1),FloatAmortizationFrequency)&lt;&gt;0,P337,P337-FloatAmortization)),Q338))</f>
        <v>#N/A</v>
      </c>
      <c r="Q338" s="67"/>
      <c r="R338" s="33" t="e">
        <f ca="1"/>
        <v>#N/A</v>
      </c>
      <c r="S338" s="33" t="e">
        <f ca="1"/>
        <v>#N/A</v>
      </c>
      <c r="T338" s="33" t="e">
        <f ca="1"/>
        <v>#N/A</v>
      </c>
      <c r="U338" s="25" t="e">
        <f ca="1"/>
        <v>#N/A</v>
      </c>
      <c r="V338" s="36" t="e">
        <f ca="1"/>
        <v>#N/A</v>
      </c>
      <c r="W338" s="37" t="e">
        <f ca="1"/>
        <v>#N/A</v>
      </c>
      <c r="X338" s="31" t="s">
        <v>1</v>
      </c>
    </row>
    <row r="339" spans="4:24" x14ac:dyDescent="0.25">
      <c r="D339" s="31" t="s">
        <v>1</v>
      </c>
      <c r="E339" s="43">
        <v>331</v>
      </c>
      <c r="F339" s="25" t="e">
        <f ca="1">IF(ISNA(H339),NA(),IF(ISBLANK(G339),IF(FixedAmortizationFrequency=0,F338,IF(MOD((E339-1),FixedAmortizationFrequency)&lt;&gt;0,F338,F338-FixedAmortization)),G339))</f>
        <v>#N/A</v>
      </c>
      <c r="G339" s="67"/>
      <c r="H339" s="63" t="e">
        <f ca="1"/>
        <v>#N/A</v>
      </c>
      <c r="I339" s="33" t="e">
        <f ca="1"/>
        <v>#N/A</v>
      </c>
      <c r="J339" s="33" t="e">
        <f ca="1"/>
        <v>#N/A</v>
      </c>
      <c r="K339" s="25" t="e">
        <f ca="1"/>
        <v>#N/A</v>
      </c>
      <c r="L339" s="36" t="e">
        <f ca="1"/>
        <v>#N/A</v>
      </c>
      <c r="M339" s="37" t="e">
        <f ca="1"/>
        <v>#N/A</v>
      </c>
      <c r="N339" s="38" t="s">
        <v>1</v>
      </c>
      <c r="O339" s="43">
        <v>331</v>
      </c>
      <c r="P339" s="25" t="e">
        <f ca="1">IF(ISNA(R339),NA(),IF(ISBLANK(Q339),IF(FloatAmortizationFrequency=0,P338,IF(MOD((O339-1),FloatAmortizationFrequency)&lt;&gt;0,P338,P338-FloatAmortization)),Q339))</f>
        <v>#N/A</v>
      </c>
      <c r="Q339" s="67"/>
      <c r="R339" s="33" t="e">
        <f ca="1"/>
        <v>#N/A</v>
      </c>
      <c r="S339" s="33" t="e">
        <f ca="1"/>
        <v>#N/A</v>
      </c>
      <c r="T339" s="33" t="e">
        <f ca="1"/>
        <v>#N/A</v>
      </c>
      <c r="U339" s="25" t="e">
        <f ca="1"/>
        <v>#N/A</v>
      </c>
      <c r="V339" s="36" t="e">
        <f ca="1"/>
        <v>#N/A</v>
      </c>
      <c r="W339" s="37" t="e">
        <f ca="1"/>
        <v>#N/A</v>
      </c>
      <c r="X339" s="31" t="s">
        <v>1</v>
      </c>
    </row>
    <row r="340" spans="4:24" x14ac:dyDescent="0.25">
      <c r="D340" s="31" t="s">
        <v>1</v>
      </c>
      <c r="E340" s="43">
        <v>332</v>
      </c>
      <c r="F340" s="25" t="e">
        <f ca="1">IF(ISNA(H340),NA(),IF(ISBLANK(G340),IF(FixedAmortizationFrequency=0,F339,IF(MOD((E340-1),FixedAmortizationFrequency)&lt;&gt;0,F339,F339-FixedAmortization)),G340))</f>
        <v>#N/A</v>
      </c>
      <c r="G340" s="67"/>
      <c r="H340" s="63" t="e">
        <f ca="1"/>
        <v>#N/A</v>
      </c>
      <c r="I340" s="33" t="e">
        <f ca="1"/>
        <v>#N/A</v>
      </c>
      <c r="J340" s="33" t="e">
        <f ca="1"/>
        <v>#N/A</v>
      </c>
      <c r="K340" s="25" t="e">
        <f ca="1"/>
        <v>#N/A</v>
      </c>
      <c r="L340" s="36" t="e">
        <f ca="1"/>
        <v>#N/A</v>
      </c>
      <c r="M340" s="37" t="e">
        <f ca="1"/>
        <v>#N/A</v>
      </c>
      <c r="N340" s="38" t="s">
        <v>1</v>
      </c>
      <c r="O340" s="43">
        <v>332</v>
      </c>
      <c r="P340" s="25" t="e">
        <f ca="1">IF(ISNA(R340),NA(),IF(ISBLANK(Q340),IF(FloatAmortizationFrequency=0,P339,IF(MOD((O340-1),FloatAmortizationFrequency)&lt;&gt;0,P339,P339-FloatAmortization)),Q340))</f>
        <v>#N/A</v>
      </c>
      <c r="Q340" s="67"/>
      <c r="R340" s="33" t="e">
        <f ca="1"/>
        <v>#N/A</v>
      </c>
      <c r="S340" s="33" t="e">
        <f ca="1"/>
        <v>#N/A</v>
      </c>
      <c r="T340" s="33" t="e">
        <f ca="1"/>
        <v>#N/A</v>
      </c>
      <c r="U340" s="25" t="e">
        <f ca="1"/>
        <v>#N/A</v>
      </c>
      <c r="V340" s="36" t="e">
        <f ca="1"/>
        <v>#N/A</v>
      </c>
      <c r="W340" s="37" t="e">
        <f ca="1"/>
        <v>#N/A</v>
      </c>
      <c r="X340" s="31" t="s">
        <v>1</v>
      </c>
    </row>
    <row r="341" spans="4:24" x14ac:dyDescent="0.25">
      <c r="D341" s="31" t="s">
        <v>1</v>
      </c>
      <c r="E341" s="43">
        <v>333</v>
      </c>
      <c r="F341" s="25" t="e">
        <f ca="1">IF(ISNA(H341),NA(),IF(ISBLANK(G341),IF(FixedAmortizationFrequency=0,F340,IF(MOD((E341-1),FixedAmortizationFrequency)&lt;&gt;0,F340,F340-FixedAmortization)),G341))</f>
        <v>#N/A</v>
      </c>
      <c r="G341" s="67"/>
      <c r="H341" s="63" t="e">
        <f ca="1"/>
        <v>#N/A</v>
      </c>
      <c r="I341" s="33" t="e">
        <f ca="1"/>
        <v>#N/A</v>
      </c>
      <c r="J341" s="33" t="e">
        <f ca="1"/>
        <v>#N/A</v>
      </c>
      <c r="K341" s="25" t="e">
        <f ca="1"/>
        <v>#N/A</v>
      </c>
      <c r="L341" s="36" t="e">
        <f ca="1"/>
        <v>#N/A</v>
      </c>
      <c r="M341" s="37" t="e">
        <f ca="1"/>
        <v>#N/A</v>
      </c>
      <c r="N341" s="38" t="s">
        <v>1</v>
      </c>
      <c r="O341" s="43">
        <v>333</v>
      </c>
      <c r="P341" s="25" t="e">
        <f ca="1">IF(ISNA(R341),NA(),IF(ISBLANK(Q341),IF(FloatAmortizationFrequency=0,P340,IF(MOD((O341-1),FloatAmortizationFrequency)&lt;&gt;0,P340,P340-FloatAmortization)),Q341))</f>
        <v>#N/A</v>
      </c>
      <c r="Q341" s="67"/>
      <c r="R341" s="33" t="e">
        <f ca="1"/>
        <v>#N/A</v>
      </c>
      <c r="S341" s="33" t="e">
        <f ca="1"/>
        <v>#N/A</v>
      </c>
      <c r="T341" s="33" t="e">
        <f ca="1"/>
        <v>#N/A</v>
      </c>
      <c r="U341" s="25" t="e">
        <f ca="1"/>
        <v>#N/A</v>
      </c>
      <c r="V341" s="36" t="e">
        <f ca="1"/>
        <v>#N/A</v>
      </c>
      <c r="W341" s="37" t="e">
        <f ca="1"/>
        <v>#N/A</v>
      </c>
      <c r="X341" s="31" t="s">
        <v>1</v>
      </c>
    </row>
    <row r="342" spans="4:24" x14ac:dyDescent="0.25">
      <c r="D342" s="31" t="s">
        <v>1</v>
      </c>
      <c r="E342" s="43">
        <v>334</v>
      </c>
      <c r="F342" s="25" t="e">
        <f ca="1">IF(ISNA(H342),NA(),IF(ISBLANK(G342),IF(FixedAmortizationFrequency=0,F341,IF(MOD((E342-1),FixedAmortizationFrequency)&lt;&gt;0,F341,F341-FixedAmortization)),G342))</f>
        <v>#N/A</v>
      </c>
      <c r="G342" s="67"/>
      <c r="H342" s="63" t="e">
        <f ca="1"/>
        <v>#N/A</v>
      </c>
      <c r="I342" s="33" t="e">
        <f ca="1"/>
        <v>#N/A</v>
      </c>
      <c r="J342" s="33" t="e">
        <f ca="1"/>
        <v>#N/A</v>
      </c>
      <c r="K342" s="25" t="e">
        <f ca="1"/>
        <v>#N/A</v>
      </c>
      <c r="L342" s="36" t="e">
        <f ca="1"/>
        <v>#N/A</v>
      </c>
      <c r="M342" s="37" t="e">
        <f ca="1"/>
        <v>#N/A</v>
      </c>
      <c r="N342" s="38" t="s">
        <v>1</v>
      </c>
      <c r="O342" s="43">
        <v>334</v>
      </c>
      <c r="P342" s="25" t="e">
        <f ca="1">IF(ISNA(R342),NA(),IF(ISBLANK(Q342),IF(FloatAmortizationFrequency=0,P341,IF(MOD((O342-1),FloatAmortizationFrequency)&lt;&gt;0,P341,P341-FloatAmortization)),Q342))</f>
        <v>#N/A</v>
      </c>
      <c r="Q342" s="67"/>
      <c r="R342" s="33" t="e">
        <f ca="1"/>
        <v>#N/A</v>
      </c>
      <c r="S342" s="33" t="e">
        <f ca="1"/>
        <v>#N/A</v>
      </c>
      <c r="T342" s="33" t="e">
        <f ca="1"/>
        <v>#N/A</v>
      </c>
      <c r="U342" s="25" t="e">
        <f ca="1"/>
        <v>#N/A</v>
      </c>
      <c r="V342" s="36" t="e">
        <f ca="1"/>
        <v>#N/A</v>
      </c>
      <c r="W342" s="37" t="e">
        <f ca="1"/>
        <v>#N/A</v>
      </c>
      <c r="X342" s="31" t="s">
        <v>1</v>
      </c>
    </row>
    <row r="343" spans="4:24" x14ac:dyDescent="0.25">
      <c r="D343" s="31" t="s">
        <v>1</v>
      </c>
      <c r="E343" s="43">
        <v>335</v>
      </c>
      <c r="F343" s="25" t="e">
        <f ca="1">IF(ISNA(H343),NA(),IF(ISBLANK(G343),IF(FixedAmortizationFrequency=0,F342,IF(MOD((E343-1),FixedAmortizationFrequency)&lt;&gt;0,F342,F342-FixedAmortization)),G343))</f>
        <v>#N/A</v>
      </c>
      <c r="G343" s="67"/>
      <c r="H343" s="63" t="e">
        <f ca="1"/>
        <v>#N/A</v>
      </c>
      <c r="I343" s="33" t="e">
        <f ca="1"/>
        <v>#N/A</v>
      </c>
      <c r="J343" s="33" t="e">
        <f ca="1"/>
        <v>#N/A</v>
      </c>
      <c r="K343" s="25" t="e">
        <f ca="1"/>
        <v>#N/A</v>
      </c>
      <c r="L343" s="36" t="e">
        <f ca="1"/>
        <v>#N/A</v>
      </c>
      <c r="M343" s="37" t="e">
        <f ca="1"/>
        <v>#N/A</v>
      </c>
      <c r="N343" s="38" t="s">
        <v>1</v>
      </c>
      <c r="O343" s="43">
        <v>335</v>
      </c>
      <c r="P343" s="25" t="e">
        <f ca="1">IF(ISNA(R343),NA(),IF(ISBLANK(Q343),IF(FloatAmortizationFrequency=0,P342,IF(MOD((O343-1),FloatAmortizationFrequency)&lt;&gt;0,P342,P342-FloatAmortization)),Q343))</f>
        <v>#N/A</v>
      </c>
      <c r="Q343" s="67"/>
      <c r="R343" s="33" t="e">
        <f ca="1"/>
        <v>#N/A</v>
      </c>
      <c r="S343" s="33" t="e">
        <f ca="1"/>
        <v>#N/A</v>
      </c>
      <c r="T343" s="33" t="e">
        <f ca="1"/>
        <v>#N/A</v>
      </c>
      <c r="U343" s="25" t="e">
        <f ca="1"/>
        <v>#N/A</v>
      </c>
      <c r="V343" s="36" t="e">
        <f ca="1"/>
        <v>#N/A</v>
      </c>
      <c r="W343" s="37" t="e">
        <f ca="1"/>
        <v>#N/A</v>
      </c>
      <c r="X343" s="31" t="s">
        <v>1</v>
      </c>
    </row>
    <row r="344" spans="4:24" x14ac:dyDescent="0.25">
      <c r="D344" s="31" t="s">
        <v>1</v>
      </c>
      <c r="E344" s="43">
        <v>336</v>
      </c>
      <c r="F344" s="25" t="e">
        <f ca="1">IF(ISNA(H344),NA(),IF(ISBLANK(G344),IF(FixedAmortizationFrequency=0,F343,IF(MOD((E344-1),FixedAmortizationFrequency)&lt;&gt;0,F343,F343-FixedAmortization)),G344))</f>
        <v>#N/A</v>
      </c>
      <c r="G344" s="67"/>
      <c r="H344" s="63" t="e">
        <f ca="1"/>
        <v>#N/A</v>
      </c>
      <c r="I344" s="33" t="e">
        <f ca="1"/>
        <v>#N/A</v>
      </c>
      <c r="J344" s="33" t="e">
        <f ca="1"/>
        <v>#N/A</v>
      </c>
      <c r="K344" s="25" t="e">
        <f ca="1"/>
        <v>#N/A</v>
      </c>
      <c r="L344" s="36" t="e">
        <f ca="1"/>
        <v>#N/A</v>
      </c>
      <c r="M344" s="37" t="e">
        <f ca="1"/>
        <v>#N/A</v>
      </c>
      <c r="N344" s="38" t="s">
        <v>1</v>
      </c>
      <c r="O344" s="43">
        <v>336</v>
      </c>
      <c r="P344" s="25" t="e">
        <f ca="1">IF(ISNA(R344),NA(),IF(ISBLANK(Q344),IF(FloatAmortizationFrequency=0,P343,IF(MOD((O344-1),FloatAmortizationFrequency)&lt;&gt;0,P343,P343-FloatAmortization)),Q344))</f>
        <v>#N/A</v>
      </c>
      <c r="Q344" s="67"/>
      <c r="R344" s="33" t="e">
        <f ca="1"/>
        <v>#N/A</v>
      </c>
      <c r="S344" s="33" t="e">
        <f ca="1"/>
        <v>#N/A</v>
      </c>
      <c r="T344" s="33" t="e">
        <f ca="1"/>
        <v>#N/A</v>
      </c>
      <c r="U344" s="25" t="e">
        <f ca="1"/>
        <v>#N/A</v>
      </c>
      <c r="V344" s="36" t="e">
        <f ca="1"/>
        <v>#N/A</v>
      </c>
      <c r="W344" s="37" t="e">
        <f ca="1"/>
        <v>#N/A</v>
      </c>
      <c r="X344" s="31" t="s">
        <v>1</v>
      </c>
    </row>
    <row r="345" spans="4:24" x14ac:dyDescent="0.25">
      <c r="D345" s="31" t="s">
        <v>1</v>
      </c>
      <c r="E345" s="43">
        <v>337</v>
      </c>
      <c r="F345" s="25" t="e">
        <f ca="1">IF(ISNA(H345),NA(),IF(ISBLANK(G345),IF(FixedAmortizationFrequency=0,F344,IF(MOD((E345-1),FixedAmortizationFrequency)&lt;&gt;0,F344,F344-FixedAmortization)),G345))</f>
        <v>#N/A</v>
      </c>
      <c r="G345" s="67"/>
      <c r="H345" s="63" t="e">
        <f ca="1"/>
        <v>#N/A</v>
      </c>
      <c r="I345" s="33" t="e">
        <f ca="1"/>
        <v>#N/A</v>
      </c>
      <c r="J345" s="33" t="e">
        <f ca="1"/>
        <v>#N/A</v>
      </c>
      <c r="K345" s="25" t="e">
        <f ca="1"/>
        <v>#N/A</v>
      </c>
      <c r="L345" s="36" t="e">
        <f ca="1"/>
        <v>#N/A</v>
      </c>
      <c r="M345" s="37" t="e">
        <f ca="1"/>
        <v>#N/A</v>
      </c>
      <c r="N345" s="38" t="s">
        <v>1</v>
      </c>
      <c r="O345" s="43">
        <v>337</v>
      </c>
      <c r="P345" s="25" t="e">
        <f ca="1">IF(ISNA(R345),NA(),IF(ISBLANK(Q345),IF(FloatAmortizationFrequency=0,P344,IF(MOD((O345-1),FloatAmortizationFrequency)&lt;&gt;0,P344,P344-FloatAmortization)),Q345))</f>
        <v>#N/A</v>
      </c>
      <c r="Q345" s="67"/>
      <c r="R345" s="33" t="e">
        <f ca="1"/>
        <v>#N/A</v>
      </c>
      <c r="S345" s="33" t="e">
        <f ca="1"/>
        <v>#N/A</v>
      </c>
      <c r="T345" s="33" t="e">
        <f ca="1"/>
        <v>#N/A</v>
      </c>
      <c r="U345" s="25" t="e">
        <f ca="1"/>
        <v>#N/A</v>
      </c>
      <c r="V345" s="36" t="e">
        <f ca="1"/>
        <v>#N/A</v>
      </c>
      <c r="W345" s="37" t="e">
        <f ca="1"/>
        <v>#N/A</v>
      </c>
      <c r="X345" s="31" t="s">
        <v>1</v>
      </c>
    </row>
    <row r="346" spans="4:24" x14ac:dyDescent="0.25">
      <c r="D346" s="31" t="s">
        <v>1</v>
      </c>
      <c r="E346" s="43">
        <v>338</v>
      </c>
      <c r="F346" s="25" t="e">
        <f ca="1">IF(ISNA(H346),NA(),IF(ISBLANK(G346),IF(FixedAmortizationFrequency=0,F345,IF(MOD((E346-1),FixedAmortizationFrequency)&lt;&gt;0,F345,F345-FixedAmortization)),G346))</f>
        <v>#N/A</v>
      </c>
      <c r="G346" s="67"/>
      <c r="H346" s="63" t="e">
        <f ca="1"/>
        <v>#N/A</v>
      </c>
      <c r="I346" s="33" t="e">
        <f ca="1"/>
        <v>#N/A</v>
      </c>
      <c r="J346" s="33" t="e">
        <f ca="1"/>
        <v>#N/A</v>
      </c>
      <c r="K346" s="25" t="e">
        <f ca="1"/>
        <v>#N/A</v>
      </c>
      <c r="L346" s="36" t="e">
        <f ca="1"/>
        <v>#N/A</v>
      </c>
      <c r="M346" s="37" t="e">
        <f ca="1"/>
        <v>#N/A</v>
      </c>
      <c r="N346" s="38" t="s">
        <v>1</v>
      </c>
      <c r="O346" s="43">
        <v>338</v>
      </c>
      <c r="P346" s="25" t="e">
        <f ca="1">IF(ISNA(R346),NA(),IF(ISBLANK(Q346),IF(FloatAmortizationFrequency=0,P345,IF(MOD((O346-1),FloatAmortizationFrequency)&lt;&gt;0,P345,P345-FloatAmortization)),Q346))</f>
        <v>#N/A</v>
      </c>
      <c r="Q346" s="67"/>
      <c r="R346" s="33" t="e">
        <f ca="1"/>
        <v>#N/A</v>
      </c>
      <c r="S346" s="33" t="e">
        <f ca="1"/>
        <v>#N/A</v>
      </c>
      <c r="T346" s="33" t="e">
        <f ca="1"/>
        <v>#N/A</v>
      </c>
      <c r="U346" s="25" t="e">
        <f ca="1"/>
        <v>#N/A</v>
      </c>
      <c r="V346" s="36" t="e">
        <f ca="1"/>
        <v>#N/A</v>
      </c>
      <c r="W346" s="37" t="e">
        <f ca="1"/>
        <v>#N/A</v>
      </c>
      <c r="X346" s="31" t="s">
        <v>1</v>
      </c>
    </row>
    <row r="347" spans="4:24" x14ac:dyDescent="0.25">
      <c r="D347" s="31" t="s">
        <v>1</v>
      </c>
      <c r="E347" s="43">
        <v>339</v>
      </c>
      <c r="F347" s="25" t="e">
        <f ca="1">IF(ISNA(H347),NA(),IF(ISBLANK(G347),IF(FixedAmortizationFrequency=0,F346,IF(MOD((E347-1),FixedAmortizationFrequency)&lt;&gt;0,F346,F346-FixedAmortization)),G347))</f>
        <v>#N/A</v>
      </c>
      <c r="G347" s="67"/>
      <c r="H347" s="63" t="e">
        <f ca="1"/>
        <v>#N/A</v>
      </c>
      <c r="I347" s="33" t="e">
        <f ca="1"/>
        <v>#N/A</v>
      </c>
      <c r="J347" s="33" t="e">
        <f ca="1"/>
        <v>#N/A</v>
      </c>
      <c r="K347" s="25" t="e">
        <f ca="1"/>
        <v>#N/A</v>
      </c>
      <c r="L347" s="36" t="e">
        <f ca="1"/>
        <v>#N/A</v>
      </c>
      <c r="M347" s="37" t="e">
        <f ca="1"/>
        <v>#N/A</v>
      </c>
      <c r="N347" s="38" t="s">
        <v>1</v>
      </c>
      <c r="O347" s="43">
        <v>339</v>
      </c>
      <c r="P347" s="25" t="e">
        <f ca="1">IF(ISNA(R347),NA(),IF(ISBLANK(Q347),IF(FloatAmortizationFrequency=0,P346,IF(MOD((O347-1),FloatAmortizationFrequency)&lt;&gt;0,P346,P346-FloatAmortization)),Q347))</f>
        <v>#N/A</v>
      </c>
      <c r="Q347" s="67"/>
      <c r="R347" s="33" t="e">
        <f ca="1"/>
        <v>#N/A</v>
      </c>
      <c r="S347" s="33" t="e">
        <f ca="1"/>
        <v>#N/A</v>
      </c>
      <c r="T347" s="33" t="e">
        <f ca="1"/>
        <v>#N/A</v>
      </c>
      <c r="U347" s="25" t="e">
        <f ca="1"/>
        <v>#N/A</v>
      </c>
      <c r="V347" s="36" t="e">
        <f ca="1"/>
        <v>#N/A</v>
      </c>
      <c r="W347" s="37" t="e">
        <f ca="1"/>
        <v>#N/A</v>
      </c>
      <c r="X347" s="31" t="s">
        <v>1</v>
      </c>
    </row>
    <row r="348" spans="4:24" x14ac:dyDescent="0.25">
      <c r="D348" s="31" t="s">
        <v>1</v>
      </c>
      <c r="E348" s="43">
        <v>340</v>
      </c>
      <c r="F348" s="25" t="e">
        <f ca="1">IF(ISNA(H348),NA(),IF(ISBLANK(G348),IF(FixedAmortizationFrequency=0,F347,IF(MOD((E348-1),FixedAmortizationFrequency)&lt;&gt;0,F347,F347-FixedAmortization)),G348))</f>
        <v>#N/A</v>
      </c>
      <c r="G348" s="67"/>
      <c r="H348" s="63" t="e">
        <f ca="1"/>
        <v>#N/A</v>
      </c>
      <c r="I348" s="33" t="e">
        <f ca="1"/>
        <v>#N/A</v>
      </c>
      <c r="J348" s="33" t="e">
        <f ca="1"/>
        <v>#N/A</v>
      </c>
      <c r="K348" s="25" t="e">
        <f ca="1"/>
        <v>#N/A</v>
      </c>
      <c r="L348" s="36" t="e">
        <f ca="1"/>
        <v>#N/A</v>
      </c>
      <c r="M348" s="37" t="e">
        <f ca="1"/>
        <v>#N/A</v>
      </c>
      <c r="N348" s="38" t="s">
        <v>1</v>
      </c>
      <c r="O348" s="43">
        <v>340</v>
      </c>
      <c r="P348" s="25" t="e">
        <f ca="1">IF(ISNA(R348),NA(),IF(ISBLANK(Q348),IF(FloatAmortizationFrequency=0,P347,IF(MOD((O348-1),FloatAmortizationFrequency)&lt;&gt;0,P347,P347-FloatAmortization)),Q348))</f>
        <v>#N/A</v>
      </c>
      <c r="Q348" s="67"/>
      <c r="R348" s="33" t="e">
        <f ca="1"/>
        <v>#N/A</v>
      </c>
      <c r="S348" s="33" t="e">
        <f ca="1"/>
        <v>#N/A</v>
      </c>
      <c r="T348" s="33" t="e">
        <f ca="1"/>
        <v>#N/A</v>
      </c>
      <c r="U348" s="25" t="e">
        <f ca="1"/>
        <v>#N/A</v>
      </c>
      <c r="V348" s="36" t="e">
        <f ca="1"/>
        <v>#N/A</v>
      </c>
      <c r="W348" s="37" t="e">
        <f ca="1"/>
        <v>#N/A</v>
      </c>
      <c r="X348" s="31" t="s">
        <v>1</v>
      </c>
    </row>
    <row r="349" spans="4:24" x14ac:dyDescent="0.25">
      <c r="D349" s="31" t="s">
        <v>1</v>
      </c>
      <c r="E349" s="43">
        <v>341</v>
      </c>
      <c r="F349" s="25" t="e">
        <f ca="1">IF(ISNA(H349),NA(),IF(ISBLANK(G349),IF(FixedAmortizationFrequency=0,F348,IF(MOD((E349-1),FixedAmortizationFrequency)&lt;&gt;0,F348,F348-FixedAmortization)),G349))</f>
        <v>#N/A</v>
      </c>
      <c r="G349" s="67"/>
      <c r="H349" s="63" t="e">
        <f ca="1"/>
        <v>#N/A</v>
      </c>
      <c r="I349" s="33" t="e">
        <f ca="1"/>
        <v>#N/A</v>
      </c>
      <c r="J349" s="33" t="e">
        <f ca="1"/>
        <v>#N/A</v>
      </c>
      <c r="K349" s="25" t="e">
        <f ca="1"/>
        <v>#N/A</v>
      </c>
      <c r="L349" s="36" t="e">
        <f ca="1"/>
        <v>#N/A</v>
      </c>
      <c r="M349" s="37" t="e">
        <f ca="1"/>
        <v>#N/A</v>
      </c>
      <c r="N349" s="38" t="s">
        <v>1</v>
      </c>
      <c r="O349" s="43">
        <v>341</v>
      </c>
      <c r="P349" s="25" t="e">
        <f ca="1">IF(ISNA(R349),NA(),IF(ISBLANK(Q349),IF(FloatAmortizationFrequency=0,P348,IF(MOD((O349-1),FloatAmortizationFrequency)&lt;&gt;0,P348,P348-FloatAmortization)),Q349))</f>
        <v>#N/A</v>
      </c>
      <c r="Q349" s="67"/>
      <c r="R349" s="33" t="e">
        <f ca="1"/>
        <v>#N/A</v>
      </c>
      <c r="S349" s="33" t="e">
        <f ca="1"/>
        <v>#N/A</v>
      </c>
      <c r="T349" s="33" t="e">
        <f ca="1"/>
        <v>#N/A</v>
      </c>
      <c r="U349" s="25" t="e">
        <f ca="1"/>
        <v>#N/A</v>
      </c>
      <c r="V349" s="36" t="e">
        <f ca="1"/>
        <v>#N/A</v>
      </c>
      <c r="W349" s="37" t="e">
        <f ca="1"/>
        <v>#N/A</v>
      </c>
      <c r="X349" s="31" t="s">
        <v>1</v>
      </c>
    </row>
    <row r="350" spans="4:24" x14ac:dyDescent="0.25">
      <c r="D350" s="31" t="s">
        <v>1</v>
      </c>
      <c r="E350" s="43">
        <v>342</v>
      </c>
      <c r="F350" s="25" t="e">
        <f ca="1">IF(ISNA(H350),NA(),IF(ISBLANK(G350),IF(FixedAmortizationFrequency=0,F349,IF(MOD((E350-1),FixedAmortizationFrequency)&lt;&gt;0,F349,F349-FixedAmortization)),G350))</f>
        <v>#N/A</v>
      </c>
      <c r="G350" s="67"/>
      <c r="H350" s="63" t="e">
        <f ca="1"/>
        <v>#N/A</v>
      </c>
      <c r="I350" s="33" t="e">
        <f ca="1"/>
        <v>#N/A</v>
      </c>
      <c r="J350" s="33" t="e">
        <f ca="1"/>
        <v>#N/A</v>
      </c>
      <c r="K350" s="25" t="e">
        <f ca="1"/>
        <v>#N/A</v>
      </c>
      <c r="L350" s="36" t="e">
        <f ca="1"/>
        <v>#N/A</v>
      </c>
      <c r="M350" s="37" t="e">
        <f ca="1"/>
        <v>#N/A</v>
      </c>
      <c r="N350" s="38" t="s">
        <v>1</v>
      </c>
      <c r="O350" s="43">
        <v>342</v>
      </c>
      <c r="P350" s="25" t="e">
        <f ca="1">IF(ISNA(R350),NA(),IF(ISBLANK(Q350),IF(FloatAmortizationFrequency=0,P349,IF(MOD((O350-1),FloatAmortizationFrequency)&lt;&gt;0,P349,P349-FloatAmortization)),Q350))</f>
        <v>#N/A</v>
      </c>
      <c r="Q350" s="67"/>
      <c r="R350" s="33" t="e">
        <f ca="1"/>
        <v>#N/A</v>
      </c>
      <c r="S350" s="33" t="e">
        <f ca="1"/>
        <v>#N/A</v>
      </c>
      <c r="T350" s="33" t="e">
        <f ca="1"/>
        <v>#N/A</v>
      </c>
      <c r="U350" s="25" t="e">
        <f ca="1"/>
        <v>#N/A</v>
      </c>
      <c r="V350" s="36" t="e">
        <f ca="1"/>
        <v>#N/A</v>
      </c>
      <c r="W350" s="37" t="e">
        <f ca="1"/>
        <v>#N/A</v>
      </c>
      <c r="X350" s="31" t="s">
        <v>1</v>
      </c>
    </row>
    <row r="351" spans="4:24" x14ac:dyDescent="0.25">
      <c r="D351" s="31" t="s">
        <v>1</v>
      </c>
      <c r="E351" s="43">
        <v>343</v>
      </c>
      <c r="F351" s="25" t="e">
        <f ca="1">IF(ISNA(H351),NA(),IF(ISBLANK(G351),IF(FixedAmortizationFrequency=0,F350,IF(MOD((E351-1),FixedAmortizationFrequency)&lt;&gt;0,F350,F350-FixedAmortization)),G351))</f>
        <v>#N/A</v>
      </c>
      <c r="G351" s="67"/>
      <c r="H351" s="63" t="e">
        <f ca="1"/>
        <v>#N/A</v>
      </c>
      <c r="I351" s="33" t="e">
        <f ca="1"/>
        <v>#N/A</v>
      </c>
      <c r="J351" s="33" t="e">
        <f ca="1"/>
        <v>#N/A</v>
      </c>
      <c r="K351" s="25" t="e">
        <f ca="1"/>
        <v>#N/A</v>
      </c>
      <c r="L351" s="36" t="e">
        <f ca="1"/>
        <v>#N/A</v>
      </c>
      <c r="M351" s="37" t="e">
        <f ca="1"/>
        <v>#N/A</v>
      </c>
      <c r="N351" s="38" t="s">
        <v>1</v>
      </c>
      <c r="O351" s="43">
        <v>343</v>
      </c>
      <c r="P351" s="25" t="e">
        <f ca="1">IF(ISNA(R351),NA(),IF(ISBLANK(Q351),IF(FloatAmortizationFrequency=0,P350,IF(MOD((O351-1),FloatAmortizationFrequency)&lt;&gt;0,P350,P350-FloatAmortization)),Q351))</f>
        <v>#N/A</v>
      </c>
      <c r="Q351" s="67"/>
      <c r="R351" s="33" t="e">
        <f ca="1"/>
        <v>#N/A</v>
      </c>
      <c r="S351" s="33" t="e">
        <f ca="1"/>
        <v>#N/A</v>
      </c>
      <c r="T351" s="33" t="e">
        <f ca="1"/>
        <v>#N/A</v>
      </c>
      <c r="U351" s="25" t="e">
        <f ca="1"/>
        <v>#N/A</v>
      </c>
      <c r="V351" s="36" t="e">
        <f ca="1"/>
        <v>#N/A</v>
      </c>
      <c r="W351" s="37" t="e">
        <f ca="1"/>
        <v>#N/A</v>
      </c>
      <c r="X351" s="31" t="s">
        <v>1</v>
      </c>
    </row>
    <row r="352" spans="4:24" x14ac:dyDescent="0.25">
      <c r="D352" s="31" t="s">
        <v>1</v>
      </c>
      <c r="E352" s="43">
        <v>344</v>
      </c>
      <c r="F352" s="25" t="e">
        <f ca="1">IF(ISNA(H352),NA(),IF(ISBLANK(G352),IF(FixedAmortizationFrequency=0,F351,IF(MOD((E352-1),FixedAmortizationFrequency)&lt;&gt;0,F351,F351-FixedAmortization)),G352))</f>
        <v>#N/A</v>
      </c>
      <c r="G352" s="67"/>
      <c r="H352" s="63" t="e">
        <f ca="1"/>
        <v>#N/A</v>
      </c>
      <c r="I352" s="33" t="e">
        <f ca="1"/>
        <v>#N/A</v>
      </c>
      <c r="J352" s="33" t="e">
        <f ca="1"/>
        <v>#N/A</v>
      </c>
      <c r="K352" s="25" t="e">
        <f ca="1"/>
        <v>#N/A</v>
      </c>
      <c r="L352" s="36" t="e">
        <f ca="1"/>
        <v>#N/A</v>
      </c>
      <c r="M352" s="37" t="e">
        <f ca="1"/>
        <v>#N/A</v>
      </c>
      <c r="N352" s="38" t="s">
        <v>1</v>
      </c>
      <c r="O352" s="43">
        <v>344</v>
      </c>
      <c r="P352" s="25" t="e">
        <f ca="1">IF(ISNA(R352),NA(),IF(ISBLANK(Q352),IF(FloatAmortizationFrequency=0,P351,IF(MOD((O352-1),FloatAmortizationFrequency)&lt;&gt;0,P351,P351-FloatAmortization)),Q352))</f>
        <v>#N/A</v>
      </c>
      <c r="Q352" s="67"/>
      <c r="R352" s="33" t="e">
        <f ca="1"/>
        <v>#N/A</v>
      </c>
      <c r="S352" s="33" t="e">
        <f ca="1"/>
        <v>#N/A</v>
      </c>
      <c r="T352" s="33" t="e">
        <f ca="1"/>
        <v>#N/A</v>
      </c>
      <c r="U352" s="25" t="e">
        <f ca="1"/>
        <v>#N/A</v>
      </c>
      <c r="V352" s="36" t="e">
        <f ca="1"/>
        <v>#N/A</v>
      </c>
      <c r="W352" s="37" t="e">
        <f ca="1"/>
        <v>#N/A</v>
      </c>
      <c r="X352" s="31" t="s">
        <v>1</v>
      </c>
    </row>
    <row r="353" spans="4:24" x14ac:dyDescent="0.25">
      <c r="D353" s="31" t="s">
        <v>1</v>
      </c>
      <c r="E353" s="43">
        <v>345</v>
      </c>
      <c r="F353" s="25" t="e">
        <f ca="1">IF(ISNA(H353),NA(),IF(ISBLANK(G353),IF(FixedAmortizationFrequency=0,F352,IF(MOD((E353-1),FixedAmortizationFrequency)&lt;&gt;0,F352,F352-FixedAmortization)),G353))</f>
        <v>#N/A</v>
      </c>
      <c r="G353" s="67"/>
      <c r="H353" s="63" t="e">
        <f ca="1"/>
        <v>#N/A</v>
      </c>
      <c r="I353" s="33" t="e">
        <f ca="1"/>
        <v>#N/A</v>
      </c>
      <c r="J353" s="33" t="e">
        <f ca="1"/>
        <v>#N/A</v>
      </c>
      <c r="K353" s="25" t="e">
        <f ca="1"/>
        <v>#N/A</v>
      </c>
      <c r="L353" s="36" t="e">
        <f ca="1"/>
        <v>#N/A</v>
      </c>
      <c r="M353" s="37" t="e">
        <f ca="1"/>
        <v>#N/A</v>
      </c>
      <c r="N353" s="38" t="s">
        <v>1</v>
      </c>
      <c r="O353" s="43">
        <v>345</v>
      </c>
      <c r="P353" s="25" t="e">
        <f ca="1">IF(ISNA(R353),NA(),IF(ISBLANK(Q353),IF(FloatAmortizationFrequency=0,P352,IF(MOD((O353-1),FloatAmortizationFrequency)&lt;&gt;0,P352,P352-FloatAmortization)),Q353))</f>
        <v>#N/A</v>
      </c>
      <c r="Q353" s="67"/>
      <c r="R353" s="33" t="e">
        <f ca="1"/>
        <v>#N/A</v>
      </c>
      <c r="S353" s="33" t="e">
        <f ca="1"/>
        <v>#N/A</v>
      </c>
      <c r="T353" s="33" t="e">
        <f ca="1"/>
        <v>#N/A</v>
      </c>
      <c r="U353" s="25" t="e">
        <f ca="1"/>
        <v>#N/A</v>
      </c>
      <c r="V353" s="36" t="e">
        <f ca="1"/>
        <v>#N/A</v>
      </c>
      <c r="W353" s="37" t="e">
        <f ca="1"/>
        <v>#N/A</v>
      </c>
      <c r="X353" s="31" t="s">
        <v>1</v>
      </c>
    </row>
    <row r="354" spans="4:24" x14ac:dyDescent="0.25">
      <c r="D354" s="31" t="s">
        <v>1</v>
      </c>
      <c r="E354" s="43">
        <v>346</v>
      </c>
      <c r="F354" s="25" t="e">
        <f ca="1">IF(ISNA(H354),NA(),IF(ISBLANK(G354),IF(FixedAmortizationFrequency=0,F353,IF(MOD((E354-1),FixedAmortizationFrequency)&lt;&gt;0,F353,F353-FixedAmortization)),G354))</f>
        <v>#N/A</v>
      </c>
      <c r="G354" s="67"/>
      <c r="H354" s="63" t="e">
        <f ca="1"/>
        <v>#N/A</v>
      </c>
      <c r="I354" s="33" t="e">
        <f ca="1"/>
        <v>#N/A</v>
      </c>
      <c r="J354" s="33" t="e">
        <f ca="1"/>
        <v>#N/A</v>
      </c>
      <c r="K354" s="25" t="e">
        <f ca="1"/>
        <v>#N/A</v>
      </c>
      <c r="L354" s="36" t="e">
        <f ca="1"/>
        <v>#N/A</v>
      </c>
      <c r="M354" s="37" t="e">
        <f ca="1"/>
        <v>#N/A</v>
      </c>
      <c r="N354" s="38" t="s">
        <v>1</v>
      </c>
      <c r="O354" s="43">
        <v>346</v>
      </c>
      <c r="P354" s="25" t="e">
        <f ca="1">IF(ISNA(R354),NA(),IF(ISBLANK(Q354),IF(FloatAmortizationFrequency=0,P353,IF(MOD((O354-1),FloatAmortizationFrequency)&lt;&gt;0,P353,P353-FloatAmortization)),Q354))</f>
        <v>#N/A</v>
      </c>
      <c r="Q354" s="67"/>
      <c r="R354" s="33" t="e">
        <f ca="1"/>
        <v>#N/A</v>
      </c>
      <c r="S354" s="33" t="e">
        <f ca="1"/>
        <v>#N/A</v>
      </c>
      <c r="T354" s="33" t="e">
        <f ca="1"/>
        <v>#N/A</v>
      </c>
      <c r="U354" s="25" t="e">
        <f ca="1"/>
        <v>#N/A</v>
      </c>
      <c r="V354" s="36" t="e">
        <f ca="1"/>
        <v>#N/A</v>
      </c>
      <c r="W354" s="37" t="e">
        <f ca="1"/>
        <v>#N/A</v>
      </c>
      <c r="X354" s="31" t="s">
        <v>1</v>
      </c>
    </row>
    <row r="355" spans="4:24" x14ac:dyDescent="0.25">
      <c r="D355" s="31" t="s">
        <v>1</v>
      </c>
      <c r="E355" s="43">
        <v>347</v>
      </c>
      <c r="F355" s="25" t="e">
        <f ca="1">IF(ISNA(H355),NA(),IF(ISBLANK(G355),IF(FixedAmortizationFrequency=0,F354,IF(MOD((E355-1),FixedAmortizationFrequency)&lt;&gt;0,F354,F354-FixedAmortization)),G355))</f>
        <v>#N/A</v>
      </c>
      <c r="G355" s="67"/>
      <c r="H355" s="63" t="e">
        <f ca="1"/>
        <v>#N/A</v>
      </c>
      <c r="I355" s="33" t="e">
        <f ca="1"/>
        <v>#N/A</v>
      </c>
      <c r="J355" s="33" t="e">
        <f ca="1"/>
        <v>#N/A</v>
      </c>
      <c r="K355" s="25" t="e">
        <f ca="1"/>
        <v>#N/A</v>
      </c>
      <c r="L355" s="36" t="e">
        <f ca="1"/>
        <v>#N/A</v>
      </c>
      <c r="M355" s="37" t="e">
        <f ca="1"/>
        <v>#N/A</v>
      </c>
      <c r="N355" s="38" t="s">
        <v>1</v>
      </c>
      <c r="O355" s="43">
        <v>347</v>
      </c>
      <c r="P355" s="25" t="e">
        <f ca="1">IF(ISNA(R355),NA(),IF(ISBLANK(Q355),IF(FloatAmortizationFrequency=0,P354,IF(MOD((O355-1),FloatAmortizationFrequency)&lt;&gt;0,P354,P354-FloatAmortization)),Q355))</f>
        <v>#N/A</v>
      </c>
      <c r="Q355" s="67"/>
      <c r="R355" s="33" t="e">
        <f ca="1"/>
        <v>#N/A</v>
      </c>
      <c r="S355" s="33" t="e">
        <f ca="1"/>
        <v>#N/A</v>
      </c>
      <c r="T355" s="33" t="e">
        <f ca="1"/>
        <v>#N/A</v>
      </c>
      <c r="U355" s="25" t="e">
        <f ca="1"/>
        <v>#N/A</v>
      </c>
      <c r="V355" s="36" t="e">
        <f ca="1"/>
        <v>#N/A</v>
      </c>
      <c r="W355" s="37" t="e">
        <f ca="1"/>
        <v>#N/A</v>
      </c>
      <c r="X355" s="31" t="s">
        <v>1</v>
      </c>
    </row>
    <row r="356" spans="4:24" x14ac:dyDescent="0.25">
      <c r="D356" s="31" t="s">
        <v>1</v>
      </c>
      <c r="E356" s="43">
        <v>348</v>
      </c>
      <c r="F356" s="25" t="e">
        <f ca="1">IF(ISNA(H356),NA(),IF(ISBLANK(G356),IF(FixedAmortizationFrequency=0,F355,IF(MOD((E356-1),FixedAmortizationFrequency)&lt;&gt;0,F355,F355-FixedAmortization)),G356))</f>
        <v>#N/A</v>
      </c>
      <c r="G356" s="67"/>
      <c r="H356" s="63" t="e">
        <f ca="1"/>
        <v>#N/A</v>
      </c>
      <c r="I356" s="33" t="e">
        <f ca="1"/>
        <v>#N/A</v>
      </c>
      <c r="J356" s="33" t="e">
        <f ca="1"/>
        <v>#N/A</v>
      </c>
      <c r="K356" s="25" t="e">
        <f ca="1"/>
        <v>#N/A</v>
      </c>
      <c r="L356" s="36" t="e">
        <f ca="1"/>
        <v>#N/A</v>
      </c>
      <c r="M356" s="37" t="e">
        <f ca="1"/>
        <v>#N/A</v>
      </c>
      <c r="N356" s="38" t="s">
        <v>1</v>
      </c>
      <c r="O356" s="43">
        <v>348</v>
      </c>
      <c r="P356" s="25" t="e">
        <f ca="1">IF(ISNA(R356),NA(),IF(ISBLANK(Q356),IF(FloatAmortizationFrequency=0,P355,IF(MOD((O356-1),FloatAmortizationFrequency)&lt;&gt;0,P355,P355-FloatAmortization)),Q356))</f>
        <v>#N/A</v>
      </c>
      <c r="Q356" s="67"/>
      <c r="R356" s="33" t="e">
        <f ca="1"/>
        <v>#N/A</v>
      </c>
      <c r="S356" s="33" t="e">
        <f ca="1"/>
        <v>#N/A</v>
      </c>
      <c r="T356" s="33" t="e">
        <f ca="1"/>
        <v>#N/A</v>
      </c>
      <c r="U356" s="25" t="e">
        <f ca="1"/>
        <v>#N/A</v>
      </c>
      <c r="V356" s="36" t="e">
        <f ca="1"/>
        <v>#N/A</v>
      </c>
      <c r="W356" s="37" t="e">
        <f ca="1"/>
        <v>#N/A</v>
      </c>
      <c r="X356" s="31" t="s">
        <v>1</v>
      </c>
    </row>
    <row r="357" spans="4:24" x14ac:dyDescent="0.25">
      <c r="D357" s="31" t="s">
        <v>1</v>
      </c>
      <c r="E357" s="43">
        <v>349</v>
      </c>
      <c r="F357" s="25" t="e">
        <f ca="1">IF(ISNA(H357),NA(),IF(ISBLANK(G357),IF(FixedAmortizationFrequency=0,F356,IF(MOD((E357-1),FixedAmortizationFrequency)&lt;&gt;0,F356,F356-FixedAmortization)),G357))</f>
        <v>#N/A</v>
      </c>
      <c r="G357" s="67"/>
      <c r="H357" s="63" t="e">
        <f ca="1"/>
        <v>#N/A</v>
      </c>
      <c r="I357" s="33" t="e">
        <f ca="1"/>
        <v>#N/A</v>
      </c>
      <c r="J357" s="33" t="e">
        <f ca="1"/>
        <v>#N/A</v>
      </c>
      <c r="K357" s="25" t="e">
        <f ca="1"/>
        <v>#N/A</v>
      </c>
      <c r="L357" s="36" t="e">
        <f ca="1"/>
        <v>#N/A</v>
      </c>
      <c r="M357" s="37" t="e">
        <f ca="1"/>
        <v>#N/A</v>
      </c>
      <c r="N357" s="38" t="s">
        <v>1</v>
      </c>
      <c r="O357" s="43">
        <v>349</v>
      </c>
      <c r="P357" s="25" t="e">
        <f ca="1">IF(ISNA(R357),NA(),IF(ISBLANK(Q357),IF(FloatAmortizationFrequency=0,P356,IF(MOD((O357-1),FloatAmortizationFrequency)&lt;&gt;0,P356,P356-FloatAmortization)),Q357))</f>
        <v>#N/A</v>
      </c>
      <c r="Q357" s="67"/>
      <c r="R357" s="33" t="e">
        <f ca="1"/>
        <v>#N/A</v>
      </c>
      <c r="S357" s="33" t="e">
        <f ca="1"/>
        <v>#N/A</v>
      </c>
      <c r="T357" s="33" t="e">
        <f ca="1"/>
        <v>#N/A</v>
      </c>
      <c r="U357" s="25" t="e">
        <f ca="1"/>
        <v>#N/A</v>
      </c>
      <c r="V357" s="36" t="e">
        <f ca="1"/>
        <v>#N/A</v>
      </c>
      <c r="W357" s="37" t="e">
        <f ca="1"/>
        <v>#N/A</v>
      </c>
      <c r="X357" s="31" t="s">
        <v>1</v>
      </c>
    </row>
    <row r="358" spans="4:24" x14ac:dyDescent="0.25">
      <c r="D358" s="31" t="s">
        <v>1</v>
      </c>
      <c r="E358" s="43">
        <v>350</v>
      </c>
      <c r="F358" s="25" t="e">
        <f ca="1">IF(ISNA(H358),NA(),IF(ISBLANK(G358),IF(FixedAmortizationFrequency=0,F357,IF(MOD((E358-1),FixedAmortizationFrequency)&lt;&gt;0,F357,F357-FixedAmortization)),G358))</f>
        <v>#N/A</v>
      </c>
      <c r="G358" s="67"/>
      <c r="H358" s="63" t="e">
        <f ca="1"/>
        <v>#N/A</v>
      </c>
      <c r="I358" s="33" t="e">
        <f ca="1"/>
        <v>#N/A</v>
      </c>
      <c r="J358" s="33" t="e">
        <f ca="1"/>
        <v>#N/A</v>
      </c>
      <c r="K358" s="25" t="e">
        <f ca="1"/>
        <v>#N/A</v>
      </c>
      <c r="L358" s="36" t="e">
        <f ca="1"/>
        <v>#N/A</v>
      </c>
      <c r="M358" s="37" t="e">
        <f ca="1"/>
        <v>#N/A</v>
      </c>
      <c r="N358" s="38" t="s">
        <v>1</v>
      </c>
      <c r="O358" s="43">
        <v>350</v>
      </c>
      <c r="P358" s="25" t="e">
        <f ca="1">IF(ISNA(R358),NA(),IF(ISBLANK(Q358),IF(FloatAmortizationFrequency=0,P357,IF(MOD((O358-1),FloatAmortizationFrequency)&lt;&gt;0,P357,P357-FloatAmortization)),Q358))</f>
        <v>#N/A</v>
      </c>
      <c r="Q358" s="67"/>
      <c r="R358" s="33" t="e">
        <f ca="1"/>
        <v>#N/A</v>
      </c>
      <c r="S358" s="33" t="e">
        <f ca="1"/>
        <v>#N/A</v>
      </c>
      <c r="T358" s="33" t="e">
        <f ca="1"/>
        <v>#N/A</v>
      </c>
      <c r="U358" s="25" t="e">
        <f ca="1"/>
        <v>#N/A</v>
      </c>
      <c r="V358" s="36" t="e">
        <f ca="1"/>
        <v>#N/A</v>
      </c>
      <c r="W358" s="37" t="e">
        <f ca="1"/>
        <v>#N/A</v>
      </c>
      <c r="X358" s="31" t="s">
        <v>1</v>
      </c>
    </row>
    <row r="359" spans="4:24" x14ac:dyDescent="0.25">
      <c r="D359" s="31" t="s">
        <v>1</v>
      </c>
      <c r="E359" s="43">
        <v>351</v>
      </c>
      <c r="F359" s="25" t="e">
        <f ca="1">IF(ISNA(H359),NA(),IF(ISBLANK(G359),IF(FixedAmortizationFrequency=0,F358,IF(MOD((E359-1),FixedAmortizationFrequency)&lt;&gt;0,F358,F358-FixedAmortization)),G359))</f>
        <v>#N/A</v>
      </c>
      <c r="G359" s="67"/>
      <c r="H359" s="63" t="e">
        <f ca="1"/>
        <v>#N/A</v>
      </c>
      <c r="I359" s="33" t="e">
        <f ca="1"/>
        <v>#N/A</v>
      </c>
      <c r="J359" s="33" t="e">
        <f ca="1"/>
        <v>#N/A</v>
      </c>
      <c r="K359" s="25" t="e">
        <f ca="1"/>
        <v>#N/A</v>
      </c>
      <c r="L359" s="36" t="e">
        <f ca="1"/>
        <v>#N/A</v>
      </c>
      <c r="M359" s="37" t="e">
        <f ca="1"/>
        <v>#N/A</v>
      </c>
      <c r="N359" s="38" t="s">
        <v>1</v>
      </c>
      <c r="O359" s="43">
        <v>351</v>
      </c>
      <c r="P359" s="25" t="e">
        <f ca="1">IF(ISNA(R359),NA(),IF(ISBLANK(Q359),IF(FloatAmortizationFrequency=0,P358,IF(MOD((O359-1),FloatAmortizationFrequency)&lt;&gt;0,P358,P358-FloatAmortization)),Q359))</f>
        <v>#N/A</v>
      </c>
      <c r="Q359" s="67"/>
      <c r="R359" s="33" t="e">
        <f ca="1"/>
        <v>#N/A</v>
      </c>
      <c r="S359" s="33" t="e">
        <f ca="1"/>
        <v>#N/A</v>
      </c>
      <c r="T359" s="33" t="e">
        <f ca="1"/>
        <v>#N/A</v>
      </c>
      <c r="U359" s="25" t="e">
        <f ca="1"/>
        <v>#N/A</v>
      </c>
      <c r="V359" s="36" t="e">
        <f ca="1"/>
        <v>#N/A</v>
      </c>
      <c r="W359" s="37" t="e">
        <f ca="1"/>
        <v>#N/A</v>
      </c>
      <c r="X359" s="31" t="s">
        <v>1</v>
      </c>
    </row>
    <row r="360" spans="4:24" x14ac:dyDescent="0.25">
      <c r="D360" s="31" t="s">
        <v>1</v>
      </c>
      <c r="E360" s="43">
        <v>352</v>
      </c>
      <c r="F360" s="25" t="e">
        <f ca="1">IF(ISNA(H360),NA(),IF(ISBLANK(G360),IF(FixedAmortizationFrequency=0,F359,IF(MOD((E360-1),FixedAmortizationFrequency)&lt;&gt;0,F359,F359-FixedAmortization)),G360))</f>
        <v>#N/A</v>
      </c>
      <c r="G360" s="67"/>
      <c r="H360" s="63" t="e">
        <f ca="1"/>
        <v>#N/A</v>
      </c>
      <c r="I360" s="33" t="e">
        <f ca="1"/>
        <v>#N/A</v>
      </c>
      <c r="J360" s="33" t="e">
        <f ca="1"/>
        <v>#N/A</v>
      </c>
      <c r="K360" s="25" t="e">
        <f ca="1"/>
        <v>#N/A</v>
      </c>
      <c r="L360" s="36" t="e">
        <f ca="1"/>
        <v>#N/A</v>
      </c>
      <c r="M360" s="37" t="e">
        <f ca="1"/>
        <v>#N/A</v>
      </c>
      <c r="N360" s="38" t="s">
        <v>1</v>
      </c>
      <c r="O360" s="43">
        <v>352</v>
      </c>
      <c r="P360" s="25" t="e">
        <f ca="1">IF(ISNA(R360),NA(),IF(ISBLANK(Q360),IF(FloatAmortizationFrequency=0,P359,IF(MOD((O360-1),FloatAmortizationFrequency)&lt;&gt;0,P359,P359-FloatAmortization)),Q360))</f>
        <v>#N/A</v>
      </c>
      <c r="Q360" s="67"/>
      <c r="R360" s="33" t="e">
        <f ca="1"/>
        <v>#N/A</v>
      </c>
      <c r="S360" s="33" t="e">
        <f ca="1"/>
        <v>#N/A</v>
      </c>
      <c r="T360" s="33" t="e">
        <f ca="1"/>
        <v>#N/A</v>
      </c>
      <c r="U360" s="25" t="e">
        <f ca="1"/>
        <v>#N/A</v>
      </c>
      <c r="V360" s="36" t="e">
        <f ca="1"/>
        <v>#N/A</v>
      </c>
      <c r="W360" s="37" t="e">
        <f ca="1"/>
        <v>#N/A</v>
      </c>
      <c r="X360" s="31" t="s">
        <v>1</v>
      </c>
    </row>
    <row r="361" spans="4:24" x14ac:dyDescent="0.25">
      <c r="D361" s="31" t="s">
        <v>1</v>
      </c>
      <c r="E361" s="43">
        <v>353</v>
      </c>
      <c r="F361" s="25" t="e">
        <f ca="1">IF(ISNA(H361),NA(),IF(ISBLANK(G361),IF(FixedAmortizationFrequency=0,F360,IF(MOD((E361-1),FixedAmortizationFrequency)&lt;&gt;0,F360,F360-FixedAmortization)),G361))</f>
        <v>#N/A</v>
      </c>
      <c r="G361" s="67"/>
      <c r="H361" s="63" t="e">
        <f ca="1"/>
        <v>#N/A</v>
      </c>
      <c r="I361" s="33" t="e">
        <f ca="1"/>
        <v>#N/A</v>
      </c>
      <c r="J361" s="33" t="e">
        <f ca="1"/>
        <v>#N/A</v>
      </c>
      <c r="K361" s="25" t="e">
        <f ca="1"/>
        <v>#N/A</v>
      </c>
      <c r="L361" s="36" t="e">
        <f ca="1"/>
        <v>#N/A</v>
      </c>
      <c r="M361" s="37" t="e">
        <f ca="1"/>
        <v>#N/A</v>
      </c>
      <c r="N361" s="38" t="s">
        <v>1</v>
      </c>
      <c r="O361" s="43">
        <v>353</v>
      </c>
      <c r="P361" s="25" t="e">
        <f ca="1">IF(ISNA(R361),NA(),IF(ISBLANK(Q361),IF(FloatAmortizationFrequency=0,P360,IF(MOD((O361-1),FloatAmortizationFrequency)&lt;&gt;0,P360,P360-FloatAmortization)),Q361))</f>
        <v>#N/A</v>
      </c>
      <c r="Q361" s="67"/>
      <c r="R361" s="33" t="e">
        <f ca="1"/>
        <v>#N/A</v>
      </c>
      <c r="S361" s="33" t="e">
        <f ca="1"/>
        <v>#N/A</v>
      </c>
      <c r="T361" s="33" t="e">
        <f ca="1"/>
        <v>#N/A</v>
      </c>
      <c r="U361" s="25" t="e">
        <f ca="1"/>
        <v>#N/A</v>
      </c>
      <c r="V361" s="36" t="e">
        <f ca="1"/>
        <v>#N/A</v>
      </c>
      <c r="W361" s="37" t="e">
        <f ca="1"/>
        <v>#N/A</v>
      </c>
      <c r="X361" s="31" t="s">
        <v>1</v>
      </c>
    </row>
    <row r="362" spans="4:24" x14ac:dyDescent="0.25">
      <c r="D362" s="31" t="s">
        <v>1</v>
      </c>
      <c r="E362" s="43">
        <v>354</v>
      </c>
      <c r="F362" s="25" t="e">
        <f ca="1">IF(ISNA(H362),NA(),IF(ISBLANK(G362),IF(FixedAmortizationFrequency=0,F361,IF(MOD((E362-1),FixedAmortizationFrequency)&lt;&gt;0,F361,F361-FixedAmortization)),G362))</f>
        <v>#N/A</v>
      </c>
      <c r="G362" s="67"/>
      <c r="H362" s="63" t="e">
        <f ca="1"/>
        <v>#N/A</v>
      </c>
      <c r="I362" s="33" t="e">
        <f ca="1"/>
        <v>#N/A</v>
      </c>
      <c r="J362" s="33" t="e">
        <f ca="1"/>
        <v>#N/A</v>
      </c>
      <c r="K362" s="25" t="e">
        <f ca="1"/>
        <v>#N/A</v>
      </c>
      <c r="L362" s="36" t="e">
        <f ca="1"/>
        <v>#N/A</v>
      </c>
      <c r="M362" s="37" t="e">
        <f ca="1"/>
        <v>#N/A</v>
      </c>
      <c r="N362" s="38" t="s">
        <v>1</v>
      </c>
      <c r="O362" s="43">
        <v>354</v>
      </c>
      <c r="P362" s="25" t="e">
        <f ca="1">IF(ISNA(R362),NA(),IF(ISBLANK(Q362),IF(FloatAmortizationFrequency=0,P361,IF(MOD((O362-1),FloatAmortizationFrequency)&lt;&gt;0,P361,P361-FloatAmortization)),Q362))</f>
        <v>#N/A</v>
      </c>
      <c r="Q362" s="67"/>
      <c r="R362" s="33" t="e">
        <f ca="1"/>
        <v>#N/A</v>
      </c>
      <c r="S362" s="33" t="e">
        <f ca="1"/>
        <v>#N/A</v>
      </c>
      <c r="T362" s="33" t="e">
        <f ca="1"/>
        <v>#N/A</v>
      </c>
      <c r="U362" s="25" t="e">
        <f ca="1"/>
        <v>#N/A</v>
      </c>
      <c r="V362" s="36" t="e">
        <f ca="1"/>
        <v>#N/A</v>
      </c>
      <c r="W362" s="37" t="e">
        <f ca="1"/>
        <v>#N/A</v>
      </c>
      <c r="X362" s="31" t="s">
        <v>1</v>
      </c>
    </row>
    <row r="363" spans="4:24" x14ac:dyDescent="0.25">
      <c r="D363" s="31" t="s">
        <v>1</v>
      </c>
      <c r="E363" s="43">
        <v>355</v>
      </c>
      <c r="F363" s="25" t="e">
        <f ca="1">IF(ISNA(H363),NA(),IF(ISBLANK(G363),IF(FixedAmortizationFrequency=0,F362,IF(MOD((E363-1),FixedAmortizationFrequency)&lt;&gt;0,F362,F362-FixedAmortization)),G363))</f>
        <v>#N/A</v>
      </c>
      <c r="G363" s="67"/>
      <c r="H363" s="63" t="e">
        <f ca="1"/>
        <v>#N/A</v>
      </c>
      <c r="I363" s="33" t="e">
        <f ca="1"/>
        <v>#N/A</v>
      </c>
      <c r="J363" s="33" t="e">
        <f ca="1"/>
        <v>#N/A</v>
      </c>
      <c r="K363" s="25" t="e">
        <f ca="1"/>
        <v>#N/A</v>
      </c>
      <c r="L363" s="36" t="e">
        <f ca="1"/>
        <v>#N/A</v>
      </c>
      <c r="M363" s="37" t="e">
        <f ca="1"/>
        <v>#N/A</v>
      </c>
      <c r="N363" s="38" t="s">
        <v>1</v>
      </c>
      <c r="O363" s="43">
        <v>355</v>
      </c>
      <c r="P363" s="25" t="e">
        <f ca="1">IF(ISNA(R363),NA(),IF(ISBLANK(Q363),IF(FloatAmortizationFrequency=0,P362,IF(MOD((O363-1),FloatAmortizationFrequency)&lt;&gt;0,P362,P362-FloatAmortization)),Q363))</f>
        <v>#N/A</v>
      </c>
      <c r="Q363" s="67"/>
      <c r="R363" s="33" t="e">
        <f ca="1"/>
        <v>#N/A</v>
      </c>
      <c r="S363" s="33" t="e">
        <f ca="1"/>
        <v>#N/A</v>
      </c>
      <c r="T363" s="33" t="e">
        <f ca="1"/>
        <v>#N/A</v>
      </c>
      <c r="U363" s="25" t="e">
        <f ca="1"/>
        <v>#N/A</v>
      </c>
      <c r="V363" s="36" t="e">
        <f ca="1"/>
        <v>#N/A</v>
      </c>
      <c r="W363" s="37" t="e">
        <f ca="1"/>
        <v>#N/A</v>
      </c>
      <c r="X363" s="31" t="s">
        <v>1</v>
      </c>
    </row>
    <row r="364" spans="4:24" x14ac:dyDescent="0.25">
      <c r="D364" s="31" t="s">
        <v>1</v>
      </c>
      <c r="E364" s="43">
        <v>356</v>
      </c>
      <c r="F364" s="25" t="e">
        <f ca="1">IF(ISNA(H364),NA(),IF(ISBLANK(G364),IF(FixedAmortizationFrequency=0,F363,IF(MOD((E364-1),FixedAmortizationFrequency)&lt;&gt;0,F363,F363-FixedAmortization)),G364))</f>
        <v>#N/A</v>
      </c>
      <c r="G364" s="67"/>
      <c r="H364" s="63" t="e">
        <f ca="1"/>
        <v>#N/A</v>
      </c>
      <c r="I364" s="33" t="e">
        <f ca="1"/>
        <v>#N/A</v>
      </c>
      <c r="J364" s="33" t="e">
        <f ca="1"/>
        <v>#N/A</v>
      </c>
      <c r="K364" s="25" t="e">
        <f ca="1"/>
        <v>#N/A</v>
      </c>
      <c r="L364" s="36" t="e">
        <f ca="1"/>
        <v>#N/A</v>
      </c>
      <c r="M364" s="37" t="e">
        <f ca="1"/>
        <v>#N/A</v>
      </c>
      <c r="N364" s="38" t="s">
        <v>1</v>
      </c>
      <c r="O364" s="43">
        <v>356</v>
      </c>
      <c r="P364" s="25" t="e">
        <f ca="1">IF(ISNA(R364),NA(),IF(ISBLANK(Q364),IF(FloatAmortizationFrequency=0,P363,IF(MOD((O364-1),FloatAmortizationFrequency)&lt;&gt;0,P363,P363-FloatAmortization)),Q364))</f>
        <v>#N/A</v>
      </c>
      <c r="Q364" s="67"/>
      <c r="R364" s="33" t="e">
        <f ca="1"/>
        <v>#N/A</v>
      </c>
      <c r="S364" s="33" t="e">
        <f ca="1"/>
        <v>#N/A</v>
      </c>
      <c r="T364" s="33" t="e">
        <f ca="1"/>
        <v>#N/A</v>
      </c>
      <c r="U364" s="25" t="e">
        <f ca="1"/>
        <v>#N/A</v>
      </c>
      <c r="V364" s="36" t="e">
        <f ca="1"/>
        <v>#N/A</v>
      </c>
      <c r="W364" s="37" t="e">
        <f ca="1"/>
        <v>#N/A</v>
      </c>
      <c r="X364" s="31" t="s">
        <v>1</v>
      </c>
    </row>
    <row r="365" spans="4:24" x14ac:dyDescent="0.25">
      <c r="D365" s="31" t="s">
        <v>1</v>
      </c>
      <c r="E365" s="43">
        <v>357</v>
      </c>
      <c r="F365" s="25" t="e">
        <f ca="1">IF(ISNA(H365),NA(),IF(ISBLANK(G365),IF(FixedAmortizationFrequency=0,F364,IF(MOD((E365-1),FixedAmortizationFrequency)&lt;&gt;0,F364,F364-FixedAmortization)),G365))</f>
        <v>#N/A</v>
      </c>
      <c r="G365" s="67"/>
      <c r="H365" s="63" t="e">
        <f ca="1"/>
        <v>#N/A</v>
      </c>
      <c r="I365" s="33" t="e">
        <f ca="1"/>
        <v>#N/A</v>
      </c>
      <c r="J365" s="33" t="e">
        <f ca="1"/>
        <v>#N/A</v>
      </c>
      <c r="K365" s="25" t="e">
        <f ca="1"/>
        <v>#N/A</v>
      </c>
      <c r="L365" s="36" t="e">
        <f ca="1"/>
        <v>#N/A</v>
      </c>
      <c r="M365" s="37" t="e">
        <f ca="1"/>
        <v>#N/A</v>
      </c>
      <c r="N365" s="38" t="s">
        <v>1</v>
      </c>
      <c r="O365" s="43">
        <v>357</v>
      </c>
      <c r="P365" s="25" t="e">
        <f ca="1">IF(ISNA(R365),NA(),IF(ISBLANK(Q365),IF(FloatAmortizationFrequency=0,P364,IF(MOD((O365-1),FloatAmortizationFrequency)&lt;&gt;0,P364,P364-FloatAmortization)),Q365))</f>
        <v>#N/A</v>
      </c>
      <c r="Q365" s="67"/>
      <c r="R365" s="33" t="e">
        <f ca="1"/>
        <v>#N/A</v>
      </c>
      <c r="S365" s="33" t="e">
        <f ca="1"/>
        <v>#N/A</v>
      </c>
      <c r="T365" s="33" t="e">
        <f ca="1"/>
        <v>#N/A</v>
      </c>
      <c r="U365" s="25" t="e">
        <f ca="1"/>
        <v>#N/A</v>
      </c>
      <c r="V365" s="36" t="e">
        <f ca="1"/>
        <v>#N/A</v>
      </c>
      <c r="W365" s="37" t="e">
        <f ca="1"/>
        <v>#N/A</v>
      </c>
      <c r="X365" s="31" t="s">
        <v>1</v>
      </c>
    </row>
    <row r="366" spans="4:24" x14ac:dyDescent="0.25">
      <c r="D366" s="31" t="s">
        <v>1</v>
      </c>
      <c r="E366" s="43">
        <v>358</v>
      </c>
      <c r="F366" s="25" t="e">
        <f ca="1">IF(ISNA(H366),NA(),IF(ISBLANK(G366),IF(FixedAmortizationFrequency=0,F365,IF(MOD((E366-1),FixedAmortizationFrequency)&lt;&gt;0,F365,F365-FixedAmortization)),G366))</f>
        <v>#N/A</v>
      </c>
      <c r="G366" s="67"/>
      <c r="H366" s="63" t="e">
        <f ca="1"/>
        <v>#N/A</v>
      </c>
      <c r="I366" s="33" t="e">
        <f ca="1"/>
        <v>#N/A</v>
      </c>
      <c r="J366" s="33" t="e">
        <f ca="1"/>
        <v>#N/A</v>
      </c>
      <c r="K366" s="25" t="e">
        <f ca="1"/>
        <v>#N/A</v>
      </c>
      <c r="L366" s="36" t="e">
        <f ca="1"/>
        <v>#N/A</v>
      </c>
      <c r="M366" s="37" t="e">
        <f ca="1"/>
        <v>#N/A</v>
      </c>
      <c r="N366" s="38" t="s">
        <v>1</v>
      </c>
      <c r="O366" s="43">
        <v>358</v>
      </c>
      <c r="P366" s="25" t="e">
        <f ca="1">IF(ISNA(R366),NA(),IF(ISBLANK(Q366),IF(FloatAmortizationFrequency=0,P365,IF(MOD((O366-1),FloatAmortizationFrequency)&lt;&gt;0,P365,P365-FloatAmortization)),Q366))</f>
        <v>#N/A</v>
      </c>
      <c r="Q366" s="67"/>
      <c r="R366" s="33" t="e">
        <f ca="1"/>
        <v>#N/A</v>
      </c>
      <c r="S366" s="33" t="e">
        <f ca="1"/>
        <v>#N/A</v>
      </c>
      <c r="T366" s="33" t="e">
        <f ca="1"/>
        <v>#N/A</v>
      </c>
      <c r="U366" s="25" t="e">
        <f ca="1"/>
        <v>#N/A</v>
      </c>
      <c r="V366" s="36" t="e">
        <f ca="1"/>
        <v>#N/A</v>
      </c>
      <c r="W366" s="37" t="e">
        <f ca="1"/>
        <v>#N/A</v>
      </c>
      <c r="X366" s="31" t="s">
        <v>1</v>
      </c>
    </row>
    <row r="367" spans="4:24" x14ac:dyDescent="0.25">
      <c r="D367" s="31" t="s">
        <v>1</v>
      </c>
      <c r="E367" s="43">
        <v>359</v>
      </c>
      <c r="F367" s="25" t="e">
        <f ca="1">IF(ISNA(H367),NA(),IF(ISBLANK(G367),IF(FixedAmortizationFrequency=0,F366,IF(MOD((E367-1),FixedAmortizationFrequency)&lt;&gt;0,F366,F366-FixedAmortization)),G367))</f>
        <v>#N/A</v>
      </c>
      <c r="G367" s="67"/>
      <c r="H367" s="63" t="e">
        <f ca="1"/>
        <v>#N/A</v>
      </c>
      <c r="I367" s="33" t="e">
        <f ca="1"/>
        <v>#N/A</v>
      </c>
      <c r="J367" s="33" t="e">
        <f ca="1"/>
        <v>#N/A</v>
      </c>
      <c r="K367" s="25" t="e">
        <f ca="1"/>
        <v>#N/A</v>
      </c>
      <c r="L367" s="36" t="e">
        <f ca="1"/>
        <v>#N/A</v>
      </c>
      <c r="M367" s="37" t="e">
        <f ca="1"/>
        <v>#N/A</v>
      </c>
      <c r="N367" s="38" t="s">
        <v>1</v>
      </c>
      <c r="O367" s="43">
        <v>359</v>
      </c>
      <c r="P367" s="25" t="e">
        <f ca="1">IF(ISNA(R367),NA(),IF(ISBLANK(Q367),IF(FloatAmortizationFrequency=0,P366,IF(MOD((O367-1),FloatAmortizationFrequency)&lt;&gt;0,P366,P366-FloatAmortization)),Q367))</f>
        <v>#N/A</v>
      </c>
      <c r="Q367" s="67"/>
      <c r="R367" s="33" t="e">
        <f ca="1"/>
        <v>#N/A</v>
      </c>
      <c r="S367" s="33" t="e">
        <f ca="1"/>
        <v>#N/A</v>
      </c>
      <c r="T367" s="33" t="e">
        <f ca="1"/>
        <v>#N/A</v>
      </c>
      <c r="U367" s="25" t="e">
        <f ca="1"/>
        <v>#N/A</v>
      </c>
      <c r="V367" s="36" t="e">
        <f ca="1"/>
        <v>#N/A</v>
      </c>
      <c r="W367" s="37" t="e">
        <f ca="1"/>
        <v>#N/A</v>
      </c>
      <c r="X367" s="31" t="s">
        <v>1</v>
      </c>
    </row>
    <row r="368" spans="4:24" x14ac:dyDescent="0.25">
      <c r="D368" s="31" t="s">
        <v>1</v>
      </c>
      <c r="E368" s="43">
        <v>360</v>
      </c>
      <c r="F368" s="25" t="e">
        <f ca="1">IF(ISNA(H368),NA(),IF(ISBLANK(G368),IF(FixedAmortizationFrequency=0,F367,IF(MOD((E368-1),FixedAmortizationFrequency)&lt;&gt;0,F367,F367-FixedAmortization)),G368))</f>
        <v>#N/A</v>
      </c>
      <c r="G368" s="67"/>
      <c r="H368" s="63" t="e">
        <f ca="1"/>
        <v>#N/A</v>
      </c>
      <c r="I368" s="33" t="e">
        <f ca="1"/>
        <v>#N/A</v>
      </c>
      <c r="J368" s="33" t="e">
        <f ca="1"/>
        <v>#N/A</v>
      </c>
      <c r="K368" s="25" t="e">
        <f ca="1"/>
        <v>#N/A</v>
      </c>
      <c r="L368" s="36" t="e">
        <f ca="1"/>
        <v>#N/A</v>
      </c>
      <c r="M368" s="37" t="e">
        <f ca="1"/>
        <v>#N/A</v>
      </c>
      <c r="N368" s="38" t="s">
        <v>1</v>
      </c>
      <c r="O368" s="43">
        <v>360</v>
      </c>
      <c r="P368" s="25" t="e">
        <f ca="1">IF(ISNA(R368),NA(),IF(ISBLANK(Q368),IF(FloatAmortizationFrequency=0,P367,IF(MOD((O368-1),FloatAmortizationFrequency)&lt;&gt;0,P367,P367-FloatAmortization)),Q368))</f>
        <v>#N/A</v>
      </c>
      <c r="Q368" s="67"/>
      <c r="R368" s="33" t="e">
        <f ca="1"/>
        <v>#N/A</v>
      </c>
      <c r="S368" s="33" t="e">
        <f ca="1"/>
        <v>#N/A</v>
      </c>
      <c r="T368" s="33" t="e">
        <f ca="1"/>
        <v>#N/A</v>
      </c>
      <c r="U368" s="25" t="e">
        <f ca="1"/>
        <v>#N/A</v>
      </c>
      <c r="V368" s="36" t="e">
        <f ca="1"/>
        <v>#N/A</v>
      </c>
      <c r="W368" s="37" t="e">
        <f ca="1"/>
        <v>#N/A</v>
      </c>
      <c r="X368" s="31" t="s">
        <v>1</v>
      </c>
    </row>
    <row r="369" spans="4:24" x14ac:dyDescent="0.25">
      <c r="D369" s="31" t="s">
        <v>1</v>
      </c>
      <c r="E369" s="43">
        <v>361</v>
      </c>
      <c r="F369" s="25" t="e">
        <f ca="1">IF(ISNA(H369),NA(),IF(ISBLANK(G369),IF(FixedAmortizationFrequency=0,F368,IF(MOD((E369-1),FixedAmortizationFrequency)&lt;&gt;0,F368,F368-FixedAmortization)),G369))</f>
        <v>#N/A</v>
      </c>
      <c r="G369" s="67"/>
      <c r="H369" s="63" t="e">
        <f ca="1"/>
        <v>#N/A</v>
      </c>
      <c r="I369" s="33" t="e">
        <f ca="1"/>
        <v>#N/A</v>
      </c>
      <c r="J369" s="33" t="e">
        <f ca="1"/>
        <v>#N/A</v>
      </c>
      <c r="K369" s="25" t="e">
        <f ca="1"/>
        <v>#N/A</v>
      </c>
      <c r="L369" s="36" t="e">
        <f ca="1"/>
        <v>#N/A</v>
      </c>
      <c r="M369" s="37" t="e">
        <f ca="1"/>
        <v>#N/A</v>
      </c>
      <c r="N369" s="38" t="s">
        <v>1</v>
      </c>
      <c r="O369" s="43">
        <v>361</v>
      </c>
      <c r="P369" s="25" t="e">
        <f ca="1">IF(ISNA(R369),NA(),IF(ISBLANK(Q369),IF(FloatAmortizationFrequency=0,P368,IF(MOD((O369-1),FloatAmortizationFrequency)&lt;&gt;0,P368,P368-FloatAmortization)),Q369))</f>
        <v>#N/A</v>
      </c>
      <c r="Q369" s="67"/>
      <c r="R369" s="33" t="e">
        <f ca="1"/>
        <v>#N/A</v>
      </c>
      <c r="S369" s="33" t="e">
        <f ca="1"/>
        <v>#N/A</v>
      </c>
      <c r="T369" s="33" t="e">
        <f ca="1"/>
        <v>#N/A</v>
      </c>
      <c r="U369" s="25" t="e">
        <f ca="1"/>
        <v>#N/A</v>
      </c>
      <c r="V369" s="36" t="e">
        <f ca="1"/>
        <v>#N/A</v>
      </c>
      <c r="W369" s="37" t="e">
        <f ca="1"/>
        <v>#N/A</v>
      </c>
      <c r="X369" s="31" t="s">
        <v>1</v>
      </c>
    </row>
    <row r="370" spans="4:24" x14ac:dyDescent="0.25">
      <c r="D370" s="31" t="s">
        <v>1</v>
      </c>
      <c r="E370" s="43">
        <v>362</v>
      </c>
      <c r="F370" s="25" t="e">
        <f ca="1">IF(ISNA(H370),NA(),IF(ISBLANK(G370),IF(FixedAmortizationFrequency=0,F369,IF(MOD((E370-1),FixedAmortizationFrequency)&lt;&gt;0,F369,F369-FixedAmortization)),G370))</f>
        <v>#N/A</v>
      </c>
      <c r="G370" s="67"/>
      <c r="H370" s="63" t="e">
        <f ca="1"/>
        <v>#N/A</v>
      </c>
      <c r="I370" s="33" t="e">
        <f ca="1"/>
        <v>#N/A</v>
      </c>
      <c r="J370" s="33" t="e">
        <f ca="1"/>
        <v>#N/A</v>
      </c>
      <c r="K370" s="25" t="e">
        <f ca="1"/>
        <v>#N/A</v>
      </c>
      <c r="L370" s="36" t="e">
        <f ca="1"/>
        <v>#N/A</v>
      </c>
      <c r="M370" s="37" t="e">
        <f ca="1"/>
        <v>#N/A</v>
      </c>
      <c r="N370" s="38" t="s">
        <v>1</v>
      </c>
      <c r="O370" s="43">
        <v>362</v>
      </c>
      <c r="P370" s="25" t="e">
        <f ca="1">IF(ISNA(R370),NA(),IF(ISBLANK(Q370),IF(FloatAmortizationFrequency=0,P369,IF(MOD((O370-1),FloatAmortizationFrequency)&lt;&gt;0,P369,P369-FloatAmortization)),Q370))</f>
        <v>#N/A</v>
      </c>
      <c r="Q370" s="67"/>
      <c r="R370" s="33" t="e">
        <f ca="1"/>
        <v>#N/A</v>
      </c>
      <c r="S370" s="33" t="e">
        <f ca="1"/>
        <v>#N/A</v>
      </c>
      <c r="T370" s="33" t="e">
        <f ca="1"/>
        <v>#N/A</v>
      </c>
      <c r="U370" s="25" t="e">
        <f ca="1"/>
        <v>#N/A</v>
      </c>
      <c r="V370" s="36" t="e">
        <f ca="1"/>
        <v>#N/A</v>
      </c>
      <c r="W370" s="37" t="e">
        <f ca="1"/>
        <v>#N/A</v>
      </c>
      <c r="X370" s="31" t="s">
        <v>1</v>
      </c>
    </row>
    <row r="371" spans="4:24" x14ac:dyDescent="0.25">
      <c r="D371" s="31" t="s">
        <v>1</v>
      </c>
      <c r="E371" s="43">
        <v>363</v>
      </c>
      <c r="F371" s="25" t="e">
        <f ca="1">IF(ISNA(H371),NA(),IF(ISBLANK(G371),IF(FixedAmortizationFrequency=0,F370,IF(MOD((E371-1),FixedAmortizationFrequency)&lt;&gt;0,F370,F370-FixedAmortization)),G371))</f>
        <v>#N/A</v>
      </c>
      <c r="G371" s="67"/>
      <c r="H371" s="63" t="e">
        <f ca="1"/>
        <v>#N/A</v>
      </c>
      <c r="I371" s="33" t="e">
        <f ca="1"/>
        <v>#N/A</v>
      </c>
      <c r="J371" s="33" t="e">
        <f ca="1"/>
        <v>#N/A</v>
      </c>
      <c r="K371" s="25" t="e">
        <f ca="1"/>
        <v>#N/A</v>
      </c>
      <c r="L371" s="36" t="e">
        <f ca="1"/>
        <v>#N/A</v>
      </c>
      <c r="M371" s="37" t="e">
        <f ca="1"/>
        <v>#N/A</v>
      </c>
      <c r="N371" s="38" t="s">
        <v>1</v>
      </c>
      <c r="O371" s="43">
        <v>363</v>
      </c>
      <c r="P371" s="25" t="e">
        <f ca="1">IF(ISNA(R371),NA(),IF(ISBLANK(Q371),IF(FloatAmortizationFrequency=0,P370,IF(MOD((O371-1),FloatAmortizationFrequency)&lt;&gt;0,P370,P370-FloatAmortization)),Q371))</f>
        <v>#N/A</v>
      </c>
      <c r="Q371" s="67"/>
      <c r="R371" s="33" t="e">
        <f ca="1"/>
        <v>#N/A</v>
      </c>
      <c r="S371" s="33" t="e">
        <f ca="1"/>
        <v>#N/A</v>
      </c>
      <c r="T371" s="33" t="e">
        <f ca="1"/>
        <v>#N/A</v>
      </c>
      <c r="U371" s="25" t="e">
        <f ca="1"/>
        <v>#N/A</v>
      </c>
      <c r="V371" s="36" t="e">
        <f ca="1"/>
        <v>#N/A</v>
      </c>
      <c r="W371" s="37" t="e">
        <f ca="1"/>
        <v>#N/A</v>
      </c>
      <c r="X371" s="31" t="s">
        <v>1</v>
      </c>
    </row>
    <row r="372" spans="4:24" x14ac:dyDescent="0.25">
      <c r="D372" s="31" t="s">
        <v>1</v>
      </c>
      <c r="E372" s="43">
        <v>364</v>
      </c>
      <c r="F372" s="25" t="e">
        <f ca="1">IF(ISNA(H372),NA(),IF(ISBLANK(G372),IF(FixedAmortizationFrequency=0,F371,IF(MOD((E372-1),FixedAmortizationFrequency)&lt;&gt;0,F371,F371-FixedAmortization)),G372))</f>
        <v>#N/A</v>
      </c>
      <c r="G372" s="67"/>
      <c r="H372" s="63" t="e">
        <f ca="1"/>
        <v>#N/A</v>
      </c>
      <c r="I372" s="33" t="e">
        <f ca="1"/>
        <v>#N/A</v>
      </c>
      <c r="J372" s="33" t="e">
        <f ca="1"/>
        <v>#N/A</v>
      </c>
      <c r="K372" s="25" t="e">
        <f ca="1"/>
        <v>#N/A</v>
      </c>
      <c r="L372" s="36" t="e">
        <f ca="1"/>
        <v>#N/A</v>
      </c>
      <c r="M372" s="37" t="e">
        <f ca="1"/>
        <v>#N/A</v>
      </c>
      <c r="N372" s="38" t="s">
        <v>1</v>
      </c>
      <c r="O372" s="43">
        <v>364</v>
      </c>
      <c r="P372" s="25" t="e">
        <f ca="1">IF(ISNA(R372),NA(),IF(ISBLANK(Q372),IF(FloatAmortizationFrequency=0,P371,IF(MOD((O372-1),FloatAmortizationFrequency)&lt;&gt;0,P371,P371-FloatAmortization)),Q372))</f>
        <v>#N/A</v>
      </c>
      <c r="Q372" s="67"/>
      <c r="R372" s="33" t="e">
        <f ca="1"/>
        <v>#N/A</v>
      </c>
      <c r="S372" s="33" t="e">
        <f ca="1"/>
        <v>#N/A</v>
      </c>
      <c r="T372" s="33" t="e">
        <f ca="1"/>
        <v>#N/A</v>
      </c>
      <c r="U372" s="25" t="e">
        <f ca="1"/>
        <v>#N/A</v>
      </c>
      <c r="V372" s="36" t="e">
        <f ca="1"/>
        <v>#N/A</v>
      </c>
      <c r="W372" s="37" t="e">
        <f ca="1"/>
        <v>#N/A</v>
      </c>
      <c r="X372" s="31" t="s">
        <v>1</v>
      </c>
    </row>
    <row r="373" spans="4:24" x14ac:dyDescent="0.25">
      <c r="D373" s="31" t="s">
        <v>1</v>
      </c>
      <c r="E373" s="43">
        <v>365</v>
      </c>
      <c r="F373" s="25" t="e">
        <f ca="1">IF(ISNA(H373),NA(),IF(ISBLANK(G373),IF(FixedAmortizationFrequency=0,F372,IF(MOD((E373-1),FixedAmortizationFrequency)&lt;&gt;0,F372,F372-FixedAmortization)),G373))</f>
        <v>#N/A</v>
      </c>
      <c r="G373" s="67"/>
      <c r="H373" s="63" t="e">
        <f ca="1"/>
        <v>#N/A</v>
      </c>
      <c r="I373" s="33" t="e">
        <f ca="1"/>
        <v>#N/A</v>
      </c>
      <c r="J373" s="33" t="e">
        <f ca="1"/>
        <v>#N/A</v>
      </c>
      <c r="K373" s="25" t="e">
        <f ca="1"/>
        <v>#N/A</v>
      </c>
      <c r="L373" s="36" t="e">
        <f ca="1"/>
        <v>#N/A</v>
      </c>
      <c r="M373" s="37" t="e">
        <f ca="1"/>
        <v>#N/A</v>
      </c>
      <c r="N373" s="38" t="s">
        <v>1</v>
      </c>
      <c r="O373" s="43">
        <v>365</v>
      </c>
      <c r="P373" s="25" t="e">
        <f ca="1">IF(ISNA(R373),NA(),IF(ISBLANK(Q373),IF(FloatAmortizationFrequency=0,P372,IF(MOD((O373-1),FloatAmortizationFrequency)&lt;&gt;0,P372,P372-FloatAmortization)),Q373))</f>
        <v>#N/A</v>
      </c>
      <c r="Q373" s="67"/>
      <c r="R373" s="33" t="e">
        <f ca="1"/>
        <v>#N/A</v>
      </c>
      <c r="S373" s="33" t="e">
        <f ca="1"/>
        <v>#N/A</v>
      </c>
      <c r="T373" s="33" t="e">
        <f ca="1"/>
        <v>#N/A</v>
      </c>
      <c r="U373" s="25" t="e">
        <f ca="1"/>
        <v>#N/A</v>
      </c>
      <c r="V373" s="36" t="e">
        <f ca="1"/>
        <v>#N/A</v>
      </c>
      <c r="W373" s="37" t="e">
        <f ca="1"/>
        <v>#N/A</v>
      </c>
      <c r="X373" s="31" t="s">
        <v>1</v>
      </c>
    </row>
    <row r="374" spans="4:24" x14ac:dyDescent="0.25">
      <c r="D374" s="31" t="s">
        <v>1</v>
      </c>
      <c r="E374" s="43">
        <v>366</v>
      </c>
      <c r="F374" s="25" t="e">
        <f ca="1">IF(ISNA(H374),NA(),IF(ISBLANK(G374),IF(FixedAmortizationFrequency=0,F373,IF(MOD((E374-1),FixedAmortizationFrequency)&lt;&gt;0,F373,F373-FixedAmortization)),G374))</f>
        <v>#N/A</v>
      </c>
      <c r="G374" s="67"/>
      <c r="H374" s="63" t="e">
        <f ca="1"/>
        <v>#N/A</v>
      </c>
      <c r="I374" s="33" t="e">
        <f ca="1"/>
        <v>#N/A</v>
      </c>
      <c r="J374" s="33" t="e">
        <f ca="1"/>
        <v>#N/A</v>
      </c>
      <c r="K374" s="25" t="e">
        <f ca="1"/>
        <v>#N/A</v>
      </c>
      <c r="L374" s="36" t="e">
        <f ca="1"/>
        <v>#N/A</v>
      </c>
      <c r="M374" s="37" t="e">
        <f ca="1"/>
        <v>#N/A</v>
      </c>
      <c r="N374" s="38" t="s">
        <v>1</v>
      </c>
      <c r="O374" s="43">
        <v>366</v>
      </c>
      <c r="P374" s="25" t="e">
        <f ca="1">IF(ISNA(R374),NA(),IF(ISBLANK(Q374),IF(FloatAmortizationFrequency=0,P373,IF(MOD((O374-1),FloatAmortizationFrequency)&lt;&gt;0,P373,P373-FloatAmortization)),Q374))</f>
        <v>#N/A</v>
      </c>
      <c r="Q374" s="67"/>
      <c r="R374" s="33" t="e">
        <f ca="1"/>
        <v>#N/A</v>
      </c>
      <c r="S374" s="33" t="e">
        <f ca="1"/>
        <v>#N/A</v>
      </c>
      <c r="T374" s="33" t="e">
        <f ca="1"/>
        <v>#N/A</v>
      </c>
      <c r="U374" s="25" t="e">
        <f ca="1"/>
        <v>#N/A</v>
      </c>
      <c r="V374" s="36" t="e">
        <f ca="1"/>
        <v>#N/A</v>
      </c>
      <c r="W374" s="37" t="e">
        <f ca="1"/>
        <v>#N/A</v>
      </c>
      <c r="X374" s="31" t="s">
        <v>1</v>
      </c>
    </row>
    <row r="375" spans="4:24" x14ac:dyDescent="0.25">
      <c r="D375" s="31" t="s">
        <v>1</v>
      </c>
      <c r="E375" s="43">
        <v>367</v>
      </c>
      <c r="F375" s="25" t="e">
        <f ca="1">IF(ISNA(H375),NA(),IF(ISBLANK(G375),IF(FixedAmortizationFrequency=0,F374,IF(MOD((E375-1),FixedAmortizationFrequency)&lt;&gt;0,F374,F374-FixedAmortization)),G375))</f>
        <v>#N/A</v>
      </c>
      <c r="G375" s="67"/>
      <c r="H375" s="63" t="e">
        <f ca="1"/>
        <v>#N/A</v>
      </c>
      <c r="I375" s="33" t="e">
        <f ca="1"/>
        <v>#N/A</v>
      </c>
      <c r="J375" s="33" t="e">
        <f ca="1"/>
        <v>#N/A</v>
      </c>
      <c r="K375" s="25" t="e">
        <f ca="1"/>
        <v>#N/A</v>
      </c>
      <c r="L375" s="36" t="e">
        <f ca="1"/>
        <v>#N/A</v>
      </c>
      <c r="M375" s="37" t="e">
        <f ca="1"/>
        <v>#N/A</v>
      </c>
      <c r="N375" s="38" t="s">
        <v>1</v>
      </c>
      <c r="O375" s="43">
        <v>367</v>
      </c>
      <c r="P375" s="25" t="e">
        <f ca="1">IF(ISNA(R375),NA(),IF(ISBLANK(Q375),IF(FloatAmortizationFrequency=0,P374,IF(MOD((O375-1),FloatAmortizationFrequency)&lt;&gt;0,P374,P374-FloatAmortization)),Q375))</f>
        <v>#N/A</v>
      </c>
      <c r="Q375" s="67"/>
      <c r="R375" s="33" t="e">
        <f ca="1"/>
        <v>#N/A</v>
      </c>
      <c r="S375" s="33" t="e">
        <f ca="1"/>
        <v>#N/A</v>
      </c>
      <c r="T375" s="33" t="e">
        <f ca="1"/>
        <v>#N/A</v>
      </c>
      <c r="U375" s="25" t="e">
        <f ca="1"/>
        <v>#N/A</v>
      </c>
      <c r="V375" s="36" t="e">
        <f ca="1"/>
        <v>#N/A</v>
      </c>
      <c r="W375" s="37" t="e">
        <f ca="1"/>
        <v>#N/A</v>
      </c>
      <c r="X375" s="31" t="s">
        <v>1</v>
      </c>
    </row>
    <row r="376" spans="4:24" x14ac:dyDescent="0.25">
      <c r="D376" s="31" t="s">
        <v>1</v>
      </c>
      <c r="E376" s="43">
        <v>368</v>
      </c>
      <c r="F376" s="25" t="e">
        <f ca="1">IF(ISNA(H376),NA(),IF(ISBLANK(G376),IF(FixedAmortizationFrequency=0,F375,IF(MOD((E376-1),FixedAmortizationFrequency)&lt;&gt;0,F375,F375-FixedAmortization)),G376))</f>
        <v>#N/A</v>
      </c>
      <c r="G376" s="67"/>
      <c r="H376" s="63" t="e">
        <f ca="1"/>
        <v>#N/A</v>
      </c>
      <c r="I376" s="33" t="e">
        <f ca="1"/>
        <v>#N/A</v>
      </c>
      <c r="J376" s="33" t="e">
        <f ca="1"/>
        <v>#N/A</v>
      </c>
      <c r="K376" s="25" t="e">
        <f ca="1"/>
        <v>#N/A</v>
      </c>
      <c r="L376" s="36" t="e">
        <f ca="1"/>
        <v>#N/A</v>
      </c>
      <c r="M376" s="37" t="e">
        <f ca="1"/>
        <v>#N/A</v>
      </c>
      <c r="N376" s="38" t="s">
        <v>1</v>
      </c>
      <c r="O376" s="43">
        <v>368</v>
      </c>
      <c r="P376" s="25" t="e">
        <f ca="1">IF(ISNA(R376),NA(),IF(ISBLANK(Q376),IF(FloatAmortizationFrequency=0,P375,IF(MOD((O376-1),FloatAmortizationFrequency)&lt;&gt;0,P375,P375-FloatAmortization)),Q376))</f>
        <v>#N/A</v>
      </c>
      <c r="Q376" s="67"/>
      <c r="R376" s="33" t="e">
        <f ca="1"/>
        <v>#N/A</v>
      </c>
      <c r="S376" s="33" t="e">
        <f ca="1"/>
        <v>#N/A</v>
      </c>
      <c r="T376" s="33" t="e">
        <f ca="1"/>
        <v>#N/A</v>
      </c>
      <c r="U376" s="25" t="e">
        <f ca="1"/>
        <v>#N/A</v>
      </c>
      <c r="V376" s="36" t="e">
        <f ca="1"/>
        <v>#N/A</v>
      </c>
      <c r="W376" s="37" t="e">
        <f ca="1"/>
        <v>#N/A</v>
      </c>
      <c r="X376" s="31" t="s">
        <v>1</v>
      </c>
    </row>
    <row r="377" spans="4:24" x14ac:dyDescent="0.25">
      <c r="D377" s="31" t="s">
        <v>1</v>
      </c>
      <c r="E377" s="43">
        <v>369</v>
      </c>
      <c r="F377" s="25" t="e">
        <f ca="1">IF(ISNA(H377),NA(),IF(ISBLANK(G377),IF(FixedAmortizationFrequency=0,F376,IF(MOD((E377-1),FixedAmortizationFrequency)&lt;&gt;0,F376,F376-FixedAmortization)),G377))</f>
        <v>#N/A</v>
      </c>
      <c r="G377" s="67"/>
      <c r="H377" s="63" t="e">
        <f ca="1"/>
        <v>#N/A</v>
      </c>
      <c r="I377" s="33" t="e">
        <f ca="1"/>
        <v>#N/A</v>
      </c>
      <c r="J377" s="33" t="e">
        <f ca="1"/>
        <v>#N/A</v>
      </c>
      <c r="K377" s="25" t="e">
        <f ca="1"/>
        <v>#N/A</v>
      </c>
      <c r="L377" s="36" t="e">
        <f ca="1"/>
        <v>#N/A</v>
      </c>
      <c r="M377" s="37" t="e">
        <f ca="1"/>
        <v>#N/A</v>
      </c>
      <c r="N377" s="38" t="s">
        <v>1</v>
      </c>
      <c r="O377" s="43">
        <v>369</v>
      </c>
      <c r="P377" s="25" t="e">
        <f ca="1">IF(ISNA(R377),NA(),IF(ISBLANK(Q377),IF(FloatAmortizationFrequency=0,P376,IF(MOD((O377-1),FloatAmortizationFrequency)&lt;&gt;0,P376,P376-FloatAmortization)),Q377))</f>
        <v>#N/A</v>
      </c>
      <c r="Q377" s="67"/>
      <c r="R377" s="33" t="e">
        <f ca="1"/>
        <v>#N/A</v>
      </c>
      <c r="S377" s="33" t="e">
        <f ca="1"/>
        <v>#N/A</v>
      </c>
      <c r="T377" s="33" t="e">
        <f ca="1"/>
        <v>#N/A</v>
      </c>
      <c r="U377" s="25" t="e">
        <f ca="1"/>
        <v>#N/A</v>
      </c>
      <c r="V377" s="36" t="e">
        <f ca="1"/>
        <v>#N/A</v>
      </c>
      <c r="W377" s="37" t="e">
        <f ca="1"/>
        <v>#N/A</v>
      </c>
      <c r="X377" s="31" t="s">
        <v>1</v>
      </c>
    </row>
    <row r="378" spans="4:24" x14ac:dyDescent="0.25">
      <c r="D378" s="31" t="s">
        <v>1</v>
      </c>
      <c r="E378" s="43">
        <v>370</v>
      </c>
      <c r="F378" s="25" t="e">
        <f ca="1">IF(ISNA(H378),NA(),IF(ISBLANK(G378),IF(FixedAmortizationFrequency=0,F377,IF(MOD((E378-1),FixedAmortizationFrequency)&lt;&gt;0,F377,F377-FixedAmortization)),G378))</f>
        <v>#N/A</v>
      </c>
      <c r="G378" s="67"/>
      <c r="H378" s="63" t="e">
        <f ca="1"/>
        <v>#N/A</v>
      </c>
      <c r="I378" s="33" t="e">
        <f ca="1"/>
        <v>#N/A</v>
      </c>
      <c r="J378" s="33" t="e">
        <f ca="1"/>
        <v>#N/A</v>
      </c>
      <c r="K378" s="25" t="e">
        <f ca="1"/>
        <v>#N/A</v>
      </c>
      <c r="L378" s="36" t="e">
        <f ca="1"/>
        <v>#N/A</v>
      </c>
      <c r="M378" s="37" t="e">
        <f ca="1"/>
        <v>#N/A</v>
      </c>
      <c r="N378" s="38" t="s">
        <v>1</v>
      </c>
      <c r="O378" s="43">
        <v>370</v>
      </c>
      <c r="P378" s="25" t="e">
        <f ca="1">IF(ISNA(R378),NA(),IF(ISBLANK(Q378),IF(FloatAmortizationFrequency=0,P377,IF(MOD((O378-1),FloatAmortizationFrequency)&lt;&gt;0,P377,P377-FloatAmortization)),Q378))</f>
        <v>#N/A</v>
      </c>
      <c r="Q378" s="67"/>
      <c r="R378" s="33" t="e">
        <f ca="1"/>
        <v>#N/A</v>
      </c>
      <c r="S378" s="33" t="e">
        <f ca="1"/>
        <v>#N/A</v>
      </c>
      <c r="T378" s="33" t="e">
        <f ca="1"/>
        <v>#N/A</v>
      </c>
      <c r="U378" s="25" t="e">
        <f ca="1"/>
        <v>#N/A</v>
      </c>
      <c r="V378" s="36" t="e">
        <f ca="1"/>
        <v>#N/A</v>
      </c>
      <c r="W378" s="37" t="e">
        <f ca="1"/>
        <v>#N/A</v>
      </c>
      <c r="X378" s="31" t="s">
        <v>1</v>
      </c>
    </row>
    <row r="379" spans="4:24" x14ac:dyDescent="0.25">
      <c r="D379" s="31" t="s">
        <v>1</v>
      </c>
      <c r="E379" s="43">
        <v>371</v>
      </c>
      <c r="F379" s="25" t="e">
        <f ca="1">IF(ISNA(H379),NA(),IF(ISBLANK(G379),IF(FixedAmortizationFrequency=0,F378,IF(MOD((E379-1),FixedAmortizationFrequency)&lt;&gt;0,F378,F378-FixedAmortization)),G379))</f>
        <v>#N/A</v>
      </c>
      <c r="G379" s="67"/>
      <c r="H379" s="63" t="e">
        <f ca="1"/>
        <v>#N/A</v>
      </c>
      <c r="I379" s="33" t="e">
        <f ca="1"/>
        <v>#N/A</v>
      </c>
      <c r="J379" s="33" t="e">
        <f ca="1"/>
        <v>#N/A</v>
      </c>
      <c r="K379" s="25" t="e">
        <f ca="1"/>
        <v>#N/A</v>
      </c>
      <c r="L379" s="36" t="e">
        <f ca="1"/>
        <v>#N/A</v>
      </c>
      <c r="M379" s="37" t="e">
        <f ca="1"/>
        <v>#N/A</v>
      </c>
      <c r="N379" s="38" t="s">
        <v>1</v>
      </c>
      <c r="O379" s="43">
        <v>371</v>
      </c>
      <c r="P379" s="25" t="e">
        <f ca="1">IF(ISNA(R379),NA(),IF(ISBLANK(Q379),IF(FloatAmortizationFrequency=0,P378,IF(MOD((O379-1),FloatAmortizationFrequency)&lt;&gt;0,P378,P378-FloatAmortization)),Q379))</f>
        <v>#N/A</v>
      </c>
      <c r="Q379" s="67"/>
      <c r="R379" s="33" t="e">
        <f ca="1"/>
        <v>#N/A</v>
      </c>
      <c r="S379" s="33" t="e">
        <f ca="1"/>
        <v>#N/A</v>
      </c>
      <c r="T379" s="33" t="e">
        <f ca="1"/>
        <v>#N/A</v>
      </c>
      <c r="U379" s="25" t="e">
        <f ca="1"/>
        <v>#N/A</v>
      </c>
      <c r="V379" s="36" t="e">
        <f ca="1"/>
        <v>#N/A</v>
      </c>
      <c r="W379" s="37" t="e">
        <f ca="1"/>
        <v>#N/A</v>
      </c>
      <c r="X379" s="31" t="s">
        <v>1</v>
      </c>
    </row>
    <row r="380" spans="4:24" x14ac:dyDescent="0.25">
      <c r="D380" s="31" t="s">
        <v>1</v>
      </c>
      <c r="E380" s="43">
        <v>372</v>
      </c>
      <c r="F380" s="25" t="e">
        <f ca="1">IF(ISNA(H380),NA(),IF(ISBLANK(G380),IF(FixedAmortizationFrequency=0,F379,IF(MOD((E380-1),FixedAmortizationFrequency)&lt;&gt;0,F379,F379-FixedAmortization)),G380))</f>
        <v>#N/A</v>
      </c>
      <c r="G380" s="67"/>
      <c r="H380" s="63" t="e">
        <f ca="1"/>
        <v>#N/A</v>
      </c>
      <c r="I380" s="33" t="e">
        <f ca="1"/>
        <v>#N/A</v>
      </c>
      <c r="J380" s="33" t="e">
        <f ca="1"/>
        <v>#N/A</v>
      </c>
      <c r="K380" s="25" t="e">
        <f ca="1"/>
        <v>#N/A</v>
      </c>
      <c r="L380" s="36" t="e">
        <f ca="1"/>
        <v>#N/A</v>
      </c>
      <c r="M380" s="37" t="e">
        <f ca="1"/>
        <v>#N/A</v>
      </c>
      <c r="N380" s="38" t="s">
        <v>1</v>
      </c>
      <c r="O380" s="43">
        <v>372</v>
      </c>
      <c r="P380" s="25" t="e">
        <f ca="1">IF(ISNA(R380),NA(),IF(ISBLANK(Q380),IF(FloatAmortizationFrequency=0,P379,IF(MOD((O380-1),FloatAmortizationFrequency)&lt;&gt;0,P379,P379-FloatAmortization)),Q380))</f>
        <v>#N/A</v>
      </c>
      <c r="Q380" s="67"/>
      <c r="R380" s="33" t="e">
        <f ca="1"/>
        <v>#N/A</v>
      </c>
      <c r="S380" s="33" t="e">
        <f ca="1"/>
        <v>#N/A</v>
      </c>
      <c r="T380" s="33" t="e">
        <f ca="1"/>
        <v>#N/A</v>
      </c>
      <c r="U380" s="25" t="e">
        <f ca="1"/>
        <v>#N/A</v>
      </c>
      <c r="V380" s="36" t="e">
        <f ca="1"/>
        <v>#N/A</v>
      </c>
      <c r="W380" s="37" t="e">
        <f ca="1"/>
        <v>#N/A</v>
      </c>
      <c r="X380" s="31" t="s">
        <v>1</v>
      </c>
    </row>
    <row r="381" spans="4:24" x14ac:dyDescent="0.25">
      <c r="D381" s="31" t="s">
        <v>1</v>
      </c>
      <c r="E381" s="43">
        <v>373</v>
      </c>
      <c r="F381" s="25" t="e">
        <f ca="1">IF(ISNA(H381),NA(),IF(ISBLANK(G381),IF(FixedAmortizationFrequency=0,F380,IF(MOD((E381-1),FixedAmortizationFrequency)&lt;&gt;0,F380,F380-FixedAmortization)),G381))</f>
        <v>#N/A</v>
      </c>
      <c r="G381" s="67"/>
      <c r="H381" s="63" t="e">
        <f ca="1"/>
        <v>#N/A</v>
      </c>
      <c r="I381" s="33" t="e">
        <f ca="1"/>
        <v>#N/A</v>
      </c>
      <c r="J381" s="33" t="e">
        <f ca="1"/>
        <v>#N/A</v>
      </c>
      <c r="K381" s="25" t="e">
        <f ca="1"/>
        <v>#N/A</v>
      </c>
      <c r="L381" s="36" t="e">
        <f ca="1"/>
        <v>#N/A</v>
      </c>
      <c r="M381" s="37" t="e">
        <f ca="1"/>
        <v>#N/A</v>
      </c>
      <c r="N381" s="38" t="s">
        <v>1</v>
      </c>
      <c r="O381" s="43">
        <v>373</v>
      </c>
      <c r="P381" s="25" t="e">
        <f ca="1">IF(ISNA(R381),NA(),IF(ISBLANK(Q381),IF(FloatAmortizationFrequency=0,P380,IF(MOD((O381-1),FloatAmortizationFrequency)&lt;&gt;0,P380,P380-FloatAmortization)),Q381))</f>
        <v>#N/A</v>
      </c>
      <c r="Q381" s="67"/>
      <c r="R381" s="33" t="e">
        <f ca="1"/>
        <v>#N/A</v>
      </c>
      <c r="S381" s="33" t="e">
        <f ca="1"/>
        <v>#N/A</v>
      </c>
      <c r="T381" s="33" t="e">
        <f ca="1"/>
        <v>#N/A</v>
      </c>
      <c r="U381" s="25" t="e">
        <f ca="1"/>
        <v>#N/A</v>
      </c>
      <c r="V381" s="36" t="e">
        <f ca="1"/>
        <v>#N/A</v>
      </c>
      <c r="W381" s="37" t="e">
        <f ca="1"/>
        <v>#N/A</v>
      </c>
      <c r="X381" s="31" t="s">
        <v>1</v>
      </c>
    </row>
    <row r="382" spans="4:24" x14ac:dyDescent="0.25">
      <c r="D382" s="31" t="s">
        <v>1</v>
      </c>
      <c r="E382" s="43">
        <v>374</v>
      </c>
      <c r="F382" s="25" t="e">
        <f ca="1">IF(ISNA(H382),NA(),IF(ISBLANK(G382),IF(FixedAmortizationFrequency=0,F381,IF(MOD((E382-1),FixedAmortizationFrequency)&lt;&gt;0,F381,F381-FixedAmortization)),G382))</f>
        <v>#N/A</v>
      </c>
      <c r="G382" s="67"/>
      <c r="H382" s="63" t="e">
        <f ca="1"/>
        <v>#N/A</v>
      </c>
      <c r="I382" s="33" t="e">
        <f ca="1"/>
        <v>#N/A</v>
      </c>
      <c r="J382" s="33" t="e">
        <f ca="1"/>
        <v>#N/A</v>
      </c>
      <c r="K382" s="25" t="e">
        <f ca="1"/>
        <v>#N/A</v>
      </c>
      <c r="L382" s="36" t="e">
        <f ca="1"/>
        <v>#N/A</v>
      </c>
      <c r="M382" s="37" t="e">
        <f ca="1"/>
        <v>#N/A</v>
      </c>
      <c r="N382" s="38" t="s">
        <v>1</v>
      </c>
      <c r="O382" s="43">
        <v>374</v>
      </c>
      <c r="P382" s="25" t="e">
        <f ca="1">IF(ISNA(R382),NA(),IF(ISBLANK(Q382),IF(FloatAmortizationFrequency=0,P381,IF(MOD((O382-1),FloatAmortizationFrequency)&lt;&gt;0,P381,P381-FloatAmortization)),Q382))</f>
        <v>#N/A</v>
      </c>
      <c r="Q382" s="67"/>
      <c r="R382" s="33" t="e">
        <f ca="1"/>
        <v>#N/A</v>
      </c>
      <c r="S382" s="33" t="e">
        <f ca="1"/>
        <v>#N/A</v>
      </c>
      <c r="T382" s="33" t="e">
        <f ca="1"/>
        <v>#N/A</v>
      </c>
      <c r="U382" s="25" t="e">
        <f ca="1"/>
        <v>#N/A</v>
      </c>
      <c r="V382" s="36" t="e">
        <f ca="1"/>
        <v>#N/A</v>
      </c>
      <c r="W382" s="37" t="e">
        <f ca="1"/>
        <v>#N/A</v>
      </c>
      <c r="X382" s="31" t="s">
        <v>1</v>
      </c>
    </row>
    <row r="383" spans="4:24" x14ac:dyDescent="0.25">
      <c r="D383" s="31" t="s">
        <v>1</v>
      </c>
      <c r="E383" s="43">
        <v>375</v>
      </c>
      <c r="F383" s="25" t="e">
        <f ca="1">IF(ISNA(H383),NA(),IF(ISBLANK(G383),IF(FixedAmortizationFrequency=0,F382,IF(MOD((E383-1),FixedAmortizationFrequency)&lt;&gt;0,F382,F382-FixedAmortization)),G383))</f>
        <v>#N/A</v>
      </c>
      <c r="G383" s="67"/>
      <c r="H383" s="63" t="e">
        <f ca="1"/>
        <v>#N/A</v>
      </c>
      <c r="I383" s="33" t="e">
        <f ca="1"/>
        <v>#N/A</v>
      </c>
      <c r="J383" s="33" t="e">
        <f ca="1"/>
        <v>#N/A</v>
      </c>
      <c r="K383" s="25" t="e">
        <f ca="1"/>
        <v>#N/A</v>
      </c>
      <c r="L383" s="36" t="e">
        <f ca="1"/>
        <v>#N/A</v>
      </c>
      <c r="M383" s="37" t="e">
        <f ca="1"/>
        <v>#N/A</v>
      </c>
      <c r="N383" s="38" t="s">
        <v>1</v>
      </c>
      <c r="O383" s="43">
        <v>375</v>
      </c>
      <c r="P383" s="25" t="e">
        <f ca="1">IF(ISNA(R383),NA(),IF(ISBLANK(Q383),IF(FloatAmortizationFrequency=0,P382,IF(MOD((O383-1),FloatAmortizationFrequency)&lt;&gt;0,P382,P382-FloatAmortization)),Q383))</f>
        <v>#N/A</v>
      </c>
      <c r="Q383" s="67"/>
      <c r="R383" s="33" t="e">
        <f ca="1"/>
        <v>#N/A</v>
      </c>
      <c r="S383" s="33" t="e">
        <f ca="1"/>
        <v>#N/A</v>
      </c>
      <c r="T383" s="33" t="e">
        <f ca="1"/>
        <v>#N/A</v>
      </c>
      <c r="U383" s="25" t="e">
        <f ca="1"/>
        <v>#N/A</v>
      </c>
      <c r="V383" s="36" t="e">
        <f ca="1"/>
        <v>#N/A</v>
      </c>
      <c r="W383" s="37" t="e">
        <f ca="1"/>
        <v>#N/A</v>
      </c>
      <c r="X383" s="31" t="s">
        <v>1</v>
      </c>
    </row>
    <row r="384" spans="4:24" x14ac:dyDescent="0.25">
      <c r="D384" s="31" t="s">
        <v>1</v>
      </c>
      <c r="E384" s="43">
        <v>376</v>
      </c>
      <c r="F384" s="25" t="e">
        <f ca="1">IF(ISNA(H384),NA(),IF(ISBLANK(G384),IF(FixedAmortizationFrequency=0,F383,IF(MOD((E384-1),FixedAmortizationFrequency)&lt;&gt;0,F383,F383-FixedAmortization)),G384))</f>
        <v>#N/A</v>
      </c>
      <c r="G384" s="67"/>
      <c r="H384" s="63" t="e">
        <f ca="1"/>
        <v>#N/A</v>
      </c>
      <c r="I384" s="33" t="e">
        <f ca="1"/>
        <v>#N/A</v>
      </c>
      <c r="J384" s="33" t="e">
        <f ca="1"/>
        <v>#N/A</v>
      </c>
      <c r="K384" s="25" t="e">
        <f ca="1"/>
        <v>#N/A</v>
      </c>
      <c r="L384" s="36" t="e">
        <f ca="1"/>
        <v>#N/A</v>
      </c>
      <c r="M384" s="37" t="e">
        <f ca="1"/>
        <v>#N/A</v>
      </c>
      <c r="N384" s="38" t="s">
        <v>1</v>
      </c>
      <c r="O384" s="43">
        <v>376</v>
      </c>
      <c r="P384" s="25" t="e">
        <f ca="1">IF(ISNA(R384),NA(),IF(ISBLANK(Q384),IF(FloatAmortizationFrequency=0,P383,IF(MOD((O384-1),FloatAmortizationFrequency)&lt;&gt;0,P383,P383-FloatAmortization)),Q384))</f>
        <v>#N/A</v>
      </c>
      <c r="Q384" s="67"/>
      <c r="R384" s="33" t="e">
        <f ca="1"/>
        <v>#N/A</v>
      </c>
      <c r="S384" s="33" t="e">
        <f ca="1"/>
        <v>#N/A</v>
      </c>
      <c r="T384" s="33" t="e">
        <f ca="1"/>
        <v>#N/A</v>
      </c>
      <c r="U384" s="25" t="e">
        <f ca="1"/>
        <v>#N/A</v>
      </c>
      <c r="V384" s="36" t="e">
        <f ca="1"/>
        <v>#N/A</v>
      </c>
      <c r="W384" s="37" t="e">
        <f ca="1"/>
        <v>#N/A</v>
      </c>
      <c r="X384" s="31" t="s">
        <v>1</v>
      </c>
    </row>
    <row r="385" spans="4:24" x14ac:dyDescent="0.25">
      <c r="D385" s="31" t="s">
        <v>1</v>
      </c>
      <c r="E385" s="43">
        <v>377</v>
      </c>
      <c r="F385" s="25" t="e">
        <f ca="1">IF(ISNA(H385),NA(),IF(ISBLANK(G385),IF(FixedAmortizationFrequency=0,F384,IF(MOD((E385-1),FixedAmortizationFrequency)&lt;&gt;0,F384,F384-FixedAmortization)),G385))</f>
        <v>#N/A</v>
      </c>
      <c r="G385" s="67"/>
      <c r="H385" s="63" t="e">
        <f ca="1"/>
        <v>#N/A</v>
      </c>
      <c r="I385" s="33" t="e">
        <f ca="1"/>
        <v>#N/A</v>
      </c>
      <c r="J385" s="33" t="e">
        <f ca="1"/>
        <v>#N/A</v>
      </c>
      <c r="K385" s="25" t="e">
        <f ca="1"/>
        <v>#N/A</v>
      </c>
      <c r="L385" s="36" t="e">
        <f ca="1"/>
        <v>#N/A</v>
      </c>
      <c r="M385" s="37" t="e">
        <f ca="1"/>
        <v>#N/A</v>
      </c>
      <c r="N385" s="38" t="s">
        <v>1</v>
      </c>
      <c r="O385" s="43">
        <v>377</v>
      </c>
      <c r="P385" s="25" t="e">
        <f ca="1">IF(ISNA(R385),NA(),IF(ISBLANK(Q385),IF(FloatAmortizationFrequency=0,P384,IF(MOD((O385-1),FloatAmortizationFrequency)&lt;&gt;0,P384,P384-FloatAmortization)),Q385))</f>
        <v>#N/A</v>
      </c>
      <c r="Q385" s="67"/>
      <c r="R385" s="33" t="e">
        <f ca="1"/>
        <v>#N/A</v>
      </c>
      <c r="S385" s="33" t="e">
        <f ca="1"/>
        <v>#N/A</v>
      </c>
      <c r="T385" s="33" t="e">
        <f ca="1"/>
        <v>#N/A</v>
      </c>
      <c r="U385" s="25" t="e">
        <f ca="1"/>
        <v>#N/A</v>
      </c>
      <c r="V385" s="36" t="e">
        <f ca="1"/>
        <v>#N/A</v>
      </c>
      <c r="W385" s="37" t="e">
        <f ca="1"/>
        <v>#N/A</v>
      </c>
      <c r="X385" s="31" t="s">
        <v>1</v>
      </c>
    </row>
    <row r="386" spans="4:24" x14ac:dyDescent="0.25">
      <c r="D386" s="31" t="s">
        <v>1</v>
      </c>
      <c r="E386" s="43">
        <v>378</v>
      </c>
      <c r="F386" s="25" t="e">
        <f ca="1">IF(ISNA(H386),NA(),IF(ISBLANK(G386),IF(FixedAmortizationFrequency=0,F385,IF(MOD((E386-1),FixedAmortizationFrequency)&lt;&gt;0,F385,F385-FixedAmortization)),G386))</f>
        <v>#N/A</v>
      </c>
      <c r="G386" s="67"/>
      <c r="H386" s="63" t="e">
        <f ca="1"/>
        <v>#N/A</v>
      </c>
      <c r="I386" s="33" t="e">
        <f ca="1"/>
        <v>#N/A</v>
      </c>
      <c r="J386" s="33" t="e">
        <f ca="1"/>
        <v>#N/A</v>
      </c>
      <c r="K386" s="25" t="e">
        <f ca="1"/>
        <v>#N/A</v>
      </c>
      <c r="L386" s="36" t="e">
        <f ca="1"/>
        <v>#N/A</v>
      </c>
      <c r="M386" s="37" t="e">
        <f ca="1"/>
        <v>#N/A</v>
      </c>
      <c r="N386" s="38" t="s">
        <v>1</v>
      </c>
      <c r="O386" s="43">
        <v>378</v>
      </c>
      <c r="P386" s="25" t="e">
        <f ca="1">IF(ISNA(R386),NA(),IF(ISBLANK(Q386),IF(FloatAmortizationFrequency=0,P385,IF(MOD((O386-1),FloatAmortizationFrequency)&lt;&gt;0,P385,P385-FloatAmortization)),Q386))</f>
        <v>#N/A</v>
      </c>
      <c r="Q386" s="67"/>
      <c r="R386" s="33" t="e">
        <f ca="1"/>
        <v>#N/A</v>
      </c>
      <c r="S386" s="33" t="e">
        <f ca="1"/>
        <v>#N/A</v>
      </c>
      <c r="T386" s="33" t="e">
        <f ca="1"/>
        <v>#N/A</v>
      </c>
      <c r="U386" s="25" t="e">
        <f ca="1"/>
        <v>#N/A</v>
      </c>
      <c r="V386" s="36" t="e">
        <f ca="1"/>
        <v>#N/A</v>
      </c>
      <c r="W386" s="37" t="e">
        <f ca="1"/>
        <v>#N/A</v>
      </c>
      <c r="X386" s="31" t="s">
        <v>1</v>
      </c>
    </row>
    <row r="387" spans="4:24" x14ac:dyDescent="0.25">
      <c r="D387" s="31" t="s">
        <v>1</v>
      </c>
      <c r="E387" s="43">
        <v>379</v>
      </c>
      <c r="F387" s="25" t="e">
        <f ca="1">IF(ISNA(H387),NA(),IF(ISBLANK(G387),IF(FixedAmortizationFrequency=0,F386,IF(MOD((E387-1),FixedAmortizationFrequency)&lt;&gt;0,F386,F386-FixedAmortization)),G387))</f>
        <v>#N/A</v>
      </c>
      <c r="G387" s="67"/>
      <c r="H387" s="63" t="e">
        <f ca="1"/>
        <v>#N/A</v>
      </c>
      <c r="I387" s="33" t="e">
        <f ca="1"/>
        <v>#N/A</v>
      </c>
      <c r="J387" s="33" t="e">
        <f ca="1"/>
        <v>#N/A</v>
      </c>
      <c r="K387" s="25" t="e">
        <f ca="1"/>
        <v>#N/A</v>
      </c>
      <c r="L387" s="36" t="e">
        <f ca="1"/>
        <v>#N/A</v>
      </c>
      <c r="M387" s="37" t="e">
        <f ca="1"/>
        <v>#N/A</v>
      </c>
      <c r="N387" s="38" t="s">
        <v>1</v>
      </c>
      <c r="O387" s="43">
        <v>379</v>
      </c>
      <c r="P387" s="25" t="e">
        <f ca="1">IF(ISNA(R387),NA(),IF(ISBLANK(Q387),IF(FloatAmortizationFrequency=0,P386,IF(MOD((O387-1),FloatAmortizationFrequency)&lt;&gt;0,P386,P386-FloatAmortization)),Q387))</f>
        <v>#N/A</v>
      </c>
      <c r="Q387" s="67"/>
      <c r="R387" s="33" t="e">
        <f ca="1"/>
        <v>#N/A</v>
      </c>
      <c r="S387" s="33" t="e">
        <f ca="1"/>
        <v>#N/A</v>
      </c>
      <c r="T387" s="33" t="e">
        <f ca="1"/>
        <v>#N/A</v>
      </c>
      <c r="U387" s="25" t="e">
        <f ca="1"/>
        <v>#N/A</v>
      </c>
      <c r="V387" s="36" t="e">
        <f ca="1"/>
        <v>#N/A</v>
      </c>
      <c r="W387" s="37" t="e">
        <f ca="1"/>
        <v>#N/A</v>
      </c>
      <c r="X387" s="31" t="s">
        <v>1</v>
      </c>
    </row>
    <row r="388" spans="4:24" x14ac:dyDescent="0.25">
      <c r="D388" s="31" t="s">
        <v>1</v>
      </c>
      <c r="E388" s="43">
        <v>380</v>
      </c>
      <c r="F388" s="25" t="e">
        <f ca="1">IF(ISNA(H388),NA(),IF(ISBLANK(G388),IF(FixedAmortizationFrequency=0,F387,IF(MOD((E388-1),FixedAmortizationFrequency)&lt;&gt;0,F387,F387-FixedAmortization)),G388))</f>
        <v>#N/A</v>
      </c>
      <c r="G388" s="67"/>
      <c r="H388" s="63" t="e">
        <f ca="1"/>
        <v>#N/A</v>
      </c>
      <c r="I388" s="33" t="e">
        <f ca="1"/>
        <v>#N/A</v>
      </c>
      <c r="J388" s="33" t="e">
        <f ca="1"/>
        <v>#N/A</v>
      </c>
      <c r="K388" s="25" t="e">
        <f ca="1"/>
        <v>#N/A</v>
      </c>
      <c r="L388" s="36" t="e">
        <f ca="1"/>
        <v>#N/A</v>
      </c>
      <c r="M388" s="37" t="e">
        <f ca="1"/>
        <v>#N/A</v>
      </c>
      <c r="N388" s="38" t="s">
        <v>1</v>
      </c>
      <c r="O388" s="43">
        <v>380</v>
      </c>
      <c r="P388" s="25" t="e">
        <f ca="1">IF(ISNA(R388),NA(),IF(ISBLANK(Q388),IF(FloatAmortizationFrequency=0,P387,IF(MOD((O388-1),FloatAmortizationFrequency)&lt;&gt;0,P387,P387-FloatAmortization)),Q388))</f>
        <v>#N/A</v>
      </c>
      <c r="Q388" s="67"/>
      <c r="R388" s="33" t="e">
        <f ca="1"/>
        <v>#N/A</v>
      </c>
      <c r="S388" s="33" t="e">
        <f ca="1"/>
        <v>#N/A</v>
      </c>
      <c r="T388" s="33" t="e">
        <f ca="1"/>
        <v>#N/A</v>
      </c>
      <c r="U388" s="25" t="e">
        <f ca="1"/>
        <v>#N/A</v>
      </c>
      <c r="V388" s="36" t="e">
        <f ca="1"/>
        <v>#N/A</v>
      </c>
      <c r="W388" s="37" t="e">
        <f ca="1"/>
        <v>#N/A</v>
      </c>
      <c r="X388" s="31" t="s">
        <v>1</v>
      </c>
    </row>
    <row r="389" spans="4:24" x14ac:dyDescent="0.25">
      <c r="D389" s="31" t="s">
        <v>1</v>
      </c>
      <c r="E389" s="43">
        <v>381</v>
      </c>
      <c r="F389" s="25" t="e">
        <f ca="1">IF(ISNA(H389),NA(),IF(ISBLANK(G389),IF(FixedAmortizationFrequency=0,F388,IF(MOD((E389-1),FixedAmortizationFrequency)&lt;&gt;0,F388,F388-FixedAmortization)),G389))</f>
        <v>#N/A</v>
      </c>
      <c r="G389" s="67"/>
      <c r="H389" s="63" t="e">
        <f ca="1"/>
        <v>#N/A</v>
      </c>
      <c r="I389" s="33" t="e">
        <f ca="1"/>
        <v>#N/A</v>
      </c>
      <c r="J389" s="33" t="e">
        <f ca="1"/>
        <v>#N/A</v>
      </c>
      <c r="K389" s="25" t="e">
        <f ca="1"/>
        <v>#N/A</v>
      </c>
      <c r="L389" s="36" t="e">
        <f ca="1"/>
        <v>#N/A</v>
      </c>
      <c r="M389" s="37" t="e">
        <f ca="1"/>
        <v>#N/A</v>
      </c>
      <c r="N389" s="38" t="s">
        <v>1</v>
      </c>
      <c r="O389" s="43">
        <v>381</v>
      </c>
      <c r="P389" s="25" t="e">
        <f ca="1">IF(ISNA(R389),NA(),IF(ISBLANK(Q389),IF(FloatAmortizationFrequency=0,P388,IF(MOD((O389-1),FloatAmortizationFrequency)&lt;&gt;0,P388,P388-FloatAmortization)),Q389))</f>
        <v>#N/A</v>
      </c>
      <c r="Q389" s="67"/>
      <c r="R389" s="33" t="e">
        <f ca="1"/>
        <v>#N/A</v>
      </c>
      <c r="S389" s="33" t="e">
        <f ca="1"/>
        <v>#N/A</v>
      </c>
      <c r="T389" s="33" t="e">
        <f ca="1"/>
        <v>#N/A</v>
      </c>
      <c r="U389" s="25" t="e">
        <f ca="1"/>
        <v>#N/A</v>
      </c>
      <c r="V389" s="36" t="e">
        <f ca="1"/>
        <v>#N/A</v>
      </c>
      <c r="W389" s="37" t="e">
        <f ca="1"/>
        <v>#N/A</v>
      </c>
      <c r="X389" s="31" t="s">
        <v>1</v>
      </c>
    </row>
    <row r="390" spans="4:24" x14ac:dyDescent="0.25">
      <c r="D390" s="31" t="s">
        <v>1</v>
      </c>
      <c r="E390" s="43">
        <v>382</v>
      </c>
      <c r="F390" s="25" t="e">
        <f ca="1">IF(ISNA(H390),NA(),IF(ISBLANK(G390),IF(FixedAmortizationFrequency=0,F389,IF(MOD((E390-1),FixedAmortizationFrequency)&lt;&gt;0,F389,F389-FixedAmortization)),G390))</f>
        <v>#N/A</v>
      </c>
      <c r="G390" s="67"/>
      <c r="H390" s="63" t="e">
        <f ca="1"/>
        <v>#N/A</v>
      </c>
      <c r="I390" s="33" t="e">
        <f ca="1"/>
        <v>#N/A</v>
      </c>
      <c r="J390" s="33" t="e">
        <f ca="1"/>
        <v>#N/A</v>
      </c>
      <c r="K390" s="25" t="e">
        <f ca="1"/>
        <v>#N/A</v>
      </c>
      <c r="L390" s="36" t="e">
        <f ca="1"/>
        <v>#N/A</v>
      </c>
      <c r="M390" s="37" t="e">
        <f ca="1"/>
        <v>#N/A</v>
      </c>
      <c r="N390" s="38" t="s">
        <v>1</v>
      </c>
      <c r="O390" s="43">
        <v>382</v>
      </c>
      <c r="P390" s="25" t="e">
        <f ca="1">IF(ISNA(R390),NA(),IF(ISBLANK(Q390),IF(FloatAmortizationFrequency=0,P389,IF(MOD((O390-1),FloatAmortizationFrequency)&lt;&gt;0,P389,P389-FloatAmortization)),Q390))</f>
        <v>#N/A</v>
      </c>
      <c r="Q390" s="67"/>
      <c r="R390" s="33" t="e">
        <f ca="1"/>
        <v>#N/A</v>
      </c>
      <c r="S390" s="33" t="e">
        <f ca="1"/>
        <v>#N/A</v>
      </c>
      <c r="T390" s="33" t="e">
        <f ca="1"/>
        <v>#N/A</v>
      </c>
      <c r="U390" s="25" t="e">
        <f ca="1"/>
        <v>#N/A</v>
      </c>
      <c r="V390" s="36" t="e">
        <f ca="1"/>
        <v>#N/A</v>
      </c>
      <c r="W390" s="37" t="e">
        <f ca="1"/>
        <v>#N/A</v>
      </c>
      <c r="X390" s="31" t="s">
        <v>1</v>
      </c>
    </row>
    <row r="391" spans="4:24" x14ac:dyDescent="0.25">
      <c r="D391" s="31" t="s">
        <v>1</v>
      </c>
      <c r="E391" s="43">
        <v>383</v>
      </c>
      <c r="F391" s="25" t="e">
        <f ca="1">IF(ISNA(H391),NA(),IF(ISBLANK(G391),IF(FixedAmortizationFrequency=0,F390,IF(MOD((E391-1),FixedAmortizationFrequency)&lt;&gt;0,F390,F390-FixedAmortization)),G391))</f>
        <v>#N/A</v>
      </c>
      <c r="G391" s="67"/>
      <c r="H391" s="63" t="e">
        <f ca="1"/>
        <v>#N/A</v>
      </c>
      <c r="I391" s="33" t="e">
        <f ca="1"/>
        <v>#N/A</v>
      </c>
      <c r="J391" s="33" t="e">
        <f ca="1"/>
        <v>#N/A</v>
      </c>
      <c r="K391" s="25" t="e">
        <f ca="1"/>
        <v>#N/A</v>
      </c>
      <c r="L391" s="36" t="e">
        <f ca="1"/>
        <v>#N/A</v>
      </c>
      <c r="M391" s="37" t="e">
        <f ca="1"/>
        <v>#N/A</v>
      </c>
      <c r="N391" s="38" t="s">
        <v>1</v>
      </c>
      <c r="O391" s="43">
        <v>383</v>
      </c>
      <c r="P391" s="25" t="e">
        <f ca="1">IF(ISNA(R391),NA(),IF(ISBLANK(Q391),IF(FloatAmortizationFrequency=0,P390,IF(MOD((O391-1),FloatAmortizationFrequency)&lt;&gt;0,P390,P390-FloatAmortization)),Q391))</f>
        <v>#N/A</v>
      </c>
      <c r="Q391" s="67"/>
      <c r="R391" s="33" t="e">
        <f ca="1"/>
        <v>#N/A</v>
      </c>
      <c r="S391" s="33" t="e">
        <f ca="1"/>
        <v>#N/A</v>
      </c>
      <c r="T391" s="33" t="e">
        <f ca="1"/>
        <v>#N/A</v>
      </c>
      <c r="U391" s="25" t="e">
        <f ca="1"/>
        <v>#N/A</v>
      </c>
      <c r="V391" s="36" t="e">
        <f ca="1"/>
        <v>#N/A</v>
      </c>
      <c r="W391" s="37" t="e">
        <f ca="1"/>
        <v>#N/A</v>
      </c>
      <c r="X391" s="31" t="s">
        <v>1</v>
      </c>
    </row>
    <row r="392" spans="4:24" x14ac:dyDescent="0.25">
      <c r="D392" s="31" t="s">
        <v>1</v>
      </c>
      <c r="E392" s="43">
        <v>384</v>
      </c>
      <c r="F392" s="25" t="e">
        <f ca="1">IF(ISNA(H392),NA(),IF(ISBLANK(G392),IF(FixedAmortizationFrequency=0,F391,IF(MOD((E392-1),FixedAmortizationFrequency)&lt;&gt;0,F391,F391-FixedAmortization)),G392))</f>
        <v>#N/A</v>
      </c>
      <c r="G392" s="67"/>
      <c r="H392" s="63" t="e">
        <f ca="1"/>
        <v>#N/A</v>
      </c>
      <c r="I392" s="33" t="e">
        <f ca="1"/>
        <v>#N/A</v>
      </c>
      <c r="J392" s="33" t="e">
        <f ca="1"/>
        <v>#N/A</v>
      </c>
      <c r="K392" s="25" t="e">
        <f ca="1"/>
        <v>#N/A</v>
      </c>
      <c r="L392" s="36" t="e">
        <f ca="1"/>
        <v>#N/A</v>
      </c>
      <c r="M392" s="37" t="e">
        <f ca="1"/>
        <v>#N/A</v>
      </c>
      <c r="N392" s="38" t="s">
        <v>1</v>
      </c>
      <c r="O392" s="43">
        <v>384</v>
      </c>
      <c r="P392" s="25" t="e">
        <f ca="1">IF(ISNA(R392),NA(),IF(ISBLANK(Q392),IF(FloatAmortizationFrequency=0,P391,IF(MOD((O392-1),FloatAmortizationFrequency)&lt;&gt;0,P391,P391-FloatAmortization)),Q392))</f>
        <v>#N/A</v>
      </c>
      <c r="Q392" s="67"/>
      <c r="R392" s="33" t="e">
        <f ca="1"/>
        <v>#N/A</v>
      </c>
      <c r="S392" s="33" t="e">
        <f ca="1"/>
        <v>#N/A</v>
      </c>
      <c r="T392" s="33" t="e">
        <f ca="1"/>
        <v>#N/A</v>
      </c>
      <c r="U392" s="25" t="e">
        <f ca="1"/>
        <v>#N/A</v>
      </c>
      <c r="V392" s="36" t="e">
        <f ca="1"/>
        <v>#N/A</v>
      </c>
      <c r="W392" s="37" t="e">
        <f ca="1"/>
        <v>#N/A</v>
      </c>
      <c r="X392" s="31" t="s">
        <v>1</v>
      </c>
    </row>
    <row r="393" spans="4:24" x14ac:dyDescent="0.25">
      <c r="D393" s="31" t="s">
        <v>1</v>
      </c>
      <c r="E393" s="43">
        <v>385</v>
      </c>
      <c r="F393" s="25" t="e">
        <f ca="1">IF(ISNA(H393),NA(),IF(ISBLANK(G393),IF(FixedAmortizationFrequency=0,F392,IF(MOD((E393-1),FixedAmortizationFrequency)&lt;&gt;0,F392,F392-FixedAmortization)),G393))</f>
        <v>#N/A</v>
      </c>
      <c r="G393" s="67"/>
      <c r="H393" s="63" t="e">
        <f ca="1"/>
        <v>#N/A</v>
      </c>
      <c r="I393" s="33" t="e">
        <f ca="1"/>
        <v>#N/A</v>
      </c>
      <c r="J393" s="33" t="e">
        <f ca="1"/>
        <v>#N/A</v>
      </c>
      <c r="K393" s="25" t="e">
        <f ca="1"/>
        <v>#N/A</v>
      </c>
      <c r="L393" s="36" t="e">
        <f ca="1"/>
        <v>#N/A</v>
      </c>
      <c r="M393" s="37" t="e">
        <f ca="1"/>
        <v>#N/A</v>
      </c>
      <c r="N393" s="38" t="s">
        <v>1</v>
      </c>
      <c r="O393" s="43">
        <v>385</v>
      </c>
      <c r="P393" s="25" t="e">
        <f ca="1">IF(ISNA(R393),NA(),IF(ISBLANK(Q393),IF(FloatAmortizationFrequency=0,P392,IF(MOD((O393-1),FloatAmortizationFrequency)&lt;&gt;0,P392,P392-FloatAmortization)),Q393))</f>
        <v>#N/A</v>
      </c>
      <c r="Q393" s="67"/>
      <c r="R393" s="33" t="e">
        <f ca="1"/>
        <v>#N/A</v>
      </c>
      <c r="S393" s="33" t="e">
        <f ca="1"/>
        <v>#N/A</v>
      </c>
      <c r="T393" s="33" t="e">
        <f ca="1"/>
        <v>#N/A</v>
      </c>
      <c r="U393" s="25" t="e">
        <f ca="1"/>
        <v>#N/A</v>
      </c>
      <c r="V393" s="36" t="e">
        <f ca="1"/>
        <v>#N/A</v>
      </c>
      <c r="W393" s="37" t="e">
        <f ca="1"/>
        <v>#N/A</v>
      </c>
      <c r="X393" s="31" t="s">
        <v>1</v>
      </c>
    </row>
    <row r="394" spans="4:24" x14ac:dyDescent="0.25">
      <c r="D394" s="31" t="s">
        <v>1</v>
      </c>
      <c r="E394" s="43">
        <v>386</v>
      </c>
      <c r="F394" s="25" t="e">
        <f ca="1">IF(ISNA(H394),NA(),IF(ISBLANK(G394),IF(FixedAmortizationFrequency=0,F393,IF(MOD((E394-1),FixedAmortizationFrequency)&lt;&gt;0,F393,F393-FixedAmortization)),G394))</f>
        <v>#N/A</v>
      </c>
      <c r="G394" s="67"/>
      <c r="H394" s="63" t="e">
        <f ca="1"/>
        <v>#N/A</v>
      </c>
      <c r="I394" s="33" t="e">
        <f ca="1"/>
        <v>#N/A</v>
      </c>
      <c r="J394" s="33" t="e">
        <f ca="1"/>
        <v>#N/A</v>
      </c>
      <c r="K394" s="25" t="e">
        <f ca="1"/>
        <v>#N/A</v>
      </c>
      <c r="L394" s="36" t="e">
        <f ca="1"/>
        <v>#N/A</v>
      </c>
      <c r="M394" s="37" t="e">
        <f ca="1"/>
        <v>#N/A</v>
      </c>
      <c r="N394" s="38" t="s">
        <v>1</v>
      </c>
      <c r="O394" s="43">
        <v>386</v>
      </c>
      <c r="P394" s="25" t="e">
        <f ca="1">IF(ISNA(R394),NA(),IF(ISBLANK(Q394),IF(FloatAmortizationFrequency=0,P393,IF(MOD((O394-1),FloatAmortizationFrequency)&lt;&gt;0,P393,P393-FloatAmortization)),Q394))</f>
        <v>#N/A</v>
      </c>
      <c r="Q394" s="67"/>
      <c r="R394" s="33" t="e">
        <f ca="1"/>
        <v>#N/A</v>
      </c>
      <c r="S394" s="33" t="e">
        <f ca="1"/>
        <v>#N/A</v>
      </c>
      <c r="T394" s="33" t="e">
        <f ca="1"/>
        <v>#N/A</v>
      </c>
      <c r="U394" s="25" t="e">
        <f ca="1"/>
        <v>#N/A</v>
      </c>
      <c r="V394" s="36" t="e">
        <f ca="1"/>
        <v>#N/A</v>
      </c>
      <c r="W394" s="37" t="e">
        <f ca="1"/>
        <v>#N/A</v>
      </c>
      <c r="X394" s="31" t="s">
        <v>1</v>
      </c>
    </row>
    <row r="395" spans="4:24" x14ac:dyDescent="0.25">
      <c r="D395" s="31" t="s">
        <v>1</v>
      </c>
      <c r="E395" s="43">
        <v>387</v>
      </c>
      <c r="F395" s="25" t="e">
        <f ca="1">IF(ISNA(H395),NA(),IF(ISBLANK(G395),IF(FixedAmortizationFrequency=0,F394,IF(MOD((E395-1),FixedAmortizationFrequency)&lt;&gt;0,F394,F394-FixedAmortization)),G395))</f>
        <v>#N/A</v>
      </c>
      <c r="G395" s="67"/>
      <c r="H395" s="63" t="e">
        <f ca="1"/>
        <v>#N/A</v>
      </c>
      <c r="I395" s="33" t="e">
        <f ca="1"/>
        <v>#N/A</v>
      </c>
      <c r="J395" s="33" t="e">
        <f ca="1"/>
        <v>#N/A</v>
      </c>
      <c r="K395" s="25" t="e">
        <f ca="1"/>
        <v>#N/A</v>
      </c>
      <c r="L395" s="36" t="e">
        <f ca="1"/>
        <v>#N/A</v>
      </c>
      <c r="M395" s="37" t="e">
        <f ca="1"/>
        <v>#N/A</v>
      </c>
      <c r="N395" s="38" t="s">
        <v>1</v>
      </c>
      <c r="O395" s="43">
        <v>387</v>
      </c>
      <c r="P395" s="25" t="e">
        <f ca="1">IF(ISNA(R395),NA(),IF(ISBLANK(Q395),IF(FloatAmortizationFrequency=0,P394,IF(MOD((O395-1),FloatAmortizationFrequency)&lt;&gt;0,P394,P394-FloatAmortization)),Q395))</f>
        <v>#N/A</v>
      </c>
      <c r="Q395" s="67"/>
      <c r="R395" s="33" t="e">
        <f ca="1"/>
        <v>#N/A</v>
      </c>
      <c r="S395" s="33" t="e">
        <f ca="1"/>
        <v>#N/A</v>
      </c>
      <c r="T395" s="33" t="e">
        <f ca="1"/>
        <v>#N/A</v>
      </c>
      <c r="U395" s="25" t="e">
        <f ca="1"/>
        <v>#N/A</v>
      </c>
      <c r="V395" s="36" t="e">
        <f ca="1"/>
        <v>#N/A</v>
      </c>
      <c r="W395" s="37" t="e">
        <f ca="1"/>
        <v>#N/A</v>
      </c>
      <c r="X395" s="31" t="s">
        <v>1</v>
      </c>
    </row>
    <row r="396" spans="4:24" x14ac:dyDescent="0.25">
      <c r="D396" s="31" t="s">
        <v>1</v>
      </c>
      <c r="E396" s="43">
        <v>388</v>
      </c>
      <c r="F396" s="25" t="e">
        <f ca="1">IF(ISNA(H396),NA(),IF(ISBLANK(G396),IF(FixedAmortizationFrequency=0,F395,IF(MOD((E396-1),FixedAmortizationFrequency)&lt;&gt;0,F395,F395-FixedAmortization)),G396))</f>
        <v>#N/A</v>
      </c>
      <c r="G396" s="67"/>
      <c r="H396" s="63" t="e">
        <f ca="1"/>
        <v>#N/A</v>
      </c>
      <c r="I396" s="33" t="e">
        <f ca="1"/>
        <v>#N/A</v>
      </c>
      <c r="J396" s="33" t="e">
        <f ca="1"/>
        <v>#N/A</v>
      </c>
      <c r="K396" s="25" t="e">
        <f ca="1"/>
        <v>#N/A</v>
      </c>
      <c r="L396" s="36" t="e">
        <f ca="1"/>
        <v>#N/A</v>
      </c>
      <c r="M396" s="37" t="e">
        <f ca="1"/>
        <v>#N/A</v>
      </c>
      <c r="N396" s="38" t="s">
        <v>1</v>
      </c>
      <c r="O396" s="43">
        <v>388</v>
      </c>
      <c r="P396" s="25" t="e">
        <f ca="1">IF(ISNA(R396),NA(),IF(ISBLANK(Q396),IF(FloatAmortizationFrequency=0,P395,IF(MOD((O396-1),FloatAmortizationFrequency)&lt;&gt;0,P395,P395-FloatAmortization)),Q396))</f>
        <v>#N/A</v>
      </c>
      <c r="Q396" s="67"/>
      <c r="R396" s="33" t="e">
        <f ca="1"/>
        <v>#N/A</v>
      </c>
      <c r="S396" s="33" t="e">
        <f ca="1"/>
        <v>#N/A</v>
      </c>
      <c r="T396" s="33" t="e">
        <f ca="1"/>
        <v>#N/A</v>
      </c>
      <c r="U396" s="25" t="e">
        <f ca="1"/>
        <v>#N/A</v>
      </c>
      <c r="V396" s="36" t="e">
        <f ca="1"/>
        <v>#N/A</v>
      </c>
      <c r="W396" s="37" t="e">
        <f ca="1"/>
        <v>#N/A</v>
      </c>
      <c r="X396" s="31" t="s">
        <v>1</v>
      </c>
    </row>
    <row r="397" spans="4:24" x14ac:dyDescent="0.25">
      <c r="D397" s="31" t="s">
        <v>1</v>
      </c>
      <c r="E397" s="43">
        <v>389</v>
      </c>
      <c r="F397" s="25" t="e">
        <f ca="1">IF(ISNA(H397),NA(),IF(ISBLANK(G397),IF(FixedAmortizationFrequency=0,F396,IF(MOD((E397-1),FixedAmortizationFrequency)&lt;&gt;0,F396,F396-FixedAmortization)),G397))</f>
        <v>#N/A</v>
      </c>
      <c r="G397" s="67"/>
      <c r="H397" s="63" t="e">
        <f ca="1"/>
        <v>#N/A</v>
      </c>
      <c r="I397" s="33" t="e">
        <f ca="1"/>
        <v>#N/A</v>
      </c>
      <c r="J397" s="33" t="e">
        <f ca="1"/>
        <v>#N/A</v>
      </c>
      <c r="K397" s="25" t="e">
        <f ca="1"/>
        <v>#N/A</v>
      </c>
      <c r="L397" s="36" t="e">
        <f ca="1"/>
        <v>#N/A</v>
      </c>
      <c r="M397" s="37" t="e">
        <f ca="1"/>
        <v>#N/A</v>
      </c>
      <c r="N397" s="38" t="s">
        <v>1</v>
      </c>
      <c r="O397" s="43">
        <v>389</v>
      </c>
      <c r="P397" s="25" t="e">
        <f ca="1">IF(ISNA(R397),NA(),IF(ISBLANK(Q397),IF(FloatAmortizationFrequency=0,P396,IF(MOD((O397-1),FloatAmortizationFrequency)&lt;&gt;0,P396,P396-FloatAmortization)),Q397))</f>
        <v>#N/A</v>
      </c>
      <c r="Q397" s="67"/>
      <c r="R397" s="33" t="e">
        <f ca="1"/>
        <v>#N/A</v>
      </c>
      <c r="S397" s="33" t="e">
        <f ca="1"/>
        <v>#N/A</v>
      </c>
      <c r="T397" s="33" t="e">
        <f ca="1"/>
        <v>#N/A</v>
      </c>
      <c r="U397" s="25" t="e">
        <f ca="1"/>
        <v>#N/A</v>
      </c>
      <c r="V397" s="36" t="e">
        <f ca="1"/>
        <v>#N/A</v>
      </c>
      <c r="W397" s="37" t="e">
        <f ca="1"/>
        <v>#N/A</v>
      </c>
      <c r="X397" s="31" t="s">
        <v>1</v>
      </c>
    </row>
    <row r="398" spans="4:24" x14ac:dyDescent="0.25">
      <c r="D398" s="31" t="s">
        <v>1</v>
      </c>
      <c r="E398" s="43">
        <v>390</v>
      </c>
      <c r="F398" s="25" t="e">
        <f ca="1">IF(ISNA(H398),NA(),IF(ISBLANK(G398),IF(FixedAmortizationFrequency=0,F397,IF(MOD((E398-1),FixedAmortizationFrequency)&lt;&gt;0,F397,F397-FixedAmortization)),G398))</f>
        <v>#N/A</v>
      </c>
      <c r="G398" s="67"/>
      <c r="H398" s="63" t="e">
        <f ca="1"/>
        <v>#N/A</v>
      </c>
      <c r="I398" s="33" t="e">
        <f ca="1"/>
        <v>#N/A</v>
      </c>
      <c r="J398" s="33" t="e">
        <f ca="1"/>
        <v>#N/A</v>
      </c>
      <c r="K398" s="25" t="e">
        <f ca="1"/>
        <v>#N/A</v>
      </c>
      <c r="L398" s="36" t="e">
        <f ca="1"/>
        <v>#N/A</v>
      </c>
      <c r="M398" s="37" t="e">
        <f ca="1"/>
        <v>#N/A</v>
      </c>
      <c r="N398" s="38" t="s">
        <v>1</v>
      </c>
      <c r="O398" s="43">
        <v>390</v>
      </c>
      <c r="P398" s="25" t="e">
        <f ca="1">IF(ISNA(R398),NA(),IF(ISBLANK(Q398),IF(FloatAmortizationFrequency=0,P397,IF(MOD((O398-1),FloatAmortizationFrequency)&lt;&gt;0,P397,P397-FloatAmortization)),Q398))</f>
        <v>#N/A</v>
      </c>
      <c r="Q398" s="67"/>
      <c r="R398" s="33" t="e">
        <f ca="1"/>
        <v>#N/A</v>
      </c>
      <c r="S398" s="33" t="e">
        <f ca="1"/>
        <v>#N/A</v>
      </c>
      <c r="T398" s="33" t="e">
        <f ca="1"/>
        <v>#N/A</v>
      </c>
      <c r="U398" s="25" t="e">
        <f ca="1"/>
        <v>#N/A</v>
      </c>
      <c r="V398" s="36" t="e">
        <f ca="1"/>
        <v>#N/A</v>
      </c>
      <c r="W398" s="37" t="e">
        <f ca="1"/>
        <v>#N/A</v>
      </c>
      <c r="X398" s="31" t="s">
        <v>1</v>
      </c>
    </row>
    <row r="399" spans="4:24" x14ac:dyDescent="0.25">
      <c r="D399" s="31" t="s">
        <v>1</v>
      </c>
      <c r="E399" s="43">
        <v>391</v>
      </c>
      <c r="F399" s="25" t="e">
        <f ca="1">IF(ISNA(H399),NA(),IF(ISBLANK(G399),IF(FixedAmortizationFrequency=0,F398,IF(MOD((E399-1),FixedAmortizationFrequency)&lt;&gt;0,F398,F398-FixedAmortization)),G399))</f>
        <v>#N/A</v>
      </c>
      <c r="G399" s="67"/>
      <c r="H399" s="63" t="e">
        <f ca="1"/>
        <v>#N/A</v>
      </c>
      <c r="I399" s="33" t="e">
        <f ca="1"/>
        <v>#N/A</v>
      </c>
      <c r="J399" s="33" t="e">
        <f ca="1"/>
        <v>#N/A</v>
      </c>
      <c r="K399" s="25" t="e">
        <f ca="1"/>
        <v>#N/A</v>
      </c>
      <c r="L399" s="36" t="e">
        <f ca="1"/>
        <v>#N/A</v>
      </c>
      <c r="M399" s="37" t="e">
        <f ca="1"/>
        <v>#N/A</v>
      </c>
      <c r="N399" s="38" t="s">
        <v>1</v>
      </c>
      <c r="O399" s="43">
        <v>391</v>
      </c>
      <c r="P399" s="25" t="e">
        <f ca="1">IF(ISNA(R399),NA(),IF(ISBLANK(Q399),IF(FloatAmortizationFrequency=0,P398,IF(MOD((O399-1),FloatAmortizationFrequency)&lt;&gt;0,P398,P398-FloatAmortization)),Q399))</f>
        <v>#N/A</v>
      </c>
      <c r="Q399" s="67"/>
      <c r="R399" s="33" t="e">
        <f ca="1"/>
        <v>#N/A</v>
      </c>
      <c r="S399" s="33" t="e">
        <f ca="1"/>
        <v>#N/A</v>
      </c>
      <c r="T399" s="33" t="e">
        <f ca="1"/>
        <v>#N/A</v>
      </c>
      <c r="U399" s="25" t="e">
        <f ca="1"/>
        <v>#N/A</v>
      </c>
      <c r="V399" s="36" t="e">
        <f ca="1"/>
        <v>#N/A</v>
      </c>
      <c r="W399" s="37" t="e">
        <f ca="1"/>
        <v>#N/A</v>
      </c>
      <c r="X399" s="31" t="s">
        <v>1</v>
      </c>
    </row>
    <row r="400" spans="4:24" x14ac:dyDescent="0.25">
      <c r="D400" s="31" t="s">
        <v>1</v>
      </c>
      <c r="E400" s="43">
        <v>392</v>
      </c>
      <c r="F400" s="25" t="e">
        <f ca="1">IF(ISNA(H400),NA(),IF(ISBLANK(G400),IF(FixedAmortizationFrequency=0,F399,IF(MOD((E400-1),FixedAmortizationFrequency)&lt;&gt;0,F399,F399-FixedAmortization)),G400))</f>
        <v>#N/A</v>
      </c>
      <c r="G400" s="67"/>
      <c r="H400" s="63" t="e">
        <f ca="1"/>
        <v>#N/A</v>
      </c>
      <c r="I400" s="33" t="e">
        <f ca="1"/>
        <v>#N/A</v>
      </c>
      <c r="J400" s="33" t="e">
        <f ca="1"/>
        <v>#N/A</v>
      </c>
      <c r="K400" s="25" t="e">
        <f ca="1"/>
        <v>#N/A</v>
      </c>
      <c r="L400" s="36" t="e">
        <f ca="1"/>
        <v>#N/A</v>
      </c>
      <c r="M400" s="37" t="e">
        <f ca="1"/>
        <v>#N/A</v>
      </c>
      <c r="N400" s="38" t="s">
        <v>1</v>
      </c>
      <c r="O400" s="43">
        <v>392</v>
      </c>
      <c r="P400" s="25" t="e">
        <f ca="1">IF(ISNA(R400),NA(),IF(ISBLANK(Q400),IF(FloatAmortizationFrequency=0,P399,IF(MOD((O400-1),FloatAmortizationFrequency)&lt;&gt;0,P399,P399-FloatAmortization)),Q400))</f>
        <v>#N/A</v>
      </c>
      <c r="Q400" s="67"/>
      <c r="R400" s="33" t="e">
        <f ca="1"/>
        <v>#N/A</v>
      </c>
      <c r="S400" s="33" t="e">
        <f ca="1"/>
        <v>#N/A</v>
      </c>
      <c r="T400" s="33" t="e">
        <f ca="1"/>
        <v>#N/A</v>
      </c>
      <c r="U400" s="25" t="e">
        <f ca="1"/>
        <v>#N/A</v>
      </c>
      <c r="V400" s="36" t="e">
        <f ca="1"/>
        <v>#N/A</v>
      </c>
      <c r="W400" s="37" t="e">
        <f ca="1"/>
        <v>#N/A</v>
      </c>
      <c r="X400" s="31" t="s">
        <v>1</v>
      </c>
    </row>
    <row r="401" spans="4:24" x14ac:dyDescent="0.25">
      <c r="D401" s="31" t="s">
        <v>1</v>
      </c>
      <c r="E401" s="43">
        <v>393</v>
      </c>
      <c r="F401" s="25" t="e">
        <f ca="1">IF(ISNA(H401),NA(),IF(ISBLANK(G401),IF(FixedAmortizationFrequency=0,F400,IF(MOD((E401-1),FixedAmortizationFrequency)&lt;&gt;0,F400,F400-FixedAmortization)),G401))</f>
        <v>#N/A</v>
      </c>
      <c r="G401" s="67"/>
      <c r="H401" s="63" t="e">
        <f ca="1"/>
        <v>#N/A</v>
      </c>
      <c r="I401" s="33" t="e">
        <f ca="1"/>
        <v>#N/A</v>
      </c>
      <c r="J401" s="33" t="e">
        <f ca="1"/>
        <v>#N/A</v>
      </c>
      <c r="K401" s="25" t="e">
        <f ca="1"/>
        <v>#N/A</v>
      </c>
      <c r="L401" s="36" t="e">
        <f ca="1"/>
        <v>#N/A</v>
      </c>
      <c r="M401" s="37" t="e">
        <f ca="1"/>
        <v>#N/A</v>
      </c>
      <c r="N401" s="38" t="s">
        <v>1</v>
      </c>
      <c r="O401" s="43">
        <v>393</v>
      </c>
      <c r="P401" s="25" t="e">
        <f ca="1">IF(ISNA(R401),NA(),IF(ISBLANK(Q401),IF(FloatAmortizationFrequency=0,P400,IF(MOD((O401-1),FloatAmortizationFrequency)&lt;&gt;0,P400,P400-FloatAmortization)),Q401))</f>
        <v>#N/A</v>
      </c>
      <c r="Q401" s="67"/>
      <c r="R401" s="33" t="e">
        <f ca="1"/>
        <v>#N/A</v>
      </c>
      <c r="S401" s="33" t="e">
        <f ca="1"/>
        <v>#N/A</v>
      </c>
      <c r="T401" s="33" t="e">
        <f ca="1"/>
        <v>#N/A</v>
      </c>
      <c r="U401" s="25" t="e">
        <f ca="1"/>
        <v>#N/A</v>
      </c>
      <c r="V401" s="36" t="e">
        <f ca="1"/>
        <v>#N/A</v>
      </c>
      <c r="W401" s="37" t="e">
        <f ca="1"/>
        <v>#N/A</v>
      </c>
      <c r="X401" s="31" t="s">
        <v>1</v>
      </c>
    </row>
    <row r="402" spans="4:24" x14ac:dyDescent="0.25">
      <c r="D402" s="31" t="s">
        <v>1</v>
      </c>
      <c r="E402" s="43">
        <v>394</v>
      </c>
      <c r="F402" s="25" t="e">
        <f ca="1">IF(ISNA(H402),NA(),IF(ISBLANK(G402),IF(FixedAmortizationFrequency=0,F401,IF(MOD((E402-1),FixedAmortizationFrequency)&lt;&gt;0,F401,F401-FixedAmortization)),G402))</f>
        <v>#N/A</v>
      </c>
      <c r="G402" s="67"/>
      <c r="H402" s="63" t="e">
        <f ca="1"/>
        <v>#N/A</v>
      </c>
      <c r="I402" s="33" t="e">
        <f ca="1"/>
        <v>#N/A</v>
      </c>
      <c r="J402" s="33" t="e">
        <f ca="1"/>
        <v>#N/A</v>
      </c>
      <c r="K402" s="25" t="e">
        <f ca="1"/>
        <v>#N/A</v>
      </c>
      <c r="L402" s="36" t="e">
        <f ca="1"/>
        <v>#N/A</v>
      </c>
      <c r="M402" s="37" t="e">
        <f ca="1"/>
        <v>#N/A</v>
      </c>
      <c r="N402" s="38" t="s">
        <v>1</v>
      </c>
      <c r="O402" s="43">
        <v>394</v>
      </c>
      <c r="P402" s="25" t="e">
        <f ca="1">IF(ISNA(R402),NA(),IF(ISBLANK(Q402),IF(FloatAmortizationFrequency=0,P401,IF(MOD((O402-1),FloatAmortizationFrequency)&lt;&gt;0,P401,P401-FloatAmortization)),Q402))</f>
        <v>#N/A</v>
      </c>
      <c r="Q402" s="67"/>
      <c r="R402" s="33" t="e">
        <f ca="1"/>
        <v>#N/A</v>
      </c>
      <c r="S402" s="33" t="e">
        <f ca="1"/>
        <v>#N/A</v>
      </c>
      <c r="T402" s="33" t="e">
        <f ca="1"/>
        <v>#N/A</v>
      </c>
      <c r="U402" s="25" t="e">
        <f ca="1"/>
        <v>#N/A</v>
      </c>
      <c r="V402" s="36" t="e">
        <f ca="1"/>
        <v>#N/A</v>
      </c>
      <c r="W402" s="37" t="e">
        <f ca="1"/>
        <v>#N/A</v>
      </c>
      <c r="X402" s="31" t="s">
        <v>1</v>
      </c>
    </row>
    <row r="403" spans="4:24" x14ac:dyDescent="0.25">
      <c r="D403" s="31" t="s">
        <v>1</v>
      </c>
      <c r="E403" s="43">
        <v>395</v>
      </c>
      <c r="F403" s="25" t="e">
        <f ca="1">IF(ISNA(H403),NA(),IF(ISBLANK(G403),IF(FixedAmortizationFrequency=0,F402,IF(MOD((E403-1),FixedAmortizationFrequency)&lt;&gt;0,F402,F402-FixedAmortization)),G403))</f>
        <v>#N/A</v>
      </c>
      <c r="G403" s="67"/>
      <c r="H403" s="63" t="e">
        <f ca="1"/>
        <v>#N/A</v>
      </c>
      <c r="I403" s="33" t="e">
        <f ca="1"/>
        <v>#N/A</v>
      </c>
      <c r="J403" s="33" t="e">
        <f ca="1"/>
        <v>#N/A</v>
      </c>
      <c r="K403" s="25" t="e">
        <f ca="1"/>
        <v>#N/A</v>
      </c>
      <c r="L403" s="36" t="e">
        <f ca="1"/>
        <v>#N/A</v>
      </c>
      <c r="M403" s="37" t="e">
        <f ca="1"/>
        <v>#N/A</v>
      </c>
      <c r="N403" s="38" t="s">
        <v>1</v>
      </c>
      <c r="O403" s="43">
        <v>395</v>
      </c>
      <c r="P403" s="25" t="e">
        <f ca="1">IF(ISNA(R403),NA(),IF(ISBLANK(Q403),IF(FloatAmortizationFrequency=0,P402,IF(MOD((O403-1),FloatAmortizationFrequency)&lt;&gt;0,P402,P402-FloatAmortization)),Q403))</f>
        <v>#N/A</v>
      </c>
      <c r="Q403" s="67"/>
      <c r="R403" s="33" t="e">
        <f ca="1"/>
        <v>#N/A</v>
      </c>
      <c r="S403" s="33" t="e">
        <f ca="1"/>
        <v>#N/A</v>
      </c>
      <c r="T403" s="33" t="e">
        <f ca="1"/>
        <v>#N/A</v>
      </c>
      <c r="U403" s="25" t="e">
        <f ca="1"/>
        <v>#N/A</v>
      </c>
      <c r="V403" s="36" t="e">
        <f ca="1"/>
        <v>#N/A</v>
      </c>
      <c r="W403" s="37" t="e">
        <f ca="1"/>
        <v>#N/A</v>
      </c>
      <c r="X403" s="31" t="s">
        <v>1</v>
      </c>
    </row>
    <row r="404" spans="4:24" x14ac:dyDescent="0.25">
      <c r="D404" s="31" t="s">
        <v>1</v>
      </c>
      <c r="E404" s="43">
        <v>396</v>
      </c>
      <c r="F404" s="25" t="e">
        <f ca="1">IF(ISNA(H404),NA(),IF(ISBLANK(G404),IF(FixedAmortizationFrequency=0,F403,IF(MOD((E404-1),FixedAmortizationFrequency)&lt;&gt;0,F403,F403-FixedAmortization)),G404))</f>
        <v>#N/A</v>
      </c>
      <c r="G404" s="67"/>
      <c r="H404" s="63" t="e">
        <f ca="1"/>
        <v>#N/A</v>
      </c>
      <c r="I404" s="33" t="e">
        <f ca="1"/>
        <v>#N/A</v>
      </c>
      <c r="J404" s="33" t="e">
        <f ca="1"/>
        <v>#N/A</v>
      </c>
      <c r="K404" s="25" t="e">
        <f ca="1"/>
        <v>#N/A</v>
      </c>
      <c r="L404" s="36" t="e">
        <f ca="1"/>
        <v>#N/A</v>
      </c>
      <c r="M404" s="37" t="e">
        <f ca="1"/>
        <v>#N/A</v>
      </c>
      <c r="N404" s="38" t="s">
        <v>1</v>
      </c>
      <c r="O404" s="43">
        <v>396</v>
      </c>
      <c r="P404" s="25" t="e">
        <f ca="1">IF(ISNA(R404),NA(),IF(ISBLANK(Q404),IF(FloatAmortizationFrequency=0,P403,IF(MOD((O404-1),FloatAmortizationFrequency)&lt;&gt;0,P403,P403-FloatAmortization)),Q404))</f>
        <v>#N/A</v>
      </c>
      <c r="Q404" s="67"/>
      <c r="R404" s="33" t="e">
        <f ca="1"/>
        <v>#N/A</v>
      </c>
      <c r="S404" s="33" t="e">
        <f ca="1"/>
        <v>#N/A</v>
      </c>
      <c r="T404" s="33" t="e">
        <f ca="1"/>
        <v>#N/A</v>
      </c>
      <c r="U404" s="25" t="e">
        <f ca="1"/>
        <v>#N/A</v>
      </c>
      <c r="V404" s="36" t="e">
        <f ca="1"/>
        <v>#N/A</v>
      </c>
      <c r="W404" s="37" t="e">
        <f ca="1"/>
        <v>#N/A</v>
      </c>
      <c r="X404" s="31" t="s">
        <v>1</v>
      </c>
    </row>
    <row r="405" spans="4:24" x14ac:dyDescent="0.25">
      <c r="D405" s="31" t="s">
        <v>1</v>
      </c>
      <c r="E405" s="43">
        <v>397</v>
      </c>
      <c r="F405" s="25" t="e">
        <f ca="1">IF(ISNA(H405),NA(),IF(ISBLANK(G405),IF(FixedAmortizationFrequency=0,F404,IF(MOD((E405-1),FixedAmortizationFrequency)&lt;&gt;0,F404,F404-FixedAmortization)),G405))</f>
        <v>#N/A</v>
      </c>
      <c r="G405" s="67"/>
      <c r="H405" s="63" t="e">
        <f ca="1"/>
        <v>#N/A</v>
      </c>
      <c r="I405" s="33" t="e">
        <f ca="1"/>
        <v>#N/A</v>
      </c>
      <c r="J405" s="33" t="e">
        <f ca="1"/>
        <v>#N/A</v>
      </c>
      <c r="K405" s="25" t="e">
        <f ca="1"/>
        <v>#N/A</v>
      </c>
      <c r="L405" s="36" t="e">
        <f ca="1"/>
        <v>#N/A</v>
      </c>
      <c r="M405" s="37" t="e">
        <f ca="1"/>
        <v>#N/A</v>
      </c>
      <c r="N405" s="38" t="s">
        <v>1</v>
      </c>
      <c r="O405" s="43">
        <v>397</v>
      </c>
      <c r="P405" s="25" t="e">
        <f ca="1">IF(ISNA(R405),NA(),IF(ISBLANK(Q405),IF(FloatAmortizationFrequency=0,P404,IF(MOD((O405-1),FloatAmortizationFrequency)&lt;&gt;0,P404,P404-FloatAmortization)),Q405))</f>
        <v>#N/A</v>
      </c>
      <c r="Q405" s="67"/>
      <c r="R405" s="33" t="e">
        <f ca="1"/>
        <v>#N/A</v>
      </c>
      <c r="S405" s="33" t="e">
        <f ca="1"/>
        <v>#N/A</v>
      </c>
      <c r="T405" s="33" t="e">
        <f ca="1"/>
        <v>#N/A</v>
      </c>
      <c r="U405" s="25" t="e">
        <f ca="1"/>
        <v>#N/A</v>
      </c>
      <c r="V405" s="36" t="e">
        <f ca="1"/>
        <v>#N/A</v>
      </c>
      <c r="W405" s="37" t="e">
        <f ca="1"/>
        <v>#N/A</v>
      </c>
      <c r="X405" s="31" t="s">
        <v>1</v>
      </c>
    </row>
    <row r="406" spans="4:24" x14ac:dyDescent="0.25">
      <c r="D406" s="31" t="s">
        <v>1</v>
      </c>
      <c r="E406" s="43">
        <v>398</v>
      </c>
      <c r="F406" s="25" t="e">
        <f ca="1">IF(ISNA(H406),NA(),IF(ISBLANK(G406),IF(FixedAmortizationFrequency=0,F405,IF(MOD((E406-1),FixedAmortizationFrequency)&lt;&gt;0,F405,F405-FixedAmortization)),G406))</f>
        <v>#N/A</v>
      </c>
      <c r="G406" s="67"/>
      <c r="H406" s="63" t="e">
        <f ca="1"/>
        <v>#N/A</v>
      </c>
      <c r="I406" s="33" t="e">
        <f ca="1"/>
        <v>#N/A</v>
      </c>
      <c r="J406" s="33" t="e">
        <f ca="1"/>
        <v>#N/A</v>
      </c>
      <c r="K406" s="25" t="e">
        <f ca="1"/>
        <v>#N/A</v>
      </c>
      <c r="L406" s="36" t="e">
        <f ca="1"/>
        <v>#N/A</v>
      </c>
      <c r="M406" s="37" t="e">
        <f ca="1"/>
        <v>#N/A</v>
      </c>
      <c r="N406" s="38" t="s">
        <v>1</v>
      </c>
      <c r="O406" s="43">
        <v>398</v>
      </c>
      <c r="P406" s="25" t="e">
        <f ca="1">IF(ISNA(R406),NA(),IF(ISBLANK(Q406),IF(FloatAmortizationFrequency=0,P405,IF(MOD((O406-1),FloatAmortizationFrequency)&lt;&gt;0,P405,P405-FloatAmortization)),Q406))</f>
        <v>#N/A</v>
      </c>
      <c r="Q406" s="67"/>
      <c r="R406" s="33" t="e">
        <f ca="1"/>
        <v>#N/A</v>
      </c>
      <c r="S406" s="33" t="e">
        <f ca="1"/>
        <v>#N/A</v>
      </c>
      <c r="T406" s="33" t="e">
        <f ca="1"/>
        <v>#N/A</v>
      </c>
      <c r="U406" s="25" t="e">
        <f ca="1"/>
        <v>#N/A</v>
      </c>
      <c r="V406" s="36" t="e">
        <f ca="1"/>
        <v>#N/A</v>
      </c>
      <c r="W406" s="37" t="e">
        <f ca="1"/>
        <v>#N/A</v>
      </c>
      <c r="X406" s="31" t="s">
        <v>1</v>
      </c>
    </row>
    <row r="407" spans="4:24" x14ac:dyDescent="0.25">
      <c r="D407" s="31" t="s">
        <v>1</v>
      </c>
      <c r="E407" s="43">
        <v>399</v>
      </c>
      <c r="F407" s="25" t="e">
        <f ca="1">IF(ISNA(H407),NA(),IF(ISBLANK(G407),IF(FixedAmortizationFrequency=0,F406,IF(MOD((E407-1),FixedAmortizationFrequency)&lt;&gt;0,F406,F406-FixedAmortization)),G407))</f>
        <v>#N/A</v>
      </c>
      <c r="G407" s="67"/>
      <c r="H407" s="63" t="e">
        <f ca="1"/>
        <v>#N/A</v>
      </c>
      <c r="I407" s="33" t="e">
        <f ca="1"/>
        <v>#N/A</v>
      </c>
      <c r="J407" s="33" t="e">
        <f ca="1"/>
        <v>#N/A</v>
      </c>
      <c r="K407" s="25" t="e">
        <f ca="1"/>
        <v>#N/A</v>
      </c>
      <c r="L407" s="36" t="e">
        <f ca="1"/>
        <v>#N/A</v>
      </c>
      <c r="M407" s="37" t="e">
        <f ca="1"/>
        <v>#N/A</v>
      </c>
      <c r="N407" s="38" t="s">
        <v>1</v>
      </c>
      <c r="O407" s="43">
        <v>399</v>
      </c>
      <c r="P407" s="25" t="e">
        <f ca="1">IF(ISNA(R407),NA(),IF(ISBLANK(Q407),IF(FloatAmortizationFrequency=0,P406,IF(MOD((O407-1),FloatAmortizationFrequency)&lt;&gt;0,P406,P406-FloatAmortization)),Q407))</f>
        <v>#N/A</v>
      </c>
      <c r="Q407" s="67"/>
      <c r="R407" s="33" t="e">
        <f ca="1"/>
        <v>#N/A</v>
      </c>
      <c r="S407" s="33" t="e">
        <f ca="1"/>
        <v>#N/A</v>
      </c>
      <c r="T407" s="33" t="e">
        <f ca="1"/>
        <v>#N/A</v>
      </c>
      <c r="U407" s="25" t="e">
        <f ca="1"/>
        <v>#N/A</v>
      </c>
      <c r="V407" s="36" t="e">
        <f ca="1"/>
        <v>#N/A</v>
      </c>
      <c r="W407" s="37" t="e">
        <f ca="1"/>
        <v>#N/A</v>
      </c>
      <c r="X407" s="31" t="s">
        <v>1</v>
      </c>
    </row>
    <row r="408" spans="4:24" x14ac:dyDescent="0.25">
      <c r="D408" s="31" t="s">
        <v>1</v>
      </c>
      <c r="E408" s="43">
        <v>400</v>
      </c>
      <c r="F408" s="25" t="e">
        <f ca="1">IF(ISNA(H408),NA(),IF(ISBLANK(G408),IF(FixedAmortizationFrequency=0,F407,IF(MOD((E408-1),FixedAmortizationFrequency)&lt;&gt;0,F407,F407-FixedAmortization)),G408))</f>
        <v>#N/A</v>
      </c>
      <c r="G408" s="67"/>
      <c r="H408" s="63" t="e">
        <f ca="1"/>
        <v>#N/A</v>
      </c>
      <c r="I408" s="33" t="e">
        <f ca="1"/>
        <v>#N/A</v>
      </c>
      <c r="J408" s="33" t="e">
        <f ca="1"/>
        <v>#N/A</v>
      </c>
      <c r="K408" s="25" t="e">
        <f ca="1"/>
        <v>#N/A</v>
      </c>
      <c r="L408" s="36" t="e">
        <f ca="1"/>
        <v>#N/A</v>
      </c>
      <c r="M408" s="37" t="e">
        <f ca="1"/>
        <v>#N/A</v>
      </c>
      <c r="N408" s="38" t="s">
        <v>1</v>
      </c>
      <c r="O408" s="43">
        <v>400</v>
      </c>
      <c r="P408" s="25" t="e">
        <f ca="1">IF(ISNA(R408),NA(),IF(ISBLANK(Q408),IF(FloatAmortizationFrequency=0,P407,IF(MOD((O408-1),FloatAmortizationFrequency)&lt;&gt;0,P407,P407-FloatAmortization)),Q408))</f>
        <v>#N/A</v>
      </c>
      <c r="Q408" s="67"/>
      <c r="R408" s="33" t="e">
        <f ca="1"/>
        <v>#N/A</v>
      </c>
      <c r="S408" s="33" t="e">
        <f ca="1"/>
        <v>#N/A</v>
      </c>
      <c r="T408" s="33" t="e">
        <f ca="1"/>
        <v>#N/A</v>
      </c>
      <c r="U408" s="25" t="e">
        <f ca="1"/>
        <v>#N/A</v>
      </c>
      <c r="V408" s="36" t="e">
        <f ca="1"/>
        <v>#N/A</v>
      </c>
      <c r="W408" s="37" t="e">
        <f ca="1"/>
        <v>#N/A</v>
      </c>
      <c r="X408" s="31" t="s">
        <v>1</v>
      </c>
    </row>
    <row r="409" spans="4:24" x14ac:dyDescent="0.25">
      <c r="D409" s="31" t="s">
        <v>1</v>
      </c>
      <c r="E409" s="43">
        <v>401</v>
      </c>
      <c r="F409" s="25" t="e">
        <f ca="1">IF(ISNA(H409),NA(),IF(ISBLANK(G409),IF(FixedAmortizationFrequency=0,F408,IF(MOD((E409-1),FixedAmortizationFrequency)&lt;&gt;0,F408,F408-FixedAmortization)),G409))</f>
        <v>#N/A</v>
      </c>
      <c r="G409" s="67"/>
      <c r="H409" s="63" t="e">
        <f ca="1"/>
        <v>#N/A</v>
      </c>
      <c r="I409" s="33" t="e">
        <f ca="1"/>
        <v>#N/A</v>
      </c>
      <c r="J409" s="33" t="e">
        <f ca="1"/>
        <v>#N/A</v>
      </c>
      <c r="K409" s="25" t="e">
        <f ca="1"/>
        <v>#N/A</v>
      </c>
      <c r="L409" s="36" t="e">
        <f ca="1"/>
        <v>#N/A</v>
      </c>
      <c r="M409" s="37" t="e">
        <f ca="1"/>
        <v>#N/A</v>
      </c>
      <c r="N409" s="38" t="s">
        <v>1</v>
      </c>
      <c r="O409" s="43">
        <v>401</v>
      </c>
      <c r="P409" s="25" t="e">
        <f ca="1">IF(ISNA(R409),NA(),IF(ISBLANK(Q409),IF(FloatAmortizationFrequency=0,P408,IF(MOD((O409-1),FloatAmortizationFrequency)&lt;&gt;0,P408,P408-FloatAmortization)),Q409))</f>
        <v>#N/A</v>
      </c>
      <c r="Q409" s="67"/>
      <c r="R409" s="33" t="e">
        <f ca="1"/>
        <v>#N/A</v>
      </c>
      <c r="S409" s="33" t="e">
        <f ca="1"/>
        <v>#N/A</v>
      </c>
      <c r="T409" s="33" t="e">
        <f ca="1"/>
        <v>#N/A</v>
      </c>
      <c r="U409" s="25" t="e">
        <f ca="1"/>
        <v>#N/A</v>
      </c>
      <c r="V409" s="36" t="e">
        <f ca="1"/>
        <v>#N/A</v>
      </c>
      <c r="W409" s="37" t="e">
        <f ca="1"/>
        <v>#N/A</v>
      </c>
      <c r="X409" s="31" t="s">
        <v>1</v>
      </c>
    </row>
    <row r="410" spans="4:24" x14ac:dyDescent="0.25">
      <c r="D410" s="31" t="s">
        <v>1</v>
      </c>
      <c r="E410" s="43">
        <v>402</v>
      </c>
      <c r="F410" s="25" t="e">
        <f ca="1">IF(ISNA(H410),NA(),IF(ISBLANK(G410),IF(FixedAmortizationFrequency=0,F409,IF(MOD((E410-1),FixedAmortizationFrequency)&lt;&gt;0,F409,F409-FixedAmortization)),G410))</f>
        <v>#N/A</v>
      </c>
      <c r="G410" s="67"/>
      <c r="H410" s="63" t="e">
        <f ca="1"/>
        <v>#N/A</v>
      </c>
      <c r="I410" s="33" t="e">
        <f ca="1"/>
        <v>#N/A</v>
      </c>
      <c r="J410" s="33" t="e">
        <f ca="1"/>
        <v>#N/A</v>
      </c>
      <c r="K410" s="25" t="e">
        <f ca="1"/>
        <v>#N/A</v>
      </c>
      <c r="L410" s="36" t="e">
        <f ca="1"/>
        <v>#N/A</v>
      </c>
      <c r="M410" s="37" t="e">
        <f ca="1"/>
        <v>#N/A</v>
      </c>
      <c r="N410" s="38" t="s">
        <v>1</v>
      </c>
      <c r="O410" s="43">
        <v>402</v>
      </c>
      <c r="P410" s="25" t="e">
        <f ca="1">IF(ISNA(R410),NA(),IF(ISBLANK(Q410),IF(FloatAmortizationFrequency=0,P409,IF(MOD((O410-1),FloatAmortizationFrequency)&lt;&gt;0,P409,P409-FloatAmortization)),Q410))</f>
        <v>#N/A</v>
      </c>
      <c r="Q410" s="67"/>
      <c r="R410" s="33" t="e">
        <f ca="1"/>
        <v>#N/A</v>
      </c>
      <c r="S410" s="33" t="e">
        <f ca="1"/>
        <v>#N/A</v>
      </c>
      <c r="T410" s="33" t="e">
        <f ca="1"/>
        <v>#N/A</v>
      </c>
      <c r="U410" s="25" t="e">
        <f ca="1"/>
        <v>#N/A</v>
      </c>
      <c r="V410" s="36" t="e">
        <f ca="1"/>
        <v>#N/A</v>
      </c>
      <c r="W410" s="37" t="e">
        <f ca="1"/>
        <v>#N/A</v>
      </c>
      <c r="X410" s="31" t="s">
        <v>1</v>
      </c>
    </row>
    <row r="411" spans="4:24" x14ac:dyDescent="0.25">
      <c r="D411" s="31" t="s">
        <v>1</v>
      </c>
      <c r="E411" s="43">
        <v>403</v>
      </c>
      <c r="F411" s="25" t="e">
        <f ca="1">IF(ISNA(H411),NA(),IF(ISBLANK(G411),IF(FixedAmortizationFrequency=0,F410,IF(MOD((E411-1),FixedAmortizationFrequency)&lt;&gt;0,F410,F410-FixedAmortization)),G411))</f>
        <v>#N/A</v>
      </c>
      <c r="G411" s="67"/>
      <c r="H411" s="63" t="e">
        <f ca="1"/>
        <v>#N/A</v>
      </c>
      <c r="I411" s="33" t="e">
        <f ca="1"/>
        <v>#N/A</v>
      </c>
      <c r="J411" s="33" t="e">
        <f ca="1"/>
        <v>#N/A</v>
      </c>
      <c r="K411" s="25" t="e">
        <f ca="1"/>
        <v>#N/A</v>
      </c>
      <c r="L411" s="36" t="e">
        <f ca="1"/>
        <v>#N/A</v>
      </c>
      <c r="M411" s="37" t="e">
        <f ca="1"/>
        <v>#N/A</v>
      </c>
      <c r="N411" s="38" t="s">
        <v>1</v>
      </c>
      <c r="O411" s="43">
        <v>403</v>
      </c>
      <c r="P411" s="25" t="e">
        <f ca="1">IF(ISNA(R411),NA(),IF(ISBLANK(Q411),IF(FloatAmortizationFrequency=0,P410,IF(MOD((O411-1),FloatAmortizationFrequency)&lt;&gt;0,P410,P410-FloatAmortization)),Q411))</f>
        <v>#N/A</v>
      </c>
      <c r="Q411" s="67"/>
      <c r="R411" s="33" t="e">
        <f ca="1"/>
        <v>#N/A</v>
      </c>
      <c r="S411" s="33" t="e">
        <f ca="1"/>
        <v>#N/A</v>
      </c>
      <c r="T411" s="33" t="e">
        <f ca="1"/>
        <v>#N/A</v>
      </c>
      <c r="U411" s="25" t="e">
        <f ca="1"/>
        <v>#N/A</v>
      </c>
      <c r="V411" s="36" t="e">
        <f ca="1"/>
        <v>#N/A</v>
      </c>
      <c r="W411" s="37" t="e">
        <f ca="1"/>
        <v>#N/A</v>
      </c>
      <c r="X411" s="31" t="s">
        <v>1</v>
      </c>
    </row>
    <row r="412" spans="4:24" x14ac:dyDescent="0.25">
      <c r="D412" s="31" t="s">
        <v>1</v>
      </c>
      <c r="E412" s="43">
        <v>404</v>
      </c>
      <c r="F412" s="25" t="e">
        <f ca="1">IF(ISNA(H412),NA(),IF(ISBLANK(G412),IF(FixedAmortizationFrequency=0,F411,IF(MOD((E412-1),FixedAmortizationFrequency)&lt;&gt;0,F411,F411-FixedAmortization)),G412))</f>
        <v>#N/A</v>
      </c>
      <c r="G412" s="67"/>
      <c r="H412" s="63" t="e">
        <f ca="1"/>
        <v>#N/A</v>
      </c>
      <c r="I412" s="33" t="e">
        <f ca="1"/>
        <v>#N/A</v>
      </c>
      <c r="J412" s="33" t="e">
        <f ca="1"/>
        <v>#N/A</v>
      </c>
      <c r="K412" s="25" t="e">
        <f ca="1"/>
        <v>#N/A</v>
      </c>
      <c r="L412" s="36" t="e">
        <f ca="1"/>
        <v>#N/A</v>
      </c>
      <c r="M412" s="37" t="e">
        <f ca="1"/>
        <v>#N/A</v>
      </c>
      <c r="N412" s="38" t="s">
        <v>1</v>
      </c>
      <c r="O412" s="43">
        <v>404</v>
      </c>
      <c r="P412" s="25" t="e">
        <f ca="1">IF(ISNA(R412),NA(),IF(ISBLANK(Q412),IF(FloatAmortizationFrequency=0,P411,IF(MOD((O412-1),FloatAmortizationFrequency)&lt;&gt;0,P411,P411-FloatAmortization)),Q412))</f>
        <v>#N/A</v>
      </c>
      <c r="Q412" s="67"/>
      <c r="R412" s="33" t="e">
        <f ca="1"/>
        <v>#N/A</v>
      </c>
      <c r="S412" s="33" t="e">
        <f ca="1"/>
        <v>#N/A</v>
      </c>
      <c r="T412" s="33" t="e">
        <f ca="1"/>
        <v>#N/A</v>
      </c>
      <c r="U412" s="25" t="e">
        <f ca="1"/>
        <v>#N/A</v>
      </c>
      <c r="V412" s="36" t="e">
        <f ca="1"/>
        <v>#N/A</v>
      </c>
      <c r="W412" s="37" t="e">
        <f ca="1"/>
        <v>#N/A</v>
      </c>
      <c r="X412" s="31" t="s">
        <v>1</v>
      </c>
    </row>
    <row r="413" spans="4:24" x14ac:dyDescent="0.25">
      <c r="D413" s="31" t="s">
        <v>1</v>
      </c>
      <c r="E413" s="43">
        <v>405</v>
      </c>
      <c r="F413" s="25" t="e">
        <f ca="1">IF(ISNA(H413),NA(),IF(ISBLANK(G413),IF(FixedAmortizationFrequency=0,F412,IF(MOD((E413-1),FixedAmortizationFrequency)&lt;&gt;0,F412,F412-FixedAmortization)),G413))</f>
        <v>#N/A</v>
      </c>
      <c r="G413" s="67"/>
      <c r="H413" s="63" t="e">
        <f ca="1"/>
        <v>#N/A</v>
      </c>
      <c r="I413" s="33" t="e">
        <f ca="1"/>
        <v>#N/A</v>
      </c>
      <c r="J413" s="33" t="e">
        <f ca="1"/>
        <v>#N/A</v>
      </c>
      <c r="K413" s="25" t="e">
        <f ca="1"/>
        <v>#N/A</v>
      </c>
      <c r="L413" s="36" t="e">
        <f ca="1"/>
        <v>#N/A</v>
      </c>
      <c r="M413" s="37" t="e">
        <f ca="1"/>
        <v>#N/A</v>
      </c>
      <c r="N413" s="38" t="s">
        <v>1</v>
      </c>
      <c r="O413" s="43">
        <v>405</v>
      </c>
      <c r="P413" s="25" t="e">
        <f ca="1">IF(ISNA(R413),NA(),IF(ISBLANK(Q413),IF(FloatAmortizationFrequency=0,P412,IF(MOD((O413-1),FloatAmortizationFrequency)&lt;&gt;0,P412,P412-FloatAmortization)),Q413))</f>
        <v>#N/A</v>
      </c>
      <c r="Q413" s="67"/>
      <c r="R413" s="33" t="e">
        <f ca="1"/>
        <v>#N/A</v>
      </c>
      <c r="S413" s="33" t="e">
        <f ca="1"/>
        <v>#N/A</v>
      </c>
      <c r="T413" s="33" t="e">
        <f ca="1"/>
        <v>#N/A</v>
      </c>
      <c r="U413" s="25" t="e">
        <f ca="1"/>
        <v>#N/A</v>
      </c>
      <c r="V413" s="36" t="e">
        <f ca="1"/>
        <v>#N/A</v>
      </c>
      <c r="W413" s="37" t="e">
        <f ca="1"/>
        <v>#N/A</v>
      </c>
      <c r="X413" s="31" t="s">
        <v>1</v>
      </c>
    </row>
    <row r="414" spans="4:24" x14ac:dyDescent="0.25">
      <c r="D414" s="31" t="s">
        <v>1</v>
      </c>
      <c r="E414" s="43">
        <v>406</v>
      </c>
      <c r="F414" s="25" t="e">
        <f ca="1">IF(ISNA(H414),NA(),IF(ISBLANK(G414),IF(FixedAmortizationFrequency=0,F413,IF(MOD((E414-1),FixedAmortizationFrequency)&lt;&gt;0,F413,F413-FixedAmortization)),G414))</f>
        <v>#N/A</v>
      </c>
      <c r="G414" s="67"/>
      <c r="H414" s="63" t="e">
        <f ca="1"/>
        <v>#N/A</v>
      </c>
      <c r="I414" s="33" t="e">
        <f ca="1"/>
        <v>#N/A</v>
      </c>
      <c r="J414" s="33" t="e">
        <f ca="1"/>
        <v>#N/A</v>
      </c>
      <c r="K414" s="25" t="e">
        <f ca="1"/>
        <v>#N/A</v>
      </c>
      <c r="L414" s="36" t="e">
        <f ca="1"/>
        <v>#N/A</v>
      </c>
      <c r="M414" s="37" t="e">
        <f ca="1"/>
        <v>#N/A</v>
      </c>
      <c r="N414" s="38" t="s">
        <v>1</v>
      </c>
      <c r="O414" s="43">
        <v>406</v>
      </c>
      <c r="P414" s="25" t="e">
        <f ca="1">IF(ISNA(R414),NA(),IF(ISBLANK(Q414),IF(FloatAmortizationFrequency=0,P413,IF(MOD((O414-1),FloatAmortizationFrequency)&lt;&gt;0,P413,P413-FloatAmortization)),Q414))</f>
        <v>#N/A</v>
      </c>
      <c r="Q414" s="67"/>
      <c r="R414" s="33" t="e">
        <f ca="1"/>
        <v>#N/A</v>
      </c>
      <c r="S414" s="33" t="e">
        <f ca="1"/>
        <v>#N/A</v>
      </c>
      <c r="T414" s="33" t="e">
        <f ca="1"/>
        <v>#N/A</v>
      </c>
      <c r="U414" s="25" t="e">
        <f ca="1"/>
        <v>#N/A</v>
      </c>
      <c r="V414" s="36" t="e">
        <f ca="1"/>
        <v>#N/A</v>
      </c>
      <c r="W414" s="37" t="e">
        <f ca="1"/>
        <v>#N/A</v>
      </c>
      <c r="X414" s="31" t="s">
        <v>1</v>
      </c>
    </row>
    <row r="415" spans="4:24" x14ac:dyDescent="0.25">
      <c r="D415" s="31" t="s">
        <v>1</v>
      </c>
      <c r="E415" s="43">
        <v>407</v>
      </c>
      <c r="F415" s="25" t="e">
        <f ca="1">IF(ISNA(H415),NA(),IF(ISBLANK(G415),IF(FixedAmortizationFrequency=0,F414,IF(MOD((E415-1),FixedAmortizationFrequency)&lt;&gt;0,F414,F414-FixedAmortization)),G415))</f>
        <v>#N/A</v>
      </c>
      <c r="G415" s="67"/>
      <c r="H415" s="63" t="e">
        <f ca="1"/>
        <v>#N/A</v>
      </c>
      <c r="I415" s="33" t="e">
        <f ca="1"/>
        <v>#N/A</v>
      </c>
      <c r="J415" s="33" t="e">
        <f ca="1"/>
        <v>#N/A</v>
      </c>
      <c r="K415" s="25" t="e">
        <f ca="1"/>
        <v>#N/A</v>
      </c>
      <c r="L415" s="36" t="e">
        <f ca="1"/>
        <v>#N/A</v>
      </c>
      <c r="M415" s="37" t="e">
        <f ca="1"/>
        <v>#N/A</v>
      </c>
      <c r="N415" s="38" t="s">
        <v>1</v>
      </c>
      <c r="O415" s="43">
        <v>407</v>
      </c>
      <c r="P415" s="25" t="e">
        <f ca="1">IF(ISNA(R415),NA(),IF(ISBLANK(Q415),IF(FloatAmortizationFrequency=0,P414,IF(MOD((O415-1),FloatAmortizationFrequency)&lt;&gt;0,P414,P414-FloatAmortization)),Q415))</f>
        <v>#N/A</v>
      </c>
      <c r="Q415" s="67"/>
      <c r="R415" s="33" t="e">
        <f ca="1"/>
        <v>#N/A</v>
      </c>
      <c r="S415" s="33" t="e">
        <f ca="1"/>
        <v>#N/A</v>
      </c>
      <c r="T415" s="33" t="e">
        <f ca="1"/>
        <v>#N/A</v>
      </c>
      <c r="U415" s="25" t="e">
        <f ca="1"/>
        <v>#N/A</v>
      </c>
      <c r="V415" s="36" t="e">
        <f ca="1"/>
        <v>#N/A</v>
      </c>
      <c r="W415" s="37" t="e">
        <f ca="1"/>
        <v>#N/A</v>
      </c>
      <c r="X415" s="31" t="s">
        <v>1</v>
      </c>
    </row>
    <row r="416" spans="4:24" x14ac:dyDescent="0.25">
      <c r="D416" s="31" t="s">
        <v>1</v>
      </c>
      <c r="E416" s="43">
        <v>408</v>
      </c>
      <c r="F416" s="25" t="e">
        <f ca="1">IF(ISNA(H416),NA(),IF(ISBLANK(G416),IF(FixedAmortizationFrequency=0,F415,IF(MOD((E416-1),FixedAmortizationFrequency)&lt;&gt;0,F415,F415-FixedAmortization)),G416))</f>
        <v>#N/A</v>
      </c>
      <c r="G416" s="67"/>
      <c r="H416" s="63" t="e">
        <f ca="1"/>
        <v>#N/A</v>
      </c>
      <c r="I416" s="33" t="e">
        <f ca="1"/>
        <v>#N/A</v>
      </c>
      <c r="J416" s="33" t="e">
        <f ca="1"/>
        <v>#N/A</v>
      </c>
      <c r="K416" s="25" t="e">
        <f ca="1"/>
        <v>#N/A</v>
      </c>
      <c r="L416" s="36" t="e">
        <f ca="1"/>
        <v>#N/A</v>
      </c>
      <c r="M416" s="37" t="e">
        <f ca="1"/>
        <v>#N/A</v>
      </c>
      <c r="N416" s="38" t="s">
        <v>1</v>
      </c>
      <c r="O416" s="43">
        <v>408</v>
      </c>
      <c r="P416" s="25" t="e">
        <f ca="1">IF(ISNA(R416),NA(),IF(ISBLANK(Q416),IF(FloatAmortizationFrequency=0,P415,IF(MOD((O416-1),FloatAmortizationFrequency)&lt;&gt;0,P415,P415-FloatAmortization)),Q416))</f>
        <v>#N/A</v>
      </c>
      <c r="Q416" s="67"/>
      <c r="R416" s="33" t="e">
        <f ca="1"/>
        <v>#N/A</v>
      </c>
      <c r="S416" s="33" t="e">
        <f ca="1"/>
        <v>#N/A</v>
      </c>
      <c r="T416" s="33" t="e">
        <f ca="1"/>
        <v>#N/A</v>
      </c>
      <c r="U416" s="25" t="e">
        <f ca="1"/>
        <v>#N/A</v>
      </c>
      <c r="V416" s="36" t="e">
        <f ca="1"/>
        <v>#N/A</v>
      </c>
      <c r="W416" s="37" t="e">
        <f ca="1"/>
        <v>#N/A</v>
      </c>
      <c r="X416" s="31" t="s">
        <v>1</v>
      </c>
    </row>
    <row r="417" spans="4:24" x14ac:dyDescent="0.25">
      <c r="D417" s="31" t="s">
        <v>1</v>
      </c>
      <c r="E417" s="43">
        <v>409</v>
      </c>
      <c r="F417" s="25" t="e">
        <f ca="1">IF(ISNA(H417),NA(),IF(ISBLANK(G417),IF(FixedAmortizationFrequency=0,F416,IF(MOD((E417-1),FixedAmortizationFrequency)&lt;&gt;0,F416,F416-FixedAmortization)),G417))</f>
        <v>#N/A</v>
      </c>
      <c r="G417" s="67"/>
      <c r="H417" s="63" t="e">
        <f ca="1"/>
        <v>#N/A</v>
      </c>
      <c r="I417" s="33" t="e">
        <f ca="1"/>
        <v>#N/A</v>
      </c>
      <c r="J417" s="33" t="e">
        <f ca="1"/>
        <v>#N/A</v>
      </c>
      <c r="K417" s="25" t="e">
        <f ca="1"/>
        <v>#N/A</v>
      </c>
      <c r="L417" s="36" t="e">
        <f ca="1"/>
        <v>#N/A</v>
      </c>
      <c r="M417" s="37" t="e">
        <f ca="1"/>
        <v>#N/A</v>
      </c>
      <c r="N417" s="38" t="s">
        <v>1</v>
      </c>
      <c r="O417" s="43">
        <v>409</v>
      </c>
      <c r="P417" s="25" t="e">
        <f ca="1">IF(ISNA(R417),NA(),IF(ISBLANK(Q417),IF(FloatAmortizationFrequency=0,P416,IF(MOD((O417-1),FloatAmortizationFrequency)&lt;&gt;0,P416,P416-FloatAmortization)),Q417))</f>
        <v>#N/A</v>
      </c>
      <c r="Q417" s="67"/>
      <c r="R417" s="33" t="e">
        <f ca="1"/>
        <v>#N/A</v>
      </c>
      <c r="S417" s="33" t="e">
        <f ca="1"/>
        <v>#N/A</v>
      </c>
      <c r="T417" s="33" t="e">
        <f ca="1"/>
        <v>#N/A</v>
      </c>
      <c r="U417" s="25" t="e">
        <f ca="1"/>
        <v>#N/A</v>
      </c>
      <c r="V417" s="36" t="e">
        <f ca="1"/>
        <v>#N/A</v>
      </c>
      <c r="W417" s="37" t="e">
        <f ca="1"/>
        <v>#N/A</v>
      </c>
      <c r="X417" s="31" t="s">
        <v>1</v>
      </c>
    </row>
    <row r="418" spans="4:24" x14ac:dyDescent="0.25">
      <c r="D418" s="31" t="s">
        <v>1</v>
      </c>
      <c r="E418" s="43">
        <v>410</v>
      </c>
      <c r="F418" s="25" t="e">
        <f ca="1">IF(ISNA(H418),NA(),IF(ISBLANK(G418),IF(FixedAmortizationFrequency=0,F417,IF(MOD((E418-1),FixedAmortizationFrequency)&lt;&gt;0,F417,F417-FixedAmortization)),G418))</f>
        <v>#N/A</v>
      </c>
      <c r="G418" s="67"/>
      <c r="H418" s="63" t="e">
        <f ca="1"/>
        <v>#N/A</v>
      </c>
      <c r="I418" s="33" t="e">
        <f ca="1"/>
        <v>#N/A</v>
      </c>
      <c r="J418" s="33" t="e">
        <f ca="1"/>
        <v>#N/A</v>
      </c>
      <c r="K418" s="25" t="e">
        <f ca="1"/>
        <v>#N/A</v>
      </c>
      <c r="L418" s="36" t="e">
        <f ca="1"/>
        <v>#N/A</v>
      </c>
      <c r="M418" s="37" t="e">
        <f ca="1"/>
        <v>#N/A</v>
      </c>
      <c r="N418" s="38" t="s">
        <v>1</v>
      </c>
      <c r="O418" s="43">
        <v>410</v>
      </c>
      <c r="P418" s="25" t="e">
        <f ca="1">IF(ISNA(R418),NA(),IF(ISBLANK(Q418),IF(FloatAmortizationFrequency=0,P417,IF(MOD((O418-1),FloatAmortizationFrequency)&lt;&gt;0,P417,P417-FloatAmortization)),Q418))</f>
        <v>#N/A</v>
      </c>
      <c r="Q418" s="67"/>
      <c r="R418" s="33" t="e">
        <f ca="1"/>
        <v>#N/A</v>
      </c>
      <c r="S418" s="33" t="e">
        <f ca="1"/>
        <v>#N/A</v>
      </c>
      <c r="T418" s="33" t="e">
        <f ca="1"/>
        <v>#N/A</v>
      </c>
      <c r="U418" s="25" t="e">
        <f ca="1"/>
        <v>#N/A</v>
      </c>
      <c r="V418" s="36" t="e">
        <f ca="1"/>
        <v>#N/A</v>
      </c>
      <c r="W418" s="37" t="e">
        <f ca="1"/>
        <v>#N/A</v>
      </c>
      <c r="X418" s="31" t="s">
        <v>1</v>
      </c>
    </row>
    <row r="419" spans="4:24" x14ac:dyDescent="0.25">
      <c r="D419" s="31" t="s">
        <v>1</v>
      </c>
      <c r="E419" s="43">
        <v>411</v>
      </c>
      <c r="F419" s="25" t="e">
        <f ca="1">IF(ISNA(H419),NA(),IF(ISBLANK(G419),IF(FixedAmortizationFrequency=0,F418,IF(MOD((E419-1),FixedAmortizationFrequency)&lt;&gt;0,F418,F418-FixedAmortization)),G419))</f>
        <v>#N/A</v>
      </c>
      <c r="G419" s="67"/>
      <c r="H419" s="63" t="e">
        <f ca="1"/>
        <v>#N/A</v>
      </c>
      <c r="I419" s="33" t="e">
        <f ca="1"/>
        <v>#N/A</v>
      </c>
      <c r="J419" s="33" t="e">
        <f ca="1"/>
        <v>#N/A</v>
      </c>
      <c r="K419" s="25" t="e">
        <f ca="1"/>
        <v>#N/A</v>
      </c>
      <c r="L419" s="36" t="e">
        <f ca="1"/>
        <v>#N/A</v>
      </c>
      <c r="M419" s="37" t="e">
        <f ca="1"/>
        <v>#N/A</v>
      </c>
      <c r="N419" s="38" t="s">
        <v>1</v>
      </c>
      <c r="O419" s="43">
        <v>411</v>
      </c>
      <c r="P419" s="25" t="e">
        <f ca="1">IF(ISNA(R419),NA(),IF(ISBLANK(Q419),IF(FloatAmortizationFrequency=0,P418,IF(MOD((O419-1),FloatAmortizationFrequency)&lt;&gt;0,P418,P418-FloatAmortization)),Q419))</f>
        <v>#N/A</v>
      </c>
      <c r="Q419" s="67"/>
      <c r="R419" s="33" t="e">
        <f ca="1"/>
        <v>#N/A</v>
      </c>
      <c r="S419" s="33" t="e">
        <f ca="1"/>
        <v>#N/A</v>
      </c>
      <c r="T419" s="33" t="e">
        <f ca="1"/>
        <v>#N/A</v>
      </c>
      <c r="U419" s="25" t="e">
        <f ca="1"/>
        <v>#N/A</v>
      </c>
      <c r="V419" s="36" t="e">
        <f ca="1"/>
        <v>#N/A</v>
      </c>
      <c r="W419" s="37" t="e">
        <f ca="1"/>
        <v>#N/A</v>
      </c>
      <c r="X419" s="31" t="s">
        <v>1</v>
      </c>
    </row>
    <row r="420" spans="4:24" x14ac:dyDescent="0.25">
      <c r="D420" s="31" t="s">
        <v>1</v>
      </c>
      <c r="E420" s="43">
        <v>412</v>
      </c>
      <c r="F420" s="25" t="e">
        <f ca="1">IF(ISNA(H420),NA(),IF(ISBLANK(G420),IF(FixedAmortizationFrequency=0,F419,IF(MOD((E420-1),FixedAmortizationFrequency)&lt;&gt;0,F419,F419-FixedAmortization)),G420))</f>
        <v>#N/A</v>
      </c>
      <c r="G420" s="67"/>
      <c r="H420" s="63" t="e">
        <f ca="1"/>
        <v>#N/A</v>
      </c>
      <c r="I420" s="33" t="e">
        <f ca="1"/>
        <v>#N/A</v>
      </c>
      <c r="J420" s="33" t="e">
        <f ca="1"/>
        <v>#N/A</v>
      </c>
      <c r="K420" s="25" t="e">
        <f ca="1"/>
        <v>#N/A</v>
      </c>
      <c r="L420" s="36" t="e">
        <f ca="1"/>
        <v>#N/A</v>
      </c>
      <c r="M420" s="37" t="e">
        <f ca="1"/>
        <v>#N/A</v>
      </c>
      <c r="N420" s="38" t="s">
        <v>1</v>
      </c>
      <c r="O420" s="43">
        <v>412</v>
      </c>
      <c r="P420" s="25" t="e">
        <f ca="1">IF(ISNA(R420),NA(),IF(ISBLANK(Q420),IF(FloatAmortizationFrequency=0,P419,IF(MOD((O420-1),FloatAmortizationFrequency)&lt;&gt;0,P419,P419-FloatAmortization)),Q420))</f>
        <v>#N/A</v>
      </c>
      <c r="Q420" s="67"/>
      <c r="R420" s="33" t="e">
        <f ca="1"/>
        <v>#N/A</v>
      </c>
      <c r="S420" s="33" t="e">
        <f ca="1"/>
        <v>#N/A</v>
      </c>
      <c r="T420" s="33" t="e">
        <f ca="1"/>
        <v>#N/A</v>
      </c>
      <c r="U420" s="25" t="e">
        <f ca="1"/>
        <v>#N/A</v>
      </c>
      <c r="V420" s="36" t="e">
        <f ca="1"/>
        <v>#N/A</v>
      </c>
      <c r="W420" s="37" t="e">
        <f ca="1"/>
        <v>#N/A</v>
      </c>
      <c r="X420" s="31" t="s">
        <v>1</v>
      </c>
    </row>
    <row r="421" spans="4:24" x14ac:dyDescent="0.25">
      <c r="D421" s="31" t="s">
        <v>1</v>
      </c>
      <c r="E421" s="43">
        <v>413</v>
      </c>
      <c r="F421" s="25" t="e">
        <f ca="1">IF(ISNA(H421),NA(),IF(ISBLANK(G421),IF(FixedAmortizationFrequency=0,F420,IF(MOD((E421-1),FixedAmortizationFrequency)&lt;&gt;0,F420,F420-FixedAmortization)),G421))</f>
        <v>#N/A</v>
      </c>
      <c r="G421" s="67"/>
      <c r="H421" s="63" t="e">
        <f ca="1"/>
        <v>#N/A</v>
      </c>
      <c r="I421" s="33" t="e">
        <f ca="1"/>
        <v>#N/A</v>
      </c>
      <c r="J421" s="33" t="e">
        <f ca="1"/>
        <v>#N/A</v>
      </c>
      <c r="K421" s="25" t="e">
        <f ca="1"/>
        <v>#N/A</v>
      </c>
      <c r="L421" s="36" t="e">
        <f ca="1"/>
        <v>#N/A</v>
      </c>
      <c r="M421" s="37" t="e">
        <f ca="1"/>
        <v>#N/A</v>
      </c>
      <c r="N421" s="38" t="s">
        <v>1</v>
      </c>
      <c r="O421" s="43">
        <v>413</v>
      </c>
      <c r="P421" s="25" t="e">
        <f ca="1">IF(ISNA(R421),NA(),IF(ISBLANK(Q421),IF(FloatAmortizationFrequency=0,P420,IF(MOD((O421-1),FloatAmortizationFrequency)&lt;&gt;0,P420,P420-FloatAmortization)),Q421))</f>
        <v>#N/A</v>
      </c>
      <c r="Q421" s="67"/>
      <c r="R421" s="33" t="e">
        <f ca="1"/>
        <v>#N/A</v>
      </c>
      <c r="S421" s="33" t="e">
        <f ca="1"/>
        <v>#N/A</v>
      </c>
      <c r="T421" s="33" t="e">
        <f ca="1"/>
        <v>#N/A</v>
      </c>
      <c r="U421" s="25" t="e">
        <f ca="1"/>
        <v>#N/A</v>
      </c>
      <c r="V421" s="36" t="e">
        <f ca="1"/>
        <v>#N/A</v>
      </c>
      <c r="W421" s="37" t="e">
        <f ca="1"/>
        <v>#N/A</v>
      </c>
      <c r="X421" s="31" t="s">
        <v>1</v>
      </c>
    </row>
    <row r="422" spans="4:24" x14ac:dyDescent="0.25">
      <c r="D422" s="31" t="s">
        <v>1</v>
      </c>
      <c r="E422" s="43">
        <v>414</v>
      </c>
      <c r="F422" s="25" t="e">
        <f ca="1">IF(ISNA(H422),NA(),IF(ISBLANK(G422),IF(FixedAmortizationFrequency=0,F421,IF(MOD((E422-1),FixedAmortizationFrequency)&lt;&gt;0,F421,F421-FixedAmortization)),G422))</f>
        <v>#N/A</v>
      </c>
      <c r="G422" s="67"/>
      <c r="H422" s="63" t="e">
        <f ca="1"/>
        <v>#N/A</v>
      </c>
      <c r="I422" s="33" t="e">
        <f ca="1"/>
        <v>#N/A</v>
      </c>
      <c r="J422" s="33" t="e">
        <f ca="1"/>
        <v>#N/A</v>
      </c>
      <c r="K422" s="25" t="e">
        <f ca="1"/>
        <v>#N/A</v>
      </c>
      <c r="L422" s="36" t="e">
        <f ca="1"/>
        <v>#N/A</v>
      </c>
      <c r="M422" s="37" t="e">
        <f ca="1"/>
        <v>#N/A</v>
      </c>
      <c r="N422" s="38" t="s">
        <v>1</v>
      </c>
      <c r="O422" s="43">
        <v>414</v>
      </c>
      <c r="P422" s="25" t="e">
        <f ca="1">IF(ISNA(R422),NA(),IF(ISBLANK(Q422),IF(FloatAmortizationFrequency=0,P421,IF(MOD((O422-1),FloatAmortizationFrequency)&lt;&gt;0,P421,P421-FloatAmortization)),Q422))</f>
        <v>#N/A</v>
      </c>
      <c r="Q422" s="67"/>
      <c r="R422" s="33" t="e">
        <f ca="1"/>
        <v>#N/A</v>
      </c>
      <c r="S422" s="33" t="e">
        <f ca="1"/>
        <v>#N/A</v>
      </c>
      <c r="T422" s="33" t="e">
        <f ca="1"/>
        <v>#N/A</v>
      </c>
      <c r="U422" s="25" t="e">
        <f ca="1"/>
        <v>#N/A</v>
      </c>
      <c r="V422" s="36" t="e">
        <f ca="1"/>
        <v>#N/A</v>
      </c>
      <c r="W422" s="37" t="e">
        <f ca="1"/>
        <v>#N/A</v>
      </c>
      <c r="X422" s="31" t="s">
        <v>1</v>
      </c>
    </row>
    <row r="423" spans="4:24" x14ac:dyDescent="0.25">
      <c r="D423" s="31" t="s">
        <v>1</v>
      </c>
      <c r="E423" s="43">
        <v>415</v>
      </c>
      <c r="F423" s="25" t="e">
        <f ca="1">IF(ISNA(H423),NA(),IF(ISBLANK(G423),IF(FixedAmortizationFrequency=0,F422,IF(MOD((E423-1),FixedAmortizationFrequency)&lt;&gt;0,F422,F422-FixedAmortization)),G423))</f>
        <v>#N/A</v>
      </c>
      <c r="G423" s="67"/>
      <c r="H423" s="63" t="e">
        <f ca="1"/>
        <v>#N/A</v>
      </c>
      <c r="I423" s="33" t="e">
        <f ca="1"/>
        <v>#N/A</v>
      </c>
      <c r="J423" s="33" t="e">
        <f ca="1"/>
        <v>#N/A</v>
      </c>
      <c r="K423" s="25" t="e">
        <f ca="1"/>
        <v>#N/A</v>
      </c>
      <c r="L423" s="36" t="e">
        <f ca="1"/>
        <v>#N/A</v>
      </c>
      <c r="M423" s="37" t="e">
        <f ca="1"/>
        <v>#N/A</v>
      </c>
      <c r="N423" s="38" t="s">
        <v>1</v>
      </c>
      <c r="O423" s="43">
        <v>415</v>
      </c>
      <c r="P423" s="25" t="e">
        <f ca="1">IF(ISNA(R423),NA(),IF(ISBLANK(Q423),IF(FloatAmortizationFrequency=0,P422,IF(MOD((O423-1),FloatAmortizationFrequency)&lt;&gt;0,P422,P422-FloatAmortization)),Q423))</f>
        <v>#N/A</v>
      </c>
      <c r="Q423" s="67"/>
      <c r="R423" s="33" t="e">
        <f ca="1"/>
        <v>#N/A</v>
      </c>
      <c r="S423" s="33" t="e">
        <f ca="1"/>
        <v>#N/A</v>
      </c>
      <c r="T423" s="33" t="e">
        <f ca="1"/>
        <v>#N/A</v>
      </c>
      <c r="U423" s="25" t="e">
        <f ca="1"/>
        <v>#N/A</v>
      </c>
      <c r="V423" s="36" t="e">
        <f ca="1"/>
        <v>#N/A</v>
      </c>
      <c r="W423" s="37" t="e">
        <f ca="1"/>
        <v>#N/A</v>
      </c>
      <c r="X423" s="31" t="s">
        <v>1</v>
      </c>
    </row>
    <row r="424" spans="4:24" x14ac:dyDescent="0.25">
      <c r="D424" s="31" t="s">
        <v>1</v>
      </c>
      <c r="E424" s="43">
        <v>416</v>
      </c>
      <c r="F424" s="25" t="e">
        <f ca="1">IF(ISNA(H424),NA(),IF(ISBLANK(G424),IF(FixedAmortizationFrequency=0,F423,IF(MOD((E424-1),FixedAmortizationFrequency)&lt;&gt;0,F423,F423-FixedAmortization)),G424))</f>
        <v>#N/A</v>
      </c>
      <c r="G424" s="67"/>
      <c r="H424" s="63" t="e">
        <f ca="1"/>
        <v>#N/A</v>
      </c>
      <c r="I424" s="33" t="e">
        <f ca="1"/>
        <v>#N/A</v>
      </c>
      <c r="J424" s="33" t="e">
        <f ca="1"/>
        <v>#N/A</v>
      </c>
      <c r="K424" s="25" t="e">
        <f ca="1"/>
        <v>#N/A</v>
      </c>
      <c r="L424" s="36" t="e">
        <f ca="1"/>
        <v>#N/A</v>
      </c>
      <c r="M424" s="37" t="e">
        <f ca="1"/>
        <v>#N/A</v>
      </c>
      <c r="N424" s="38" t="s">
        <v>1</v>
      </c>
      <c r="O424" s="43">
        <v>416</v>
      </c>
      <c r="P424" s="25" t="e">
        <f ca="1">IF(ISNA(R424),NA(),IF(ISBLANK(Q424),IF(FloatAmortizationFrequency=0,P423,IF(MOD((O424-1),FloatAmortizationFrequency)&lt;&gt;0,P423,P423-FloatAmortization)),Q424))</f>
        <v>#N/A</v>
      </c>
      <c r="Q424" s="67"/>
      <c r="R424" s="33" t="e">
        <f ca="1"/>
        <v>#N/A</v>
      </c>
      <c r="S424" s="33" t="e">
        <f ca="1"/>
        <v>#N/A</v>
      </c>
      <c r="T424" s="33" t="e">
        <f ca="1"/>
        <v>#N/A</v>
      </c>
      <c r="U424" s="25" t="e">
        <f ca="1"/>
        <v>#N/A</v>
      </c>
      <c r="V424" s="36" t="e">
        <f ca="1"/>
        <v>#N/A</v>
      </c>
      <c r="W424" s="37" t="e">
        <f ca="1"/>
        <v>#N/A</v>
      </c>
      <c r="X424" s="31" t="s">
        <v>1</v>
      </c>
    </row>
    <row r="425" spans="4:24" x14ac:dyDescent="0.25">
      <c r="D425" s="31" t="s">
        <v>1</v>
      </c>
      <c r="E425" s="43">
        <v>417</v>
      </c>
      <c r="F425" s="25" t="e">
        <f ca="1">IF(ISNA(H425),NA(),IF(ISBLANK(G425),IF(FixedAmortizationFrequency=0,F424,IF(MOD((E425-1),FixedAmortizationFrequency)&lt;&gt;0,F424,F424-FixedAmortization)),G425))</f>
        <v>#N/A</v>
      </c>
      <c r="G425" s="67"/>
      <c r="H425" s="63" t="e">
        <f ca="1"/>
        <v>#N/A</v>
      </c>
      <c r="I425" s="33" t="e">
        <f ca="1"/>
        <v>#N/A</v>
      </c>
      <c r="J425" s="33" t="e">
        <f ca="1"/>
        <v>#N/A</v>
      </c>
      <c r="K425" s="25" t="e">
        <f ca="1"/>
        <v>#N/A</v>
      </c>
      <c r="L425" s="36" t="e">
        <f ca="1"/>
        <v>#N/A</v>
      </c>
      <c r="M425" s="37" t="e">
        <f ca="1"/>
        <v>#N/A</v>
      </c>
      <c r="N425" s="38" t="s">
        <v>1</v>
      </c>
      <c r="O425" s="43">
        <v>417</v>
      </c>
      <c r="P425" s="25" t="e">
        <f ca="1">IF(ISNA(R425),NA(),IF(ISBLANK(Q425),IF(FloatAmortizationFrequency=0,P424,IF(MOD((O425-1),FloatAmortizationFrequency)&lt;&gt;0,P424,P424-FloatAmortization)),Q425))</f>
        <v>#N/A</v>
      </c>
      <c r="Q425" s="67"/>
      <c r="R425" s="33" t="e">
        <f ca="1"/>
        <v>#N/A</v>
      </c>
      <c r="S425" s="33" t="e">
        <f ca="1"/>
        <v>#N/A</v>
      </c>
      <c r="T425" s="33" t="e">
        <f ca="1"/>
        <v>#N/A</v>
      </c>
      <c r="U425" s="25" t="e">
        <f ca="1"/>
        <v>#N/A</v>
      </c>
      <c r="V425" s="36" t="e">
        <f ca="1"/>
        <v>#N/A</v>
      </c>
      <c r="W425" s="37" t="e">
        <f ca="1"/>
        <v>#N/A</v>
      </c>
      <c r="X425" s="31" t="s">
        <v>1</v>
      </c>
    </row>
    <row r="426" spans="4:24" x14ac:dyDescent="0.25">
      <c r="D426" s="31" t="s">
        <v>1</v>
      </c>
      <c r="E426" s="43">
        <v>418</v>
      </c>
      <c r="F426" s="25" t="e">
        <f ca="1">IF(ISNA(H426),NA(),IF(ISBLANK(G426),IF(FixedAmortizationFrequency=0,F425,IF(MOD((E426-1),FixedAmortizationFrequency)&lt;&gt;0,F425,F425-FixedAmortization)),G426))</f>
        <v>#N/A</v>
      </c>
      <c r="G426" s="67"/>
      <c r="H426" s="63" t="e">
        <f ca="1"/>
        <v>#N/A</v>
      </c>
      <c r="I426" s="33" t="e">
        <f ca="1"/>
        <v>#N/A</v>
      </c>
      <c r="J426" s="33" t="e">
        <f ca="1"/>
        <v>#N/A</v>
      </c>
      <c r="K426" s="25" t="e">
        <f ca="1"/>
        <v>#N/A</v>
      </c>
      <c r="L426" s="36" t="e">
        <f ca="1"/>
        <v>#N/A</v>
      </c>
      <c r="M426" s="37" t="e">
        <f ca="1"/>
        <v>#N/A</v>
      </c>
      <c r="N426" s="38" t="s">
        <v>1</v>
      </c>
      <c r="O426" s="43">
        <v>418</v>
      </c>
      <c r="P426" s="25" t="e">
        <f ca="1">IF(ISNA(R426),NA(),IF(ISBLANK(Q426),IF(FloatAmortizationFrequency=0,P425,IF(MOD((O426-1),FloatAmortizationFrequency)&lt;&gt;0,P425,P425-FloatAmortization)),Q426))</f>
        <v>#N/A</v>
      </c>
      <c r="Q426" s="67"/>
      <c r="R426" s="33" t="e">
        <f ca="1"/>
        <v>#N/A</v>
      </c>
      <c r="S426" s="33" t="e">
        <f ca="1"/>
        <v>#N/A</v>
      </c>
      <c r="T426" s="33" t="e">
        <f ca="1"/>
        <v>#N/A</v>
      </c>
      <c r="U426" s="25" t="e">
        <f ca="1"/>
        <v>#N/A</v>
      </c>
      <c r="V426" s="36" t="e">
        <f ca="1"/>
        <v>#N/A</v>
      </c>
      <c r="W426" s="37" t="e">
        <f ca="1"/>
        <v>#N/A</v>
      </c>
      <c r="X426" s="31" t="s">
        <v>1</v>
      </c>
    </row>
    <row r="427" spans="4:24" x14ac:dyDescent="0.25">
      <c r="D427" s="31" t="s">
        <v>1</v>
      </c>
      <c r="E427" s="43">
        <v>419</v>
      </c>
      <c r="F427" s="25" t="e">
        <f ca="1">IF(ISNA(H427),NA(),IF(ISBLANK(G427),IF(FixedAmortizationFrequency=0,F426,IF(MOD((E427-1),FixedAmortizationFrequency)&lt;&gt;0,F426,F426-FixedAmortization)),G427))</f>
        <v>#N/A</v>
      </c>
      <c r="G427" s="67"/>
      <c r="H427" s="63" t="e">
        <f ca="1"/>
        <v>#N/A</v>
      </c>
      <c r="I427" s="33" t="e">
        <f ca="1"/>
        <v>#N/A</v>
      </c>
      <c r="J427" s="33" t="e">
        <f ca="1"/>
        <v>#N/A</v>
      </c>
      <c r="K427" s="25" t="e">
        <f ca="1"/>
        <v>#N/A</v>
      </c>
      <c r="L427" s="36" t="e">
        <f ca="1"/>
        <v>#N/A</v>
      </c>
      <c r="M427" s="37" t="e">
        <f ca="1"/>
        <v>#N/A</v>
      </c>
      <c r="N427" s="38" t="s">
        <v>1</v>
      </c>
      <c r="O427" s="43">
        <v>419</v>
      </c>
      <c r="P427" s="25" t="e">
        <f ca="1">IF(ISNA(R427),NA(),IF(ISBLANK(Q427),IF(FloatAmortizationFrequency=0,P426,IF(MOD((O427-1),FloatAmortizationFrequency)&lt;&gt;0,P426,P426-FloatAmortization)),Q427))</f>
        <v>#N/A</v>
      </c>
      <c r="Q427" s="67"/>
      <c r="R427" s="33" t="e">
        <f ca="1"/>
        <v>#N/A</v>
      </c>
      <c r="S427" s="33" t="e">
        <f ca="1"/>
        <v>#N/A</v>
      </c>
      <c r="T427" s="33" t="e">
        <f ca="1"/>
        <v>#N/A</v>
      </c>
      <c r="U427" s="25" t="e">
        <f ca="1"/>
        <v>#N/A</v>
      </c>
      <c r="V427" s="36" t="e">
        <f ca="1"/>
        <v>#N/A</v>
      </c>
      <c r="W427" s="37" t="e">
        <f ca="1"/>
        <v>#N/A</v>
      </c>
      <c r="X427" s="31" t="s">
        <v>1</v>
      </c>
    </row>
    <row r="428" spans="4:24" x14ac:dyDescent="0.25">
      <c r="D428" s="31" t="s">
        <v>1</v>
      </c>
      <c r="E428" s="43">
        <v>420</v>
      </c>
      <c r="F428" s="25" t="e">
        <f ca="1">IF(ISNA(H428),NA(),IF(ISBLANK(G428),IF(FixedAmortizationFrequency=0,F427,IF(MOD((E428-1),FixedAmortizationFrequency)&lt;&gt;0,F427,F427-FixedAmortization)),G428))</f>
        <v>#N/A</v>
      </c>
      <c r="G428" s="67"/>
      <c r="H428" s="63" t="e">
        <f ca="1"/>
        <v>#N/A</v>
      </c>
      <c r="I428" s="33" t="e">
        <f ca="1"/>
        <v>#N/A</v>
      </c>
      <c r="J428" s="33" t="e">
        <f ca="1"/>
        <v>#N/A</v>
      </c>
      <c r="K428" s="25" t="e">
        <f ca="1"/>
        <v>#N/A</v>
      </c>
      <c r="L428" s="36" t="e">
        <f ca="1"/>
        <v>#N/A</v>
      </c>
      <c r="M428" s="37" t="e">
        <f ca="1"/>
        <v>#N/A</v>
      </c>
      <c r="N428" s="38" t="s">
        <v>1</v>
      </c>
      <c r="O428" s="43">
        <v>420</v>
      </c>
      <c r="P428" s="25" t="e">
        <f ca="1">IF(ISNA(R428),NA(),IF(ISBLANK(Q428),IF(FloatAmortizationFrequency=0,P427,IF(MOD((O428-1),FloatAmortizationFrequency)&lt;&gt;0,P427,P427-FloatAmortization)),Q428))</f>
        <v>#N/A</v>
      </c>
      <c r="Q428" s="67"/>
      <c r="R428" s="33" t="e">
        <f ca="1"/>
        <v>#N/A</v>
      </c>
      <c r="S428" s="33" t="e">
        <f ca="1"/>
        <v>#N/A</v>
      </c>
      <c r="T428" s="33" t="e">
        <f ca="1"/>
        <v>#N/A</v>
      </c>
      <c r="U428" s="25" t="e">
        <f ca="1"/>
        <v>#N/A</v>
      </c>
      <c r="V428" s="36" t="e">
        <f ca="1"/>
        <v>#N/A</v>
      </c>
      <c r="W428" s="37" t="e">
        <f ca="1"/>
        <v>#N/A</v>
      </c>
      <c r="X428" s="31" t="s">
        <v>1</v>
      </c>
    </row>
    <row r="429" spans="4:24" x14ac:dyDescent="0.25">
      <c r="D429" s="31" t="s">
        <v>1</v>
      </c>
      <c r="E429" s="43">
        <v>421</v>
      </c>
      <c r="F429" s="25" t="e">
        <f ca="1">IF(ISNA(H429),NA(),IF(ISBLANK(G429),IF(FixedAmortizationFrequency=0,F428,IF(MOD((E429-1),FixedAmortizationFrequency)&lt;&gt;0,F428,F428-FixedAmortization)),G429))</f>
        <v>#N/A</v>
      </c>
      <c r="G429" s="67"/>
      <c r="H429" s="63" t="e">
        <f ca="1"/>
        <v>#N/A</v>
      </c>
      <c r="I429" s="33" t="e">
        <f ca="1"/>
        <v>#N/A</v>
      </c>
      <c r="J429" s="33" t="e">
        <f ca="1"/>
        <v>#N/A</v>
      </c>
      <c r="K429" s="25" t="e">
        <f ca="1"/>
        <v>#N/A</v>
      </c>
      <c r="L429" s="36" t="e">
        <f ca="1"/>
        <v>#N/A</v>
      </c>
      <c r="M429" s="37" t="e">
        <f ca="1"/>
        <v>#N/A</v>
      </c>
      <c r="N429" s="38" t="s">
        <v>1</v>
      </c>
      <c r="O429" s="43">
        <v>421</v>
      </c>
      <c r="P429" s="25" t="e">
        <f ca="1">IF(ISNA(R429),NA(),IF(ISBLANK(Q429),IF(FloatAmortizationFrequency=0,P428,IF(MOD((O429-1),FloatAmortizationFrequency)&lt;&gt;0,P428,P428-FloatAmortization)),Q429))</f>
        <v>#N/A</v>
      </c>
      <c r="Q429" s="67"/>
      <c r="R429" s="33" t="e">
        <f ca="1"/>
        <v>#N/A</v>
      </c>
      <c r="S429" s="33" t="e">
        <f ca="1"/>
        <v>#N/A</v>
      </c>
      <c r="T429" s="33" t="e">
        <f ca="1"/>
        <v>#N/A</v>
      </c>
      <c r="U429" s="25" t="e">
        <f ca="1"/>
        <v>#N/A</v>
      </c>
      <c r="V429" s="36" t="e">
        <f ca="1"/>
        <v>#N/A</v>
      </c>
      <c r="W429" s="37" t="e">
        <f ca="1"/>
        <v>#N/A</v>
      </c>
      <c r="X429" s="31" t="s">
        <v>1</v>
      </c>
    </row>
    <row r="430" spans="4:24" x14ac:dyDescent="0.25">
      <c r="D430" s="31" t="s">
        <v>1</v>
      </c>
      <c r="E430" s="43">
        <v>422</v>
      </c>
      <c r="F430" s="25" t="e">
        <f ca="1">IF(ISNA(H430),NA(),IF(ISBLANK(G430),IF(FixedAmortizationFrequency=0,F429,IF(MOD((E430-1),FixedAmortizationFrequency)&lt;&gt;0,F429,F429-FixedAmortization)),G430))</f>
        <v>#N/A</v>
      </c>
      <c r="G430" s="67"/>
      <c r="H430" s="63" t="e">
        <f ca="1"/>
        <v>#N/A</v>
      </c>
      <c r="I430" s="33" t="e">
        <f ca="1"/>
        <v>#N/A</v>
      </c>
      <c r="J430" s="33" t="e">
        <f ca="1"/>
        <v>#N/A</v>
      </c>
      <c r="K430" s="25" t="e">
        <f ca="1"/>
        <v>#N/A</v>
      </c>
      <c r="L430" s="36" t="e">
        <f ca="1"/>
        <v>#N/A</v>
      </c>
      <c r="M430" s="37" t="e">
        <f ca="1"/>
        <v>#N/A</v>
      </c>
      <c r="N430" s="38" t="s">
        <v>1</v>
      </c>
      <c r="O430" s="43">
        <v>422</v>
      </c>
      <c r="P430" s="25" t="e">
        <f ca="1">IF(ISNA(R430),NA(),IF(ISBLANK(Q430),IF(FloatAmortizationFrequency=0,P429,IF(MOD((O430-1),FloatAmortizationFrequency)&lt;&gt;0,P429,P429-FloatAmortization)),Q430))</f>
        <v>#N/A</v>
      </c>
      <c r="Q430" s="67"/>
      <c r="R430" s="33" t="e">
        <f ca="1"/>
        <v>#N/A</v>
      </c>
      <c r="S430" s="33" t="e">
        <f ca="1"/>
        <v>#N/A</v>
      </c>
      <c r="T430" s="33" t="e">
        <f ca="1"/>
        <v>#N/A</v>
      </c>
      <c r="U430" s="25" t="e">
        <f ca="1"/>
        <v>#N/A</v>
      </c>
      <c r="V430" s="36" t="e">
        <f ca="1"/>
        <v>#N/A</v>
      </c>
      <c r="W430" s="37" t="e">
        <f ca="1"/>
        <v>#N/A</v>
      </c>
      <c r="X430" s="31" t="s">
        <v>1</v>
      </c>
    </row>
    <row r="431" spans="4:24" x14ac:dyDescent="0.25">
      <c r="D431" s="31" t="s">
        <v>1</v>
      </c>
      <c r="E431" s="43">
        <v>423</v>
      </c>
      <c r="F431" s="25" t="e">
        <f ca="1">IF(ISNA(H431),NA(),IF(ISBLANK(G431),IF(FixedAmortizationFrequency=0,F430,IF(MOD((E431-1),FixedAmortizationFrequency)&lt;&gt;0,F430,F430-FixedAmortization)),G431))</f>
        <v>#N/A</v>
      </c>
      <c r="G431" s="67"/>
      <c r="H431" s="63" t="e">
        <f ca="1"/>
        <v>#N/A</v>
      </c>
      <c r="I431" s="33" t="e">
        <f ca="1"/>
        <v>#N/A</v>
      </c>
      <c r="J431" s="33" t="e">
        <f ca="1"/>
        <v>#N/A</v>
      </c>
      <c r="K431" s="25" t="e">
        <f ca="1"/>
        <v>#N/A</v>
      </c>
      <c r="L431" s="36" t="e">
        <f ca="1"/>
        <v>#N/A</v>
      </c>
      <c r="M431" s="37" t="e">
        <f ca="1"/>
        <v>#N/A</v>
      </c>
      <c r="N431" s="38" t="s">
        <v>1</v>
      </c>
      <c r="O431" s="43">
        <v>423</v>
      </c>
      <c r="P431" s="25" t="e">
        <f ca="1">IF(ISNA(R431),NA(),IF(ISBLANK(Q431),IF(FloatAmortizationFrequency=0,P430,IF(MOD((O431-1),FloatAmortizationFrequency)&lt;&gt;0,P430,P430-FloatAmortization)),Q431))</f>
        <v>#N/A</v>
      </c>
      <c r="Q431" s="67"/>
      <c r="R431" s="33" t="e">
        <f ca="1"/>
        <v>#N/A</v>
      </c>
      <c r="S431" s="33" t="e">
        <f ca="1"/>
        <v>#N/A</v>
      </c>
      <c r="T431" s="33" t="e">
        <f ca="1"/>
        <v>#N/A</v>
      </c>
      <c r="U431" s="25" t="e">
        <f ca="1"/>
        <v>#N/A</v>
      </c>
      <c r="V431" s="36" t="e">
        <f ca="1"/>
        <v>#N/A</v>
      </c>
      <c r="W431" s="37" t="e">
        <f ca="1"/>
        <v>#N/A</v>
      </c>
      <c r="X431" s="31" t="s">
        <v>1</v>
      </c>
    </row>
    <row r="432" spans="4:24" x14ac:dyDescent="0.25">
      <c r="D432" s="31" t="s">
        <v>1</v>
      </c>
      <c r="E432" s="43">
        <v>424</v>
      </c>
      <c r="F432" s="25" t="e">
        <f ca="1">IF(ISNA(H432),NA(),IF(ISBLANK(G432),IF(FixedAmortizationFrequency=0,F431,IF(MOD((E432-1),FixedAmortizationFrequency)&lt;&gt;0,F431,F431-FixedAmortization)),G432))</f>
        <v>#N/A</v>
      </c>
      <c r="G432" s="67"/>
      <c r="H432" s="63" t="e">
        <f ca="1"/>
        <v>#N/A</v>
      </c>
      <c r="I432" s="33" t="e">
        <f ca="1"/>
        <v>#N/A</v>
      </c>
      <c r="J432" s="33" t="e">
        <f ca="1"/>
        <v>#N/A</v>
      </c>
      <c r="K432" s="25" t="e">
        <f ca="1"/>
        <v>#N/A</v>
      </c>
      <c r="L432" s="36" t="e">
        <f ca="1"/>
        <v>#N/A</v>
      </c>
      <c r="M432" s="37" t="e">
        <f ca="1"/>
        <v>#N/A</v>
      </c>
      <c r="N432" s="38" t="s">
        <v>1</v>
      </c>
      <c r="O432" s="43">
        <v>424</v>
      </c>
      <c r="P432" s="25" t="e">
        <f ca="1">IF(ISNA(R432),NA(),IF(ISBLANK(Q432),IF(FloatAmortizationFrequency=0,P431,IF(MOD((O432-1),FloatAmortizationFrequency)&lt;&gt;0,P431,P431-FloatAmortization)),Q432))</f>
        <v>#N/A</v>
      </c>
      <c r="Q432" s="67"/>
      <c r="R432" s="33" t="e">
        <f ca="1"/>
        <v>#N/A</v>
      </c>
      <c r="S432" s="33" t="e">
        <f ca="1"/>
        <v>#N/A</v>
      </c>
      <c r="T432" s="33" t="e">
        <f ca="1"/>
        <v>#N/A</v>
      </c>
      <c r="U432" s="25" t="e">
        <f ca="1"/>
        <v>#N/A</v>
      </c>
      <c r="V432" s="36" t="e">
        <f ca="1"/>
        <v>#N/A</v>
      </c>
      <c r="W432" s="37" t="e">
        <f ca="1"/>
        <v>#N/A</v>
      </c>
      <c r="X432" s="31" t="s">
        <v>1</v>
      </c>
    </row>
    <row r="433" spans="4:24" x14ac:dyDescent="0.25">
      <c r="D433" s="31" t="s">
        <v>1</v>
      </c>
      <c r="E433" s="43">
        <v>425</v>
      </c>
      <c r="F433" s="25" t="e">
        <f ca="1">IF(ISNA(H433),NA(),IF(ISBLANK(G433),IF(FixedAmortizationFrequency=0,F432,IF(MOD((E433-1),FixedAmortizationFrequency)&lt;&gt;0,F432,F432-FixedAmortization)),G433))</f>
        <v>#N/A</v>
      </c>
      <c r="G433" s="67"/>
      <c r="H433" s="63" t="e">
        <f ca="1"/>
        <v>#N/A</v>
      </c>
      <c r="I433" s="33" t="e">
        <f ca="1"/>
        <v>#N/A</v>
      </c>
      <c r="J433" s="33" t="e">
        <f ca="1"/>
        <v>#N/A</v>
      </c>
      <c r="K433" s="25" t="e">
        <f ca="1"/>
        <v>#N/A</v>
      </c>
      <c r="L433" s="36" t="e">
        <f ca="1"/>
        <v>#N/A</v>
      </c>
      <c r="M433" s="37" t="e">
        <f ca="1"/>
        <v>#N/A</v>
      </c>
      <c r="N433" s="38" t="s">
        <v>1</v>
      </c>
      <c r="O433" s="43">
        <v>425</v>
      </c>
      <c r="P433" s="25" t="e">
        <f ca="1">IF(ISNA(R433),NA(),IF(ISBLANK(Q433),IF(FloatAmortizationFrequency=0,P432,IF(MOD((O433-1),FloatAmortizationFrequency)&lt;&gt;0,P432,P432-FloatAmortization)),Q433))</f>
        <v>#N/A</v>
      </c>
      <c r="Q433" s="67"/>
      <c r="R433" s="33" t="e">
        <f ca="1"/>
        <v>#N/A</v>
      </c>
      <c r="S433" s="33" t="e">
        <f ca="1"/>
        <v>#N/A</v>
      </c>
      <c r="T433" s="33" t="e">
        <f ca="1"/>
        <v>#N/A</v>
      </c>
      <c r="U433" s="25" t="e">
        <f ca="1"/>
        <v>#N/A</v>
      </c>
      <c r="V433" s="36" t="e">
        <f ca="1"/>
        <v>#N/A</v>
      </c>
      <c r="W433" s="37" t="e">
        <f ca="1"/>
        <v>#N/A</v>
      </c>
      <c r="X433" s="31" t="s">
        <v>1</v>
      </c>
    </row>
    <row r="434" spans="4:24" x14ac:dyDescent="0.25">
      <c r="D434" s="31" t="s">
        <v>1</v>
      </c>
      <c r="E434" s="43">
        <v>426</v>
      </c>
      <c r="F434" s="25" t="e">
        <f ca="1">IF(ISNA(H434),NA(),IF(ISBLANK(G434),IF(FixedAmortizationFrequency=0,F433,IF(MOD((E434-1),FixedAmortizationFrequency)&lt;&gt;0,F433,F433-FixedAmortization)),G434))</f>
        <v>#N/A</v>
      </c>
      <c r="G434" s="67"/>
      <c r="H434" s="63" t="e">
        <f ca="1"/>
        <v>#N/A</v>
      </c>
      <c r="I434" s="33" t="e">
        <f ca="1"/>
        <v>#N/A</v>
      </c>
      <c r="J434" s="33" t="e">
        <f ca="1"/>
        <v>#N/A</v>
      </c>
      <c r="K434" s="25" t="e">
        <f ca="1"/>
        <v>#N/A</v>
      </c>
      <c r="L434" s="36" t="e">
        <f ca="1"/>
        <v>#N/A</v>
      </c>
      <c r="M434" s="37" t="e">
        <f ca="1"/>
        <v>#N/A</v>
      </c>
      <c r="N434" s="38" t="s">
        <v>1</v>
      </c>
      <c r="O434" s="43">
        <v>426</v>
      </c>
      <c r="P434" s="25" t="e">
        <f ca="1">IF(ISNA(R434),NA(),IF(ISBLANK(Q434),IF(FloatAmortizationFrequency=0,P433,IF(MOD((O434-1),FloatAmortizationFrequency)&lt;&gt;0,P433,P433-FloatAmortization)),Q434))</f>
        <v>#N/A</v>
      </c>
      <c r="Q434" s="67"/>
      <c r="R434" s="33" t="e">
        <f ca="1"/>
        <v>#N/A</v>
      </c>
      <c r="S434" s="33" t="e">
        <f ca="1"/>
        <v>#N/A</v>
      </c>
      <c r="T434" s="33" t="e">
        <f ca="1"/>
        <v>#N/A</v>
      </c>
      <c r="U434" s="25" t="e">
        <f ca="1"/>
        <v>#N/A</v>
      </c>
      <c r="V434" s="36" t="e">
        <f ca="1"/>
        <v>#N/A</v>
      </c>
      <c r="W434" s="37" t="e">
        <f ca="1"/>
        <v>#N/A</v>
      </c>
      <c r="X434" s="31" t="s">
        <v>1</v>
      </c>
    </row>
    <row r="435" spans="4:24" x14ac:dyDescent="0.25">
      <c r="D435" s="31" t="s">
        <v>1</v>
      </c>
      <c r="E435" s="43">
        <v>427</v>
      </c>
      <c r="F435" s="25" t="e">
        <f ca="1">IF(ISNA(H435),NA(),IF(ISBLANK(G435),IF(FixedAmortizationFrequency=0,F434,IF(MOD((E435-1),FixedAmortizationFrequency)&lt;&gt;0,F434,F434-FixedAmortization)),G435))</f>
        <v>#N/A</v>
      </c>
      <c r="G435" s="67"/>
      <c r="H435" s="63" t="e">
        <f ca="1"/>
        <v>#N/A</v>
      </c>
      <c r="I435" s="33" t="e">
        <f ca="1"/>
        <v>#N/A</v>
      </c>
      <c r="J435" s="33" t="e">
        <f ca="1"/>
        <v>#N/A</v>
      </c>
      <c r="K435" s="25" t="e">
        <f ca="1"/>
        <v>#N/A</v>
      </c>
      <c r="L435" s="36" t="e">
        <f ca="1"/>
        <v>#N/A</v>
      </c>
      <c r="M435" s="37" t="e">
        <f ca="1"/>
        <v>#N/A</v>
      </c>
      <c r="N435" s="38" t="s">
        <v>1</v>
      </c>
      <c r="O435" s="43">
        <v>427</v>
      </c>
      <c r="P435" s="25" t="e">
        <f ca="1">IF(ISNA(R435),NA(),IF(ISBLANK(Q435),IF(FloatAmortizationFrequency=0,P434,IF(MOD((O435-1),FloatAmortizationFrequency)&lt;&gt;0,P434,P434-FloatAmortization)),Q435))</f>
        <v>#N/A</v>
      </c>
      <c r="Q435" s="67"/>
      <c r="R435" s="33" t="e">
        <f ca="1"/>
        <v>#N/A</v>
      </c>
      <c r="S435" s="33" t="e">
        <f ca="1"/>
        <v>#N/A</v>
      </c>
      <c r="T435" s="33" t="e">
        <f ca="1"/>
        <v>#N/A</v>
      </c>
      <c r="U435" s="25" t="e">
        <f ca="1"/>
        <v>#N/A</v>
      </c>
      <c r="V435" s="36" t="e">
        <f ca="1"/>
        <v>#N/A</v>
      </c>
      <c r="W435" s="37" t="e">
        <f ca="1"/>
        <v>#N/A</v>
      </c>
      <c r="X435" s="31" t="s">
        <v>1</v>
      </c>
    </row>
    <row r="436" spans="4:24" x14ac:dyDescent="0.25">
      <c r="D436" s="31" t="s">
        <v>1</v>
      </c>
      <c r="E436" s="43">
        <v>428</v>
      </c>
      <c r="F436" s="25" t="e">
        <f ca="1">IF(ISNA(H436),NA(),IF(ISBLANK(G436),IF(FixedAmortizationFrequency=0,F435,IF(MOD((E436-1),FixedAmortizationFrequency)&lt;&gt;0,F435,F435-FixedAmortization)),G436))</f>
        <v>#N/A</v>
      </c>
      <c r="G436" s="67"/>
      <c r="H436" s="63" t="e">
        <f ca="1"/>
        <v>#N/A</v>
      </c>
      <c r="I436" s="33" t="e">
        <f ca="1"/>
        <v>#N/A</v>
      </c>
      <c r="J436" s="33" t="e">
        <f ca="1"/>
        <v>#N/A</v>
      </c>
      <c r="K436" s="25" t="e">
        <f ca="1"/>
        <v>#N/A</v>
      </c>
      <c r="L436" s="36" t="e">
        <f ca="1"/>
        <v>#N/A</v>
      </c>
      <c r="M436" s="37" t="e">
        <f ca="1"/>
        <v>#N/A</v>
      </c>
      <c r="N436" s="38" t="s">
        <v>1</v>
      </c>
      <c r="O436" s="43">
        <v>428</v>
      </c>
      <c r="P436" s="25" t="e">
        <f ca="1">IF(ISNA(R436),NA(),IF(ISBLANK(Q436),IF(FloatAmortizationFrequency=0,P435,IF(MOD((O436-1),FloatAmortizationFrequency)&lt;&gt;0,P435,P435-FloatAmortization)),Q436))</f>
        <v>#N/A</v>
      </c>
      <c r="Q436" s="67"/>
      <c r="R436" s="33" t="e">
        <f ca="1"/>
        <v>#N/A</v>
      </c>
      <c r="S436" s="33" t="e">
        <f ca="1"/>
        <v>#N/A</v>
      </c>
      <c r="T436" s="33" t="e">
        <f ca="1"/>
        <v>#N/A</v>
      </c>
      <c r="U436" s="25" t="e">
        <f ca="1"/>
        <v>#N/A</v>
      </c>
      <c r="V436" s="36" t="e">
        <f ca="1"/>
        <v>#N/A</v>
      </c>
      <c r="W436" s="37" t="e">
        <f ca="1"/>
        <v>#N/A</v>
      </c>
      <c r="X436" s="31" t="s">
        <v>1</v>
      </c>
    </row>
    <row r="437" spans="4:24" x14ac:dyDescent="0.25">
      <c r="D437" s="31" t="s">
        <v>1</v>
      </c>
      <c r="E437" s="43">
        <v>429</v>
      </c>
      <c r="F437" s="25" t="e">
        <f ca="1">IF(ISNA(H437),NA(),IF(ISBLANK(G437),IF(FixedAmortizationFrequency=0,F436,IF(MOD((E437-1),FixedAmortizationFrequency)&lt;&gt;0,F436,F436-FixedAmortization)),G437))</f>
        <v>#N/A</v>
      </c>
      <c r="G437" s="67"/>
      <c r="H437" s="63" t="e">
        <f ca="1"/>
        <v>#N/A</v>
      </c>
      <c r="I437" s="33" t="e">
        <f ca="1"/>
        <v>#N/A</v>
      </c>
      <c r="J437" s="33" t="e">
        <f ca="1"/>
        <v>#N/A</v>
      </c>
      <c r="K437" s="25" t="e">
        <f ca="1"/>
        <v>#N/A</v>
      </c>
      <c r="L437" s="36" t="e">
        <f ca="1"/>
        <v>#N/A</v>
      </c>
      <c r="M437" s="37" t="e">
        <f ca="1"/>
        <v>#N/A</v>
      </c>
      <c r="N437" s="38" t="s">
        <v>1</v>
      </c>
      <c r="O437" s="43">
        <v>429</v>
      </c>
      <c r="P437" s="25" t="e">
        <f ca="1">IF(ISNA(R437),NA(),IF(ISBLANK(Q437),IF(FloatAmortizationFrequency=0,P436,IF(MOD((O437-1),FloatAmortizationFrequency)&lt;&gt;0,P436,P436-FloatAmortization)),Q437))</f>
        <v>#N/A</v>
      </c>
      <c r="Q437" s="67"/>
      <c r="R437" s="33" t="e">
        <f ca="1"/>
        <v>#N/A</v>
      </c>
      <c r="S437" s="33" t="e">
        <f ca="1"/>
        <v>#N/A</v>
      </c>
      <c r="T437" s="33" t="e">
        <f ca="1"/>
        <v>#N/A</v>
      </c>
      <c r="U437" s="25" t="e">
        <f ca="1"/>
        <v>#N/A</v>
      </c>
      <c r="V437" s="36" t="e">
        <f ca="1"/>
        <v>#N/A</v>
      </c>
      <c r="W437" s="37" t="e">
        <f ca="1"/>
        <v>#N/A</v>
      </c>
      <c r="X437" s="31" t="s">
        <v>1</v>
      </c>
    </row>
    <row r="438" spans="4:24" x14ac:dyDescent="0.25">
      <c r="D438" s="31" t="s">
        <v>1</v>
      </c>
      <c r="E438" s="43">
        <v>430</v>
      </c>
      <c r="F438" s="25" t="e">
        <f ca="1">IF(ISNA(H438),NA(),IF(ISBLANK(G438),IF(FixedAmortizationFrequency=0,F437,IF(MOD((E438-1),FixedAmortizationFrequency)&lt;&gt;0,F437,F437-FixedAmortization)),G438))</f>
        <v>#N/A</v>
      </c>
      <c r="G438" s="67"/>
      <c r="H438" s="63" t="e">
        <f ca="1"/>
        <v>#N/A</v>
      </c>
      <c r="I438" s="33" t="e">
        <f ca="1"/>
        <v>#N/A</v>
      </c>
      <c r="J438" s="33" t="e">
        <f ca="1"/>
        <v>#N/A</v>
      </c>
      <c r="K438" s="25" t="e">
        <f ca="1"/>
        <v>#N/A</v>
      </c>
      <c r="L438" s="36" t="e">
        <f ca="1"/>
        <v>#N/A</v>
      </c>
      <c r="M438" s="37" t="e">
        <f ca="1"/>
        <v>#N/A</v>
      </c>
      <c r="N438" s="38" t="s">
        <v>1</v>
      </c>
      <c r="O438" s="43">
        <v>430</v>
      </c>
      <c r="P438" s="25" t="e">
        <f ca="1">IF(ISNA(R438),NA(),IF(ISBLANK(Q438),IF(FloatAmortizationFrequency=0,P437,IF(MOD((O438-1),FloatAmortizationFrequency)&lt;&gt;0,P437,P437-FloatAmortization)),Q438))</f>
        <v>#N/A</v>
      </c>
      <c r="Q438" s="67"/>
      <c r="R438" s="33" t="e">
        <f ca="1"/>
        <v>#N/A</v>
      </c>
      <c r="S438" s="33" t="e">
        <f ca="1"/>
        <v>#N/A</v>
      </c>
      <c r="T438" s="33" t="e">
        <f ca="1"/>
        <v>#N/A</v>
      </c>
      <c r="U438" s="25" t="e">
        <f ca="1"/>
        <v>#N/A</v>
      </c>
      <c r="V438" s="36" t="e">
        <f ca="1"/>
        <v>#N/A</v>
      </c>
      <c r="W438" s="37" t="e">
        <f ca="1"/>
        <v>#N/A</v>
      </c>
      <c r="X438" s="31" t="s">
        <v>1</v>
      </c>
    </row>
    <row r="439" spans="4:24" x14ac:dyDescent="0.25">
      <c r="D439" s="31" t="s">
        <v>1</v>
      </c>
      <c r="E439" s="43">
        <v>431</v>
      </c>
      <c r="F439" s="25" t="e">
        <f ca="1">IF(ISNA(H439),NA(),IF(ISBLANK(G439),IF(FixedAmortizationFrequency=0,F438,IF(MOD((E439-1),FixedAmortizationFrequency)&lt;&gt;0,F438,F438-FixedAmortization)),G439))</f>
        <v>#N/A</v>
      </c>
      <c r="G439" s="67"/>
      <c r="H439" s="63" t="e">
        <f ca="1"/>
        <v>#N/A</v>
      </c>
      <c r="I439" s="33" t="e">
        <f ca="1"/>
        <v>#N/A</v>
      </c>
      <c r="J439" s="33" t="e">
        <f ca="1"/>
        <v>#N/A</v>
      </c>
      <c r="K439" s="25" t="e">
        <f ca="1"/>
        <v>#N/A</v>
      </c>
      <c r="L439" s="36" t="e">
        <f ca="1"/>
        <v>#N/A</v>
      </c>
      <c r="M439" s="37" t="e">
        <f ca="1"/>
        <v>#N/A</v>
      </c>
      <c r="N439" s="38" t="s">
        <v>1</v>
      </c>
      <c r="O439" s="43">
        <v>431</v>
      </c>
      <c r="P439" s="25" t="e">
        <f ca="1">IF(ISNA(R439),NA(),IF(ISBLANK(Q439),IF(FloatAmortizationFrequency=0,P438,IF(MOD((O439-1),FloatAmortizationFrequency)&lt;&gt;0,P438,P438-FloatAmortization)),Q439))</f>
        <v>#N/A</v>
      </c>
      <c r="Q439" s="67"/>
      <c r="R439" s="33" t="e">
        <f ca="1"/>
        <v>#N/A</v>
      </c>
      <c r="S439" s="33" t="e">
        <f ca="1"/>
        <v>#N/A</v>
      </c>
      <c r="T439" s="33" t="e">
        <f ca="1"/>
        <v>#N/A</v>
      </c>
      <c r="U439" s="25" t="e">
        <f ca="1"/>
        <v>#N/A</v>
      </c>
      <c r="V439" s="36" t="e">
        <f ca="1"/>
        <v>#N/A</v>
      </c>
      <c r="W439" s="37" t="e">
        <f ca="1"/>
        <v>#N/A</v>
      </c>
      <c r="X439" s="31" t="s">
        <v>1</v>
      </c>
    </row>
    <row r="440" spans="4:24" x14ac:dyDescent="0.25">
      <c r="D440" s="31" t="s">
        <v>1</v>
      </c>
      <c r="E440" s="43">
        <v>432</v>
      </c>
      <c r="F440" s="25" t="e">
        <f ca="1">IF(ISNA(H440),NA(),IF(ISBLANK(G440),IF(FixedAmortizationFrequency=0,F439,IF(MOD((E440-1),FixedAmortizationFrequency)&lt;&gt;0,F439,F439-FixedAmortization)),G440))</f>
        <v>#N/A</v>
      </c>
      <c r="G440" s="67"/>
      <c r="H440" s="63" t="e">
        <f ca="1"/>
        <v>#N/A</v>
      </c>
      <c r="I440" s="33" t="e">
        <f ca="1"/>
        <v>#N/A</v>
      </c>
      <c r="J440" s="33" t="e">
        <f ca="1"/>
        <v>#N/A</v>
      </c>
      <c r="K440" s="25" t="e">
        <f ca="1"/>
        <v>#N/A</v>
      </c>
      <c r="L440" s="36" t="e">
        <f ca="1"/>
        <v>#N/A</v>
      </c>
      <c r="M440" s="37" t="e">
        <f ca="1"/>
        <v>#N/A</v>
      </c>
      <c r="N440" s="38" t="s">
        <v>1</v>
      </c>
      <c r="O440" s="43">
        <v>432</v>
      </c>
      <c r="P440" s="25" t="e">
        <f ca="1">IF(ISNA(R440),NA(),IF(ISBLANK(Q440),IF(FloatAmortizationFrequency=0,P439,IF(MOD((O440-1),FloatAmortizationFrequency)&lt;&gt;0,P439,P439-FloatAmortization)),Q440))</f>
        <v>#N/A</v>
      </c>
      <c r="Q440" s="67"/>
      <c r="R440" s="33" t="e">
        <f ca="1"/>
        <v>#N/A</v>
      </c>
      <c r="S440" s="33" t="e">
        <f ca="1"/>
        <v>#N/A</v>
      </c>
      <c r="T440" s="33" t="e">
        <f ca="1"/>
        <v>#N/A</v>
      </c>
      <c r="U440" s="25" t="e">
        <f ca="1"/>
        <v>#N/A</v>
      </c>
      <c r="V440" s="36" t="e">
        <f ca="1"/>
        <v>#N/A</v>
      </c>
      <c r="W440" s="37" t="e">
        <f ca="1"/>
        <v>#N/A</v>
      </c>
      <c r="X440" s="31" t="s">
        <v>1</v>
      </c>
    </row>
    <row r="441" spans="4:24" x14ac:dyDescent="0.25">
      <c r="D441" s="31" t="s">
        <v>1</v>
      </c>
      <c r="E441" s="43">
        <v>433</v>
      </c>
      <c r="F441" s="25" t="e">
        <f ca="1">IF(ISNA(H441),NA(),IF(ISBLANK(G441),IF(FixedAmortizationFrequency=0,F440,IF(MOD((E441-1),FixedAmortizationFrequency)&lt;&gt;0,F440,F440-FixedAmortization)),G441))</f>
        <v>#N/A</v>
      </c>
      <c r="G441" s="67"/>
      <c r="H441" s="63" t="e">
        <f ca="1"/>
        <v>#N/A</v>
      </c>
      <c r="I441" s="33" t="e">
        <f ca="1"/>
        <v>#N/A</v>
      </c>
      <c r="J441" s="33" t="e">
        <f ca="1"/>
        <v>#N/A</v>
      </c>
      <c r="K441" s="25" t="e">
        <f ca="1"/>
        <v>#N/A</v>
      </c>
      <c r="L441" s="36" t="e">
        <f ca="1"/>
        <v>#N/A</v>
      </c>
      <c r="M441" s="37" t="e">
        <f ca="1"/>
        <v>#N/A</v>
      </c>
      <c r="N441" s="38" t="s">
        <v>1</v>
      </c>
      <c r="O441" s="43">
        <v>433</v>
      </c>
      <c r="P441" s="25" t="e">
        <f ca="1">IF(ISNA(R441),NA(),IF(ISBLANK(Q441),IF(FloatAmortizationFrequency=0,P440,IF(MOD((O441-1),FloatAmortizationFrequency)&lt;&gt;0,P440,P440-FloatAmortization)),Q441))</f>
        <v>#N/A</v>
      </c>
      <c r="Q441" s="67"/>
      <c r="R441" s="33" t="e">
        <f ca="1"/>
        <v>#N/A</v>
      </c>
      <c r="S441" s="33" t="e">
        <f ca="1"/>
        <v>#N/A</v>
      </c>
      <c r="T441" s="33" t="e">
        <f ca="1"/>
        <v>#N/A</v>
      </c>
      <c r="U441" s="25" t="e">
        <f ca="1"/>
        <v>#N/A</v>
      </c>
      <c r="V441" s="36" t="e">
        <f ca="1"/>
        <v>#N/A</v>
      </c>
      <c r="W441" s="37" t="e">
        <f ca="1"/>
        <v>#N/A</v>
      </c>
      <c r="X441" s="31" t="s">
        <v>1</v>
      </c>
    </row>
    <row r="442" spans="4:24" x14ac:dyDescent="0.25">
      <c r="D442" s="31" t="s">
        <v>1</v>
      </c>
      <c r="E442" s="43">
        <v>434</v>
      </c>
      <c r="F442" s="25" t="e">
        <f ca="1">IF(ISNA(H442),NA(),IF(ISBLANK(G442),IF(FixedAmortizationFrequency=0,F441,IF(MOD((E442-1),FixedAmortizationFrequency)&lt;&gt;0,F441,F441-FixedAmortization)),G442))</f>
        <v>#N/A</v>
      </c>
      <c r="G442" s="67"/>
      <c r="H442" s="63" t="e">
        <f ca="1"/>
        <v>#N/A</v>
      </c>
      <c r="I442" s="33" t="e">
        <f ca="1"/>
        <v>#N/A</v>
      </c>
      <c r="J442" s="33" t="e">
        <f ca="1"/>
        <v>#N/A</v>
      </c>
      <c r="K442" s="25" t="e">
        <f ca="1"/>
        <v>#N/A</v>
      </c>
      <c r="L442" s="36" t="e">
        <f ca="1"/>
        <v>#N/A</v>
      </c>
      <c r="M442" s="37" t="e">
        <f ca="1"/>
        <v>#N/A</v>
      </c>
      <c r="N442" s="38" t="s">
        <v>1</v>
      </c>
      <c r="O442" s="43">
        <v>434</v>
      </c>
      <c r="P442" s="25" t="e">
        <f ca="1">IF(ISNA(R442),NA(),IF(ISBLANK(Q442),IF(FloatAmortizationFrequency=0,P441,IF(MOD((O442-1),FloatAmortizationFrequency)&lt;&gt;0,P441,P441-FloatAmortization)),Q442))</f>
        <v>#N/A</v>
      </c>
      <c r="Q442" s="67"/>
      <c r="R442" s="33" t="e">
        <f ca="1"/>
        <v>#N/A</v>
      </c>
      <c r="S442" s="33" t="e">
        <f ca="1"/>
        <v>#N/A</v>
      </c>
      <c r="T442" s="33" t="e">
        <f ca="1"/>
        <v>#N/A</v>
      </c>
      <c r="U442" s="25" t="e">
        <f ca="1"/>
        <v>#N/A</v>
      </c>
      <c r="V442" s="36" t="e">
        <f ca="1"/>
        <v>#N/A</v>
      </c>
      <c r="W442" s="37" t="e">
        <f ca="1"/>
        <v>#N/A</v>
      </c>
      <c r="X442" s="31" t="s">
        <v>1</v>
      </c>
    </row>
    <row r="443" spans="4:24" x14ac:dyDescent="0.25">
      <c r="D443" s="31" t="s">
        <v>1</v>
      </c>
      <c r="E443" s="43">
        <v>435</v>
      </c>
      <c r="F443" s="25" t="e">
        <f ca="1">IF(ISNA(H443),NA(),IF(ISBLANK(G443),IF(FixedAmortizationFrequency=0,F442,IF(MOD((E443-1),FixedAmortizationFrequency)&lt;&gt;0,F442,F442-FixedAmortization)),G443))</f>
        <v>#N/A</v>
      </c>
      <c r="G443" s="67"/>
      <c r="H443" s="63" t="e">
        <f ca="1"/>
        <v>#N/A</v>
      </c>
      <c r="I443" s="33" t="e">
        <f ca="1"/>
        <v>#N/A</v>
      </c>
      <c r="J443" s="33" t="e">
        <f ca="1"/>
        <v>#N/A</v>
      </c>
      <c r="K443" s="25" t="e">
        <f ca="1"/>
        <v>#N/A</v>
      </c>
      <c r="L443" s="36" t="e">
        <f ca="1"/>
        <v>#N/A</v>
      </c>
      <c r="M443" s="37" t="e">
        <f ca="1"/>
        <v>#N/A</v>
      </c>
      <c r="N443" s="38" t="s">
        <v>1</v>
      </c>
      <c r="O443" s="43">
        <v>435</v>
      </c>
      <c r="P443" s="25" t="e">
        <f ca="1">IF(ISNA(R443),NA(),IF(ISBLANK(Q443),IF(FloatAmortizationFrequency=0,P442,IF(MOD((O443-1),FloatAmortizationFrequency)&lt;&gt;0,P442,P442-FloatAmortization)),Q443))</f>
        <v>#N/A</v>
      </c>
      <c r="Q443" s="67"/>
      <c r="R443" s="33" t="e">
        <f ca="1"/>
        <v>#N/A</v>
      </c>
      <c r="S443" s="33" t="e">
        <f ca="1"/>
        <v>#N/A</v>
      </c>
      <c r="T443" s="33" t="e">
        <f ca="1"/>
        <v>#N/A</v>
      </c>
      <c r="U443" s="25" t="e">
        <f ca="1"/>
        <v>#N/A</v>
      </c>
      <c r="V443" s="36" t="e">
        <f ca="1"/>
        <v>#N/A</v>
      </c>
      <c r="W443" s="37" t="e">
        <f ca="1"/>
        <v>#N/A</v>
      </c>
      <c r="X443" s="31" t="s">
        <v>1</v>
      </c>
    </row>
    <row r="444" spans="4:24" x14ac:dyDescent="0.25">
      <c r="D444" s="31" t="s">
        <v>1</v>
      </c>
      <c r="E444" s="43">
        <v>436</v>
      </c>
      <c r="F444" s="25" t="e">
        <f ca="1">IF(ISNA(H444),NA(),IF(ISBLANK(G444),IF(FixedAmortizationFrequency=0,F443,IF(MOD((E444-1),FixedAmortizationFrequency)&lt;&gt;0,F443,F443-FixedAmortization)),G444))</f>
        <v>#N/A</v>
      </c>
      <c r="G444" s="67"/>
      <c r="H444" s="63" t="e">
        <f ca="1"/>
        <v>#N/A</v>
      </c>
      <c r="I444" s="33" t="e">
        <f ca="1"/>
        <v>#N/A</v>
      </c>
      <c r="J444" s="33" t="e">
        <f ca="1"/>
        <v>#N/A</v>
      </c>
      <c r="K444" s="25" t="e">
        <f ca="1"/>
        <v>#N/A</v>
      </c>
      <c r="L444" s="36" t="e">
        <f ca="1"/>
        <v>#N/A</v>
      </c>
      <c r="M444" s="37" t="e">
        <f ca="1"/>
        <v>#N/A</v>
      </c>
      <c r="N444" s="38" t="s">
        <v>1</v>
      </c>
      <c r="O444" s="43">
        <v>436</v>
      </c>
      <c r="P444" s="25" t="e">
        <f ca="1">IF(ISNA(R444),NA(),IF(ISBLANK(Q444),IF(FloatAmortizationFrequency=0,P443,IF(MOD((O444-1),FloatAmortizationFrequency)&lt;&gt;0,P443,P443-FloatAmortization)),Q444))</f>
        <v>#N/A</v>
      </c>
      <c r="Q444" s="67"/>
      <c r="R444" s="33" t="e">
        <f ca="1"/>
        <v>#N/A</v>
      </c>
      <c r="S444" s="33" t="e">
        <f ca="1"/>
        <v>#N/A</v>
      </c>
      <c r="T444" s="33" t="e">
        <f ca="1"/>
        <v>#N/A</v>
      </c>
      <c r="U444" s="25" t="e">
        <f ca="1"/>
        <v>#N/A</v>
      </c>
      <c r="V444" s="36" t="e">
        <f ca="1"/>
        <v>#N/A</v>
      </c>
      <c r="W444" s="37" t="e">
        <f ca="1"/>
        <v>#N/A</v>
      </c>
      <c r="X444" s="31" t="s">
        <v>1</v>
      </c>
    </row>
    <row r="445" spans="4:24" x14ac:dyDescent="0.25">
      <c r="D445" s="31" t="s">
        <v>1</v>
      </c>
      <c r="E445" s="43">
        <v>437</v>
      </c>
      <c r="F445" s="25" t="e">
        <f ca="1">IF(ISNA(H445),NA(),IF(ISBLANK(G445),IF(FixedAmortizationFrequency=0,F444,IF(MOD((E445-1),FixedAmortizationFrequency)&lt;&gt;0,F444,F444-FixedAmortization)),G445))</f>
        <v>#N/A</v>
      </c>
      <c r="G445" s="67"/>
      <c r="H445" s="63" t="e">
        <f ca="1"/>
        <v>#N/A</v>
      </c>
      <c r="I445" s="33" t="e">
        <f ca="1"/>
        <v>#N/A</v>
      </c>
      <c r="J445" s="33" t="e">
        <f ca="1"/>
        <v>#N/A</v>
      </c>
      <c r="K445" s="25" t="e">
        <f ca="1"/>
        <v>#N/A</v>
      </c>
      <c r="L445" s="36" t="e">
        <f ca="1"/>
        <v>#N/A</v>
      </c>
      <c r="M445" s="37" t="e">
        <f ca="1"/>
        <v>#N/A</v>
      </c>
      <c r="N445" s="38" t="s">
        <v>1</v>
      </c>
      <c r="O445" s="43">
        <v>437</v>
      </c>
      <c r="P445" s="25" t="e">
        <f ca="1">IF(ISNA(R445),NA(),IF(ISBLANK(Q445),IF(FloatAmortizationFrequency=0,P444,IF(MOD((O445-1),FloatAmortizationFrequency)&lt;&gt;0,P444,P444-FloatAmortization)),Q445))</f>
        <v>#N/A</v>
      </c>
      <c r="Q445" s="67"/>
      <c r="R445" s="33" t="e">
        <f ca="1"/>
        <v>#N/A</v>
      </c>
      <c r="S445" s="33" t="e">
        <f ca="1"/>
        <v>#N/A</v>
      </c>
      <c r="T445" s="33" t="e">
        <f ca="1"/>
        <v>#N/A</v>
      </c>
      <c r="U445" s="25" t="e">
        <f ca="1"/>
        <v>#N/A</v>
      </c>
      <c r="V445" s="36" t="e">
        <f ca="1"/>
        <v>#N/A</v>
      </c>
      <c r="W445" s="37" t="e">
        <f ca="1"/>
        <v>#N/A</v>
      </c>
      <c r="X445" s="31" t="s">
        <v>1</v>
      </c>
    </row>
    <row r="446" spans="4:24" x14ac:dyDescent="0.25">
      <c r="D446" s="31" t="s">
        <v>1</v>
      </c>
      <c r="E446" s="43">
        <v>438</v>
      </c>
      <c r="F446" s="25" t="e">
        <f ca="1">IF(ISNA(H446),NA(),IF(ISBLANK(G446),IF(FixedAmortizationFrequency=0,F445,IF(MOD((E446-1),FixedAmortizationFrequency)&lt;&gt;0,F445,F445-FixedAmortization)),G446))</f>
        <v>#N/A</v>
      </c>
      <c r="G446" s="67"/>
      <c r="H446" s="63" t="e">
        <f ca="1"/>
        <v>#N/A</v>
      </c>
      <c r="I446" s="33" t="e">
        <f ca="1"/>
        <v>#N/A</v>
      </c>
      <c r="J446" s="33" t="e">
        <f ca="1"/>
        <v>#N/A</v>
      </c>
      <c r="K446" s="25" t="e">
        <f ca="1"/>
        <v>#N/A</v>
      </c>
      <c r="L446" s="36" t="e">
        <f ca="1"/>
        <v>#N/A</v>
      </c>
      <c r="M446" s="37" t="e">
        <f ca="1"/>
        <v>#N/A</v>
      </c>
      <c r="N446" s="38" t="s">
        <v>1</v>
      </c>
      <c r="O446" s="43">
        <v>438</v>
      </c>
      <c r="P446" s="25" t="e">
        <f ca="1">IF(ISNA(R446),NA(),IF(ISBLANK(Q446),IF(FloatAmortizationFrequency=0,P445,IF(MOD((O446-1),FloatAmortizationFrequency)&lt;&gt;0,P445,P445-FloatAmortization)),Q446))</f>
        <v>#N/A</v>
      </c>
      <c r="Q446" s="67"/>
      <c r="R446" s="33" t="e">
        <f ca="1"/>
        <v>#N/A</v>
      </c>
      <c r="S446" s="33" t="e">
        <f ca="1"/>
        <v>#N/A</v>
      </c>
      <c r="T446" s="33" t="e">
        <f ca="1"/>
        <v>#N/A</v>
      </c>
      <c r="U446" s="25" t="e">
        <f ca="1"/>
        <v>#N/A</v>
      </c>
      <c r="V446" s="36" t="e">
        <f ca="1"/>
        <v>#N/A</v>
      </c>
      <c r="W446" s="37" t="e">
        <f ca="1"/>
        <v>#N/A</v>
      </c>
      <c r="X446" s="31" t="s">
        <v>1</v>
      </c>
    </row>
    <row r="447" spans="4:24" x14ac:dyDescent="0.25">
      <c r="D447" s="31" t="s">
        <v>1</v>
      </c>
      <c r="E447" s="43">
        <v>439</v>
      </c>
      <c r="F447" s="25" t="e">
        <f ca="1">IF(ISNA(H447),NA(),IF(ISBLANK(G447),IF(FixedAmortizationFrequency=0,F446,IF(MOD((E447-1),FixedAmortizationFrequency)&lt;&gt;0,F446,F446-FixedAmortization)),G447))</f>
        <v>#N/A</v>
      </c>
      <c r="G447" s="67"/>
      <c r="H447" s="63" t="e">
        <f ca="1"/>
        <v>#N/A</v>
      </c>
      <c r="I447" s="33" t="e">
        <f ca="1"/>
        <v>#N/A</v>
      </c>
      <c r="J447" s="33" t="e">
        <f ca="1"/>
        <v>#N/A</v>
      </c>
      <c r="K447" s="25" t="e">
        <f ca="1"/>
        <v>#N/A</v>
      </c>
      <c r="L447" s="36" t="e">
        <f ca="1"/>
        <v>#N/A</v>
      </c>
      <c r="M447" s="37" t="e">
        <f ca="1"/>
        <v>#N/A</v>
      </c>
      <c r="N447" s="38" t="s">
        <v>1</v>
      </c>
      <c r="O447" s="43">
        <v>439</v>
      </c>
      <c r="P447" s="25" t="e">
        <f ca="1">IF(ISNA(R447),NA(),IF(ISBLANK(Q447),IF(FloatAmortizationFrequency=0,P446,IF(MOD((O447-1),FloatAmortizationFrequency)&lt;&gt;0,P446,P446-FloatAmortization)),Q447))</f>
        <v>#N/A</v>
      </c>
      <c r="Q447" s="67"/>
      <c r="R447" s="33" t="e">
        <f ca="1"/>
        <v>#N/A</v>
      </c>
      <c r="S447" s="33" t="e">
        <f ca="1"/>
        <v>#N/A</v>
      </c>
      <c r="T447" s="33" t="e">
        <f ca="1"/>
        <v>#N/A</v>
      </c>
      <c r="U447" s="25" t="e">
        <f ca="1"/>
        <v>#N/A</v>
      </c>
      <c r="V447" s="36" t="e">
        <f ca="1"/>
        <v>#N/A</v>
      </c>
      <c r="W447" s="37" t="e">
        <f ca="1"/>
        <v>#N/A</v>
      </c>
      <c r="X447" s="31" t="s">
        <v>1</v>
      </c>
    </row>
    <row r="448" spans="4:24" x14ac:dyDescent="0.25">
      <c r="D448" s="31" t="s">
        <v>1</v>
      </c>
      <c r="E448" s="43">
        <v>440</v>
      </c>
      <c r="F448" s="25" t="e">
        <f ca="1">IF(ISNA(H448),NA(),IF(ISBLANK(G448),IF(FixedAmortizationFrequency=0,F447,IF(MOD((E448-1),FixedAmortizationFrequency)&lt;&gt;0,F447,F447-FixedAmortization)),G448))</f>
        <v>#N/A</v>
      </c>
      <c r="G448" s="67"/>
      <c r="H448" s="63" t="e">
        <f ca="1"/>
        <v>#N/A</v>
      </c>
      <c r="I448" s="33" t="e">
        <f ca="1"/>
        <v>#N/A</v>
      </c>
      <c r="J448" s="33" t="e">
        <f ca="1"/>
        <v>#N/A</v>
      </c>
      <c r="K448" s="25" t="e">
        <f ca="1"/>
        <v>#N/A</v>
      </c>
      <c r="L448" s="36" t="e">
        <f ca="1"/>
        <v>#N/A</v>
      </c>
      <c r="M448" s="37" t="e">
        <f ca="1"/>
        <v>#N/A</v>
      </c>
      <c r="N448" s="38" t="s">
        <v>1</v>
      </c>
      <c r="O448" s="43">
        <v>440</v>
      </c>
      <c r="P448" s="25" t="e">
        <f ca="1">IF(ISNA(R448),NA(),IF(ISBLANK(Q448),IF(FloatAmortizationFrequency=0,P447,IF(MOD((O448-1),FloatAmortizationFrequency)&lt;&gt;0,P447,P447-FloatAmortization)),Q448))</f>
        <v>#N/A</v>
      </c>
      <c r="Q448" s="67"/>
      <c r="R448" s="33" t="e">
        <f ca="1"/>
        <v>#N/A</v>
      </c>
      <c r="S448" s="33" t="e">
        <f ca="1"/>
        <v>#N/A</v>
      </c>
      <c r="T448" s="33" t="e">
        <f ca="1"/>
        <v>#N/A</v>
      </c>
      <c r="U448" s="25" t="e">
        <f ca="1"/>
        <v>#N/A</v>
      </c>
      <c r="V448" s="36" t="e">
        <f ca="1"/>
        <v>#N/A</v>
      </c>
      <c r="W448" s="37" t="e">
        <f ca="1"/>
        <v>#N/A</v>
      </c>
      <c r="X448" s="31" t="s">
        <v>1</v>
      </c>
    </row>
    <row r="449" spans="4:24" x14ac:dyDescent="0.25">
      <c r="D449" s="31" t="s">
        <v>1</v>
      </c>
      <c r="E449" s="43">
        <v>441</v>
      </c>
      <c r="F449" s="25" t="e">
        <f ca="1">IF(ISNA(H449),NA(),IF(ISBLANK(G449),IF(FixedAmortizationFrequency=0,F448,IF(MOD((E449-1),FixedAmortizationFrequency)&lt;&gt;0,F448,F448-FixedAmortization)),G449))</f>
        <v>#N/A</v>
      </c>
      <c r="G449" s="67"/>
      <c r="H449" s="63" t="e">
        <f ca="1"/>
        <v>#N/A</v>
      </c>
      <c r="I449" s="33" t="e">
        <f ca="1"/>
        <v>#N/A</v>
      </c>
      <c r="J449" s="33" t="e">
        <f ca="1"/>
        <v>#N/A</v>
      </c>
      <c r="K449" s="25" t="e">
        <f ca="1"/>
        <v>#N/A</v>
      </c>
      <c r="L449" s="36" t="e">
        <f ca="1"/>
        <v>#N/A</v>
      </c>
      <c r="M449" s="37" t="e">
        <f ca="1"/>
        <v>#N/A</v>
      </c>
      <c r="N449" s="38" t="s">
        <v>1</v>
      </c>
      <c r="O449" s="43">
        <v>441</v>
      </c>
      <c r="P449" s="25" t="e">
        <f ca="1">IF(ISNA(R449),NA(),IF(ISBLANK(Q449),IF(FloatAmortizationFrequency=0,P448,IF(MOD((O449-1),FloatAmortizationFrequency)&lt;&gt;0,P448,P448-FloatAmortization)),Q449))</f>
        <v>#N/A</v>
      </c>
      <c r="Q449" s="67"/>
      <c r="R449" s="33" t="e">
        <f ca="1"/>
        <v>#N/A</v>
      </c>
      <c r="S449" s="33" t="e">
        <f ca="1"/>
        <v>#N/A</v>
      </c>
      <c r="T449" s="33" t="e">
        <f ca="1"/>
        <v>#N/A</v>
      </c>
      <c r="U449" s="25" t="e">
        <f ca="1"/>
        <v>#N/A</v>
      </c>
      <c r="V449" s="36" t="e">
        <f ca="1"/>
        <v>#N/A</v>
      </c>
      <c r="W449" s="37" t="e">
        <f ca="1"/>
        <v>#N/A</v>
      </c>
      <c r="X449" s="31" t="s">
        <v>1</v>
      </c>
    </row>
    <row r="450" spans="4:24" x14ac:dyDescent="0.25">
      <c r="D450" s="31" t="s">
        <v>1</v>
      </c>
      <c r="E450" s="43">
        <v>442</v>
      </c>
      <c r="F450" s="25" t="e">
        <f ca="1">IF(ISNA(H450),NA(),IF(ISBLANK(G450),IF(FixedAmortizationFrequency=0,F449,IF(MOD((E450-1),FixedAmortizationFrequency)&lt;&gt;0,F449,F449-FixedAmortization)),G450))</f>
        <v>#N/A</v>
      </c>
      <c r="G450" s="67"/>
      <c r="H450" s="63" t="e">
        <f ca="1"/>
        <v>#N/A</v>
      </c>
      <c r="I450" s="33" t="e">
        <f ca="1"/>
        <v>#N/A</v>
      </c>
      <c r="J450" s="33" t="e">
        <f ca="1"/>
        <v>#N/A</v>
      </c>
      <c r="K450" s="25" t="e">
        <f ca="1"/>
        <v>#N/A</v>
      </c>
      <c r="L450" s="36" t="e">
        <f ca="1"/>
        <v>#N/A</v>
      </c>
      <c r="M450" s="37" t="e">
        <f ca="1"/>
        <v>#N/A</v>
      </c>
      <c r="N450" s="38" t="s">
        <v>1</v>
      </c>
      <c r="O450" s="43">
        <v>442</v>
      </c>
      <c r="P450" s="25" t="e">
        <f ca="1">IF(ISNA(R450),NA(),IF(ISBLANK(Q450),IF(FloatAmortizationFrequency=0,P449,IF(MOD((O450-1),FloatAmortizationFrequency)&lt;&gt;0,P449,P449-FloatAmortization)),Q450))</f>
        <v>#N/A</v>
      </c>
      <c r="Q450" s="67"/>
      <c r="R450" s="33" t="e">
        <f ca="1"/>
        <v>#N/A</v>
      </c>
      <c r="S450" s="33" t="e">
        <f ca="1"/>
        <v>#N/A</v>
      </c>
      <c r="T450" s="33" t="e">
        <f ca="1"/>
        <v>#N/A</v>
      </c>
      <c r="U450" s="25" t="e">
        <f ca="1"/>
        <v>#N/A</v>
      </c>
      <c r="V450" s="36" t="e">
        <f ca="1"/>
        <v>#N/A</v>
      </c>
      <c r="W450" s="37" t="e">
        <f ca="1"/>
        <v>#N/A</v>
      </c>
      <c r="X450" s="31" t="s">
        <v>1</v>
      </c>
    </row>
    <row r="451" spans="4:24" x14ac:dyDescent="0.25">
      <c r="D451" s="31" t="s">
        <v>1</v>
      </c>
      <c r="E451" s="43">
        <v>443</v>
      </c>
      <c r="F451" s="25" t="e">
        <f ca="1">IF(ISNA(H451),NA(),IF(ISBLANK(G451),IF(FixedAmortizationFrequency=0,F450,IF(MOD((E451-1),FixedAmortizationFrequency)&lt;&gt;0,F450,F450-FixedAmortization)),G451))</f>
        <v>#N/A</v>
      </c>
      <c r="G451" s="67"/>
      <c r="H451" s="63" t="e">
        <f ca="1"/>
        <v>#N/A</v>
      </c>
      <c r="I451" s="33" t="e">
        <f ca="1"/>
        <v>#N/A</v>
      </c>
      <c r="J451" s="33" t="e">
        <f ca="1"/>
        <v>#N/A</v>
      </c>
      <c r="K451" s="25" t="e">
        <f ca="1"/>
        <v>#N/A</v>
      </c>
      <c r="L451" s="36" t="e">
        <f ca="1"/>
        <v>#N/A</v>
      </c>
      <c r="M451" s="37" t="e">
        <f ca="1"/>
        <v>#N/A</v>
      </c>
      <c r="N451" s="38" t="s">
        <v>1</v>
      </c>
      <c r="O451" s="43">
        <v>443</v>
      </c>
      <c r="P451" s="25" t="e">
        <f ca="1">IF(ISNA(R451),NA(),IF(ISBLANK(Q451),IF(FloatAmortizationFrequency=0,P450,IF(MOD((O451-1),FloatAmortizationFrequency)&lt;&gt;0,P450,P450-FloatAmortization)),Q451))</f>
        <v>#N/A</v>
      </c>
      <c r="Q451" s="67"/>
      <c r="R451" s="33" t="e">
        <f ca="1"/>
        <v>#N/A</v>
      </c>
      <c r="S451" s="33" t="e">
        <f ca="1"/>
        <v>#N/A</v>
      </c>
      <c r="T451" s="33" t="e">
        <f ca="1"/>
        <v>#N/A</v>
      </c>
      <c r="U451" s="25" t="e">
        <f ca="1"/>
        <v>#N/A</v>
      </c>
      <c r="V451" s="36" t="e">
        <f ca="1"/>
        <v>#N/A</v>
      </c>
      <c r="W451" s="37" t="e">
        <f ca="1"/>
        <v>#N/A</v>
      </c>
      <c r="X451" s="31" t="s">
        <v>1</v>
      </c>
    </row>
    <row r="452" spans="4:24" x14ac:dyDescent="0.25">
      <c r="D452" s="31" t="s">
        <v>1</v>
      </c>
      <c r="E452" s="43">
        <v>444</v>
      </c>
      <c r="F452" s="25" t="e">
        <f ca="1">IF(ISNA(H452),NA(),IF(ISBLANK(G452),IF(FixedAmortizationFrequency=0,F451,IF(MOD((E452-1),FixedAmortizationFrequency)&lt;&gt;0,F451,F451-FixedAmortization)),G452))</f>
        <v>#N/A</v>
      </c>
      <c r="G452" s="67"/>
      <c r="H452" s="63" t="e">
        <f ca="1"/>
        <v>#N/A</v>
      </c>
      <c r="I452" s="33" t="e">
        <f ca="1"/>
        <v>#N/A</v>
      </c>
      <c r="J452" s="33" t="e">
        <f ca="1"/>
        <v>#N/A</v>
      </c>
      <c r="K452" s="25" t="e">
        <f ca="1"/>
        <v>#N/A</v>
      </c>
      <c r="L452" s="36" t="e">
        <f ca="1"/>
        <v>#N/A</v>
      </c>
      <c r="M452" s="37" t="e">
        <f ca="1"/>
        <v>#N/A</v>
      </c>
      <c r="N452" s="38" t="s">
        <v>1</v>
      </c>
      <c r="O452" s="43">
        <v>444</v>
      </c>
      <c r="P452" s="25" t="e">
        <f ca="1">IF(ISNA(R452),NA(),IF(ISBLANK(Q452),IF(FloatAmortizationFrequency=0,P451,IF(MOD((O452-1),FloatAmortizationFrequency)&lt;&gt;0,P451,P451-FloatAmortization)),Q452))</f>
        <v>#N/A</v>
      </c>
      <c r="Q452" s="67"/>
      <c r="R452" s="33" t="e">
        <f ca="1"/>
        <v>#N/A</v>
      </c>
      <c r="S452" s="33" t="e">
        <f ca="1"/>
        <v>#N/A</v>
      </c>
      <c r="T452" s="33" t="e">
        <f ca="1"/>
        <v>#N/A</v>
      </c>
      <c r="U452" s="25" t="e">
        <f ca="1"/>
        <v>#N/A</v>
      </c>
      <c r="V452" s="36" t="e">
        <f ca="1"/>
        <v>#N/A</v>
      </c>
      <c r="W452" s="37" t="e">
        <f ca="1"/>
        <v>#N/A</v>
      </c>
      <c r="X452" s="31" t="s">
        <v>1</v>
      </c>
    </row>
    <row r="453" spans="4:24" x14ac:dyDescent="0.25">
      <c r="D453" s="31" t="s">
        <v>1</v>
      </c>
      <c r="E453" s="43">
        <v>445</v>
      </c>
      <c r="F453" s="25" t="e">
        <f ca="1">IF(ISNA(H453),NA(),IF(ISBLANK(G453),IF(FixedAmortizationFrequency=0,F452,IF(MOD((E453-1),FixedAmortizationFrequency)&lt;&gt;0,F452,F452-FixedAmortization)),G453))</f>
        <v>#N/A</v>
      </c>
      <c r="G453" s="67"/>
      <c r="H453" s="63" t="e">
        <f ca="1"/>
        <v>#N/A</v>
      </c>
      <c r="I453" s="33" t="e">
        <f ca="1"/>
        <v>#N/A</v>
      </c>
      <c r="J453" s="33" t="e">
        <f ca="1"/>
        <v>#N/A</v>
      </c>
      <c r="K453" s="25" t="e">
        <f ca="1"/>
        <v>#N/A</v>
      </c>
      <c r="L453" s="36" t="e">
        <f ca="1"/>
        <v>#N/A</v>
      </c>
      <c r="M453" s="37" t="e">
        <f ca="1"/>
        <v>#N/A</v>
      </c>
      <c r="N453" s="38" t="s">
        <v>1</v>
      </c>
      <c r="O453" s="43">
        <v>445</v>
      </c>
      <c r="P453" s="25" t="e">
        <f ca="1">IF(ISNA(R453),NA(),IF(ISBLANK(Q453),IF(FloatAmortizationFrequency=0,P452,IF(MOD((O453-1),FloatAmortizationFrequency)&lt;&gt;0,P452,P452-FloatAmortization)),Q453))</f>
        <v>#N/A</v>
      </c>
      <c r="Q453" s="67"/>
      <c r="R453" s="33" t="e">
        <f ca="1"/>
        <v>#N/A</v>
      </c>
      <c r="S453" s="33" t="e">
        <f ca="1"/>
        <v>#N/A</v>
      </c>
      <c r="T453" s="33" t="e">
        <f ca="1"/>
        <v>#N/A</v>
      </c>
      <c r="U453" s="25" t="e">
        <f ca="1"/>
        <v>#N/A</v>
      </c>
      <c r="V453" s="36" t="e">
        <f ca="1"/>
        <v>#N/A</v>
      </c>
      <c r="W453" s="37" t="e">
        <f ca="1"/>
        <v>#N/A</v>
      </c>
      <c r="X453" s="31" t="s">
        <v>1</v>
      </c>
    </row>
    <row r="454" spans="4:24" x14ac:dyDescent="0.25">
      <c r="D454" s="31" t="s">
        <v>1</v>
      </c>
      <c r="E454" s="43">
        <v>446</v>
      </c>
      <c r="F454" s="25" t="e">
        <f ca="1">IF(ISNA(H454),NA(),IF(ISBLANK(G454),IF(FixedAmortizationFrequency=0,F453,IF(MOD((E454-1),FixedAmortizationFrequency)&lt;&gt;0,F453,F453-FixedAmortization)),G454))</f>
        <v>#N/A</v>
      </c>
      <c r="G454" s="67"/>
      <c r="H454" s="63" t="e">
        <f ca="1"/>
        <v>#N/A</v>
      </c>
      <c r="I454" s="33" t="e">
        <f ca="1"/>
        <v>#N/A</v>
      </c>
      <c r="J454" s="33" t="e">
        <f ca="1"/>
        <v>#N/A</v>
      </c>
      <c r="K454" s="25" t="e">
        <f ca="1"/>
        <v>#N/A</v>
      </c>
      <c r="L454" s="36" t="e">
        <f ca="1"/>
        <v>#N/A</v>
      </c>
      <c r="M454" s="37" t="e">
        <f ca="1"/>
        <v>#N/A</v>
      </c>
      <c r="N454" s="38" t="s">
        <v>1</v>
      </c>
      <c r="O454" s="43">
        <v>446</v>
      </c>
      <c r="P454" s="25" t="e">
        <f ca="1">IF(ISNA(R454),NA(),IF(ISBLANK(Q454),IF(FloatAmortizationFrequency=0,P453,IF(MOD((O454-1),FloatAmortizationFrequency)&lt;&gt;0,P453,P453-FloatAmortization)),Q454))</f>
        <v>#N/A</v>
      </c>
      <c r="Q454" s="67"/>
      <c r="R454" s="33" t="e">
        <f ca="1"/>
        <v>#N/A</v>
      </c>
      <c r="S454" s="33" t="e">
        <f ca="1"/>
        <v>#N/A</v>
      </c>
      <c r="T454" s="33" t="e">
        <f ca="1"/>
        <v>#N/A</v>
      </c>
      <c r="U454" s="25" t="e">
        <f ca="1"/>
        <v>#N/A</v>
      </c>
      <c r="V454" s="36" t="e">
        <f ca="1"/>
        <v>#N/A</v>
      </c>
      <c r="W454" s="37" t="e">
        <f ca="1"/>
        <v>#N/A</v>
      </c>
      <c r="X454" s="31" t="s">
        <v>1</v>
      </c>
    </row>
    <row r="455" spans="4:24" x14ac:dyDescent="0.25">
      <c r="D455" s="31" t="s">
        <v>1</v>
      </c>
      <c r="E455" s="43">
        <v>447</v>
      </c>
      <c r="F455" s="25" t="e">
        <f ca="1">IF(ISNA(H455),NA(),IF(ISBLANK(G455),IF(FixedAmortizationFrequency=0,F454,IF(MOD((E455-1),FixedAmortizationFrequency)&lt;&gt;0,F454,F454-FixedAmortization)),G455))</f>
        <v>#N/A</v>
      </c>
      <c r="G455" s="67"/>
      <c r="H455" s="63" t="e">
        <f ca="1"/>
        <v>#N/A</v>
      </c>
      <c r="I455" s="33" t="e">
        <f ca="1"/>
        <v>#N/A</v>
      </c>
      <c r="J455" s="33" t="e">
        <f ca="1"/>
        <v>#N/A</v>
      </c>
      <c r="K455" s="25" t="e">
        <f ca="1"/>
        <v>#N/A</v>
      </c>
      <c r="L455" s="36" t="e">
        <f ca="1"/>
        <v>#N/A</v>
      </c>
      <c r="M455" s="37" t="e">
        <f ca="1"/>
        <v>#N/A</v>
      </c>
      <c r="N455" s="38" t="s">
        <v>1</v>
      </c>
      <c r="O455" s="43">
        <v>447</v>
      </c>
      <c r="P455" s="25" t="e">
        <f ca="1">IF(ISNA(R455),NA(),IF(ISBLANK(Q455),IF(FloatAmortizationFrequency=0,P454,IF(MOD((O455-1),FloatAmortizationFrequency)&lt;&gt;0,P454,P454-FloatAmortization)),Q455))</f>
        <v>#N/A</v>
      </c>
      <c r="Q455" s="67"/>
      <c r="R455" s="33" t="e">
        <f ca="1"/>
        <v>#N/A</v>
      </c>
      <c r="S455" s="33" t="e">
        <f ca="1"/>
        <v>#N/A</v>
      </c>
      <c r="T455" s="33" t="e">
        <f ca="1"/>
        <v>#N/A</v>
      </c>
      <c r="U455" s="25" t="e">
        <f ca="1"/>
        <v>#N/A</v>
      </c>
      <c r="V455" s="36" t="e">
        <f ca="1"/>
        <v>#N/A</v>
      </c>
      <c r="W455" s="37" t="e">
        <f ca="1"/>
        <v>#N/A</v>
      </c>
      <c r="X455" s="31" t="s">
        <v>1</v>
      </c>
    </row>
    <row r="456" spans="4:24" x14ac:dyDescent="0.25">
      <c r="D456" s="31" t="s">
        <v>1</v>
      </c>
      <c r="E456" s="43">
        <v>448</v>
      </c>
      <c r="F456" s="25" t="e">
        <f ca="1">IF(ISNA(H456),NA(),IF(ISBLANK(G456),IF(FixedAmortizationFrequency=0,F455,IF(MOD((E456-1),FixedAmortizationFrequency)&lt;&gt;0,F455,F455-FixedAmortization)),G456))</f>
        <v>#N/A</v>
      </c>
      <c r="G456" s="67"/>
      <c r="H456" s="63" t="e">
        <f ca="1"/>
        <v>#N/A</v>
      </c>
      <c r="I456" s="33" t="e">
        <f ca="1"/>
        <v>#N/A</v>
      </c>
      <c r="J456" s="33" t="e">
        <f ca="1"/>
        <v>#N/A</v>
      </c>
      <c r="K456" s="25" t="e">
        <f ca="1"/>
        <v>#N/A</v>
      </c>
      <c r="L456" s="36" t="e">
        <f ca="1"/>
        <v>#N/A</v>
      </c>
      <c r="M456" s="37" t="e">
        <f ca="1"/>
        <v>#N/A</v>
      </c>
      <c r="N456" s="38" t="s">
        <v>1</v>
      </c>
      <c r="O456" s="43">
        <v>448</v>
      </c>
      <c r="P456" s="25" t="e">
        <f ca="1">IF(ISNA(R456),NA(),IF(ISBLANK(Q456),IF(FloatAmortizationFrequency=0,P455,IF(MOD((O456-1),FloatAmortizationFrequency)&lt;&gt;0,P455,P455-FloatAmortization)),Q456))</f>
        <v>#N/A</v>
      </c>
      <c r="Q456" s="67"/>
      <c r="R456" s="33" t="e">
        <f ca="1"/>
        <v>#N/A</v>
      </c>
      <c r="S456" s="33" t="e">
        <f ca="1"/>
        <v>#N/A</v>
      </c>
      <c r="T456" s="33" t="e">
        <f ca="1"/>
        <v>#N/A</v>
      </c>
      <c r="U456" s="25" t="e">
        <f ca="1"/>
        <v>#N/A</v>
      </c>
      <c r="V456" s="36" t="e">
        <f ca="1"/>
        <v>#N/A</v>
      </c>
      <c r="W456" s="37" t="e">
        <f ca="1"/>
        <v>#N/A</v>
      </c>
      <c r="X456" s="31" t="s">
        <v>1</v>
      </c>
    </row>
    <row r="457" spans="4:24" x14ac:dyDescent="0.25">
      <c r="D457" s="31" t="s">
        <v>1</v>
      </c>
      <c r="E457" s="43">
        <v>449</v>
      </c>
      <c r="F457" s="25" t="e">
        <f ca="1">IF(ISNA(H457),NA(),IF(ISBLANK(G457),IF(FixedAmortizationFrequency=0,F456,IF(MOD((E457-1),FixedAmortizationFrequency)&lt;&gt;0,F456,F456-FixedAmortization)),G457))</f>
        <v>#N/A</v>
      </c>
      <c r="G457" s="67"/>
      <c r="H457" s="63" t="e">
        <f ca="1"/>
        <v>#N/A</v>
      </c>
      <c r="I457" s="33" t="e">
        <f ca="1"/>
        <v>#N/A</v>
      </c>
      <c r="J457" s="33" t="e">
        <f ca="1"/>
        <v>#N/A</v>
      </c>
      <c r="K457" s="25" t="e">
        <f ca="1"/>
        <v>#N/A</v>
      </c>
      <c r="L457" s="36" t="e">
        <f ca="1"/>
        <v>#N/A</v>
      </c>
      <c r="M457" s="37" t="e">
        <f ca="1"/>
        <v>#N/A</v>
      </c>
      <c r="N457" s="38" t="s">
        <v>1</v>
      </c>
      <c r="O457" s="43">
        <v>449</v>
      </c>
      <c r="P457" s="25" t="e">
        <f ca="1">IF(ISNA(R457),NA(),IF(ISBLANK(Q457),IF(FloatAmortizationFrequency=0,P456,IF(MOD((O457-1),FloatAmortizationFrequency)&lt;&gt;0,P456,P456-FloatAmortization)),Q457))</f>
        <v>#N/A</v>
      </c>
      <c r="Q457" s="67"/>
      <c r="R457" s="33" t="e">
        <f ca="1"/>
        <v>#N/A</v>
      </c>
      <c r="S457" s="33" t="e">
        <f ca="1"/>
        <v>#N/A</v>
      </c>
      <c r="T457" s="33" t="e">
        <f ca="1"/>
        <v>#N/A</v>
      </c>
      <c r="U457" s="25" t="e">
        <f ca="1"/>
        <v>#N/A</v>
      </c>
      <c r="V457" s="36" t="e">
        <f ca="1"/>
        <v>#N/A</v>
      </c>
      <c r="W457" s="37" t="e">
        <f ca="1"/>
        <v>#N/A</v>
      </c>
      <c r="X457" s="31" t="s">
        <v>1</v>
      </c>
    </row>
    <row r="458" spans="4:24" x14ac:dyDescent="0.25">
      <c r="D458" s="31" t="s">
        <v>1</v>
      </c>
      <c r="E458" s="43">
        <v>450</v>
      </c>
      <c r="F458" s="25" t="e">
        <f ca="1">IF(ISNA(H458),NA(),IF(ISBLANK(G458),IF(FixedAmortizationFrequency=0,F457,IF(MOD((E458-1),FixedAmortizationFrequency)&lt;&gt;0,F457,F457-FixedAmortization)),G458))</f>
        <v>#N/A</v>
      </c>
      <c r="G458" s="67"/>
      <c r="H458" s="63" t="e">
        <f ca="1"/>
        <v>#N/A</v>
      </c>
      <c r="I458" s="33" t="e">
        <f ca="1"/>
        <v>#N/A</v>
      </c>
      <c r="J458" s="33" t="e">
        <f ca="1"/>
        <v>#N/A</v>
      </c>
      <c r="K458" s="25" t="e">
        <f ca="1"/>
        <v>#N/A</v>
      </c>
      <c r="L458" s="36" t="e">
        <f ca="1"/>
        <v>#N/A</v>
      </c>
      <c r="M458" s="37" t="e">
        <f ca="1"/>
        <v>#N/A</v>
      </c>
      <c r="N458" s="38" t="s">
        <v>1</v>
      </c>
      <c r="O458" s="43">
        <v>450</v>
      </c>
      <c r="P458" s="25" t="e">
        <f ca="1">IF(ISNA(R458),NA(),IF(ISBLANK(Q458),IF(FloatAmortizationFrequency=0,P457,IF(MOD((O458-1),FloatAmortizationFrequency)&lt;&gt;0,P457,P457-FloatAmortization)),Q458))</f>
        <v>#N/A</v>
      </c>
      <c r="Q458" s="67"/>
      <c r="R458" s="33" t="e">
        <f ca="1"/>
        <v>#N/A</v>
      </c>
      <c r="S458" s="33" t="e">
        <f ca="1"/>
        <v>#N/A</v>
      </c>
      <c r="T458" s="33" t="e">
        <f ca="1"/>
        <v>#N/A</v>
      </c>
      <c r="U458" s="25" t="e">
        <f ca="1"/>
        <v>#N/A</v>
      </c>
      <c r="V458" s="36" t="e">
        <f ca="1"/>
        <v>#N/A</v>
      </c>
      <c r="W458" s="37" t="e">
        <f ca="1"/>
        <v>#N/A</v>
      </c>
      <c r="X458" s="31" t="s">
        <v>1</v>
      </c>
    </row>
    <row r="459" spans="4:24" x14ac:dyDescent="0.25">
      <c r="D459" s="31" t="s">
        <v>1</v>
      </c>
      <c r="E459" s="43">
        <v>451</v>
      </c>
      <c r="F459" s="25" t="e">
        <f ca="1">IF(ISNA(H459),NA(),IF(ISBLANK(G459),IF(FixedAmortizationFrequency=0,F458,IF(MOD((E459-1),FixedAmortizationFrequency)&lt;&gt;0,F458,F458-FixedAmortization)),G459))</f>
        <v>#N/A</v>
      </c>
      <c r="G459" s="67"/>
      <c r="H459" s="63" t="e">
        <f ca="1"/>
        <v>#N/A</v>
      </c>
      <c r="I459" s="33" t="e">
        <f ca="1"/>
        <v>#N/A</v>
      </c>
      <c r="J459" s="33" t="e">
        <f ca="1"/>
        <v>#N/A</v>
      </c>
      <c r="K459" s="25" t="e">
        <f ca="1"/>
        <v>#N/A</v>
      </c>
      <c r="L459" s="36" t="e">
        <f ca="1"/>
        <v>#N/A</v>
      </c>
      <c r="M459" s="37" t="e">
        <f ca="1"/>
        <v>#N/A</v>
      </c>
      <c r="N459" s="38" t="s">
        <v>1</v>
      </c>
      <c r="O459" s="43">
        <v>451</v>
      </c>
      <c r="P459" s="25" t="e">
        <f ca="1">IF(ISNA(R459),NA(),IF(ISBLANK(Q459),IF(FloatAmortizationFrequency=0,P458,IF(MOD((O459-1),FloatAmortizationFrequency)&lt;&gt;0,P458,P458-FloatAmortization)),Q459))</f>
        <v>#N/A</v>
      </c>
      <c r="Q459" s="67"/>
      <c r="R459" s="33" t="e">
        <f ca="1"/>
        <v>#N/A</v>
      </c>
      <c r="S459" s="33" t="e">
        <f ca="1"/>
        <v>#N/A</v>
      </c>
      <c r="T459" s="33" t="e">
        <f ca="1"/>
        <v>#N/A</v>
      </c>
      <c r="U459" s="25" t="e">
        <f ca="1"/>
        <v>#N/A</v>
      </c>
      <c r="V459" s="36" t="e">
        <f ca="1"/>
        <v>#N/A</v>
      </c>
      <c r="W459" s="37" t="e">
        <f ca="1"/>
        <v>#N/A</v>
      </c>
      <c r="X459" s="31" t="s">
        <v>1</v>
      </c>
    </row>
    <row r="460" spans="4:24" x14ac:dyDescent="0.25">
      <c r="D460" s="31" t="s">
        <v>1</v>
      </c>
      <c r="E460" s="43">
        <v>452</v>
      </c>
      <c r="F460" s="25" t="e">
        <f ca="1">IF(ISNA(H460),NA(),IF(ISBLANK(G460),IF(FixedAmortizationFrequency=0,F459,IF(MOD((E460-1),FixedAmortizationFrequency)&lt;&gt;0,F459,F459-FixedAmortization)),G460))</f>
        <v>#N/A</v>
      </c>
      <c r="G460" s="67"/>
      <c r="H460" s="63" t="e">
        <f ca="1"/>
        <v>#N/A</v>
      </c>
      <c r="I460" s="33" t="e">
        <f ca="1"/>
        <v>#N/A</v>
      </c>
      <c r="J460" s="33" t="e">
        <f ca="1"/>
        <v>#N/A</v>
      </c>
      <c r="K460" s="25" t="e">
        <f ca="1"/>
        <v>#N/A</v>
      </c>
      <c r="L460" s="36" t="e">
        <f ca="1"/>
        <v>#N/A</v>
      </c>
      <c r="M460" s="37" t="e">
        <f ca="1"/>
        <v>#N/A</v>
      </c>
      <c r="N460" s="38" t="s">
        <v>1</v>
      </c>
      <c r="O460" s="43">
        <v>452</v>
      </c>
      <c r="P460" s="25" t="e">
        <f ca="1">IF(ISNA(R460),NA(),IF(ISBLANK(Q460),IF(FloatAmortizationFrequency=0,P459,IF(MOD((O460-1),FloatAmortizationFrequency)&lt;&gt;0,P459,P459-FloatAmortization)),Q460))</f>
        <v>#N/A</v>
      </c>
      <c r="Q460" s="67"/>
      <c r="R460" s="33" t="e">
        <f ca="1"/>
        <v>#N/A</v>
      </c>
      <c r="S460" s="33" t="e">
        <f ca="1"/>
        <v>#N/A</v>
      </c>
      <c r="T460" s="33" t="e">
        <f ca="1"/>
        <v>#N/A</v>
      </c>
      <c r="U460" s="25" t="e">
        <f ca="1"/>
        <v>#N/A</v>
      </c>
      <c r="V460" s="36" t="e">
        <f ca="1"/>
        <v>#N/A</v>
      </c>
      <c r="W460" s="37" t="e">
        <f ca="1"/>
        <v>#N/A</v>
      </c>
      <c r="X460" s="31" t="s">
        <v>1</v>
      </c>
    </row>
    <row r="461" spans="4:24" x14ac:dyDescent="0.25">
      <c r="D461" s="31" t="s">
        <v>1</v>
      </c>
      <c r="E461" s="43">
        <v>453</v>
      </c>
      <c r="F461" s="25" t="e">
        <f ca="1">IF(ISNA(H461),NA(),IF(ISBLANK(G461),IF(FixedAmortizationFrequency=0,F460,IF(MOD((E461-1),FixedAmortizationFrequency)&lt;&gt;0,F460,F460-FixedAmortization)),G461))</f>
        <v>#N/A</v>
      </c>
      <c r="G461" s="67"/>
      <c r="H461" s="63" t="e">
        <f ca="1"/>
        <v>#N/A</v>
      </c>
      <c r="I461" s="33" t="e">
        <f ca="1"/>
        <v>#N/A</v>
      </c>
      <c r="J461" s="33" t="e">
        <f ca="1"/>
        <v>#N/A</v>
      </c>
      <c r="K461" s="25" t="e">
        <f ca="1"/>
        <v>#N/A</v>
      </c>
      <c r="L461" s="36" t="e">
        <f ca="1"/>
        <v>#N/A</v>
      </c>
      <c r="M461" s="37" t="e">
        <f ca="1"/>
        <v>#N/A</v>
      </c>
      <c r="N461" s="38" t="s">
        <v>1</v>
      </c>
      <c r="O461" s="43">
        <v>453</v>
      </c>
      <c r="P461" s="25" t="e">
        <f ca="1">IF(ISNA(R461),NA(),IF(ISBLANK(Q461),IF(FloatAmortizationFrequency=0,P460,IF(MOD((O461-1),FloatAmortizationFrequency)&lt;&gt;0,P460,P460-FloatAmortization)),Q461))</f>
        <v>#N/A</v>
      </c>
      <c r="Q461" s="67"/>
      <c r="R461" s="33" t="e">
        <f ca="1"/>
        <v>#N/A</v>
      </c>
      <c r="S461" s="33" t="e">
        <f ca="1"/>
        <v>#N/A</v>
      </c>
      <c r="T461" s="33" t="e">
        <f ca="1"/>
        <v>#N/A</v>
      </c>
      <c r="U461" s="25" t="e">
        <f ca="1"/>
        <v>#N/A</v>
      </c>
      <c r="V461" s="36" t="e">
        <f ca="1"/>
        <v>#N/A</v>
      </c>
      <c r="W461" s="37" t="e">
        <f ca="1"/>
        <v>#N/A</v>
      </c>
      <c r="X461" s="31" t="s">
        <v>1</v>
      </c>
    </row>
    <row r="462" spans="4:24" x14ac:dyDescent="0.25">
      <c r="D462" s="31" t="s">
        <v>1</v>
      </c>
      <c r="E462" s="43">
        <v>454</v>
      </c>
      <c r="F462" s="25" t="e">
        <f ca="1">IF(ISNA(H462),NA(),IF(ISBLANK(G462),IF(FixedAmortizationFrequency=0,F461,IF(MOD((E462-1),FixedAmortizationFrequency)&lt;&gt;0,F461,F461-FixedAmortization)),G462))</f>
        <v>#N/A</v>
      </c>
      <c r="G462" s="67"/>
      <c r="H462" s="63" t="e">
        <f ca="1"/>
        <v>#N/A</v>
      </c>
      <c r="I462" s="33" t="e">
        <f ca="1"/>
        <v>#N/A</v>
      </c>
      <c r="J462" s="33" t="e">
        <f ca="1"/>
        <v>#N/A</v>
      </c>
      <c r="K462" s="25" t="e">
        <f ca="1"/>
        <v>#N/A</v>
      </c>
      <c r="L462" s="36" t="e">
        <f ca="1"/>
        <v>#N/A</v>
      </c>
      <c r="M462" s="37" t="e">
        <f ca="1"/>
        <v>#N/A</v>
      </c>
      <c r="N462" s="38" t="s">
        <v>1</v>
      </c>
      <c r="O462" s="43">
        <v>454</v>
      </c>
      <c r="P462" s="25" t="e">
        <f ca="1">IF(ISNA(R462),NA(),IF(ISBLANK(Q462),IF(FloatAmortizationFrequency=0,P461,IF(MOD((O462-1),FloatAmortizationFrequency)&lt;&gt;0,P461,P461-FloatAmortization)),Q462))</f>
        <v>#N/A</v>
      </c>
      <c r="Q462" s="67"/>
      <c r="R462" s="33" t="e">
        <f ca="1"/>
        <v>#N/A</v>
      </c>
      <c r="S462" s="33" t="e">
        <f ca="1"/>
        <v>#N/A</v>
      </c>
      <c r="T462" s="33" t="e">
        <f ca="1"/>
        <v>#N/A</v>
      </c>
      <c r="U462" s="25" t="e">
        <f ca="1"/>
        <v>#N/A</v>
      </c>
      <c r="V462" s="36" t="e">
        <f ca="1"/>
        <v>#N/A</v>
      </c>
      <c r="W462" s="37" t="e">
        <f ca="1"/>
        <v>#N/A</v>
      </c>
      <c r="X462" s="31" t="s">
        <v>1</v>
      </c>
    </row>
    <row r="463" spans="4:24" x14ac:dyDescent="0.25">
      <c r="D463" s="31" t="s">
        <v>1</v>
      </c>
      <c r="E463" s="43">
        <v>455</v>
      </c>
      <c r="F463" s="25" t="e">
        <f ca="1">IF(ISNA(H463),NA(),IF(ISBLANK(G463),IF(FixedAmortizationFrequency=0,F462,IF(MOD((E463-1),FixedAmortizationFrequency)&lt;&gt;0,F462,F462-FixedAmortization)),G463))</f>
        <v>#N/A</v>
      </c>
      <c r="G463" s="67"/>
      <c r="H463" s="63" t="e">
        <f ca="1"/>
        <v>#N/A</v>
      </c>
      <c r="I463" s="33" t="e">
        <f ca="1"/>
        <v>#N/A</v>
      </c>
      <c r="J463" s="33" t="e">
        <f ca="1"/>
        <v>#N/A</v>
      </c>
      <c r="K463" s="25" t="e">
        <f ca="1"/>
        <v>#N/A</v>
      </c>
      <c r="L463" s="36" t="e">
        <f ca="1"/>
        <v>#N/A</v>
      </c>
      <c r="M463" s="37" t="e">
        <f ca="1"/>
        <v>#N/A</v>
      </c>
      <c r="N463" s="38" t="s">
        <v>1</v>
      </c>
      <c r="O463" s="43">
        <v>455</v>
      </c>
      <c r="P463" s="25" t="e">
        <f ca="1">IF(ISNA(R463),NA(),IF(ISBLANK(Q463),IF(FloatAmortizationFrequency=0,P462,IF(MOD((O463-1),FloatAmortizationFrequency)&lt;&gt;0,P462,P462-FloatAmortization)),Q463))</f>
        <v>#N/A</v>
      </c>
      <c r="Q463" s="67"/>
      <c r="R463" s="33" t="e">
        <f ca="1"/>
        <v>#N/A</v>
      </c>
      <c r="S463" s="33" t="e">
        <f ca="1"/>
        <v>#N/A</v>
      </c>
      <c r="T463" s="33" t="e">
        <f ca="1"/>
        <v>#N/A</v>
      </c>
      <c r="U463" s="25" t="e">
        <f ca="1"/>
        <v>#N/A</v>
      </c>
      <c r="V463" s="36" t="e">
        <f ca="1"/>
        <v>#N/A</v>
      </c>
      <c r="W463" s="37" t="e">
        <f ca="1"/>
        <v>#N/A</v>
      </c>
      <c r="X463" s="31" t="s">
        <v>1</v>
      </c>
    </row>
    <row r="464" spans="4:24" x14ac:dyDescent="0.25">
      <c r="D464" s="31" t="s">
        <v>1</v>
      </c>
      <c r="E464" s="43">
        <v>456</v>
      </c>
      <c r="F464" s="25" t="e">
        <f ca="1">IF(ISNA(H464),NA(),IF(ISBLANK(G464),IF(FixedAmortizationFrequency=0,F463,IF(MOD((E464-1),FixedAmortizationFrequency)&lt;&gt;0,F463,F463-FixedAmortization)),G464))</f>
        <v>#N/A</v>
      </c>
      <c r="G464" s="67"/>
      <c r="H464" s="63" t="e">
        <f ca="1"/>
        <v>#N/A</v>
      </c>
      <c r="I464" s="33" t="e">
        <f ca="1"/>
        <v>#N/A</v>
      </c>
      <c r="J464" s="33" t="e">
        <f ca="1"/>
        <v>#N/A</v>
      </c>
      <c r="K464" s="25" t="e">
        <f ca="1"/>
        <v>#N/A</v>
      </c>
      <c r="L464" s="36" t="e">
        <f ca="1"/>
        <v>#N/A</v>
      </c>
      <c r="M464" s="37" t="e">
        <f ca="1"/>
        <v>#N/A</v>
      </c>
      <c r="N464" s="38" t="s">
        <v>1</v>
      </c>
      <c r="O464" s="43">
        <v>456</v>
      </c>
      <c r="P464" s="25" t="e">
        <f ca="1">IF(ISNA(R464),NA(),IF(ISBLANK(Q464),IF(FloatAmortizationFrequency=0,P463,IF(MOD((O464-1),FloatAmortizationFrequency)&lt;&gt;0,P463,P463-FloatAmortization)),Q464))</f>
        <v>#N/A</v>
      </c>
      <c r="Q464" s="67"/>
      <c r="R464" s="33" t="e">
        <f ca="1"/>
        <v>#N/A</v>
      </c>
      <c r="S464" s="33" t="e">
        <f ca="1"/>
        <v>#N/A</v>
      </c>
      <c r="T464" s="33" t="e">
        <f ca="1"/>
        <v>#N/A</v>
      </c>
      <c r="U464" s="25" t="e">
        <f ca="1"/>
        <v>#N/A</v>
      </c>
      <c r="V464" s="36" t="e">
        <f ca="1"/>
        <v>#N/A</v>
      </c>
      <c r="W464" s="37" t="e">
        <f ca="1"/>
        <v>#N/A</v>
      </c>
      <c r="X464" s="31" t="s">
        <v>1</v>
      </c>
    </row>
    <row r="465" spans="4:24" x14ac:dyDescent="0.25">
      <c r="D465" s="31" t="s">
        <v>1</v>
      </c>
      <c r="E465" s="43">
        <v>457</v>
      </c>
      <c r="F465" s="25" t="e">
        <f ca="1">IF(ISNA(H465),NA(),IF(ISBLANK(G465),IF(FixedAmortizationFrequency=0,F464,IF(MOD((E465-1),FixedAmortizationFrequency)&lt;&gt;0,F464,F464-FixedAmortization)),G465))</f>
        <v>#N/A</v>
      </c>
      <c r="G465" s="67"/>
      <c r="H465" s="63" t="e">
        <f ca="1"/>
        <v>#N/A</v>
      </c>
      <c r="I465" s="33" t="e">
        <f ca="1"/>
        <v>#N/A</v>
      </c>
      <c r="J465" s="33" t="e">
        <f ca="1"/>
        <v>#N/A</v>
      </c>
      <c r="K465" s="25" t="e">
        <f ca="1"/>
        <v>#N/A</v>
      </c>
      <c r="L465" s="36" t="e">
        <f ca="1"/>
        <v>#N/A</v>
      </c>
      <c r="M465" s="37" t="e">
        <f ca="1"/>
        <v>#N/A</v>
      </c>
      <c r="N465" s="38" t="s">
        <v>1</v>
      </c>
      <c r="O465" s="43">
        <v>457</v>
      </c>
      <c r="P465" s="25" t="e">
        <f ca="1">IF(ISNA(R465),NA(),IF(ISBLANK(Q465),IF(FloatAmortizationFrequency=0,P464,IF(MOD((O465-1),FloatAmortizationFrequency)&lt;&gt;0,P464,P464-FloatAmortization)),Q465))</f>
        <v>#N/A</v>
      </c>
      <c r="Q465" s="67"/>
      <c r="R465" s="33" t="e">
        <f ca="1"/>
        <v>#N/A</v>
      </c>
      <c r="S465" s="33" t="e">
        <f ca="1"/>
        <v>#N/A</v>
      </c>
      <c r="T465" s="33" t="e">
        <f ca="1"/>
        <v>#N/A</v>
      </c>
      <c r="U465" s="25" t="e">
        <f ca="1"/>
        <v>#N/A</v>
      </c>
      <c r="V465" s="36" t="e">
        <f ca="1"/>
        <v>#N/A</v>
      </c>
      <c r="W465" s="37" t="e">
        <f ca="1"/>
        <v>#N/A</v>
      </c>
      <c r="X465" s="31" t="s">
        <v>1</v>
      </c>
    </row>
    <row r="466" spans="4:24" x14ac:dyDescent="0.25">
      <c r="D466" s="31" t="s">
        <v>1</v>
      </c>
      <c r="E466" s="43">
        <v>458</v>
      </c>
      <c r="F466" s="25" t="e">
        <f ca="1">IF(ISNA(H466),NA(),IF(ISBLANK(G466),IF(FixedAmortizationFrequency=0,F465,IF(MOD((E466-1),FixedAmortizationFrequency)&lt;&gt;0,F465,F465-FixedAmortization)),G466))</f>
        <v>#N/A</v>
      </c>
      <c r="G466" s="67"/>
      <c r="H466" s="63" t="e">
        <f ca="1"/>
        <v>#N/A</v>
      </c>
      <c r="I466" s="33" t="e">
        <f ca="1"/>
        <v>#N/A</v>
      </c>
      <c r="J466" s="33" t="e">
        <f ca="1"/>
        <v>#N/A</v>
      </c>
      <c r="K466" s="25" t="e">
        <f ca="1"/>
        <v>#N/A</v>
      </c>
      <c r="L466" s="36" t="e">
        <f ca="1"/>
        <v>#N/A</v>
      </c>
      <c r="M466" s="37" t="e">
        <f ca="1"/>
        <v>#N/A</v>
      </c>
      <c r="N466" s="38" t="s">
        <v>1</v>
      </c>
      <c r="O466" s="43">
        <v>458</v>
      </c>
      <c r="P466" s="25" t="e">
        <f ca="1">IF(ISNA(R466),NA(),IF(ISBLANK(Q466),IF(FloatAmortizationFrequency=0,P465,IF(MOD((O466-1),FloatAmortizationFrequency)&lt;&gt;0,P465,P465-FloatAmortization)),Q466))</f>
        <v>#N/A</v>
      </c>
      <c r="Q466" s="67"/>
      <c r="R466" s="33" t="e">
        <f ca="1"/>
        <v>#N/A</v>
      </c>
      <c r="S466" s="33" t="e">
        <f ca="1"/>
        <v>#N/A</v>
      </c>
      <c r="T466" s="33" t="e">
        <f ca="1"/>
        <v>#N/A</v>
      </c>
      <c r="U466" s="25" t="e">
        <f ca="1"/>
        <v>#N/A</v>
      </c>
      <c r="V466" s="36" t="e">
        <f ca="1"/>
        <v>#N/A</v>
      </c>
      <c r="W466" s="37" t="e">
        <f ca="1"/>
        <v>#N/A</v>
      </c>
      <c r="X466" s="31" t="s">
        <v>1</v>
      </c>
    </row>
    <row r="467" spans="4:24" x14ac:dyDescent="0.25">
      <c r="D467" s="31" t="s">
        <v>1</v>
      </c>
      <c r="E467" s="43">
        <v>459</v>
      </c>
      <c r="F467" s="25" t="e">
        <f ca="1">IF(ISNA(H467),NA(),IF(ISBLANK(G467),IF(FixedAmortizationFrequency=0,F466,IF(MOD((E467-1),FixedAmortizationFrequency)&lt;&gt;0,F466,F466-FixedAmortization)),G467))</f>
        <v>#N/A</v>
      </c>
      <c r="G467" s="67"/>
      <c r="H467" s="63" t="e">
        <f ca="1"/>
        <v>#N/A</v>
      </c>
      <c r="I467" s="33" t="e">
        <f ca="1"/>
        <v>#N/A</v>
      </c>
      <c r="J467" s="33" t="e">
        <f ca="1"/>
        <v>#N/A</v>
      </c>
      <c r="K467" s="25" t="e">
        <f ca="1"/>
        <v>#N/A</v>
      </c>
      <c r="L467" s="36" t="e">
        <f ca="1"/>
        <v>#N/A</v>
      </c>
      <c r="M467" s="37" t="e">
        <f ca="1"/>
        <v>#N/A</v>
      </c>
      <c r="N467" s="38" t="s">
        <v>1</v>
      </c>
      <c r="O467" s="43">
        <v>459</v>
      </c>
      <c r="P467" s="25" t="e">
        <f ca="1">IF(ISNA(R467),NA(),IF(ISBLANK(Q467),IF(FloatAmortizationFrequency=0,P466,IF(MOD((O467-1),FloatAmortizationFrequency)&lt;&gt;0,P466,P466-FloatAmortization)),Q467))</f>
        <v>#N/A</v>
      </c>
      <c r="Q467" s="67"/>
      <c r="R467" s="33" t="e">
        <f ca="1"/>
        <v>#N/A</v>
      </c>
      <c r="S467" s="33" t="e">
        <f ca="1"/>
        <v>#N/A</v>
      </c>
      <c r="T467" s="33" t="e">
        <f ca="1"/>
        <v>#N/A</v>
      </c>
      <c r="U467" s="25" t="e">
        <f ca="1"/>
        <v>#N/A</v>
      </c>
      <c r="V467" s="36" t="e">
        <f ca="1"/>
        <v>#N/A</v>
      </c>
      <c r="W467" s="37" t="e">
        <f ca="1"/>
        <v>#N/A</v>
      </c>
      <c r="X467" s="31" t="s">
        <v>1</v>
      </c>
    </row>
    <row r="468" spans="4:24" x14ac:dyDescent="0.25">
      <c r="D468" s="31" t="s">
        <v>1</v>
      </c>
      <c r="E468" s="43">
        <v>460</v>
      </c>
      <c r="F468" s="25" t="e">
        <f ca="1">IF(ISNA(H468),NA(),IF(ISBLANK(G468),IF(FixedAmortizationFrequency=0,F467,IF(MOD((E468-1),FixedAmortizationFrequency)&lt;&gt;0,F467,F467-FixedAmortization)),G468))</f>
        <v>#N/A</v>
      </c>
      <c r="G468" s="67"/>
      <c r="H468" s="63" t="e">
        <f ca="1"/>
        <v>#N/A</v>
      </c>
      <c r="I468" s="33" t="e">
        <f ca="1"/>
        <v>#N/A</v>
      </c>
      <c r="J468" s="33" t="e">
        <f ca="1"/>
        <v>#N/A</v>
      </c>
      <c r="K468" s="25" t="e">
        <f ca="1"/>
        <v>#N/A</v>
      </c>
      <c r="L468" s="36" t="e">
        <f ca="1"/>
        <v>#N/A</v>
      </c>
      <c r="M468" s="37" t="e">
        <f ca="1"/>
        <v>#N/A</v>
      </c>
      <c r="N468" s="38" t="s">
        <v>1</v>
      </c>
      <c r="O468" s="43">
        <v>460</v>
      </c>
      <c r="P468" s="25" t="e">
        <f ca="1">IF(ISNA(R468),NA(),IF(ISBLANK(Q468),IF(FloatAmortizationFrequency=0,P467,IF(MOD((O468-1),FloatAmortizationFrequency)&lt;&gt;0,P467,P467-FloatAmortization)),Q468))</f>
        <v>#N/A</v>
      </c>
      <c r="Q468" s="67"/>
      <c r="R468" s="33" t="e">
        <f ca="1"/>
        <v>#N/A</v>
      </c>
      <c r="S468" s="33" t="e">
        <f ca="1"/>
        <v>#N/A</v>
      </c>
      <c r="T468" s="33" t="e">
        <f ca="1"/>
        <v>#N/A</v>
      </c>
      <c r="U468" s="25" t="e">
        <f ca="1"/>
        <v>#N/A</v>
      </c>
      <c r="V468" s="36" t="e">
        <f ca="1"/>
        <v>#N/A</v>
      </c>
      <c r="W468" s="37" t="e">
        <f ca="1"/>
        <v>#N/A</v>
      </c>
      <c r="X468" s="31" t="s">
        <v>1</v>
      </c>
    </row>
    <row r="469" spans="4:24" x14ac:dyDescent="0.25">
      <c r="D469" s="31" t="s">
        <v>1</v>
      </c>
      <c r="E469" s="43">
        <v>461</v>
      </c>
      <c r="F469" s="25" t="e">
        <f ca="1">IF(ISNA(H469),NA(),IF(ISBLANK(G469),IF(FixedAmortizationFrequency=0,F468,IF(MOD((E469-1),FixedAmortizationFrequency)&lt;&gt;0,F468,F468-FixedAmortization)),G469))</f>
        <v>#N/A</v>
      </c>
      <c r="G469" s="67"/>
      <c r="H469" s="63" t="e">
        <f ca="1"/>
        <v>#N/A</v>
      </c>
      <c r="I469" s="33" t="e">
        <f ca="1"/>
        <v>#N/A</v>
      </c>
      <c r="J469" s="33" t="e">
        <f ca="1"/>
        <v>#N/A</v>
      </c>
      <c r="K469" s="25" t="e">
        <f ca="1"/>
        <v>#N/A</v>
      </c>
      <c r="L469" s="36" t="e">
        <f ca="1"/>
        <v>#N/A</v>
      </c>
      <c r="M469" s="37" t="e">
        <f ca="1"/>
        <v>#N/A</v>
      </c>
      <c r="N469" s="38" t="s">
        <v>1</v>
      </c>
      <c r="O469" s="43">
        <v>461</v>
      </c>
      <c r="P469" s="25" t="e">
        <f ca="1">IF(ISNA(R469),NA(),IF(ISBLANK(Q469),IF(FloatAmortizationFrequency=0,P468,IF(MOD((O469-1),FloatAmortizationFrequency)&lt;&gt;0,P468,P468-FloatAmortization)),Q469))</f>
        <v>#N/A</v>
      </c>
      <c r="Q469" s="67"/>
      <c r="R469" s="33" t="e">
        <f ca="1"/>
        <v>#N/A</v>
      </c>
      <c r="S469" s="33" t="e">
        <f ca="1"/>
        <v>#N/A</v>
      </c>
      <c r="T469" s="33" t="e">
        <f ca="1"/>
        <v>#N/A</v>
      </c>
      <c r="U469" s="25" t="e">
        <f ca="1"/>
        <v>#N/A</v>
      </c>
      <c r="V469" s="36" t="e">
        <f ca="1"/>
        <v>#N/A</v>
      </c>
      <c r="W469" s="37" t="e">
        <f ca="1"/>
        <v>#N/A</v>
      </c>
      <c r="X469" s="31" t="s">
        <v>1</v>
      </c>
    </row>
    <row r="470" spans="4:24" x14ac:dyDescent="0.25">
      <c r="D470" s="31" t="s">
        <v>1</v>
      </c>
      <c r="E470" s="43">
        <v>462</v>
      </c>
      <c r="F470" s="25" t="e">
        <f ca="1">IF(ISNA(H470),NA(),IF(ISBLANK(G470),IF(FixedAmortizationFrequency=0,F469,IF(MOD((E470-1),FixedAmortizationFrequency)&lt;&gt;0,F469,F469-FixedAmortization)),G470))</f>
        <v>#N/A</v>
      </c>
      <c r="G470" s="67"/>
      <c r="H470" s="63" t="e">
        <f ca="1"/>
        <v>#N/A</v>
      </c>
      <c r="I470" s="33" t="e">
        <f ca="1"/>
        <v>#N/A</v>
      </c>
      <c r="J470" s="33" t="e">
        <f ca="1"/>
        <v>#N/A</v>
      </c>
      <c r="K470" s="25" t="e">
        <f ca="1"/>
        <v>#N/A</v>
      </c>
      <c r="L470" s="36" t="e">
        <f ca="1"/>
        <v>#N/A</v>
      </c>
      <c r="M470" s="37" t="e">
        <f ca="1"/>
        <v>#N/A</v>
      </c>
      <c r="N470" s="38" t="s">
        <v>1</v>
      </c>
      <c r="O470" s="43">
        <v>462</v>
      </c>
      <c r="P470" s="25" t="e">
        <f ca="1">IF(ISNA(R470),NA(),IF(ISBLANK(Q470),IF(FloatAmortizationFrequency=0,P469,IF(MOD((O470-1),FloatAmortizationFrequency)&lt;&gt;0,P469,P469-FloatAmortization)),Q470))</f>
        <v>#N/A</v>
      </c>
      <c r="Q470" s="67"/>
      <c r="R470" s="33" t="e">
        <f ca="1"/>
        <v>#N/A</v>
      </c>
      <c r="S470" s="33" t="e">
        <f ca="1"/>
        <v>#N/A</v>
      </c>
      <c r="T470" s="33" t="e">
        <f ca="1"/>
        <v>#N/A</v>
      </c>
      <c r="U470" s="25" t="e">
        <f ca="1"/>
        <v>#N/A</v>
      </c>
      <c r="V470" s="36" t="e">
        <f ca="1"/>
        <v>#N/A</v>
      </c>
      <c r="W470" s="37" t="e">
        <f ca="1"/>
        <v>#N/A</v>
      </c>
      <c r="X470" s="31" t="s">
        <v>1</v>
      </c>
    </row>
    <row r="471" spans="4:24" x14ac:dyDescent="0.25">
      <c r="D471" s="31" t="s">
        <v>1</v>
      </c>
      <c r="E471" s="43">
        <v>463</v>
      </c>
      <c r="F471" s="25" t="e">
        <f ca="1">IF(ISNA(H471),NA(),IF(ISBLANK(G471),IF(FixedAmortizationFrequency=0,F470,IF(MOD((E471-1),FixedAmortizationFrequency)&lt;&gt;0,F470,F470-FixedAmortization)),G471))</f>
        <v>#N/A</v>
      </c>
      <c r="G471" s="67"/>
      <c r="H471" s="63" t="e">
        <f ca="1"/>
        <v>#N/A</v>
      </c>
      <c r="I471" s="33" t="e">
        <f ca="1"/>
        <v>#N/A</v>
      </c>
      <c r="J471" s="33" t="e">
        <f ca="1"/>
        <v>#N/A</v>
      </c>
      <c r="K471" s="25" t="e">
        <f ca="1"/>
        <v>#N/A</v>
      </c>
      <c r="L471" s="36" t="e">
        <f ca="1"/>
        <v>#N/A</v>
      </c>
      <c r="M471" s="37" t="e">
        <f ca="1"/>
        <v>#N/A</v>
      </c>
      <c r="N471" s="38" t="s">
        <v>1</v>
      </c>
      <c r="O471" s="43">
        <v>463</v>
      </c>
      <c r="P471" s="25" t="e">
        <f ca="1">IF(ISNA(R471),NA(),IF(ISBLANK(Q471),IF(FloatAmortizationFrequency=0,P470,IF(MOD((O471-1),FloatAmortizationFrequency)&lt;&gt;0,P470,P470-FloatAmortization)),Q471))</f>
        <v>#N/A</v>
      </c>
      <c r="Q471" s="67"/>
      <c r="R471" s="33" t="e">
        <f ca="1"/>
        <v>#N/A</v>
      </c>
      <c r="S471" s="33" t="e">
        <f ca="1"/>
        <v>#N/A</v>
      </c>
      <c r="T471" s="33" t="e">
        <f ca="1"/>
        <v>#N/A</v>
      </c>
      <c r="U471" s="25" t="e">
        <f ca="1"/>
        <v>#N/A</v>
      </c>
      <c r="V471" s="36" t="e">
        <f ca="1"/>
        <v>#N/A</v>
      </c>
      <c r="W471" s="37" t="e">
        <f ca="1"/>
        <v>#N/A</v>
      </c>
      <c r="X471" s="31" t="s">
        <v>1</v>
      </c>
    </row>
    <row r="472" spans="4:24" x14ac:dyDescent="0.25">
      <c r="D472" s="31" t="s">
        <v>1</v>
      </c>
      <c r="E472" s="43">
        <v>464</v>
      </c>
      <c r="F472" s="25" t="e">
        <f ca="1">IF(ISNA(H472),NA(),IF(ISBLANK(G472),IF(FixedAmortizationFrequency=0,F471,IF(MOD((E472-1),FixedAmortizationFrequency)&lt;&gt;0,F471,F471-FixedAmortization)),G472))</f>
        <v>#N/A</v>
      </c>
      <c r="G472" s="67"/>
      <c r="H472" s="63" t="e">
        <f ca="1"/>
        <v>#N/A</v>
      </c>
      <c r="I472" s="33" t="e">
        <f ca="1"/>
        <v>#N/A</v>
      </c>
      <c r="J472" s="33" t="e">
        <f ca="1"/>
        <v>#N/A</v>
      </c>
      <c r="K472" s="25" t="e">
        <f ca="1"/>
        <v>#N/A</v>
      </c>
      <c r="L472" s="36" t="e">
        <f ca="1"/>
        <v>#N/A</v>
      </c>
      <c r="M472" s="37" t="e">
        <f ca="1"/>
        <v>#N/A</v>
      </c>
      <c r="N472" s="38" t="s">
        <v>1</v>
      </c>
      <c r="O472" s="43">
        <v>464</v>
      </c>
      <c r="P472" s="25" t="e">
        <f ca="1">IF(ISNA(R472),NA(),IF(ISBLANK(Q472),IF(FloatAmortizationFrequency=0,P471,IF(MOD((O472-1),FloatAmortizationFrequency)&lt;&gt;0,P471,P471-FloatAmortization)),Q472))</f>
        <v>#N/A</v>
      </c>
      <c r="Q472" s="67"/>
      <c r="R472" s="33" t="e">
        <f ca="1"/>
        <v>#N/A</v>
      </c>
      <c r="S472" s="33" t="e">
        <f ca="1"/>
        <v>#N/A</v>
      </c>
      <c r="T472" s="33" t="e">
        <f ca="1"/>
        <v>#N/A</v>
      </c>
      <c r="U472" s="25" t="e">
        <f ca="1"/>
        <v>#N/A</v>
      </c>
      <c r="V472" s="36" t="e">
        <f ca="1"/>
        <v>#N/A</v>
      </c>
      <c r="W472" s="37" t="e">
        <f ca="1"/>
        <v>#N/A</v>
      </c>
      <c r="X472" s="31" t="s">
        <v>1</v>
      </c>
    </row>
    <row r="473" spans="4:24" x14ac:dyDescent="0.25">
      <c r="D473" s="31" t="s">
        <v>1</v>
      </c>
      <c r="E473" s="43">
        <v>465</v>
      </c>
      <c r="F473" s="25" t="e">
        <f ca="1">IF(ISNA(H473),NA(),IF(ISBLANK(G473),IF(FixedAmortizationFrequency=0,F472,IF(MOD((E473-1),FixedAmortizationFrequency)&lt;&gt;0,F472,F472-FixedAmortization)),G473))</f>
        <v>#N/A</v>
      </c>
      <c r="G473" s="67"/>
      <c r="H473" s="63" t="e">
        <f ca="1"/>
        <v>#N/A</v>
      </c>
      <c r="I473" s="33" t="e">
        <f ca="1"/>
        <v>#N/A</v>
      </c>
      <c r="J473" s="33" t="e">
        <f ca="1"/>
        <v>#N/A</v>
      </c>
      <c r="K473" s="25" t="e">
        <f ca="1"/>
        <v>#N/A</v>
      </c>
      <c r="L473" s="36" t="e">
        <f ca="1"/>
        <v>#N/A</v>
      </c>
      <c r="M473" s="37" t="e">
        <f ca="1"/>
        <v>#N/A</v>
      </c>
      <c r="N473" s="38" t="s">
        <v>1</v>
      </c>
      <c r="O473" s="43">
        <v>465</v>
      </c>
      <c r="P473" s="25" t="e">
        <f ca="1">IF(ISNA(R473),NA(),IF(ISBLANK(Q473),IF(FloatAmortizationFrequency=0,P472,IF(MOD((O473-1),FloatAmortizationFrequency)&lt;&gt;0,P472,P472-FloatAmortization)),Q473))</f>
        <v>#N/A</v>
      </c>
      <c r="Q473" s="67"/>
      <c r="R473" s="33" t="e">
        <f ca="1"/>
        <v>#N/A</v>
      </c>
      <c r="S473" s="33" t="e">
        <f ca="1"/>
        <v>#N/A</v>
      </c>
      <c r="T473" s="33" t="e">
        <f ca="1"/>
        <v>#N/A</v>
      </c>
      <c r="U473" s="25" t="e">
        <f ca="1"/>
        <v>#N/A</v>
      </c>
      <c r="V473" s="36" t="e">
        <f ca="1"/>
        <v>#N/A</v>
      </c>
      <c r="W473" s="37" t="e">
        <f ca="1"/>
        <v>#N/A</v>
      </c>
      <c r="X473" s="31" t="s">
        <v>1</v>
      </c>
    </row>
    <row r="474" spans="4:24" x14ac:dyDescent="0.25">
      <c r="D474" s="31" t="s">
        <v>1</v>
      </c>
      <c r="E474" s="43">
        <v>466</v>
      </c>
      <c r="F474" s="25" t="e">
        <f ca="1">IF(ISNA(H474),NA(),IF(ISBLANK(G474),IF(FixedAmortizationFrequency=0,F473,IF(MOD((E474-1),FixedAmortizationFrequency)&lt;&gt;0,F473,F473-FixedAmortization)),G474))</f>
        <v>#N/A</v>
      </c>
      <c r="G474" s="67"/>
      <c r="H474" s="63" t="e">
        <f ca="1"/>
        <v>#N/A</v>
      </c>
      <c r="I474" s="33" t="e">
        <f ca="1"/>
        <v>#N/A</v>
      </c>
      <c r="J474" s="33" t="e">
        <f ca="1"/>
        <v>#N/A</v>
      </c>
      <c r="K474" s="25" t="e">
        <f ca="1"/>
        <v>#N/A</v>
      </c>
      <c r="L474" s="36" t="e">
        <f ca="1"/>
        <v>#N/A</v>
      </c>
      <c r="M474" s="37" t="e">
        <f ca="1"/>
        <v>#N/A</v>
      </c>
      <c r="N474" s="38" t="s">
        <v>1</v>
      </c>
      <c r="O474" s="43">
        <v>466</v>
      </c>
      <c r="P474" s="25" t="e">
        <f ca="1">IF(ISNA(R474),NA(),IF(ISBLANK(Q474),IF(FloatAmortizationFrequency=0,P473,IF(MOD((O474-1),FloatAmortizationFrequency)&lt;&gt;0,P473,P473-FloatAmortization)),Q474))</f>
        <v>#N/A</v>
      </c>
      <c r="Q474" s="67"/>
      <c r="R474" s="33" t="e">
        <f ca="1"/>
        <v>#N/A</v>
      </c>
      <c r="S474" s="33" t="e">
        <f ca="1"/>
        <v>#N/A</v>
      </c>
      <c r="T474" s="33" t="e">
        <f ca="1"/>
        <v>#N/A</v>
      </c>
      <c r="U474" s="25" t="e">
        <f ca="1"/>
        <v>#N/A</v>
      </c>
      <c r="V474" s="36" t="e">
        <f ca="1"/>
        <v>#N/A</v>
      </c>
      <c r="W474" s="37" t="e">
        <f ca="1"/>
        <v>#N/A</v>
      </c>
      <c r="X474" s="31" t="s">
        <v>1</v>
      </c>
    </row>
    <row r="475" spans="4:24" x14ac:dyDescent="0.25">
      <c r="D475" s="31" t="s">
        <v>1</v>
      </c>
      <c r="E475" s="43">
        <v>467</v>
      </c>
      <c r="F475" s="25" t="e">
        <f ca="1">IF(ISNA(H475),NA(),IF(ISBLANK(G475),IF(FixedAmortizationFrequency=0,F474,IF(MOD((E475-1),FixedAmortizationFrequency)&lt;&gt;0,F474,F474-FixedAmortization)),G475))</f>
        <v>#N/A</v>
      </c>
      <c r="G475" s="67"/>
      <c r="H475" s="63" t="e">
        <f ca="1"/>
        <v>#N/A</v>
      </c>
      <c r="I475" s="33" t="e">
        <f ca="1"/>
        <v>#N/A</v>
      </c>
      <c r="J475" s="33" t="e">
        <f ca="1"/>
        <v>#N/A</v>
      </c>
      <c r="K475" s="25" t="e">
        <f ca="1"/>
        <v>#N/A</v>
      </c>
      <c r="L475" s="36" t="e">
        <f ca="1"/>
        <v>#N/A</v>
      </c>
      <c r="M475" s="37" t="e">
        <f ca="1"/>
        <v>#N/A</v>
      </c>
      <c r="N475" s="38" t="s">
        <v>1</v>
      </c>
      <c r="O475" s="43">
        <v>467</v>
      </c>
      <c r="P475" s="25" t="e">
        <f ca="1">IF(ISNA(R475),NA(),IF(ISBLANK(Q475),IF(FloatAmortizationFrequency=0,P474,IF(MOD((O475-1),FloatAmortizationFrequency)&lt;&gt;0,P474,P474-FloatAmortization)),Q475))</f>
        <v>#N/A</v>
      </c>
      <c r="Q475" s="67"/>
      <c r="R475" s="33" t="e">
        <f ca="1"/>
        <v>#N/A</v>
      </c>
      <c r="S475" s="33" t="e">
        <f ca="1"/>
        <v>#N/A</v>
      </c>
      <c r="T475" s="33" t="e">
        <f ca="1"/>
        <v>#N/A</v>
      </c>
      <c r="U475" s="25" t="e">
        <f ca="1"/>
        <v>#N/A</v>
      </c>
      <c r="V475" s="36" t="e">
        <f ca="1"/>
        <v>#N/A</v>
      </c>
      <c r="W475" s="37" t="e">
        <f ca="1"/>
        <v>#N/A</v>
      </c>
      <c r="X475" s="31" t="s">
        <v>1</v>
      </c>
    </row>
    <row r="476" spans="4:24" x14ac:dyDescent="0.25">
      <c r="D476" s="31" t="s">
        <v>1</v>
      </c>
      <c r="E476" s="43">
        <v>468</v>
      </c>
      <c r="F476" s="25" t="e">
        <f ca="1">IF(ISNA(H476),NA(),IF(ISBLANK(G476),IF(FixedAmortizationFrequency=0,F475,IF(MOD((E476-1),FixedAmortizationFrequency)&lt;&gt;0,F475,F475-FixedAmortization)),G476))</f>
        <v>#N/A</v>
      </c>
      <c r="G476" s="67"/>
      <c r="H476" s="63" t="e">
        <f ca="1"/>
        <v>#N/A</v>
      </c>
      <c r="I476" s="33" t="e">
        <f ca="1"/>
        <v>#N/A</v>
      </c>
      <c r="J476" s="33" t="e">
        <f ca="1"/>
        <v>#N/A</v>
      </c>
      <c r="K476" s="25" t="e">
        <f ca="1"/>
        <v>#N/A</v>
      </c>
      <c r="L476" s="36" t="e">
        <f ca="1"/>
        <v>#N/A</v>
      </c>
      <c r="M476" s="37" t="e">
        <f ca="1"/>
        <v>#N/A</v>
      </c>
      <c r="N476" s="38" t="s">
        <v>1</v>
      </c>
      <c r="O476" s="43">
        <v>468</v>
      </c>
      <c r="P476" s="25" t="e">
        <f ca="1">IF(ISNA(R476),NA(),IF(ISBLANK(Q476),IF(FloatAmortizationFrequency=0,P475,IF(MOD((O476-1),FloatAmortizationFrequency)&lt;&gt;0,P475,P475-FloatAmortization)),Q476))</f>
        <v>#N/A</v>
      </c>
      <c r="Q476" s="67"/>
      <c r="R476" s="33" t="e">
        <f ca="1"/>
        <v>#N/A</v>
      </c>
      <c r="S476" s="33" t="e">
        <f ca="1"/>
        <v>#N/A</v>
      </c>
      <c r="T476" s="33" t="e">
        <f ca="1"/>
        <v>#N/A</v>
      </c>
      <c r="U476" s="25" t="e">
        <f ca="1"/>
        <v>#N/A</v>
      </c>
      <c r="V476" s="36" t="e">
        <f ca="1"/>
        <v>#N/A</v>
      </c>
      <c r="W476" s="37" t="e">
        <f ca="1"/>
        <v>#N/A</v>
      </c>
      <c r="X476" s="31" t="s">
        <v>1</v>
      </c>
    </row>
    <row r="477" spans="4:24" x14ac:dyDescent="0.25">
      <c r="D477" s="31" t="s">
        <v>1</v>
      </c>
      <c r="E477" s="43">
        <v>469</v>
      </c>
      <c r="F477" s="25" t="e">
        <f ca="1">IF(ISNA(H477),NA(),IF(ISBLANK(G477),IF(FixedAmortizationFrequency=0,F476,IF(MOD((E477-1),FixedAmortizationFrequency)&lt;&gt;0,F476,F476-FixedAmortization)),G477))</f>
        <v>#N/A</v>
      </c>
      <c r="G477" s="67"/>
      <c r="H477" s="63" t="e">
        <f ca="1"/>
        <v>#N/A</v>
      </c>
      <c r="I477" s="33" t="e">
        <f ca="1"/>
        <v>#N/A</v>
      </c>
      <c r="J477" s="33" t="e">
        <f ca="1"/>
        <v>#N/A</v>
      </c>
      <c r="K477" s="25" t="e">
        <f ca="1"/>
        <v>#N/A</v>
      </c>
      <c r="L477" s="36" t="e">
        <f ca="1"/>
        <v>#N/A</v>
      </c>
      <c r="M477" s="37" t="e">
        <f ca="1"/>
        <v>#N/A</v>
      </c>
      <c r="N477" s="38" t="s">
        <v>1</v>
      </c>
      <c r="O477" s="43">
        <v>469</v>
      </c>
      <c r="P477" s="25" t="e">
        <f ca="1">IF(ISNA(R477),NA(),IF(ISBLANK(Q477),IF(FloatAmortizationFrequency=0,P476,IF(MOD((O477-1),FloatAmortizationFrequency)&lt;&gt;0,P476,P476-FloatAmortization)),Q477))</f>
        <v>#N/A</v>
      </c>
      <c r="Q477" s="67"/>
      <c r="R477" s="33" t="e">
        <f ca="1"/>
        <v>#N/A</v>
      </c>
      <c r="S477" s="33" t="e">
        <f ca="1"/>
        <v>#N/A</v>
      </c>
      <c r="T477" s="33" t="e">
        <f ca="1"/>
        <v>#N/A</v>
      </c>
      <c r="U477" s="25" t="e">
        <f ca="1"/>
        <v>#N/A</v>
      </c>
      <c r="V477" s="36" t="e">
        <f ca="1"/>
        <v>#N/A</v>
      </c>
      <c r="W477" s="37" t="e">
        <f ca="1"/>
        <v>#N/A</v>
      </c>
      <c r="X477" s="31" t="s">
        <v>1</v>
      </c>
    </row>
    <row r="478" spans="4:24" x14ac:dyDescent="0.25">
      <c r="D478" s="31" t="s">
        <v>1</v>
      </c>
      <c r="E478" s="43">
        <v>470</v>
      </c>
      <c r="F478" s="25" t="e">
        <f ca="1">IF(ISNA(H478),NA(),IF(ISBLANK(G478),IF(FixedAmortizationFrequency=0,F477,IF(MOD((E478-1),FixedAmortizationFrequency)&lt;&gt;0,F477,F477-FixedAmortization)),G478))</f>
        <v>#N/A</v>
      </c>
      <c r="G478" s="67"/>
      <c r="H478" s="63" t="e">
        <f ca="1"/>
        <v>#N/A</v>
      </c>
      <c r="I478" s="33" t="e">
        <f ca="1"/>
        <v>#N/A</v>
      </c>
      <c r="J478" s="33" t="e">
        <f ca="1"/>
        <v>#N/A</v>
      </c>
      <c r="K478" s="25" t="e">
        <f ca="1"/>
        <v>#N/A</v>
      </c>
      <c r="L478" s="36" t="e">
        <f ca="1"/>
        <v>#N/A</v>
      </c>
      <c r="M478" s="37" t="e">
        <f ca="1"/>
        <v>#N/A</v>
      </c>
      <c r="N478" s="38" t="s">
        <v>1</v>
      </c>
      <c r="O478" s="43">
        <v>470</v>
      </c>
      <c r="P478" s="25" t="e">
        <f ca="1">IF(ISNA(R478),NA(),IF(ISBLANK(Q478),IF(FloatAmortizationFrequency=0,P477,IF(MOD((O478-1),FloatAmortizationFrequency)&lt;&gt;0,P477,P477-FloatAmortization)),Q478))</f>
        <v>#N/A</v>
      </c>
      <c r="Q478" s="67"/>
      <c r="R478" s="33" t="e">
        <f ca="1"/>
        <v>#N/A</v>
      </c>
      <c r="S478" s="33" t="e">
        <f ca="1"/>
        <v>#N/A</v>
      </c>
      <c r="T478" s="33" t="e">
        <f ca="1"/>
        <v>#N/A</v>
      </c>
      <c r="U478" s="25" t="e">
        <f ca="1"/>
        <v>#N/A</v>
      </c>
      <c r="V478" s="36" t="e">
        <f ca="1"/>
        <v>#N/A</v>
      </c>
      <c r="W478" s="37" t="e">
        <f ca="1"/>
        <v>#N/A</v>
      </c>
      <c r="X478" s="31" t="s">
        <v>1</v>
      </c>
    </row>
    <row r="479" spans="4:24" x14ac:dyDescent="0.25">
      <c r="D479" s="31" t="s">
        <v>1</v>
      </c>
      <c r="E479" s="43">
        <v>471</v>
      </c>
      <c r="F479" s="25" t="e">
        <f ca="1">IF(ISNA(H479),NA(),IF(ISBLANK(G479),IF(FixedAmortizationFrequency=0,F478,IF(MOD((E479-1),FixedAmortizationFrequency)&lt;&gt;0,F478,F478-FixedAmortization)),G479))</f>
        <v>#N/A</v>
      </c>
      <c r="G479" s="67"/>
      <c r="H479" s="63" t="e">
        <f ca="1"/>
        <v>#N/A</v>
      </c>
      <c r="I479" s="33" t="e">
        <f ca="1"/>
        <v>#N/A</v>
      </c>
      <c r="J479" s="33" t="e">
        <f ca="1"/>
        <v>#N/A</v>
      </c>
      <c r="K479" s="25" t="e">
        <f ca="1"/>
        <v>#N/A</v>
      </c>
      <c r="L479" s="36" t="e">
        <f ca="1"/>
        <v>#N/A</v>
      </c>
      <c r="M479" s="37" t="e">
        <f ca="1"/>
        <v>#N/A</v>
      </c>
      <c r="N479" s="38" t="s">
        <v>1</v>
      </c>
      <c r="O479" s="43">
        <v>471</v>
      </c>
      <c r="P479" s="25" t="e">
        <f ca="1">IF(ISNA(R479),NA(),IF(ISBLANK(Q479),IF(FloatAmortizationFrequency=0,P478,IF(MOD((O479-1),FloatAmortizationFrequency)&lt;&gt;0,P478,P478-FloatAmortization)),Q479))</f>
        <v>#N/A</v>
      </c>
      <c r="Q479" s="67"/>
      <c r="R479" s="33" t="e">
        <f ca="1"/>
        <v>#N/A</v>
      </c>
      <c r="S479" s="33" t="e">
        <f ca="1"/>
        <v>#N/A</v>
      </c>
      <c r="T479" s="33" t="e">
        <f ca="1"/>
        <v>#N/A</v>
      </c>
      <c r="U479" s="25" t="e">
        <f ca="1"/>
        <v>#N/A</v>
      </c>
      <c r="V479" s="36" t="e">
        <f ca="1"/>
        <v>#N/A</v>
      </c>
      <c r="W479" s="37" t="e">
        <f ca="1"/>
        <v>#N/A</v>
      </c>
      <c r="X479" s="31" t="s">
        <v>1</v>
      </c>
    </row>
    <row r="480" spans="4:24" x14ac:dyDescent="0.25">
      <c r="D480" s="31" t="s">
        <v>1</v>
      </c>
      <c r="E480" s="43">
        <v>472</v>
      </c>
      <c r="F480" s="25" t="e">
        <f ca="1">IF(ISNA(H480),NA(),IF(ISBLANK(G480),IF(FixedAmortizationFrequency=0,F479,IF(MOD((E480-1),FixedAmortizationFrequency)&lt;&gt;0,F479,F479-FixedAmortization)),G480))</f>
        <v>#N/A</v>
      </c>
      <c r="G480" s="67"/>
      <c r="H480" s="63" t="e">
        <f ca="1"/>
        <v>#N/A</v>
      </c>
      <c r="I480" s="33" t="e">
        <f ca="1"/>
        <v>#N/A</v>
      </c>
      <c r="J480" s="33" t="e">
        <f ca="1"/>
        <v>#N/A</v>
      </c>
      <c r="K480" s="25" t="e">
        <f ca="1"/>
        <v>#N/A</v>
      </c>
      <c r="L480" s="36" t="e">
        <f ca="1"/>
        <v>#N/A</v>
      </c>
      <c r="M480" s="37" t="e">
        <f ca="1"/>
        <v>#N/A</v>
      </c>
      <c r="N480" s="38" t="s">
        <v>1</v>
      </c>
      <c r="O480" s="43">
        <v>472</v>
      </c>
      <c r="P480" s="25" t="e">
        <f ca="1">IF(ISNA(R480),NA(),IF(ISBLANK(Q480),IF(FloatAmortizationFrequency=0,P479,IF(MOD((O480-1),FloatAmortizationFrequency)&lt;&gt;0,P479,P479-FloatAmortization)),Q480))</f>
        <v>#N/A</v>
      </c>
      <c r="Q480" s="67"/>
      <c r="R480" s="33" t="e">
        <f ca="1"/>
        <v>#N/A</v>
      </c>
      <c r="S480" s="33" t="e">
        <f ca="1"/>
        <v>#N/A</v>
      </c>
      <c r="T480" s="33" t="e">
        <f ca="1"/>
        <v>#N/A</v>
      </c>
      <c r="U480" s="25" t="e">
        <f ca="1"/>
        <v>#N/A</v>
      </c>
      <c r="V480" s="36" t="e">
        <f ca="1"/>
        <v>#N/A</v>
      </c>
      <c r="W480" s="37" t="e">
        <f ca="1"/>
        <v>#N/A</v>
      </c>
      <c r="X480" s="31" t="s">
        <v>1</v>
      </c>
    </row>
    <row r="481" spans="4:24" x14ac:dyDescent="0.25">
      <c r="D481" s="31" t="s">
        <v>1</v>
      </c>
      <c r="E481" s="43">
        <v>473</v>
      </c>
      <c r="F481" s="25" t="e">
        <f ca="1">IF(ISNA(H481),NA(),IF(ISBLANK(G481),IF(FixedAmortizationFrequency=0,F480,IF(MOD((E481-1),FixedAmortizationFrequency)&lt;&gt;0,F480,F480-FixedAmortization)),G481))</f>
        <v>#N/A</v>
      </c>
      <c r="G481" s="67"/>
      <c r="H481" s="63" t="e">
        <f ca="1"/>
        <v>#N/A</v>
      </c>
      <c r="I481" s="33" t="e">
        <f ca="1"/>
        <v>#N/A</v>
      </c>
      <c r="J481" s="33" t="e">
        <f ca="1"/>
        <v>#N/A</v>
      </c>
      <c r="K481" s="25" t="e">
        <f ca="1"/>
        <v>#N/A</v>
      </c>
      <c r="L481" s="36" t="e">
        <f ca="1"/>
        <v>#N/A</v>
      </c>
      <c r="M481" s="37" t="e">
        <f ca="1"/>
        <v>#N/A</v>
      </c>
      <c r="N481" s="38" t="s">
        <v>1</v>
      </c>
      <c r="O481" s="43">
        <v>473</v>
      </c>
      <c r="P481" s="25" t="e">
        <f ca="1">IF(ISNA(R481),NA(),IF(ISBLANK(Q481),IF(FloatAmortizationFrequency=0,P480,IF(MOD((O481-1),FloatAmortizationFrequency)&lt;&gt;0,P480,P480-FloatAmortization)),Q481))</f>
        <v>#N/A</v>
      </c>
      <c r="Q481" s="67"/>
      <c r="R481" s="33" t="e">
        <f ca="1"/>
        <v>#N/A</v>
      </c>
      <c r="S481" s="33" t="e">
        <f ca="1"/>
        <v>#N/A</v>
      </c>
      <c r="T481" s="33" t="e">
        <f ca="1"/>
        <v>#N/A</v>
      </c>
      <c r="U481" s="25" t="e">
        <f ca="1"/>
        <v>#N/A</v>
      </c>
      <c r="V481" s="36" t="e">
        <f ca="1"/>
        <v>#N/A</v>
      </c>
      <c r="W481" s="37" t="e">
        <f ca="1"/>
        <v>#N/A</v>
      </c>
      <c r="X481" s="31" t="s">
        <v>1</v>
      </c>
    </row>
    <row r="482" spans="4:24" x14ac:dyDescent="0.25">
      <c r="D482" s="31" t="s">
        <v>1</v>
      </c>
      <c r="E482" s="43">
        <v>474</v>
      </c>
      <c r="F482" s="25" t="e">
        <f ca="1">IF(ISNA(H482),NA(),IF(ISBLANK(G482),IF(FixedAmortizationFrequency=0,F481,IF(MOD((E482-1),FixedAmortizationFrequency)&lt;&gt;0,F481,F481-FixedAmortization)),G482))</f>
        <v>#N/A</v>
      </c>
      <c r="G482" s="67"/>
      <c r="H482" s="63" t="e">
        <f ca="1"/>
        <v>#N/A</v>
      </c>
      <c r="I482" s="33" t="e">
        <f ca="1"/>
        <v>#N/A</v>
      </c>
      <c r="J482" s="33" t="e">
        <f ca="1"/>
        <v>#N/A</v>
      </c>
      <c r="K482" s="25" t="e">
        <f ca="1"/>
        <v>#N/A</v>
      </c>
      <c r="L482" s="36" t="e">
        <f ca="1"/>
        <v>#N/A</v>
      </c>
      <c r="M482" s="37" t="e">
        <f ca="1"/>
        <v>#N/A</v>
      </c>
      <c r="N482" s="38" t="s">
        <v>1</v>
      </c>
      <c r="O482" s="43">
        <v>474</v>
      </c>
      <c r="P482" s="25" t="e">
        <f ca="1">IF(ISNA(R482),NA(),IF(ISBLANK(Q482),IF(FloatAmortizationFrequency=0,P481,IF(MOD((O482-1),FloatAmortizationFrequency)&lt;&gt;0,P481,P481-FloatAmortization)),Q482))</f>
        <v>#N/A</v>
      </c>
      <c r="Q482" s="67"/>
      <c r="R482" s="33" t="e">
        <f ca="1"/>
        <v>#N/A</v>
      </c>
      <c r="S482" s="33" t="e">
        <f ca="1"/>
        <v>#N/A</v>
      </c>
      <c r="T482" s="33" t="e">
        <f ca="1"/>
        <v>#N/A</v>
      </c>
      <c r="U482" s="25" t="e">
        <f ca="1"/>
        <v>#N/A</v>
      </c>
      <c r="V482" s="36" t="e">
        <f ca="1"/>
        <v>#N/A</v>
      </c>
      <c r="W482" s="37" t="e">
        <f ca="1"/>
        <v>#N/A</v>
      </c>
      <c r="X482" s="31" t="s">
        <v>1</v>
      </c>
    </row>
    <row r="483" spans="4:24" x14ac:dyDescent="0.25">
      <c r="D483" s="31" t="s">
        <v>1</v>
      </c>
      <c r="E483" s="43">
        <v>475</v>
      </c>
      <c r="F483" s="25" t="e">
        <f ca="1">IF(ISNA(H483),NA(),IF(ISBLANK(G483),IF(FixedAmortizationFrequency=0,F482,IF(MOD((E483-1),FixedAmortizationFrequency)&lt;&gt;0,F482,F482-FixedAmortization)),G483))</f>
        <v>#N/A</v>
      </c>
      <c r="G483" s="67"/>
      <c r="H483" s="63" t="e">
        <f ca="1"/>
        <v>#N/A</v>
      </c>
      <c r="I483" s="33" t="e">
        <f ca="1"/>
        <v>#N/A</v>
      </c>
      <c r="J483" s="33" t="e">
        <f ca="1"/>
        <v>#N/A</v>
      </c>
      <c r="K483" s="25" t="e">
        <f ca="1"/>
        <v>#N/A</v>
      </c>
      <c r="L483" s="36" t="e">
        <f ca="1"/>
        <v>#N/A</v>
      </c>
      <c r="M483" s="37" t="e">
        <f ca="1"/>
        <v>#N/A</v>
      </c>
      <c r="N483" s="38" t="s">
        <v>1</v>
      </c>
      <c r="O483" s="43">
        <v>475</v>
      </c>
      <c r="P483" s="25" t="e">
        <f ca="1">IF(ISNA(R483),NA(),IF(ISBLANK(Q483),IF(FloatAmortizationFrequency=0,P482,IF(MOD((O483-1),FloatAmortizationFrequency)&lt;&gt;0,P482,P482-FloatAmortization)),Q483))</f>
        <v>#N/A</v>
      </c>
      <c r="Q483" s="67"/>
      <c r="R483" s="33" t="e">
        <f ca="1"/>
        <v>#N/A</v>
      </c>
      <c r="S483" s="33" t="e">
        <f ca="1"/>
        <v>#N/A</v>
      </c>
      <c r="T483" s="33" t="e">
        <f ca="1"/>
        <v>#N/A</v>
      </c>
      <c r="U483" s="25" t="e">
        <f ca="1"/>
        <v>#N/A</v>
      </c>
      <c r="V483" s="36" t="e">
        <f ca="1"/>
        <v>#N/A</v>
      </c>
      <c r="W483" s="37" t="e">
        <f ca="1"/>
        <v>#N/A</v>
      </c>
      <c r="X483" s="31" t="s">
        <v>1</v>
      </c>
    </row>
    <row r="484" spans="4:24" x14ac:dyDescent="0.25">
      <c r="D484" s="31" t="s">
        <v>1</v>
      </c>
      <c r="E484" s="43">
        <v>476</v>
      </c>
      <c r="F484" s="25" t="e">
        <f ca="1">IF(ISNA(H484),NA(),IF(ISBLANK(G484),IF(FixedAmortizationFrequency=0,F483,IF(MOD((E484-1),FixedAmortizationFrequency)&lt;&gt;0,F483,F483-FixedAmortization)),G484))</f>
        <v>#N/A</v>
      </c>
      <c r="G484" s="67"/>
      <c r="H484" s="63" t="e">
        <f ca="1"/>
        <v>#N/A</v>
      </c>
      <c r="I484" s="33" t="e">
        <f ca="1"/>
        <v>#N/A</v>
      </c>
      <c r="J484" s="33" t="e">
        <f ca="1"/>
        <v>#N/A</v>
      </c>
      <c r="K484" s="25" t="e">
        <f ca="1"/>
        <v>#N/A</v>
      </c>
      <c r="L484" s="36" t="e">
        <f ca="1"/>
        <v>#N/A</v>
      </c>
      <c r="M484" s="37" t="e">
        <f ca="1"/>
        <v>#N/A</v>
      </c>
      <c r="N484" s="38" t="s">
        <v>1</v>
      </c>
      <c r="O484" s="43">
        <v>476</v>
      </c>
      <c r="P484" s="25" t="e">
        <f ca="1">IF(ISNA(R484),NA(),IF(ISBLANK(Q484),IF(FloatAmortizationFrequency=0,P483,IF(MOD((O484-1),FloatAmortizationFrequency)&lt;&gt;0,P483,P483-FloatAmortization)),Q484))</f>
        <v>#N/A</v>
      </c>
      <c r="Q484" s="67"/>
      <c r="R484" s="33" t="e">
        <f ca="1"/>
        <v>#N/A</v>
      </c>
      <c r="S484" s="33" t="e">
        <f ca="1"/>
        <v>#N/A</v>
      </c>
      <c r="T484" s="33" t="e">
        <f ca="1"/>
        <v>#N/A</v>
      </c>
      <c r="U484" s="25" t="e">
        <f ca="1"/>
        <v>#N/A</v>
      </c>
      <c r="V484" s="36" t="e">
        <f ca="1"/>
        <v>#N/A</v>
      </c>
      <c r="W484" s="37" t="e">
        <f ca="1"/>
        <v>#N/A</v>
      </c>
      <c r="X484" s="31" t="s">
        <v>1</v>
      </c>
    </row>
    <row r="485" spans="4:24" x14ac:dyDescent="0.25">
      <c r="D485" s="31" t="s">
        <v>1</v>
      </c>
      <c r="E485" s="43">
        <v>477</v>
      </c>
      <c r="F485" s="25" t="e">
        <f ca="1">IF(ISNA(H485),NA(),IF(ISBLANK(G485),IF(FixedAmortizationFrequency=0,F484,IF(MOD((E485-1),FixedAmortizationFrequency)&lt;&gt;0,F484,F484-FixedAmortization)),G485))</f>
        <v>#N/A</v>
      </c>
      <c r="G485" s="67"/>
      <c r="H485" s="63" t="e">
        <f ca="1"/>
        <v>#N/A</v>
      </c>
      <c r="I485" s="33" t="e">
        <f ca="1"/>
        <v>#N/A</v>
      </c>
      <c r="J485" s="33" t="e">
        <f ca="1"/>
        <v>#N/A</v>
      </c>
      <c r="K485" s="25" t="e">
        <f ca="1"/>
        <v>#N/A</v>
      </c>
      <c r="L485" s="36" t="e">
        <f ca="1"/>
        <v>#N/A</v>
      </c>
      <c r="M485" s="37" t="e">
        <f ca="1"/>
        <v>#N/A</v>
      </c>
      <c r="N485" s="38" t="s">
        <v>1</v>
      </c>
      <c r="O485" s="43">
        <v>477</v>
      </c>
      <c r="P485" s="25" t="e">
        <f ca="1">IF(ISNA(R485),NA(),IF(ISBLANK(Q485),IF(FloatAmortizationFrequency=0,P484,IF(MOD((O485-1),FloatAmortizationFrequency)&lt;&gt;0,P484,P484-FloatAmortization)),Q485))</f>
        <v>#N/A</v>
      </c>
      <c r="Q485" s="67"/>
      <c r="R485" s="33" t="e">
        <f ca="1"/>
        <v>#N/A</v>
      </c>
      <c r="S485" s="33" t="e">
        <f ca="1"/>
        <v>#N/A</v>
      </c>
      <c r="T485" s="33" t="e">
        <f ca="1"/>
        <v>#N/A</v>
      </c>
      <c r="U485" s="25" t="e">
        <f ca="1"/>
        <v>#N/A</v>
      </c>
      <c r="V485" s="36" t="e">
        <f ca="1"/>
        <v>#N/A</v>
      </c>
      <c r="W485" s="37" t="e">
        <f ca="1"/>
        <v>#N/A</v>
      </c>
      <c r="X485" s="31" t="s">
        <v>1</v>
      </c>
    </row>
    <row r="486" spans="4:24" x14ac:dyDescent="0.25">
      <c r="D486" s="31" t="s">
        <v>1</v>
      </c>
      <c r="E486" s="43">
        <v>478</v>
      </c>
      <c r="F486" s="25" t="e">
        <f ca="1">IF(ISNA(H486),NA(),IF(ISBLANK(G486),IF(FixedAmortizationFrequency=0,F485,IF(MOD((E486-1),FixedAmortizationFrequency)&lt;&gt;0,F485,F485-FixedAmortization)),G486))</f>
        <v>#N/A</v>
      </c>
      <c r="G486" s="67"/>
      <c r="H486" s="63" t="e">
        <f ca="1"/>
        <v>#N/A</v>
      </c>
      <c r="I486" s="33" t="e">
        <f ca="1"/>
        <v>#N/A</v>
      </c>
      <c r="J486" s="33" t="e">
        <f ca="1"/>
        <v>#N/A</v>
      </c>
      <c r="K486" s="25" t="e">
        <f ca="1"/>
        <v>#N/A</v>
      </c>
      <c r="L486" s="36" t="e">
        <f ca="1"/>
        <v>#N/A</v>
      </c>
      <c r="M486" s="37" t="e">
        <f ca="1"/>
        <v>#N/A</v>
      </c>
      <c r="N486" s="38" t="s">
        <v>1</v>
      </c>
      <c r="O486" s="43">
        <v>478</v>
      </c>
      <c r="P486" s="25" t="e">
        <f ca="1">IF(ISNA(R486),NA(),IF(ISBLANK(Q486),IF(FloatAmortizationFrequency=0,P485,IF(MOD((O486-1),FloatAmortizationFrequency)&lt;&gt;0,P485,P485-FloatAmortization)),Q486))</f>
        <v>#N/A</v>
      </c>
      <c r="Q486" s="67"/>
      <c r="R486" s="33" t="e">
        <f ca="1"/>
        <v>#N/A</v>
      </c>
      <c r="S486" s="33" t="e">
        <f ca="1"/>
        <v>#N/A</v>
      </c>
      <c r="T486" s="33" t="e">
        <f ca="1"/>
        <v>#N/A</v>
      </c>
      <c r="U486" s="25" t="e">
        <f ca="1"/>
        <v>#N/A</v>
      </c>
      <c r="V486" s="36" t="e">
        <f ca="1"/>
        <v>#N/A</v>
      </c>
      <c r="W486" s="37" t="e">
        <f ca="1"/>
        <v>#N/A</v>
      </c>
      <c r="X486" s="31" t="s">
        <v>1</v>
      </c>
    </row>
    <row r="487" spans="4:24" x14ac:dyDescent="0.25">
      <c r="D487" s="31" t="s">
        <v>1</v>
      </c>
      <c r="E487" s="43">
        <v>479</v>
      </c>
      <c r="F487" s="25" t="e">
        <f ca="1">IF(ISNA(H487),NA(),IF(ISBLANK(G487),IF(FixedAmortizationFrequency=0,F486,IF(MOD((E487-1),FixedAmortizationFrequency)&lt;&gt;0,F486,F486-FixedAmortization)),G487))</f>
        <v>#N/A</v>
      </c>
      <c r="G487" s="67"/>
      <c r="H487" s="63" t="e">
        <f ca="1"/>
        <v>#N/A</v>
      </c>
      <c r="I487" s="33" t="e">
        <f ca="1"/>
        <v>#N/A</v>
      </c>
      <c r="J487" s="33" t="e">
        <f ca="1"/>
        <v>#N/A</v>
      </c>
      <c r="K487" s="25" t="e">
        <f ca="1"/>
        <v>#N/A</v>
      </c>
      <c r="L487" s="36" t="e">
        <f ca="1"/>
        <v>#N/A</v>
      </c>
      <c r="M487" s="37" t="e">
        <f ca="1"/>
        <v>#N/A</v>
      </c>
      <c r="N487" s="38" t="s">
        <v>1</v>
      </c>
      <c r="O487" s="43">
        <v>479</v>
      </c>
      <c r="P487" s="25" t="e">
        <f ca="1">IF(ISNA(R487),NA(),IF(ISBLANK(Q487),IF(FloatAmortizationFrequency=0,P486,IF(MOD((O487-1),FloatAmortizationFrequency)&lt;&gt;0,P486,P486-FloatAmortization)),Q487))</f>
        <v>#N/A</v>
      </c>
      <c r="Q487" s="67"/>
      <c r="R487" s="33" t="e">
        <f ca="1"/>
        <v>#N/A</v>
      </c>
      <c r="S487" s="33" t="e">
        <f ca="1"/>
        <v>#N/A</v>
      </c>
      <c r="T487" s="33" t="e">
        <f ca="1"/>
        <v>#N/A</v>
      </c>
      <c r="U487" s="25" t="e">
        <f ca="1"/>
        <v>#N/A</v>
      </c>
      <c r="V487" s="36" t="e">
        <f ca="1"/>
        <v>#N/A</v>
      </c>
      <c r="W487" s="37" t="e">
        <f ca="1"/>
        <v>#N/A</v>
      </c>
      <c r="X487" s="31" t="s">
        <v>1</v>
      </c>
    </row>
    <row r="488" spans="4:24" x14ac:dyDescent="0.25">
      <c r="D488" s="31" t="s">
        <v>1</v>
      </c>
      <c r="E488" s="43">
        <v>480</v>
      </c>
      <c r="F488" s="25" t="e">
        <f ca="1">IF(ISNA(H488),NA(),IF(ISBLANK(G488),IF(FixedAmortizationFrequency=0,F487,IF(MOD((E488-1),FixedAmortizationFrequency)&lt;&gt;0,F487,F487-FixedAmortization)),G488))</f>
        <v>#N/A</v>
      </c>
      <c r="G488" s="67"/>
      <c r="H488" s="63" t="e">
        <f ca="1"/>
        <v>#N/A</v>
      </c>
      <c r="I488" s="33" t="e">
        <f ca="1"/>
        <v>#N/A</v>
      </c>
      <c r="J488" s="33" t="e">
        <f ca="1"/>
        <v>#N/A</v>
      </c>
      <c r="K488" s="25" t="e">
        <f ca="1"/>
        <v>#N/A</v>
      </c>
      <c r="L488" s="36" t="e">
        <f ca="1"/>
        <v>#N/A</v>
      </c>
      <c r="M488" s="37" t="e">
        <f ca="1"/>
        <v>#N/A</v>
      </c>
      <c r="N488" s="38" t="s">
        <v>1</v>
      </c>
      <c r="O488" s="43">
        <v>480</v>
      </c>
      <c r="P488" s="25" t="e">
        <f ca="1">IF(ISNA(R488),NA(),IF(ISBLANK(Q488),IF(FloatAmortizationFrequency=0,P487,IF(MOD((O488-1),FloatAmortizationFrequency)&lt;&gt;0,P487,P487-FloatAmortization)),Q488))</f>
        <v>#N/A</v>
      </c>
      <c r="Q488" s="67"/>
      <c r="R488" s="33" t="e">
        <f ca="1"/>
        <v>#N/A</v>
      </c>
      <c r="S488" s="33" t="e">
        <f ca="1"/>
        <v>#N/A</v>
      </c>
      <c r="T488" s="33" t="e">
        <f ca="1"/>
        <v>#N/A</v>
      </c>
      <c r="U488" s="25" t="e">
        <f ca="1"/>
        <v>#N/A</v>
      </c>
      <c r="V488" s="36" t="e">
        <f ca="1"/>
        <v>#N/A</v>
      </c>
      <c r="W488" s="37" t="e">
        <f ca="1"/>
        <v>#N/A</v>
      </c>
      <c r="X488" s="31" t="s">
        <v>1</v>
      </c>
    </row>
    <row r="489" spans="4:24" x14ac:dyDescent="0.25">
      <c r="D489" s="31" t="s">
        <v>1</v>
      </c>
      <c r="E489" s="43">
        <v>481</v>
      </c>
      <c r="F489" s="25" t="e">
        <f ca="1">IF(ISNA(H489),NA(),IF(ISBLANK(G489),IF(FixedAmortizationFrequency=0,F488,IF(MOD((E489-1),FixedAmortizationFrequency)&lt;&gt;0,F488,F488-FixedAmortization)),G489))</f>
        <v>#N/A</v>
      </c>
      <c r="G489" s="67"/>
      <c r="H489" s="63" t="e">
        <f ca="1"/>
        <v>#N/A</v>
      </c>
      <c r="I489" s="33" t="e">
        <f ca="1"/>
        <v>#N/A</v>
      </c>
      <c r="J489" s="33" t="e">
        <f ca="1"/>
        <v>#N/A</v>
      </c>
      <c r="K489" s="25" t="e">
        <f ca="1"/>
        <v>#N/A</v>
      </c>
      <c r="L489" s="36" t="e">
        <f ca="1"/>
        <v>#N/A</v>
      </c>
      <c r="M489" s="37" t="e">
        <f ca="1"/>
        <v>#N/A</v>
      </c>
      <c r="N489" s="38" t="s">
        <v>1</v>
      </c>
      <c r="O489" s="43">
        <v>481</v>
      </c>
      <c r="P489" s="25" t="e">
        <f ca="1">IF(ISNA(R489),NA(),IF(ISBLANK(Q489),IF(FloatAmortizationFrequency=0,P488,IF(MOD((O489-1),FloatAmortizationFrequency)&lt;&gt;0,P488,P488-FloatAmortization)),Q489))</f>
        <v>#N/A</v>
      </c>
      <c r="Q489" s="67"/>
      <c r="R489" s="33" t="e">
        <f ca="1"/>
        <v>#N/A</v>
      </c>
      <c r="S489" s="33" t="e">
        <f ca="1"/>
        <v>#N/A</v>
      </c>
      <c r="T489" s="33" t="e">
        <f ca="1"/>
        <v>#N/A</v>
      </c>
      <c r="U489" s="25" t="e">
        <f ca="1"/>
        <v>#N/A</v>
      </c>
      <c r="V489" s="36" t="e">
        <f ca="1"/>
        <v>#N/A</v>
      </c>
      <c r="W489" s="37" t="e">
        <f ca="1"/>
        <v>#N/A</v>
      </c>
      <c r="X489" s="31" t="s">
        <v>1</v>
      </c>
    </row>
    <row r="490" spans="4:24" x14ac:dyDescent="0.25">
      <c r="D490" s="31" t="s">
        <v>1</v>
      </c>
      <c r="E490" s="43">
        <v>482</v>
      </c>
      <c r="F490" s="25" t="e">
        <f ca="1">IF(ISNA(H490),NA(),IF(ISBLANK(G490),IF(FixedAmortizationFrequency=0,F489,IF(MOD((E490-1),FixedAmortizationFrequency)&lt;&gt;0,F489,F489-FixedAmortization)),G490))</f>
        <v>#N/A</v>
      </c>
      <c r="G490" s="67"/>
      <c r="H490" s="63" t="e">
        <f ca="1"/>
        <v>#N/A</v>
      </c>
      <c r="I490" s="33" t="e">
        <f ca="1"/>
        <v>#N/A</v>
      </c>
      <c r="J490" s="33" t="e">
        <f ca="1"/>
        <v>#N/A</v>
      </c>
      <c r="K490" s="25" t="e">
        <f ca="1"/>
        <v>#N/A</v>
      </c>
      <c r="L490" s="36" t="e">
        <f ca="1"/>
        <v>#N/A</v>
      </c>
      <c r="M490" s="37" t="e">
        <f ca="1"/>
        <v>#N/A</v>
      </c>
      <c r="N490" s="38" t="s">
        <v>1</v>
      </c>
      <c r="O490" s="43">
        <v>482</v>
      </c>
      <c r="P490" s="25" t="e">
        <f ca="1">IF(ISNA(R490),NA(),IF(ISBLANK(Q490),IF(FloatAmortizationFrequency=0,P489,IF(MOD((O490-1),FloatAmortizationFrequency)&lt;&gt;0,P489,P489-FloatAmortization)),Q490))</f>
        <v>#N/A</v>
      </c>
      <c r="Q490" s="67"/>
      <c r="R490" s="33" t="e">
        <f ca="1"/>
        <v>#N/A</v>
      </c>
      <c r="S490" s="33" t="e">
        <f ca="1"/>
        <v>#N/A</v>
      </c>
      <c r="T490" s="33" t="e">
        <f ca="1"/>
        <v>#N/A</v>
      </c>
      <c r="U490" s="25" t="e">
        <f ca="1"/>
        <v>#N/A</v>
      </c>
      <c r="V490" s="36" t="e">
        <f ca="1"/>
        <v>#N/A</v>
      </c>
      <c r="W490" s="37" t="e">
        <f ca="1"/>
        <v>#N/A</v>
      </c>
      <c r="X490" s="31" t="s">
        <v>1</v>
      </c>
    </row>
    <row r="491" spans="4:24" x14ac:dyDescent="0.25">
      <c r="D491" s="31" t="s">
        <v>1</v>
      </c>
      <c r="E491" s="43">
        <v>483</v>
      </c>
      <c r="F491" s="25" t="e">
        <f ca="1">IF(ISNA(H491),NA(),IF(ISBLANK(G491),IF(FixedAmortizationFrequency=0,F490,IF(MOD((E491-1),FixedAmortizationFrequency)&lt;&gt;0,F490,F490-FixedAmortization)),G491))</f>
        <v>#N/A</v>
      </c>
      <c r="G491" s="67"/>
      <c r="H491" s="63" t="e">
        <f ca="1"/>
        <v>#N/A</v>
      </c>
      <c r="I491" s="33" t="e">
        <f ca="1"/>
        <v>#N/A</v>
      </c>
      <c r="J491" s="33" t="e">
        <f ca="1"/>
        <v>#N/A</v>
      </c>
      <c r="K491" s="25" t="e">
        <f ca="1"/>
        <v>#N/A</v>
      </c>
      <c r="L491" s="36" t="e">
        <f ca="1"/>
        <v>#N/A</v>
      </c>
      <c r="M491" s="37" t="e">
        <f ca="1"/>
        <v>#N/A</v>
      </c>
      <c r="N491" s="38" t="s">
        <v>1</v>
      </c>
      <c r="O491" s="43">
        <v>483</v>
      </c>
      <c r="P491" s="25" t="e">
        <f ca="1">IF(ISNA(R491),NA(),IF(ISBLANK(Q491),IF(FloatAmortizationFrequency=0,P490,IF(MOD((O491-1),FloatAmortizationFrequency)&lt;&gt;0,P490,P490-FloatAmortization)),Q491))</f>
        <v>#N/A</v>
      </c>
      <c r="Q491" s="67"/>
      <c r="R491" s="33" t="e">
        <f ca="1"/>
        <v>#N/A</v>
      </c>
      <c r="S491" s="33" t="e">
        <f ca="1"/>
        <v>#N/A</v>
      </c>
      <c r="T491" s="33" t="e">
        <f ca="1"/>
        <v>#N/A</v>
      </c>
      <c r="U491" s="25" t="e">
        <f ca="1"/>
        <v>#N/A</v>
      </c>
      <c r="V491" s="36" t="e">
        <f ca="1"/>
        <v>#N/A</v>
      </c>
      <c r="W491" s="37" t="e">
        <f ca="1"/>
        <v>#N/A</v>
      </c>
      <c r="X491" s="31" t="s">
        <v>1</v>
      </c>
    </row>
    <row r="492" spans="4:24" x14ac:dyDescent="0.25">
      <c r="D492" s="31" t="s">
        <v>1</v>
      </c>
      <c r="E492" s="43">
        <v>484</v>
      </c>
      <c r="F492" s="25" t="e">
        <f ca="1">IF(ISNA(H492),NA(),IF(ISBLANK(G492),IF(FixedAmortizationFrequency=0,F491,IF(MOD((E492-1),FixedAmortizationFrequency)&lt;&gt;0,F491,F491-FixedAmortization)),G492))</f>
        <v>#N/A</v>
      </c>
      <c r="G492" s="67"/>
      <c r="H492" s="63" t="e">
        <f ca="1"/>
        <v>#N/A</v>
      </c>
      <c r="I492" s="33" t="e">
        <f ca="1"/>
        <v>#N/A</v>
      </c>
      <c r="J492" s="33" t="e">
        <f ca="1"/>
        <v>#N/A</v>
      </c>
      <c r="K492" s="25" t="e">
        <f ca="1"/>
        <v>#N/A</v>
      </c>
      <c r="L492" s="36" t="e">
        <f ca="1"/>
        <v>#N/A</v>
      </c>
      <c r="M492" s="37" t="e">
        <f ca="1"/>
        <v>#N/A</v>
      </c>
      <c r="N492" s="38" t="s">
        <v>1</v>
      </c>
      <c r="O492" s="43">
        <v>484</v>
      </c>
      <c r="P492" s="25" t="e">
        <f ca="1">IF(ISNA(R492),NA(),IF(ISBLANK(Q492),IF(FloatAmortizationFrequency=0,P491,IF(MOD((O492-1),FloatAmortizationFrequency)&lt;&gt;0,P491,P491-FloatAmortization)),Q492))</f>
        <v>#N/A</v>
      </c>
      <c r="Q492" s="67"/>
      <c r="R492" s="33" t="e">
        <f ca="1"/>
        <v>#N/A</v>
      </c>
      <c r="S492" s="33" t="e">
        <f ca="1"/>
        <v>#N/A</v>
      </c>
      <c r="T492" s="33" t="e">
        <f ca="1"/>
        <v>#N/A</v>
      </c>
      <c r="U492" s="25" t="e">
        <f ca="1"/>
        <v>#N/A</v>
      </c>
      <c r="V492" s="36" t="e">
        <f ca="1"/>
        <v>#N/A</v>
      </c>
      <c r="W492" s="37" t="e">
        <f ca="1"/>
        <v>#N/A</v>
      </c>
      <c r="X492" s="31" t="s">
        <v>1</v>
      </c>
    </row>
    <row r="493" spans="4:24" x14ac:dyDescent="0.25">
      <c r="D493" s="31" t="s">
        <v>1</v>
      </c>
      <c r="E493" s="43">
        <v>485</v>
      </c>
      <c r="F493" s="25" t="e">
        <f ca="1">IF(ISNA(H493),NA(),IF(ISBLANK(G493),IF(FixedAmortizationFrequency=0,F492,IF(MOD((E493-1),FixedAmortizationFrequency)&lt;&gt;0,F492,F492-FixedAmortization)),G493))</f>
        <v>#N/A</v>
      </c>
      <c r="G493" s="67"/>
      <c r="H493" s="63" t="e">
        <f ca="1"/>
        <v>#N/A</v>
      </c>
      <c r="I493" s="33" t="e">
        <f ca="1"/>
        <v>#N/A</v>
      </c>
      <c r="J493" s="33" t="e">
        <f ca="1"/>
        <v>#N/A</v>
      </c>
      <c r="K493" s="25" t="e">
        <f ca="1"/>
        <v>#N/A</v>
      </c>
      <c r="L493" s="36" t="e">
        <f ca="1"/>
        <v>#N/A</v>
      </c>
      <c r="M493" s="37" t="e">
        <f ca="1"/>
        <v>#N/A</v>
      </c>
      <c r="N493" s="38" t="s">
        <v>1</v>
      </c>
      <c r="O493" s="43">
        <v>485</v>
      </c>
      <c r="P493" s="25" t="e">
        <f ca="1">IF(ISNA(R493),NA(),IF(ISBLANK(Q493),IF(FloatAmortizationFrequency=0,P492,IF(MOD((O493-1),FloatAmortizationFrequency)&lt;&gt;0,P492,P492-FloatAmortization)),Q493))</f>
        <v>#N/A</v>
      </c>
      <c r="Q493" s="67"/>
      <c r="R493" s="33" t="e">
        <f ca="1"/>
        <v>#N/A</v>
      </c>
      <c r="S493" s="33" t="e">
        <f ca="1"/>
        <v>#N/A</v>
      </c>
      <c r="T493" s="33" t="e">
        <f ca="1"/>
        <v>#N/A</v>
      </c>
      <c r="U493" s="25" t="e">
        <f ca="1"/>
        <v>#N/A</v>
      </c>
      <c r="V493" s="36" t="e">
        <f ca="1"/>
        <v>#N/A</v>
      </c>
      <c r="W493" s="37" t="e">
        <f ca="1"/>
        <v>#N/A</v>
      </c>
      <c r="X493" s="31" t="s">
        <v>1</v>
      </c>
    </row>
    <row r="494" spans="4:24" x14ac:dyDescent="0.25">
      <c r="D494" s="31" t="s">
        <v>1</v>
      </c>
      <c r="E494" s="43">
        <v>486</v>
      </c>
      <c r="F494" s="25" t="e">
        <f ca="1">IF(ISNA(H494),NA(),IF(ISBLANK(G494),IF(FixedAmortizationFrequency=0,F493,IF(MOD((E494-1),FixedAmortizationFrequency)&lt;&gt;0,F493,F493-FixedAmortization)),G494))</f>
        <v>#N/A</v>
      </c>
      <c r="G494" s="67"/>
      <c r="H494" s="63" t="e">
        <f ca="1"/>
        <v>#N/A</v>
      </c>
      <c r="I494" s="33" t="e">
        <f ca="1"/>
        <v>#N/A</v>
      </c>
      <c r="J494" s="33" t="e">
        <f ca="1"/>
        <v>#N/A</v>
      </c>
      <c r="K494" s="25" t="e">
        <f ca="1"/>
        <v>#N/A</v>
      </c>
      <c r="L494" s="36" t="e">
        <f ca="1"/>
        <v>#N/A</v>
      </c>
      <c r="M494" s="37" t="e">
        <f ca="1"/>
        <v>#N/A</v>
      </c>
      <c r="N494" s="38" t="s">
        <v>1</v>
      </c>
      <c r="O494" s="43">
        <v>486</v>
      </c>
      <c r="P494" s="25" t="e">
        <f ca="1">IF(ISNA(R494),NA(),IF(ISBLANK(Q494),IF(FloatAmortizationFrequency=0,P493,IF(MOD((O494-1),FloatAmortizationFrequency)&lt;&gt;0,P493,P493-FloatAmortization)),Q494))</f>
        <v>#N/A</v>
      </c>
      <c r="Q494" s="67"/>
      <c r="R494" s="33" t="e">
        <f ca="1"/>
        <v>#N/A</v>
      </c>
      <c r="S494" s="33" t="e">
        <f ca="1"/>
        <v>#N/A</v>
      </c>
      <c r="T494" s="33" t="e">
        <f ca="1"/>
        <v>#N/A</v>
      </c>
      <c r="U494" s="25" t="e">
        <f ca="1"/>
        <v>#N/A</v>
      </c>
      <c r="V494" s="36" t="e">
        <f ca="1"/>
        <v>#N/A</v>
      </c>
      <c r="W494" s="37" t="e">
        <f ca="1"/>
        <v>#N/A</v>
      </c>
      <c r="X494" s="31" t="s">
        <v>1</v>
      </c>
    </row>
    <row r="495" spans="4:24" x14ac:dyDescent="0.25">
      <c r="D495" s="31" t="s">
        <v>1</v>
      </c>
      <c r="E495" s="43">
        <v>487</v>
      </c>
      <c r="F495" s="25" t="e">
        <f ca="1">IF(ISNA(H495),NA(),IF(ISBLANK(G495),IF(FixedAmortizationFrequency=0,F494,IF(MOD((E495-1),FixedAmortizationFrequency)&lt;&gt;0,F494,F494-FixedAmortization)),G495))</f>
        <v>#N/A</v>
      </c>
      <c r="G495" s="67"/>
      <c r="H495" s="63" t="e">
        <f ca="1"/>
        <v>#N/A</v>
      </c>
      <c r="I495" s="33" t="e">
        <f ca="1"/>
        <v>#N/A</v>
      </c>
      <c r="J495" s="33" t="e">
        <f ca="1"/>
        <v>#N/A</v>
      </c>
      <c r="K495" s="25" t="e">
        <f ca="1"/>
        <v>#N/A</v>
      </c>
      <c r="L495" s="36" t="e">
        <f ca="1"/>
        <v>#N/A</v>
      </c>
      <c r="M495" s="37" t="e">
        <f ca="1"/>
        <v>#N/A</v>
      </c>
      <c r="N495" s="38" t="s">
        <v>1</v>
      </c>
      <c r="O495" s="43">
        <v>487</v>
      </c>
      <c r="P495" s="25" t="e">
        <f ca="1">IF(ISNA(R495),NA(),IF(ISBLANK(Q495),IF(FloatAmortizationFrequency=0,P494,IF(MOD((O495-1),FloatAmortizationFrequency)&lt;&gt;0,P494,P494-FloatAmortization)),Q495))</f>
        <v>#N/A</v>
      </c>
      <c r="Q495" s="67"/>
      <c r="R495" s="33" t="e">
        <f ca="1"/>
        <v>#N/A</v>
      </c>
      <c r="S495" s="33" t="e">
        <f ca="1"/>
        <v>#N/A</v>
      </c>
      <c r="T495" s="33" t="e">
        <f ca="1"/>
        <v>#N/A</v>
      </c>
      <c r="U495" s="25" t="e">
        <f ca="1"/>
        <v>#N/A</v>
      </c>
      <c r="V495" s="36" t="e">
        <f ca="1"/>
        <v>#N/A</v>
      </c>
      <c r="W495" s="37" t="e">
        <f ca="1"/>
        <v>#N/A</v>
      </c>
      <c r="X495" s="31" t="s">
        <v>1</v>
      </c>
    </row>
    <row r="496" spans="4:24" x14ac:dyDescent="0.25">
      <c r="D496" s="31" t="s">
        <v>1</v>
      </c>
      <c r="E496" s="43">
        <v>488</v>
      </c>
      <c r="F496" s="25" t="e">
        <f ca="1">IF(ISNA(H496),NA(),IF(ISBLANK(G496),IF(FixedAmortizationFrequency=0,F495,IF(MOD((E496-1),FixedAmortizationFrequency)&lt;&gt;0,F495,F495-FixedAmortization)),G496))</f>
        <v>#N/A</v>
      </c>
      <c r="G496" s="67"/>
      <c r="H496" s="63" t="e">
        <f ca="1"/>
        <v>#N/A</v>
      </c>
      <c r="I496" s="33" t="e">
        <f ca="1"/>
        <v>#N/A</v>
      </c>
      <c r="J496" s="33" t="e">
        <f ca="1"/>
        <v>#N/A</v>
      </c>
      <c r="K496" s="25" t="e">
        <f ca="1"/>
        <v>#N/A</v>
      </c>
      <c r="L496" s="36" t="e">
        <f ca="1"/>
        <v>#N/A</v>
      </c>
      <c r="M496" s="37" t="e">
        <f ca="1"/>
        <v>#N/A</v>
      </c>
      <c r="N496" s="38" t="s">
        <v>1</v>
      </c>
      <c r="O496" s="43">
        <v>488</v>
      </c>
      <c r="P496" s="25" t="e">
        <f ca="1">IF(ISNA(R496),NA(),IF(ISBLANK(Q496),IF(FloatAmortizationFrequency=0,P495,IF(MOD((O496-1),FloatAmortizationFrequency)&lt;&gt;0,P495,P495-FloatAmortization)),Q496))</f>
        <v>#N/A</v>
      </c>
      <c r="Q496" s="67"/>
      <c r="R496" s="33" t="e">
        <f ca="1"/>
        <v>#N/A</v>
      </c>
      <c r="S496" s="33" t="e">
        <f ca="1"/>
        <v>#N/A</v>
      </c>
      <c r="T496" s="33" t="e">
        <f ca="1"/>
        <v>#N/A</v>
      </c>
      <c r="U496" s="25" t="e">
        <f ca="1"/>
        <v>#N/A</v>
      </c>
      <c r="V496" s="36" t="e">
        <f ca="1"/>
        <v>#N/A</v>
      </c>
      <c r="W496" s="37" t="e">
        <f ca="1"/>
        <v>#N/A</v>
      </c>
      <c r="X496" s="31" t="s">
        <v>1</v>
      </c>
    </row>
    <row r="497" spans="4:24" x14ac:dyDescent="0.25">
      <c r="D497" s="31" t="s">
        <v>1</v>
      </c>
      <c r="E497" s="43">
        <v>489</v>
      </c>
      <c r="F497" s="25" t="e">
        <f ca="1">IF(ISNA(H497),NA(),IF(ISBLANK(G497),IF(FixedAmortizationFrequency=0,F496,IF(MOD((E497-1),FixedAmortizationFrequency)&lt;&gt;0,F496,F496-FixedAmortization)),G497))</f>
        <v>#N/A</v>
      </c>
      <c r="G497" s="67"/>
      <c r="H497" s="63" t="e">
        <f ca="1"/>
        <v>#N/A</v>
      </c>
      <c r="I497" s="33" t="e">
        <f ca="1"/>
        <v>#N/A</v>
      </c>
      <c r="J497" s="33" t="e">
        <f ca="1"/>
        <v>#N/A</v>
      </c>
      <c r="K497" s="25" t="e">
        <f ca="1"/>
        <v>#N/A</v>
      </c>
      <c r="L497" s="36" t="e">
        <f ca="1"/>
        <v>#N/A</v>
      </c>
      <c r="M497" s="37" t="e">
        <f ca="1"/>
        <v>#N/A</v>
      </c>
      <c r="N497" s="38" t="s">
        <v>1</v>
      </c>
      <c r="O497" s="43">
        <v>489</v>
      </c>
      <c r="P497" s="25" t="e">
        <f ca="1">IF(ISNA(R497),NA(),IF(ISBLANK(Q497),IF(FloatAmortizationFrequency=0,P496,IF(MOD((O497-1),FloatAmortizationFrequency)&lt;&gt;0,P496,P496-FloatAmortization)),Q497))</f>
        <v>#N/A</v>
      </c>
      <c r="Q497" s="67"/>
      <c r="R497" s="33" t="e">
        <f ca="1"/>
        <v>#N/A</v>
      </c>
      <c r="S497" s="33" t="e">
        <f ca="1"/>
        <v>#N/A</v>
      </c>
      <c r="T497" s="33" t="e">
        <f ca="1"/>
        <v>#N/A</v>
      </c>
      <c r="U497" s="25" t="e">
        <f ca="1"/>
        <v>#N/A</v>
      </c>
      <c r="V497" s="36" t="e">
        <f ca="1"/>
        <v>#N/A</v>
      </c>
      <c r="W497" s="37" t="e">
        <f ca="1"/>
        <v>#N/A</v>
      </c>
      <c r="X497" s="31" t="s">
        <v>1</v>
      </c>
    </row>
    <row r="498" spans="4:24" x14ac:dyDescent="0.25">
      <c r="D498" s="31" t="s">
        <v>1</v>
      </c>
      <c r="E498" s="43">
        <v>490</v>
      </c>
      <c r="F498" s="25" t="e">
        <f ca="1">IF(ISNA(H498),NA(),IF(ISBLANK(G498),IF(FixedAmortizationFrequency=0,F497,IF(MOD((E498-1),FixedAmortizationFrequency)&lt;&gt;0,F497,F497-FixedAmortization)),G498))</f>
        <v>#N/A</v>
      </c>
      <c r="G498" s="67"/>
      <c r="H498" s="63" t="e">
        <f ca="1"/>
        <v>#N/A</v>
      </c>
      <c r="I498" s="33" t="e">
        <f ca="1"/>
        <v>#N/A</v>
      </c>
      <c r="J498" s="33" t="e">
        <f ca="1"/>
        <v>#N/A</v>
      </c>
      <c r="K498" s="25" t="e">
        <f ca="1"/>
        <v>#N/A</v>
      </c>
      <c r="L498" s="36" t="e">
        <f ca="1"/>
        <v>#N/A</v>
      </c>
      <c r="M498" s="37" t="e">
        <f ca="1"/>
        <v>#N/A</v>
      </c>
      <c r="N498" s="38" t="s">
        <v>1</v>
      </c>
      <c r="O498" s="43">
        <v>490</v>
      </c>
      <c r="P498" s="25" t="e">
        <f ca="1">IF(ISNA(R498),NA(),IF(ISBLANK(Q498),IF(FloatAmortizationFrequency=0,P497,IF(MOD((O498-1),FloatAmortizationFrequency)&lt;&gt;0,P497,P497-FloatAmortization)),Q498))</f>
        <v>#N/A</v>
      </c>
      <c r="Q498" s="67"/>
      <c r="R498" s="33" t="e">
        <f ca="1"/>
        <v>#N/A</v>
      </c>
      <c r="S498" s="33" t="e">
        <f ca="1"/>
        <v>#N/A</v>
      </c>
      <c r="T498" s="33" t="e">
        <f ca="1"/>
        <v>#N/A</v>
      </c>
      <c r="U498" s="25" t="e">
        <f ca="1"/>
        <v>#N/A</v>
      </c>
      <c r="V498" s="36" t="e">
        <f ca="1"/>
        <v>#N/A</v>
      </c>
      <c r="W498" s="37" t="e">
        <f ca="1"/>
        <v>#N/A</v>
      </c>
      <c r="X498" s="31" t="s">
        <v>1</v>
      </c>
    </row>
    <row r="499" spans="4:24" x14ac:dyDescent="0.25">
      <c r="D499" s="31" t="s">
        <v>1</v>
      </c>
      <c r="E499" s="43">
        <v>491</v>
      </c>
      <c r="F499" s="25" t="e">
        <f ca="1">IF(ISNA(H499),NA(),IF(ISBLANK(G499),IF(FixedAmortizationFrequency=0,F498,IF(MOD((E499-1),FixedAmortizationFrequency)&lt;&gt;0,F498,F498-FixedAmortization)),G499))</f>
        <v>#N/A</v>
      </c>
      <c r="G499" s="67"/>
      <c r="H499" s="63" t="e">
        <f ca="1"/>
        <v>#N/A</v>
      </c>
      <c r="I499" s="33" t="e">
        <f ca="1"/>
        <v>#N/A</v>
      </c>
      <c r="J499" s="33" t="e">
        <f ca="1"/>
        <v>#N/A</v>
      </c>
      <c r="K499" s="25" t="e">
        <f ca="1"/>
        <v>#N/A</v>
      </c>
      <c r="L499" s="36" t="e">
        <f ca="1"/>
        <v>#N/A</v>
      </c>
      <c r="M499" s="37" t="e">
        <f ca="1"/>
        <v>#N/A</v>
      </c>
      <c r="N499" s="38" t="s">
        <v>1</v>
      </c>
      <c r="O499" s="43">
        <v>491</v>
      </c>
      <c r="P499" s="25" t="e">
        <f ca="1">IF(ISNA(R499),NA(),IF(ISBLANK(Q499),IF(FloatAmortizationFrequency=0,P498,IF(MOD((O499-1),FloatAmortizationFrequency)&lt;&gt;0,P498,P498-FloatAmortization)),Q499))</f>
        <v>#N/A</v>
      </c>
      <c r="Q499" s="67"/>
      <c r="R499" s="33" t="e">
        <f ca="1"/>
        <v>#N/A</v>
      </c>
      <c r="S499" s="33" t="e">
        <f ca="1"/>
        <v>#N/A</v>
      </c>
      <c r="T499" s="33" t="e">
        <f ca="1"/>
        <v>#N/A</v>
      </c>
      <c r="U499" s="25" t="e">
        <f ca="1"/>
        <v>#N/A</v>
      </c>
      <c r="V499" s="36" t="e">
        <f ca="1"/>
        <v>#N/A</v>
      </c>
      <c r="W499" s="37" t="e">
        <f ca="1"/>
        <v>#N/A</v>
      </c>
      <c r="X499" s="31" t="s">
        <v>1</v>
      </c>
    </row>
    <row r="500" spans="4:24" x14ac:dyDescent="0.25">
      <c r="D500" s="31" t="s">
        <v>1</v>
      </c>
      <c r="E500" s="43">
        <v>492</v>
      </c>
      <c r="F500" s="25" t="e">
        <f ca="1">IF(ISNA(H500),NA(),IF(ISBLANK(G500),IF(FixedAmortizationFrequency=0,F499,IF(MOD((E500-1),FixedAmortizationFrequency)&lt;&gt;0,F499,F499-FixedAmortization)),G500))</f>
        <v>#N/A</v>
      </c>
      <c r="G500" s="67"/>
      <c r="H500" s="63" t="e">
        <f ca="1"/>
        <v>#N/A</v>
      </c>
      <c r="I500" s="33" t="e">
        <f ca="1"/>
        <v>#N/A</v>
      </c>
      <c r="J500" s="33" t="e">
        <f ca="1"/>
        <v>#N/A</v>
      </c>
      <c r="K500" s="25" t="e">
        <f ca="1"/>
        <v>#N/A</v>
      </c>
      <c r="L500" s="36" t="e">
        <f ca="1"/>
        <v>#N/A</v>
      </c>
      <c r="M500" s="37" t="e">
        <f ca="1"/>
        <v>#N/A</v>
      </c>
      <c r="N500" s="38" t="s">
        <v>1</v>
      </c>
      <c r="O500" s="43">
        <v>492</v>
      </c>
      <c r="P500" s="25" t="e">
        <f ca="1">IF(ISNA(R500),NA(),IF(ISBLANK(Q500),IF(FloatAmortizationFrequency=0,P499,IF(MOD((O500-1),FloatAmortizationFrequency)&lt;&gt;0,P499,P499-FloatAmortization)),Q500))</f>
        <v>#N/A</v>
      </c>
      <c r="Q500" s="67"/>
      <c r="R500" s="33" t="e">
        <f ca="1"/>
        <v>#N/A</v>
      </c>
      <c r="S500" s="33" t="e">
        <f ca="1"/>
        <v>#N/A</v>
      </c>
      <c r="T500" s="33" t="e">
        <f ca="1"/>
        <v>#N/A</v>
      </c>
      <c r="U500" s="25" t="e">
        <f ca="1"/>
        <v>#N/A</v>
      </c>
      <c r="V500" s="36" t="e">
        <f ca="1"/>
        <v>#N/A</v>
      </c>
      <c r="W500" s="37" t="e">
        <f ca="1"/>
        <v>#N/A</v>
      </c>
      <c r="X500" s="31" t="s">
        <v>1</v>
      </c>
    </row>
    <row r="501" spans="4:24" x14ac:dyDescent="0.25">
      <c r="D501" s="31" t="s">
        <v>1</v>
      </c>
      <c r="E501" s="43">
        <v>493</v>
      </c>
      <c r="F501" s="25" t="e">
        <f ca="1">IF(ISNA(H501),NA(),IF(ISBLANK(G501),IF(FixedAmortizationFrequency=0,F500,IF(MOD((E501-1),FixedAmortizationFrequency)&lt;&gt;0,F500,F500-FixedAmortization)),G501))</f>
        <v>#N/A</v>
      </c>
      <c r="G501" s="67"/>
      <c r="H501" s="63" t="e">
        <f ca="1"/>
        <v>#N/A</v>
      </c>
      <c r="I501" s="33" t="e">
        <f ca="1"/>
        <v>#N/A</v>
      </c>
      <c r="J501" s="33" t="e">
        <f ca="1"/>
        <v>#N/A</v>
      </c>
      <c r="K501" s="25" t="e">
        <f ca="1"/>
        <v>#N/A</v>
      </c>
      <c r="L501" s="36" t="e">
        <f ca="1"/>
        <v>#N/A</v>
      </c>
      <c r="M501" s="37" t="e">
        <f ca="1"/>
        <v>#N/A</v>
      </c>
      <c r="N501" s="38" t="s">
        <v>1</v>
      </c>
      <c r="O501" s="43">
        <v>493</v>
      </c>
      <c r="P501" s="25" t="e">
        <f ca="1">IF(ISNA(R501),NA(),IF(ISBLANK(Q501),IF(FloatAmortizationFrequency=0,P500,IF(MOD((O501-1),FloatAmortizationFrequency)&lt;&gt;0,P500,P500-FloatAmortization)),Q501))</f>
        <v>#N/A</v>
      </c>
      <c r="Q501" s="67"/>
      <c r="R501" s="33" t="e">
        <f ca="1"/>
        <v>#N/A</v>
      </c>
      <c r="S501" s="33" t="e">
        <f ca="1"/>
        <v>#N/A</v>
      </c>
      <c r="T501" s="33" t="e">
        <f ca="1"/>
        <v>#N/A</v>
      </c>
      <c r="U501" s="25" t="e">
        <f ca="1"/>
        <v>#N/A</v>
      </c>
      <c r="V501" s="36" t="e">
        <f ca="1"/>
        <v>#N/A</v>
      </c>
      <c r="W501" s="37" t="e">
        <f ca="1"/>
        <v>#N/A</v>
      </c>
      <c r="X501" s="31" t="s">
        <v>1</v>
      </c>
    </row>
    <row r="502" spans="4:24" x14ac:dyDescent="0.25">
      <c r="D502" s="31" t="s">
        <v>1</v>
      </c>
      <c r="E502" s="43">
        <v>494</v>
      </c>
      <c r="F502" s="25" t="e">
        <f ca="1">IF(ISNA(H502),NA(),IF(ISBLANK(G502),IF(FixedAmortizationFrequency=0,F501,IF(MOD((E502-1),FixedAmortizationFrequency)&lt;&gt;0,F501,F501-FixedAmortization)),G502))</f>
        <v>#N/A</v>
      </c>
      <c r="G502" s="67"/>
      <c r="H502" s="63" t="e">
        <f ca="1"/>
        <v>#N/A</v>
      </c>
      <c r="I502" s="33" t="e">
        <f ca="1"/>
        <v>#N/A</v>
      </c>
      <c r="J502" s="33" t="e">
        <f ca="1"/>
        <v>#N/A</v>
      </c>
      <c r="K502" s="25" t="e">
        <f ca="1"/>
        <v>#N/A</v>
      </c>
      <c r="L502" s="36" t="e">
        <f ca="1"/>
        <v>#N/A</v>
      </c>
      <c r="M502" s="37" t="e">
        <f ca="1"/>
        <v>#N/A</v>
      </c>
      <c r="N502" s="38" t="s">
        <v>1</v>
      </c>
      <c r="O502" s="43">
        <v>494</v>
      </c>
      <c r="P502" s="25" t="e">
        <f ca="1">IF(ISNA(R502),NA(),IF(ISBLANK(Q502),IF(FloatAmortizationFrequency=0,P501,IF(MOD((O502-1),FloatAmortizationFrequency)&lt;&gt;0,P501,P501-FloatAmortization)),Q502))</f>
        <v>#N/A</v>
      </c>
      <c r="Q502" s="67"/>
      <c r="R502" s="33" t="e">
        <f ca="1"/>
        <v>#N/A</v>
      </c>
      <c r="S502" s="33" t="e">
        <f ca="1"/>
        <v>#N/A</v>
      </c>
      <c r="T502" s="33" t="e">
        <f ca="1"/>
        <v>#N/A</v>
      </c>
      <c r="U502" s="25" t="e">
        <f ca="1"/>
        <v>#N/A</v>
      </c>
      <c r="V502" s="36" t="e">
        <f ca="1"/>
        <v>#N/A</v>
      </c>
      <c r="W502" s="37" t="e">
        <f ca="1"/>
        <v>#N/A</v>
      </c>
      <c r="X502" s="31" t="s">
        <v>1</v>
      </c>
    </row>
    <row r="503" spans="4:24" x14ac:dyDescent="0.25">
      <c r="D503" s="31" t="s">
        <v>1</v>
      </c>
      <c r="E503" s="43">
        <v>495</v>
      </c>
      <c r="F503" s="25" t="e">
        <f ca="1">IF(ISNA(H503),NA(),IF(ISBLANK(G503),IF(FixedAmortizationFrequency=0,F502,IF(MOD((E503-1),FixedAmortizationFrequency)&lt;&gt;0,F502,F502-FixedAmortization)),G503))</f>
        <v>#N/A</v>
      </c>
      <c r="G503" s="67"/>
      <c r="H503" s="63" t="e">
        <f ca="1"/>
        <v>#N/A</v>
      </c>
      <c r="I503" s="33" t="e">
        <f ca="1"/>
        <v>#N/A</v>
      </c>
      <c r="J503" s="33" t="e">
        <f ca="1"/>
        <v>#N/A</v>
      </c>
      <c r="K503" s="25" t="e">
        <f ca="1"/>
        <v>#N/A</v>
      </c>
      <c r="L503" s="36" t="e">
        <f ca="1"/>
        <v>#N/A</v>
      </c>
      <c r="M503" s="37" t="e">
        <f ca="1"/>
        <v>#N/A</v>
      </c>
      <c r="N503" s="38" t="s">
        <v>1</v>
      </c>
      <c r="O503" s="43">
        <v>495</v>
      </c>
      <c r="P503" s="25" t="e">
        <f ca="1">IF(ISNA(R503),NA(),IF(ISBLANK(Q503),IF(FloatAmortizationFrequency=0,P502,IF(MOD((O503-1),FloatAmortizationFrequency)&lt;&gt;0,P502,P502-FloatAmortization)),Q503))</f>
        <v>#N/A</v>
      </c>
      <c r="Q503" s="67"/>
      <c r="R503" s="33" t="e">
        <f ca="1"/>
        <v>#N/A</v>
      </c>
      <c r="S503" s="33" t="e">
        <f ca="1"/>
        <v>#N/A</v>
      </c>
      <c r="T503" s="33" t="e">
        <f ca="1"/>
        <v>#N/A</v>
      </c>
      <c r="U503" s="25" t="e">
        <f ca="1"/>
        <v>#N/A</v>
      </c>
      <c r="V503" s="36" t="e">
        <f ca="1"/>
        <v>#N/A</v>
      </c>
      <c r="W503" s="37" t="e">
        <f ca="1"/>
        <v>#N/A</v>
      </c>
      <c r="X503" s="31" t="s">
        <v>1</v>
      </c>
    </row>
    <row r="504" spans="4:24" x14ac:dyDescent="0.25">
      <c r="D504" s="31" t="s">
        <v>1</v>
      </c>
      <c r="E504" s="43">
        <v>496</v>
      </c>
      <c r="F504" s="25" t="e">
        <f ca="1">IF(ISNA(H504),NA(),IF(ISBLANK(G504),IF(FixedAmortizationFrequency=0,F503,IF(MOD((E504-1),FixedAmortizationFrequency)&lt;&gt;0,F503,F503-FixedAmortization)),G504))</f>
        <v>#N/A</v>
      </c>
      <c r="G504" s="67"/>
      <c r="H504" s="63" t="e">
        <f ca="1"/>
        <v>#N/A</v>
      </c>
      <c r="I504" s="33" t="e">
        <f ca="1"/>
        <v>#N/A</v>
      </c>
      <c r="J504" s="33" t="e">
        <f ca="1"/>
        <v>#N/A</v>
      </c>
      <c r="K504" s="25" t="e">
        <f ca="1"/>
        <v>#N/A</v>
      </c>
      <c r="L504" s="36" t="e">
        <f ca="1"/>
        <v>#N/A</v>
      </c>
      <c r="M504" s="37" t="e">
        <f ca="1"/>
        <v>#N/A</v>
      </c>
      <c r="N504" s="38" t="s">
        <v>1</v>
      </c>
      <c r="O504" s="43">
        <v>496</v>
      </c>
      <c r="P504" s="25" t="e">
        <f ca="1">IF(ISNA(R504),NA(),IF(ISBLANK(Q504),IF(FloatAmortizationFrequency=0,P503,IF(MOD((O504-1),FloatAmortizationFrequency)&lt;&gt;0,P503,P503-FloatAmortization)),Q504))</f>
        <v>#N/A</v>
      </c>
      <c r="Q504" s="67"/>
      <c r="R504" s="33" t="e">
        <f ca="1"/>
        <v>#N/A</v>
      </c>
      <c r="S504" s="33" t="e">
        <f ca="1"/>
        <v>#N/A</v>
      </c>
      <c r="T504" s="33" t="e">
        <f ca="1"/>
        <v>#N/A</v>
      </c>
      <c r="U504" s="25" t="e">
        <f ca="1"/>
        <v>#N/A</v>
      </c>
      <c r="V504" s="36" t="e">
        <f ca="1"/>
        <v>#N/A</v>
      </c>
      <c r="W504" s="37" t="e">
        <f ca="1"/>
        <v>#N/A</v>
      </c>
      <c r="X504" s="31" t="s">
        <v>1</v>
      </c>
    </row>
    <row r="505" spans="4:24" x14ac:dyDescent="0.25">
      <c r="D505" s="31" t="s">
        <v>1</v>
      </c>
      <c r="E505" s="43">
        <v>497</v>
      </c>
      <c r="F505" s="25" t="e">
        <f ca="1">IF(ISNA(H505),NA(),IF(ISBLANK(G505),IF(FixedAmortizationFrequency=0,F504,IF(MOD((E505-1),FixedAmortizationFrequency)&lt;&gt;0,F504,F504-FixedAmortization)),G505))</f>
        <v>#N/A</v>
      </c>
      <c r="G505" s="67"/>
      <c r="H505" s="63" t="e">
        <f ca="1"/>
        <v>#N/A</v>
      </c>
      <c r="I505" s="33" t="e">
        <f ca="1"/>
        <v>#N/A</v>
      </c>
      <c r="J505" s="33" t="e">
        <f ca="1"/>
        <v>#N/A</v>
      </c>
      <c r="K505" s="25" t="e">
        <f ca="1"/>
        <v>#N/A</v>
      </c>
      <c r="L505" s="36" t="e">
        <f ca="1"/>
        <v>#N/A</v>
      </c>
      <c r="M505" s="37" t="e">
        <f ca="1"/>
        <v>#N/A</v>
      </c>
      <c r="N505" s="38" t="s">
        <v>1</v>
      </c>
      <c r="O505" s="43">
        <v>497</v>
      </c>
      <c r="P505" s="25" t="e">
        <f ca="1">IF(ISNA(R505),NA(),IF(ISBLANK(Q505),IF(FloatAmortizationFrequency=0,P504,IF(MOD((O505-1),FloatAmortizationFrequency)&lt;&gt;0,P504,P504-FloatAmortization)),Q505))</f>
        <v>#N/A</v>
      </c>
      <c r="Q505" s="67"/>
      <c r="R505" s="33" t="e">
        <f ca="1"/>
        <v>#N/A</v>
      </c>
      <c r="S505" s="33" t="e">
        <f ca="1"/>
        <v>#N/A</v>
      </c>
      <c r="T505" s="33" t="e">
        <f ca="1"/>
        <v>#N/A</v>
      </c>
      <c r="U505" s="25" t="e">
        <f ca="1"/>
        <v>#N/A</v>
      </c>
      <c r="V505" s="36" t="e">
        <f ca="1"/>
        <v>#N/A</v>
      </c>
      <c r="W505" s="37" t="e">
        <f ca="1"/>
        <v>#N/A</v>
      </c>
      <c r="X505" s="31" t="s">
        <v>1</v>
      </c>
    </row>
    <row r="506" spans="4:24" x14ac:dyDescent="0.25">
      <c r="D506" s="31" t="s">
        <v>1</v>
      </c>
      <c r="E506" s="43">
        <v>498</v>
      </c>
      <c r="F506" s="25" t="e">
        <f ca="1">IF(ISNA(H506),NA(),IF(ISBLANK(G506),IF(FixedAmortizationFrequency=0,F505,IF(MOD((E506-1),FixedAmortizationFrequency)&lt;&gt;0,F505,F505-FixedAmortization)),G506))</f>
        <v>#N/A</v>
      </c>
      <c r="G506" s="67"/>
      <c r="H506" s="63" t="e">
        <f ca="1"/>
        <v>#N/A</v>
      </c>
      <c r="I506" s="33" t="e">
        <f ca="1"/>
        <v>#N/A</v>
      </c>
      <c r="J506" s="33" t="e">
        <f ca="1"/>
        <v>#N/A</v>
      </c>
      <c r="K506" s="25" t="e">
        <f ca="1"/>
        <v>#N/A</v>
      </c>
      <c r="L506" s="36" t="e">
        <f ca="1"/>
        <v>#N/A</v>
      </c>
      <c r="M506" s="37" t="e">
        <f ca="1"/>
        <v>#N/A</v>
      </c>
      <c r="N506" s="38" t="s">
        <v>1</v>
      </c>
      <c r="O506" s="43">
        <v>498</v>
      </c>
      <c r="P506" s="25" t="e">
        <f ca="1">IF(ISNA(R506),NA(),IF(ISBLANK(Q506),IF(FloatAmortizationFrequency=0,P505,IF(MOD((O506-1),FloatAmortizationFrequency)&lt;&gt;0,P505,P505-FloatAmortization)),Q506))</f>
        <v>#N/A</v>
      </c>
      <c r="Q506" s="67"/>
      <c r="R506" s="33" t="e">
        <f ca="1"/>
        <v>#N/A</v>
      </c>
      <c r="S506" s="33" t="e">
        <f ca="1"/>
        <v>#N/A</v>
      </c>
      <c r="T506" s="33" t="e">
        <f ca="1"/>
        <v>#N/A</v>
      </c>
      <c r="U506" s="25" t="e">
        <f ca="1"/>
        <v>#N/A</v>
      </c>
      <c r="V506" s="36" t="e">
        <f ca="1"/>
        <v>#N/A</v>
      </c>
      <c r="W506" s="37" t="e">
        <f ca="1"/>
        <v>#N/A</v>
      </c>
      <c r="X506" s="31" t="s">
        <v>1</v>
      </c>
    </row>
    <row r="507" spans="4:24" x14ac:dyDescent="0.25">
      <c r="D507" s="31" t="s">
        <v>1</v>
      </c>
      <c r="E507" s="43">
        <v>499</v>
      </c>
      <c r="F507" s="25" t="e">
        <f ca="1">IF(ISNA(H507),NA(),IF(ISBLANK(G507),IF(FixedAmortizationFrequency=0,F506,IF(MOD((E507-1),FixedAmortizationFrequency)&lt;&gt;0,F506,F506-FixedAmortization)),G507))</f>
        <v>#N/A</v>
      </c>
      <c r="G507" s="67"/>
      <c r="H507" s="63" t="e">
        <f ca="1"/>
        <v>#N/A</v>
      </c>
      <c r="I507" s="33" t="e">
        <f ca="1"/>
        <v>#N/A</v>
      </c>
      <c r="J507" s="33" t="e">
        <f ca="1"/>
        <v>#N/A</v>
      </c>
      <c r="K507" s="25" t="e">
        <f ca="1"/>
        <v>#N/A</v>
      </c>
      <c r="L507" s="36" t="e">
        <f ca="1"/>
        <v>#N/A</v>
      </c>
      <c r="M507" s="37" t="e">
        <f ca="1"/>
        <v>#N/A</v>
      </c>
      <c r="N507" s="38" t="s">
        <v>1</v>
      </c>
      <c r="O507" s="43">
        <v>499</v>
      </c>
      <c r="P507" s="25" t="e">
        <f ca="1">IF(ISNA(R507),NA(),IF(ISBLANK(Q507),IF(FloatAmortizationFrequency=0,P506,IF(MOD((O507-1),FloatAmortizationFrequency)&lt;&gt;0,P506,P506-FloatAmortization)),Q507))</f>
        <v>#N/A</v>
      </c>
      <c r="Q507" s="67"/>
      <c r="R507" s="33" t="e">
        <f ca="1"/>
        <v>#N/A</v>
      </c>
      <c r="S507" s="33" t="e">
        <f ca="1"/>
        <v>#N/A</v>
      </c>
      <c r="T507" s="33" t="e">
        <f ca="1"/>
        <v>#N/A</v>
      </c>
      <c r="U507" s="25" t="e">
        <f ca="1"/>
        <v>#N/A</v>
      </c>
      <c r="V507" s="36" t="e">
        <f ca="1"/>
        <v>#N/A</v>
      </c>
      <c r="W507" s="37" t="e">
        <f ca="1"/>
        <v>#N/A</v>
      </c>
      <c r="X507" s="31" t="s">
        <v>1</v>
      </c>
    </row>
    <row r="508" spans="4:24" x14ac:dyDescent="0.25">
      <c r="D508" s="31" t="s">
        <v>1</v>
      </c>
      <c r="E508" s="44">
        <v>500</v>
      </c>
      <c r="F508" s="26" t="e">
        <f ca="1">IF(ISNA(H508),NA(),IF(ISBLANK(G508),IF(FixedAmortizationFrequency=0,F507,IF(MOD((E508-1),FixedAmortizationFrequency)&lt;&gt;0,F507,F507-FixedAmortization)),G508))</f>
        <v>#N/A</v>
      </c>
      <c r="G508" s="68"/>
      <c r="H508" s="64" t="e">
        <f ca="1"/>
        <v>#N/A</v>
      </c>
      <c r="I508" s="39" t="e">
        <f ca="1"/>
        <v>#N/A</v>
      </c>
      <c r="J508" s="39" t="e">
        <f ca="1"/>
        <v>#N/A</v>
      </c>
      <c r="K508" s="26" t="e">
        <f ca="1"/>
        <v>#N/A</v>
      </c>
      <c r="L508" s="40" t="e">
        <f ca="1"/>
        <v>#N/A</v>
      </c>
      <c r="M508" s="41" t="e">
        <f ca="1"/>
        <v>#N/A</v>
      </c>
      <c r="N508" s="38" t="s">
        <v>1</v>
      </c>
      <c r="O508" s="44">
        <v>500</v>
      </c>
      <c r="P508" s="26" t="e">
        <f ca="1">IF(ISNA(R508),NA(),IF(ISBLANK(Q508),IF(FloatAmortizationFrequency=0,P507,IF(MOD((O508-1),FloatAmortizationFrequency)&lt;&gt;0,P507,P507-FloatAmortization)),Q508))</f>
        <v>#N/A</v>
      </c>
      <c r="Q508" s="68"/>
      <c r="R508" s="39" t="e">
        <f ca="1"/>
        <v>#N/A</v>
      </c>
      <c r="S508" s="39" t="e">
        <f ca="1"/>
        <v>#N/A</v>
      </c>
      <c r="T508" s="39" t="e">
        <f ca="1"/>
        <v>#N/A</v>
      </c>
      <c r="U508" s="26" t="e">
        <f ca="1"/>
        <v>#N/A</v>
      </c>
      <c r="V508" s="40" t="e">
        <f ca="1"/>
        <v>#N/A</v>
      </c>
      <c r="W508" s="41" t="e">
        <f ca="1"/>
        <v>#N/A</v>
      </c>
      <c r="X508" s="31" t="s">
        <v>1</v>
      </c>
    </row>
    <row r="509" spans="4:24" x14ac:dyDescent="0.25">
      <c r="D509" s="31" t="s">
        <v>1</v>
      </c>
      <c r="E509" s="3" t="s">
        <v>1</v>
      </c>
      <c r="F509" s="38" t="s">
        <v>1</v>
      </c>
      <c r="G509" s="69" t="s">
        <v>1</v>
      </c>
      <c r="H509" s="38" t="s">
        <v>1</v>
      </c>
      <c r="I509" s="38" t="s">
        <v>1</v>
      </c>
      <c r="J509" s="38" t="s">
        <v>1</v>
      </c>
      <c r="K509" s="38" t="s">
        <v>1</v>
      </c>
      <c r="L509" s="38" t="s">
        <v>1</v>
      </c>
      <c r="M509" s="38" t="s">
        <v>1</v>
      </c>
      <c r="N509" s="38" t="s">
        <v>1</v>
      </c>
      <c r="O509" s="3" t="s">
        <v>1</v>
      </c>
      <c r="P509" s="38" t="s">
        <v>1</v>
      </c>
      <c r="Q509" s="69" t="s">
        <v>1</v>
      </c>
      <c r="R509" s="38" t="s">
        <v>1</v>
      </c>
      <c r="S509" s="38" t="s">
        <v>1</v>
      </c>
      <c r="T509" s="38" t="s">
        <v>1</v>
      </c>
      <c r="U509" s="38" t="s">
        <v>1</v>
      </c>
      <c r="V509" s="38" t="s">
        <v>1</v>
      </c>
      <c r="W509" s="38" t="s">
        <v>1</v>
      </c>
      <c r="X509" s="31" t="s">
        <v>1</v>
      </c>
    </row>
    <row r="510" spans="4:24" x14ac:dyDescent="0.25">
      <c r="E510" s="3"/>
      <c r="O510" s="3"/>
    </row>
    <row r="511" spans="4:24" x14ac:dyDescent="0.25">
      <c r="E511" s="3"/>
      <c r="O511" s="3"/>
    </row>
    <row r="512" spans="4:24" x14ac:dyDescent="0.25">
      <c r="E512" s="3"/>
      <c r="O512" s="3"/>
    </row>
  </sheetData>
  <dataValidations count="7">
    <dataValidation type="list" allowBlank="1" showInputMessage="1" showErrorMessage="1" sqref="C30 C10">
      <formula1>"ACT/365,ACT/365_ISDA,ACT/360,30/360,30E/360,ACT/365FJ"</formula1>
    </dataValidation>
    <dataValidation type="list" allowBlank="1" showInputMessage="1" showErrorMessage="1" sqref="C41 C21">
      <formula1>"ADVANCE,ARREARS"</formula1>
    </dataValidation>
    <dataValidation type="list" allowBlank="1" showInputMessage="1" showErrorMessage="1" sqref="C32 C38 C35 C12 C18 C15">
      <formula1>"FOLLOWING,MOD_FOLLOWING,PRECEDING,MOD_PRECEDING,NO_CHANGE"</formula1>
    </dataValidation>
    <dataValidation type="list" allowBlank="1" showInputMessage="1" showErrorMessage="1" sqref="C34 C31 C14 C11">
      <formula1>"Annual,Semi-Annual,Quarterly,Monthly,Weekly"</formula1>
    </dataValidation>
    <dataValidation type="list" allowBlank="1" showInputMessage="1" showErrorMessage="1" sqref="C25 C45">
      <formula1>"ShortStart,ShortEnd,LongStart,LongEnd,"</formula1>
    </dataValidation>
    <dataValidation type="list" allowBlank="1" showInputMessage="1" showErrorMessage="1" sqref="C24 C44">
      <formula1>"IMM,EOM,1,2,3,4,5,6,7,8,9,10,11,12,13,14,15,16,17,18,19,20,21,22,23,24,25,26,27,28,29,30,31"</formula1>
    </dataValidation>
    <dataValidation type="whole" operator="greaterThanOrEqual" allowBlank="1" showInputMessage="1" showErrorMessage="1" sqref="Q5 G5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Instructions</vt:lpstr>
      <vt:lpstr>SwapSchedule</vt:lpstr>
      <vt:lpstr>AsOfDate</vt:lpstr>
      <vt:lpstr>EffectiveLag</vt:lpstr>
      <vt:lpstr>FixedAmortization</vt:lpstr>
      <vt:lpstr>FixedAmortizationFrequency</vt:lpstr>
      <vt:lpstr>FixedNotional</vt:lpstr>
      <vt:lpstr>FloatAmortization</vt:lpstr>
      <vt:lpstr>FloatAmortizationFrequency</vt:lpstr>
      <vt:lpstr>FloatNotional</vt:lpstr>
      <vt:lpstr>MaturityDate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2016-08-26T12:04:32Z</dcterms:modified>
</cp:coreProperties>
</file>