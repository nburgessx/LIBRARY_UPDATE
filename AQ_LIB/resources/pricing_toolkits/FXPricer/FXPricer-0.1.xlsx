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:\DESKTOP\"/>
    </mc:Choice>
  </mc:AlternateContent>
  <bookViews>
    <workbookView xWindow="720" yWindow="360" windowWidth="27555" windowHeight="14085" tabRatio="748" activeTab="6"/>
  </bookViews>
  <sheets>
    <sheet name="USDOIS" sheetId="5" r:id="rId1"/>
    <sheet name="USD3ML" sheetId="6" r:id="rId2"/>
    <sheet name="EUROIS" sheetId="7" r:id="rId3"/>
    <sheet name="EUR3ML" sheetId="8" r:id="rId4"/>
    <sheet name="EURUSDXCCY" sheetId="9" r:id="rId5"/>
    <sheet name="FXCurveFromYieldCurve" sheetId="4" r:id="rId6"/>
    <sheet name="FXCurveFromForwardPoints" sheetId="1" r:id="rId7"/>
  </sheets>
  <externalReferences>
    <externalReference r:id="rId8"/>
  </externalReferences>
  <definedNames>
    <definedName name="allowTradeUpdates">[1]Settings!$K$4</definedName>
    <definedName name="areAUDCSACurvesLoaded">'[1]AUD CSA CURVES'!$I$32</definedName>
    <definedName name="areEURCSACurvesLoaded">'[1]EUR CSA CURVES'!$I$32</definedName>
    <definedName name="areGBPCSACurvesLoaded">'[1]GBP CSA CURVES'!$I$32</definedName>
    <definedName name="areJPYCSACurvesLoaded">'[1]JPY CSA CURVES LCH'!$I$32</definedName>
    <definedName name="areUSDCSACurvesLoaded">'[1]USD CSA CURVES'!$I$32</definedName>
    <definedName name="AUDSwaps.Results.AUD3MLandAUD6ML">'[1]AUD SWAPS'!$T$39:$T$53</definedName>
    <definedName name="AUDSwaps.Results.OIS">'[1]AUD SWAPS'!$T$6:$T$15</definedName>
    <definedName name="AUDSwaps.Results.XCCY">'[1]AUD SWAPS'!$T$59:$T$73</definedName>
    <definedName name="COB">USDOIS!$D$17</definedName>
    <definedName name="Curve.BuildProperties">EUROIS!$C$17:$D$21</definedName>
    <definedName name="Curve.CollectionName">EUROIS!$D$8</definedName>
    <definedName name="Curve.MarketDataSource" localSheetId="4">EURUSDXCCY!$D$11</definedName>
    <definedName name="Curve.MarketDataTable">EUROIS!$D$9</definedName>
    <definedName name="Curve.OISIndexName">EUROIS!$D$10</definedName>
    <definedName name="CurveBuildProperties" localSheetId="4">EURUSDXCCY!$D$18:$E$25</definedName>
    <definedName name="CurveBuildProperties" localSheetId="1">USD3ML!$C$18:$D$27</definedName>
    <definedName name="CurveBuildProperties" localSheetId="0">USDOIS!$C$17:$D$21</definedName>
    <definedName name="CurveCollection" localSheetId="3">EUR3ML!$D$9</definedName>
    <definedName name="CurveCollection" localSheetId="2">EUROIS!$E$8</definedName>
    <definedName name="CurveCollection" localSheetId="4">EURUSDXCCY!$E$9</definedName>
    <definedName name="CurveCollection" localSheetId="1">USD3ML!$D$9</definedName>
    <definedName name="CurveCollection" localSheetId="0">USDOIS!$D$8</definedName>
    <definedName name="Display.CurveCalibration" localSheetId="3">EUR3ML!$B:$L</definedName>
    <definedName name="Display.CurveCalibration" localSheetId="2">EUROIS!$B:$N</definedName>
    <definedName name="Display.CurveCalibration" localSheetId="1">USD3ML!$B:$L</definedName>
    <definedName name="Display.CurveCalibration" localSheetId="0">USDOIS!$B:$N</definedName>
    <definedName name="Display.Generator" localSheetId="3">EUR3ML!$M:$Q</definedName>
    <definedName name="Display.Generator" localSheetId="2">EUROIS!$O:$S</definedName>
    <definedName name="Display.Generator" localSheetId="1">USD3ML!$M:$Q</definedName>
    <definedName name="Display.Generator" localSheetId="0">USDOIS!$O:$S</definedName>
    <definedName name="enableCTDCurves">[1]Settings!$I$4</definedName>
    <definedName name="enableCurveRepricing">[1]Settings!$M$4</definedName>
    <definedName name="enableGlobalCalibration">[1]Settings!$E$4</definedName>
    <definedName name="EURSwaps.Results.EUR12ML">'[1]EUR SWAPS'!$T$99:$T$112</definedName>
    <definedName name="EURSwaps.Results.EUR1ML">'[1]EUR SWAPS'!$T$78:$T$92</definedName>
    <definedName name="EURSwaps.Results.EUR3ML">'[1]EUR SWAPS'!$T$56:$T$72</definedName>
    <definedName name="EURSwaps.Results.EUR6ML">'[1]EUR SWAPS'!$T$36:$T$50</definedName>
    <definedName name="EURSwaps.Results.LIBOROIS">'[1]EUR SWAPS'!$T$15:$T$30</definedName>
    <definedName name="EURSwaps.Results.OIS">'[1]EUR SWAPS'!$T$6:$T$9</definedName>
    <definedName name="EURSwaps.Results.XCCY">'[1]EUR SWAPS'!$T$118:$T$132</definedName>
    <definedName name="FRA.Conventions" localSheetId="3">EUR3ML!$C$47:$D$60</definedName>
    <definedName name="FRA.Conventions">'[1]EUR SWAP 6ML'!$C$47:$D$60</definedName>
    <definedName name="FRA.MarketDataX3" localSheetId="3">EUR3ML!$F$48:$G$60</definedName>
    <definedName name="FRA.MarketDataX3">'[1]EUR SWAP 6ML'!$F$48:$G$60</definedName>
    <definedName name="FRA.MarketDataX6" localSheetId="3">EUR3ML!$I$48:$J$60</definedName>
    <definedName name="FRA.MarketDataX6">'[1]EUR SWAP 6ML'!$I$48:$J$60</definedName>
    <definedName name="FRAConventions" localSheetId="1">USD3ML!$C$47:$D$60</definedName>
    <definedName name="FRAMarketData3M" localSheetId="1">USD3ML!$F$48:$G$60</definedName>
    <definedName name="FRAMarketData6M" localSheetId="1">USD3ML!$I$48:$J$60</definedName>
    <definedName name="Futures.Conventions" localSheetId="3">EUR3ML!$C$68:$D$81</definedName>
    <definedName name="Futures.Conventions">'[1]EUR SWAP 6ML'!$C$68:$D$81</definedName>
    <definedName name="Futures.MarketData" localSheetId="3">EUR3ML!$F$69:$J$81</definedName>
    <definedName name="Futures.MarketData">'[1]EUR SWAP 6ML'!$F$69:$J$81</definedName>
    <definedName name="FuturesConventions" localSheetId="1">USD3ML!$C$68:$D$81</definedName>
    <definedName name="FuturesMarketData" localSheetId="1">USD3ML!$F$69:$J$81</definedName>
    <definedName name="GBPSwaps.Results.GBP12ML">'[1]GBP SWAPS'!$T$98:$T$111</definedName>
    <definedName name="GBPSwaps.Results.GBP1ML">'[1]GBP SWAPS'!$T$77:$T$91</definedName>
    <definedName name="GBPSwaps.Results.GBP3ML">'[1]GBP SWAPS'!$T$39:$T$51</definedName>
    <definedName name="GBPSwaps.Results.GBP6ML">'[1]GBP SWAPS'!$T$57:$T$71</definedName>
    <definedName name="GBPSwaps.Results.LIBOROIS">'[1]GBP SWAPS'!$T$27:$T$34</definedName>
    <definedName name="GBPSwaps.Results.OIS">'[1]GBP SWAPS'!$T$6:$T$21</definedName>
    <definedName name="GBPSwaps.Results.XCCY">'[1]GBP SWAPS'!$T$117:$T$131</definedName>
    <definedName name="IndexName" localSheetId="4">EURUSDXCCY!$E$11</definedName>
    <definedName name="IndexName" localSheetId="1">USD3ML!$D$11</definedName>
    <definedName name="IndexName" localSheetId="0">USDOIS!$D$10</definedName>
    <definedName name="isAUD3MLLoaded">'[1]AUD SWAP 3ML'!$U$31</definedName>
    <definedName name="isAudCtdCurveLoaded">'[1]AUD CSA CURVES'!$W$6</definedName>
    <definedName name="isAUDOISLoaded">'[1]AUD OIS'!$W$31</definedName>
    <definedName name="isAUDXccyLoaded">'[1]AUD XCCY BASIS'!$M$24</definedName>
    <definedName name="isEUR3MLLoaded">EUR3ML!$U$32</definedName>
    <definedName name="isEUR6MLLoaded">'[1]EUR SWAP 6ML'!$U$32</definedName>
    <definedName name="isEurCtdCurveLoaded">'[1]EUR CSA CURVES'!$W$6</definedName>
    <definedName name="isEUROISLoaded">EUROIS!$W$32</definedName>
    <definedName name="isEURXccyLoaded">EURUSDXCCY!$M$24</definedName>
    <definedName name="isGBP3MLLoaded">'[1]GBP SWAP 3ML'!$U$32</definedName>
    <definedName name="isGBP6MLLoaded">'[1]GBP BASIS 6ML'!$L$25</definedName>
    <definedName name="isGbpCtdCurveLoaded">'[1]GBP CSA CURVES'!$W$6</definedName>
    <definedName name="isGBPOISLoaded">'[1]GBP OIS'!$W$32</definedName>
    <definedName name="isGBPXccyLoaded">'[1]GBP XCCY BASIS'!$M$24</definedName>
    <definedName name="isJpyCtdCurveLoaded">'[1]JPY CSA CURVES LCH'!$W$6</definedName>
    <definedName name="isJPYJSCC6MLLoaded">'[1]JPY SWAP 6ML JSCC'!$U$32</definedName>
    <definedName name="isJPYJSCC6MLLoaded_TiborSwapCurve">'[1]JPY SWAP 6ML JSCC'!$W$32</definedName>
    <definedName name="isJPYJSCCOISLoaded">'[1]JPY OIS JSCC'!$Y$33</definedName>
    <definedName name="isJPYLCH3MLLoaded">'[1]JPY BASIS 3ML LCH'!$M$25</definedName>
    <definedName name="isJPYLCH6MLLoaded">'[1]JPY SWAP 6ML LCH'!$U$32</definedName>
    <definedName name="isJPYTibor6MLLoaded">'[1]JPY BASIS 6ML TIBOR'!$P$25</definedName>
    <definedName name="isJPYTiborOISLoaded">'[1]JPY OIS TIBOR'!$Y$34</definedName>
    <definedName name="isJPYXccyLoaded">'[1]JPY XCCY BASIS LCH'!$M$24</definedName>
    <definedName name="isUSD3MLLoaded">USD3ML!$U$32</definedName>
    <definedName name="isUsdCtdCurveLoaded">'[1]USD CSA CURVES'!$W$6</definedName>
    <definedName name="isUSDOISLoaded">USDOIS!$W$32</definedName>
    <definedName name="JPY.JSCC.Swaps.Results.JPY1ML">'[1]JPY SWAPS JSCC'!$T$87:$T$102</definedName>
    <definedName name="JPY.JSCC.Swaps.Results.JPY3ML">'[1]JPY SWAPS JSCC'!$T$66:$T$81</definedName>
    <definedName name="JPY.JSCC.Swaps.Results.JPY6ML">'[1]JPY SWAPS JSCC'!$T$45:$T$60</definedName>
    <definedName name="JPY.JSCC.Swaps.Results.LIBOROIS">'[1]JPY SWAPS JSCC'!$T$23:$T$37</definedName>
    <definedName name="JPY.JSCC.Swaps.Results.OIS">'[1]JPY SWAPS JSCC'!$T$6:$T$17</definedName>
    <definedName name="JPY.LCH.Swaps.Results.JPY1ML">'[1]JPY SWAPS LCH'!$T$85:$T$100</definedName>
    <definedName name="JPY.LCH.Swaps.Results.JPY3ML">'[1]JPY SWAPS LCH'!$T$64:$T$79</definedName>
    <definedName name="JPY.LCH.Swaps.Results.JPY6ML">'[1]JPY SWAPS LCH'!$T$43:$T$58</definedName>
    <definedName name="JPY.LCH.Swaps.Results.LIBOROIS">'[1]JPY SWAPS LCH'!$T$23:$T$37</definedName>
    <definedName name="JPY.LCH.Swaps.Results.OIS">'[1]JPY SWAPS LCH'!$T$6:$T$17</definedName>
    <definedName name="JPY.LCH.Swaps.Results.XCCY">'[1]JPY SWAPS LCH'!$T$106:$T$121</definedName>
    <definedName name="JPY.TIBOR.Swaps.Results.JPY1ML">'[1]JPY SWAPS TIBOR'!$T$84:$T$98</definedName>
    <definedName name="JPY.TIBOR.Swaps.Results.JPY3ML">'[1]JPY SWAPS TIBOR'!$T$64:$T$78</definedName>
    <definedName name="JPY.TIBOR.Swaps.Results.JPY6ML">'[1]JPY SWAPS TIBOR'!$T$42:$T$58</definedName>
    <definedName name="JPY.TIBOR.Swaps.Results.LIBOROIS">'[1]JPY SWAPS TIBOR'!$T$23:$T$37</definedName>
    <definedName name="JPY.TIBOR.Swaps.Results.OIS">'[1]JPY SWAPS TIBOR'!$T$6:$T$17</definedName>
    <definedName name="Libor.Conventions" localSheetId="3">EUR3ML!$F$34:$G$39</definedName>
    <definedName name="Libor.Conventions">'[1]EUR SWAP 6ML'!$F$34:$G$39</definedName>
    <definedName name="Libor.MarketData" localSheetId="3">EUR3ML!$I$35:$J$39</definedName>
    <definedName name="Libor.MarketData">'[1]EUR SWAP 6ML'!$I$35:$J$39</definedName>
    <definedName name="LiborConventions" localSheetId="1">USD3ML!$F$34:$G$39</definedName>
    <definedName name="LiborMarketData" localSheetId="1">USD3ML!$I$35:$J$39</definedName>
    <definedName name="LiborOISBasis.Conventions">EUROIS!$C$53:$D$78</definedName>
    <definedName name="LiborOISBasis.MarketData">EUROIS!$F$54:$G$78</definedName>
    <definedName name="LiborSwap.Conventions" localSheetId="0">USDOIS!$I$61:$J$86</definedName>
    <definedName name="LiborSwap.Conventions">EUROIS!$I$53:$J$78</definedName>
    <definedName name="LiborSwap.MarketData" localSheetId="0">USDOIS!$L$62:$M$86</definedName>
    <definedName name="LiborSwap.MarketData">EUROIS!$L$54:$M$78</definedName>
    <definedName name="MissingDataPointsAUD">'[1]MKT DATA AUD'!$E$4</definedName>
    <definedName name="MissingDataPointsEUR">'[1]MKT DATA EUR'!$E$4</definedName>
    <definedName name="MissingDataPointsGBP">'[1]MKT DATA GBP'!$E$4</definedName>
    <definedName name="MissingDataPointsJPY">'[1]MKT DATA JPY'!$E$4</definedName>
    <definedName name="MissingDataPointsUSD">'[1]MKT DATA USD'!$E$4</definedName>
    <definedName name="MoneyMarket.Conventions" localSheetId="3">EUR3ML!$C$34:$D$39</definedName>
    <definedName name="MoneyMarket.Conventions">'[1]EUR SWAP 6ML'!$C$34:$D$39</definedName>
    <definedName name="MoneyMarketConventions" localSheetId="1">USD3ML!$C$34:$D$39</definedName>
    <definedName name="OIS.Conventions">EUROIS!$C$28:$D$46</definedName>
    <definedName name="OIS.FixingTable">EUROIS!$L$29:$M$46</definedName>
    <definedName name="OIS.MarketData">EUROIS!$F$29:$J$46</definedName>
    <definedName name="OISBasis.Conventions" localSheetId="0">USDOIS!$C$61:$D$86</definedName>
    <definedName name="OISBasis.Spreads" localSheetId="0">USDOIS!$F$62:$G$86</definedName>
    <definedName name="OISConventions" localSheetId="0">USDOIS!$C$28:$D$54</definedName>
    <definedName name="OISFixingTable" localSheetId="0">USDOIS!$L$29:$M$54</definedName>
    <definedName name="OISMarketData" localSheetId="0">USDOIS!$F$29:$J$54</definedName>
    <definedName name="Settings.COB">[1]Settings!$C$4</definedName>
    <definedName name="Settings.EnableSave">[1]Settings!$C$71</definedName>
    <definedName name="Settings.PulseFrequency">[1]Settings!$O$2</definedName>
    <definedName name="Settings.SaveFolder">[1]Settings!$E$71</definedName>
    <definedName name="StaticDataTable" localSheetId="4">EURUSDXCCY!$E$10</definedName>
    <definedName name="StaticDataTable" localSheetId="1">USD3ML!$D$10</definedName>
    <definedName name="StaticDataTable" localSheetId="0">USDOIS!$D$9</definedName>
    <definedName name="STDCurve.Buildproperties" localSheetId="3">EUR3ML!$C$18:$D$27</definedName>
    <definedName name="STDCurve.Buildproperties">'[1]EUR SWAP 6ML'!$C$18:$D$27</definedName>
    <definedName name="STDCurve.CollectionName" localSheetId="3">EUR3ML!$D$9</definedName>
    <definedName name="STDCurve.CollectionName">'[1]EUR SWAP 6ML'!$D$9</definedName>
    <definedName name="STDCurve.IndexName" localSheetId="3">EUR3ML!$D$11</definedName>
    <definedName name="STDCurve.IndexName">'[1]EUR SWAP 6ML'!$D$11</definedName>
    <definedName name="STDCurve.StaticDataTable" localSheetId="3">EUR3ML!$D$10</definedName>
    <definedName name="STDCurve.StaticDataTable">'[1]EUR SWAP 6ML'!$D$10</definedName>
    <definedName name="Swap.Conventions" localSheetId="3">EUR3ML!$C$89:$D$107</definedName>
    <definedName name="Swap.Conventions">'[1]EUR SWAP 6ML'!$C$89:$D$107</definedName>
    <definedName name="Swap.MarketData" localSheetId="3">EUR3ML!$F$90:$H$107</definedName>
    <definedName name="Swap.MarketData">'[1]EUR SWAP 6ML'!$F$90:$H$107</definedName>
    <definedName name="SwapConventions" localSheetId="1">USD3ML!$C$89:$D$107</definedName>
    <definedName name="SwapMarketData" localSheetId="1">USD3ML!$F$90:$H$107</definedName>
    <definedName name="ToleranceAUD">[1]Settings!$K$65</definedName>
    <definedName name="ToleranceEUR">[1]Settings!$I$65</definedName>
    <definedName name="ToleranceGBP">[1]Settings!$G$65</definedName>
    <definedName name="ToleranceJPY.JSCC">[1]Settings!$M$65</definedName>
    <definedName name="ToleranceJPY.LCH">[1]Settings!$O$65</definedName>
    <definedName name="ToleranceJPY.TIBOR">[1]Settings!$Q$65</definedName>
    <definedName name="ToleranceUSD">[1]Settings!$E$65</definedName>
    <definedName name="USDSwaps.Results.LIBOROIS">'[1]USD SWAPS'!$T$25:$T$35</definedName>
    <definedName name="USDSwaps.Results.OIS">'[1]USD SWAPS'!$T$5:$T$17</definedName>
    <definedName name="USDSwaps.Results.USD12ML">'[1]USD SWAPS'!$T$96:$T$110</definedName>
    <definedName name="USDSwaps.Results.USD1ML">'[1]USD SWAPS'!$T$76:$T$90</definedName>
    <definedName name="USDSwaps.Results.USD3ML">'[1]USD SWAPS'!$T$41:$T$50</definedName>
    <definedName name="USDSwaps.Results.USD6ML">'[1]USD SWAPS'!$T$56:$T$70</definedName>
    <definedName name="XccyBasisMarketData" localSheetId="4">EURUSDXCCY!$G$60:$H$101</definedName>
    <definedName name="XccyBasisSwapConventions" localSheetId="4">EURUSDXCCY!$D$59:$E$101</definedName>
  </definedNames>
  <calcPr calcId="162913" calcMode="manual" calcCompleted="0" calcOnSave="0"/>
</workbook>
</file>

<file path=xl/calcChain.xml><?xml version="1.0" encoding="utf-8"?>
<calcChain xmlns="http://schemas.openxmlformats.org/spreadsheetml/2006/main">
  <c r="M6" i="9" l="1"/>
  <c r="U8" i="8"/>
  <c r="W9" i="7"/>
  <c r="U8" i="6"/>
  <c r="W9" i="5"/>
  <c r="C90" i="9"/>
  <c r="H74" i="9"/>
  <c r="G74" i="9"/>
  <c r="H73" i="9"/>
  <c r="G73" i="9"/>
  <c r="H72" i="9"/>
  <c r="G72" i="9"/>
  <c r="H71" i="9"/>
  <c r="G71" i="9"/>
  <c r="H70" i="9"/>
  <c r="G70" i="9"/>
  <c r="H69" i="9"/>
  <c r="G69" i="9"/>
  <c r="H68" i="9"/>
  <c r="G68" i="9"/>
  <c r="H67" i="9"/>
  <c r="G67" i="9"/>
  <c r="H66" i="9"/>
  <c r="G66" i="9"/>
  <c r="H65" i="9"/>
  <c r="G65" i="9"/>
  <c r="H64" i="9"/>
  <c r="G64" i="9"/>
  <c r="H63" i="9"/>
  <c r="G63" i="9"/>
  <c r="H62" i="9"/>
  <c r="G62" i="9"/>
  <c r="H61" i="9"/>
  <c r="G61" i="9"/>
  <c r="H60" i="9"/>
  <c r="G60" i="9"/>
  <c r="H50" i="9"/>
  <c r="G50" i="9"/>
  <c r="H49" i="9"/>
  <c r="G49" i="9"/>
  <c r="H48" i="9"/>
  <c r="G48" i="9"/>
  <c r="H47" i="9"/>
  <c r="G47" i="9"/>
  <c r="H46" i="9"/>
  <c r="G46" i="9"/>
  <c r="H45" i="9"/>
  <c r="G45" i="9"/>
  <c r="H44" i="9"/>
  <c r="G44" i="9"/>
  <c r="H43" i="9"/>
  <c r="G43" i="9"/>
  <c r="H42" i="9"/>
  <c r="G42" i="9"/>
  <c r="H41" i="9"/>
  <c r="G41" i="9"/>
  <c r="H40" i="9"/>
  <c r="G40" i="9"/>
  <c r="H39" i="9"/>
  <c r="G39" i="9"/>
  <c r="I33" i="9"/>
  <c r="E18" i="9"/>
  <c r="E6" i="9"/>
  <c r="G105" i="8"/>
  <c r="F105" i="8"/>
  <c r="G104" i="8"/>
  <c r="F104" i="8"/>
  <c r="G103" i="8"/>
  <c r="F103" i="8"/>
  <c r="G102" i="8"/>
  <c r="F102" i="8"/>
  <c r="G101" i="8"/>
  <c r="F101" i="8"/>
  <c r="G100" i="8"/>
  <c r="F100" i="8"/>
  <c r="G99" i="8"/>
  <c r="F99" i="8"/>
  <c r="G98" i="8"/>
  <c r="F98" i="8"/>
  <c r="G97" i="8"/>
  <c r="F97" i="8"/>
  <c r="G96" i="8"/>
  <c r="F96" i="8"/>
  <c r="G95" i="8"/>
  <c r="F95" i="8"/>
  <c r="G94" i="8"/>
  <c r="F94" i="8"/>
  <c r="G93" i="8"/>
  <c r="F93" i="8"/>
  <c r="G92" i="8"/>
  <c r="F92" i="8"/>
  <c r="G91" i="8"/>
  <c r="F91" i="8"/>
  <c r="G90" i="8"/>
  <c r="F90" i="8"/>
  <c r="K76" i="8"/>
  <c r="I76" i="8"/>
  <c r="H76" i="8"/>
  <c r="G76" i="8"/>
  <c r="F76" i="8"/>
  <c r="E76" i="8"/>
  <c r="I75" i="8"/>
  <c r="K75" i="8" s="1"/>
  <c r="H75" i="8"/>
  <c r="G75" i="8"/>
  <c r="F75" i="8"/>
  <c r="E75" i="8"/>
  <c r="I74" i="8"/>
  <c r="K74" i="8" s="1"/>
  <c r="H74" i="8"/>
  <c r="G74" i="8"/>
  <c r="F74" i="8"/>
  <c r="E74" i="8"/>
  <c r="I73" i="8"/>
  <c r="K73" i="8" s="1"/>
  <c r="H73" i="8"/>
  <c r="G73" i="8"/>
  <c r="F73" i="8"/>
  <c r="E73" i="8"/>
  <c r="I72" i="8"/>
  <c r="K72" i="8" s="1"/>
  <c r="H72" i="8"/>
  <c r="G72" i="8"/>
  <c r="F72" i="8"/>
  <c r="E72" i="8"/>
  <c r="I71" i="8"/>
  <c r="K71" i="8" s="1"/>
  <c r="H71" i="8"/>
  <c r="G71" i="8"/>
  <c r="F71" i="8"/>
  <c r="E71" i="8"/>
  <c r="I70" i="8"/>
  <c r="K70" i="8" s="1"/>
  <c r="H70" i="8"/>
  <c r="G70" i="8"/>
  <c r="F70" i="8"/>
  <c r="E70" i="8"/>
  <c r="K69" i="8"/>
  <c r="I69" i="8"/>
  <c r="H69" i="8"/>
  <c r="G69" i="8"/>
  <c r="F69" i="8"/>
  <c r="E69" i="8"/>
  <c r="J38" i="8"/>
  <c r="I38" i="8"/>
  <c r="J37" i="8"/>
  <c r="I37" i="8"/>
  <c r="J36" i="8"/>
  <c r="I36" i="8"/>
  <c r="J35" i="8"/>
  <c r="I35" i="8"/>
  <c r="D18" i="8"/>
  <c r="P8" i="8"/>
  <c r="P7" i="8"/>
  <c r="D5" i="8"/>
  <c r="M70" i="7"/>
  <c r="L70" i="7"/>
  <c r="G70" i="7"/>
  <c r="F70" i="7"/>
  <c r="M69" i="7"/>
  <c r="L69" i="7"/>
  <c r="G69" i="7"/>
  <c r="F69" i="7"/>
  <c r="M68" i="7"/>
  <c r="L68" i="7"/>
  <c r="G68" i="7"/>
  <c r="F68" i="7"/>
  <c r="M67" i="7"/>
  <c r="L67" i="7"/>
  <c r="G67" i="7"/>
  <c r="F67" i="7"/>
  <c r="M66" i="7"/>
  <c r="L66" i="7"/>
  <c r="G66" i="7"/>
  <c r="F66" i="7"/>
  <c r="M65" i="7"/>
  <c r="L65" i="7"/>
  <c r="G65" i="7"/>
  <c r="F65" i="7"/>
  <c r="M64" i="7"/>
  <c r="L64" i="7"/>
  <c r="G64" i="7"/>
  <c r="F64" i="7"/>
  <c r="M63" i="7"/>
  <c r="L63" i="7"/>
  <c r="G63" i="7"/>
  <c r="F63" i="7"/>
  <c r="M62" i="7"/>
  <c r="L62" i="7"/>
  <c r="G62" i="7"/>
  <c r="F62" i="7"/>
  <c r="M61" i="7"/>
  <c r="L61" i="7"/>
  <c r="G61" i="7"/>
  <c r="F61" i="7"/>
  <c r="M60" i="7"/>
  <c r="L60" i="7"/>
  <c r="G60" i="7"/>
  <c r="F60" i="7"/>
  <c r="M59" i="7"/>
  <c r="L59" i="7"/>
  <c r="G59" i="7"/>
  <c r="F59" i="7"/>
  <c r="M58" i="7"/>
  <c r="L58" i="7"/>
  <c r="G58" i="7"/>
  <c r="F58" i="7"/>
  <c r="M57" i="7"/>
  <c r="L57" i="7"/>
  <c r="G57" i="7"/>
  <c r="F57" i="7"/>
  <c r="M56" i="7"/>
  <c r="L56" i="7"/>
  <c r="G56" i="7"/>
  <c r="F56" i="7"/>
  <c r="M55" i="7"/>
  <c r="L55" i="7"/>
  <c r="G55" i="7"/>
  <c r="F55" i="7"/>
  <c r="M54" i="7"/>
  <c r="L54" i="7"/>
  <c r="G54" i="7"/>
  <c r="F54" i="7"/>
  <c r="G43" i="7"/>
  <c r="F43" i="7"/>
  <c r="I43" i="7" s="1"/>
  <c r="G42" i="7"/>
  <c r="F42" i="7"/>
  <c r="I42" i="7" s="1"/>
  <c r="G41" i="7"/>
  <c r="F41" i="7"/>
  <c r="I41" i="7" s="1"/>
  <c r="G40" i="7"/>
  <c r="F40" i="7"/>
  <c r="I40" i="7" s="1"/>
  <c r="G39" i="7"/>
  <c r="F39" i="7"/>
  <c r="I39" i="7" s="1"/>
  <c r="G38" i="7"/>
  <c r="F38" i="7"/>
  <c r="I38" i="7" s="1"/>
  <c r="G37" i="7"/>
  <c r="F37" i="7"/>
  <c r="I37" i="7" s="1"/>
  <c r="G36" i="7"/>
  <c r="F36" i="7"/>
  <c r="I36" i="7" s="1"/>
  <c r="G35" i="7"/>
  <c r="F35" i="7"/>
  <c r="I35" i="7" s="1"/>
  <c r="G34" i="7"/>
  <c r="F34" i="7"/>
  <c r="I34" i="7" s="1"/>
  <c r="G33" i="7"/>
  <c r="F33" i="7"/>
  <c r="G32" i="7"/>
  <c r="F32" i="7"/>
  <c r="G31" i="7"/>
  <c r="F31" i="7"/>
  <c r="G30" i="7"/>
  <c r="F30" i="7"/>
  <c r="G29" i="7"/>
  <c r="F29" i="7"/>
  <c r="D17" i="7"/>
  <c r="R8" i="7"/>
  <c r="R7" i="7"/>
  <c r="D5" i="7"/>
  <c r="G101" i="6"/>
  <c r="F101" i="6"/>
  <c r="G100" i="6"/>
  <c r="F100" i="6"/>
  <c r="G99" i="6"/>
  <c r="F99" i="6"/>
  <c r="G98" i="6"/>
  <c r="F98" i="6"/>
  <c r="G97" i="6"/>
  <c r="F97" i="6"/>
  <c r="G96" i="6"/>
  <c r="F96" i="6"/>
  <c r="G95" i="6"/>
  <c r="F95" i="6"/>
  <c r="G94" i="6"/>
  <c r="F94" i="6"/>
  <c r="G93" i="6"/>
  <c r="F93" i="6"/>
  <c r="G92" i="6"/>
  <c r="F92" i="6"/>
  <c r="G91" i="6"/>
  <c r="F91" i="6"/>
  <c r="G90" i="6"/>
  <c r="F90" i="6"/>
  <c r="I76" i="6"/>
  <c r="K76" i="6" s="1"/>
  <c r="H76" i="6"/>
  <c r="G76" i="6"/>
  <c r="F76" i="6"/>
  <c r="E76" i="6"/>
  <c r="I75" i="6"/>
  <c r="K75" i="6" s="1"/>
  <c r="H75" i="6"/>
  <c r="G75" i="6"/>
  <c r="F75" i="6"/>
  <c r="E75" i="6"/>
  <c r="I74" i="6"/>
  <c r="K74" i="6" s="1"/>
  <c r="H74" i="6"/>
  <c r="G74" i="6"/>
  <c r="F74" i="6"/>
  <c r="E74" i="6"/>
  <c r="I73" i="6"/>
  <c r="K73" i="6" s="1"/>
  <c r="H73" i="6"/>
  <c r="G73" i="6"/>
  <c r="F73" i="6"/>
  <c r="E73" i="6"/>
  <c r="I72" i="6"/>
  <c r="K72" i="6" s="1"/>
  <c r="H72" i="6"/>
  <c r="G72" i="6"/>
  <c r="F72" i="6"/>
  <c r="E72" i="6"/>
  <c r="I71" i="6"/>
  <c r="K71" i="6" s="1"/>
  <c r="H71" i="6"/>
  <c r="G71" i="6"/>
  <c r="F71" i="6"/>
  <c r="E71" i="6"/>
  <c r="I70" i="6"/>
  <c r="K70" i="6" s="1"/>
  <c r="H70" i="6"/>
  <c r="G70" i="6"/>
  <c r="F70" i="6"/>
  <c r="E70" i="6"/>
  <c r="I69" i="6"/>
  <c r="K69" i="6" s="1"/>
  <c r="H69" i="6"/>
  <c r="G69" i="6"/>
  <c r="F69" i="6"/>
  <c r="E69" i="6"/>
  <c r="J38" i="6"/>
  <c r="I38" i="6"/>
  <c r="J37" i="6"/>
  <c r="I37" i="6"/>
  <c r="J36" i="6"/>
  <c r="I36" i="6"/>
  <c r="J35" i="6"/>
  <c r="I35" i="6"/>
  <c r="D18" i="6"/>
  <c r="P8" i="6"/>
  <c r="P7" i="6"/>
  <c r="D5" i="6"/>
  <c r="M73" i="5"/>
  <c r="L73" i="5"/>
  <c r="G73" i="5"/>
  <c r="F73" i="5"/>
  <c r="M72" i="5"/>
  <c r="L72" i="5"/>
  <c r="G72" i="5"/>
  <c r="F72" i="5"/>
  <c r="M71" i="5"/>
  <c r="L71" i="5"/>
  <c r="G71" i="5"/>
  <c r="F71" i="5"/>
  <c r="M70" i="5"/>
  <c r="L70" i="5"/>
  <c r="G70" i="5"/>
  <c r="F70" i="5"/>
  <c r="M69" i="5"/>
  <c r="L69" i="5"/>
  <c r="G69" i="5"/>
  <c r="F69" i="5"/>
  <c r="M68" i="5"/>
  <c r="L68" i="5"/>
  <c r="G68" i="5"/>
  <c r="F68" i="5"/>
  <c r="M67" i="5"/>
  <c r="L67" i="5"/>
  <c r="G67" i="5"/>
  <c r="F67" i="5"/>
  <c r="M66" i="5"/>
  <c r="L66" i="5"/>
  <c r="G66" i="5"/>
  <c r="F66" i="5"/>
  <c r="M65" i="5"/>
  <c r="L65" i="5"/>
  <c r="G65" i="5"/>
  <c r="F65" i="5"/>
  <c r="M64" i="5"/>
  <c r="L64" i="5"/>
  <c r="G64" i="5"/>
  <c r="F64" i="5"/>
  <c r="M63" i="5"/>
  <c r="L63" i="5"/>
  <c r="G63" i="5"/>
  <c r="F63" i="5"/>
  <c r="M62" i="5"/>
  <c r="L62" i="5"/>
  <c r="G62" i="5"/>
  <c r="F62" i="5"/>
  <c r="G44" i="5"/>
  <c r="F44" i="5"/>
  <c r="G43" i="5"/>
  <c r="F43" i="5"/>
  <c r="G42" i="5"/>
  <c r="F42" i="5"/>
  <c r="G41" i="5"/>
  <c r="F41" i="5"/>
  <c r="G40" i="5"/>
  <c r="F40" i="5"/>
  <c r="G39" i="5"/>
  <c r="F39" i="5"/>
  <c r="G38" i="5"/>
  <c r="F38" i="5"/>
  <c r="G37" i="5"/>
  <c r="F37" i="5"/>
  <c r="G36" i="5"/>
  <c r="F36" i="5"/>
  <c r="G35" i="5"/>
  <c r="F35" i="5"/>
  <c r="G34" i="5"/>
  <c r="F34" i="5"/>
  <c r="G33" i="5"/>
  <c r="F33" i="5"/>
  <c r="G32" i="5"/>
  <c r="F32" i="5"/>
  <c r="G31" i="5"/>
  <c r="F31" i="5"/>
  <c r="G30" i="5"/>
  <c r="F30" i="5"/>
  <c r="G29" i="5"/>
  <c r="F29" i="5"/>
  <c r="D17" i="5"/>
  <c r="R8" i="5"/>
  <c r="R7" i="5"/>
  <c r="D5" i="5"/>
  <c r="U14" i="8"/>
  <c r="W14" i="7"/>
  <c r="W28" i="7" s="1" a="1"/>
  <c r="H30" i="7"/>
  <c r="M10" i="9"/>
  <c r="M20" i="9" s="1" a="1"/>
  <c r="U14" i="6"/>
  <c r="W14" i="5"/>
  <c r="W28" i="5" s="1" a="1"/>
  <c r="M20" i="9" l="1"/>
  <c r="M21" i="9"/>
  <c r="M22" i="9"/>
  <c r="M23" i="9"/>
  <c r="H38" i="7"/>
  <c r="H42" i="7"/>
  <c r="H36" i="7"/>
  <c r="H40" i="7"/>
  <c r="H34" i="7"/>
  <c r="W28" i="5"/>
  <c r="W29" i="5"/>
  <c r="W30" i="5"/>
  <c r="W31" i="5"/>
  <c r="W31" i="7"/>
  <c r="W30" i="7"/>
  <c r="W28" i="7"/>
  <c r="W29" i="7"/>
  <c r="H35" i="7"/>
  <c r="H37" i="7"/>
  <c r="H39" i="7"/>
  <c r="H41" i="7"/>
  <c r="H43" i="7"/>
  <c r="W32" i="5"/>
  <c r="U28" i="6" s="1" a="1"/>
  <c r="I30" i="7"/>
  <c r="H31" i="7"/>
  <c r="W32" i="7"/>
  <c r="U29" i="6" l="1"/>
  <c r="U30" i="6"/>
  <c r="U31" i="6"/>
  <c r="U28" i="6"/>
  <c r="C31" i="1"/>
  <c r="G16" i="1"/>
  <c r="L5" i="4"/>
  <c r="L6" i="4"/>
  <c r="L7" i="4"/>
  <c r="L8" i="4"/>
  <c r="L9" i="4"/>
  <c r="L10" i="4"/>
  <c r="L11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C30" i="4"/>
  <c r="F16" i="4"/>
  <c r="U28" i="8" a="1"/>
  <c r="I31" i="7"/>
  <c r="H32" i="7"/>
  <c r="U32" i="6"/>
  <c r="M17" i="4"/>
  <c r="M46" i="4"/>
  <c r="M20" i="4"/>
  <c r="M37" i="4"/>
  <c r="F17" i="4"/>
  <c r="M40" i="4"/>
  <c r="M25" i="4"/>
  <c r="M39" i="4"/>
  <c r="M28" i="4"/>
  <c r="M45" i="4"/>
  <c r="M23" i="4"/>
  <c r="M33" i="4"/>
  <c r="M19" i="4"/>
  <c r="M36" i="4"/>
  <c r="M38" i="4"/>
  <c r="M47" i="4"/>
  <c r="B25" i="1"/>
  <c r="M41" i="4"/>
  <c r="M27" i="4"/>
  <c r="M44" i="4"/>
  <c r="M24" i="4"/>
  <c r="M43" i="4"/>
  <c r="M31" i="4"/>
  <c r="M18" i="4"/>
  <c r="M35" i="4"/>
  <c r="M22" i="4"/>
  <c r="M32" i="4"/>
  <c r="M42" i="4"/>
  <c r="M26" i="4"/>
  <c r="M29" i="4"/>
  <c r="G17" i="1"/>
  <c r="M34" i="4"/>
  <c r="M30" i="4"/>
  <c r="M21" i="4"/>
  <c r="M16" i="4"/>
  <c r="U28" i="8" l="1"/>
  <c r="U29" i="8"/>
  <c r="U30" i="8"/>
  <c r="U31" i="8"/>
  <c r="G18" i="1"/>
  <c r="F18" i="4"/>
  <c r="I32" i="7"/>
  <c r="H33" i="7"/>
  <c r="U32" i="8"/>
  <c r="G35" i="1"/>
  <c r="G38" i="1"/>
  <c r="G20" i="1"/>
  <c r="F25" i="4"/>
  <c r="F38" i="4"/>
  <c r="F20" i="4"/>
  <c r="G40" i="1"/>
  <c r="G30" i="1"/>
  <c r="G19" i="1"/>
  <c r="F40" i="4"/>
  <c r="F30" i="4"/>
  <c r="B24" i="4"/>
  <c r="G25" i="1"/>
  <c r="F28" i="4"/>
  <c r="G32" i="1"/>
  <c r="G22" i="1"/>
  <c r="F27" i="4"/>
  <c r="F32" i="4"/>
  <c r="F22" i="4"/>
  <c r="B4" i="4"/>
  <c r="F23" i="4"/>
  <c r="G34" i="1"/>
  <c r="G24" i="1"/>
  <c r="G37" i="1"/>
  <c r="F34" i="4"/>
  <c r="F24" i="4"/>
  <c r="F37" i="4"/>
  <c r="G26" i="1"/>
  <c r="G39" i="1"/>
  <c r="G29" i="1"/>
  <c r="F26" i="4"/>
  <c r="F19" i="4"/>
  <c r="F29" i="4"/>
  <c r="F33" i="4"/>
  <c r="G41" i="1"/>
  <c r="G31" i="1"/>
  <c r="G21" i="1"/>
  <c r="F35" i="4"/>
  <c r="F39" i="4"/>
  <c r="F21" i="4"/>
  <c r="G28" i="1"/>
  <c r="G33" i="1"/>
  <c r="G23" i="1"/>
  <c r="G36" i="1"/>
  <c r="F41" i="4"/>
  <c r="F31" i="4"/>
  <c r="F36" i="4"/>
  <c r="G27" i="1"/>
  <c r="E4" i="4"/>
  <c r="N35" i="4" a="1"/>
  <c r="N43" i="4" a="1"/>
  <c r="N46" i="4" a="1"/>
  <c r="M6" i="4" a="1"/>
  <c r="N29" i="4" a="1"/>
  <c r="N23" i="4" a="1"/>
  <c r="M8" i="4" a="1"/>
  <c r="M9" i="4" a="1"/>
  <c r="B4" i="1"/>
  <c r="F4" i="1" s="1"/>
  <c r="O45" i="1" a="1"/>
  <c r="N7" i="1" a="1"/>
  <c r="N16" i="4" a="1"/>
  <c r="N40" i="4" a="1"/>
  <c r="O16" i="1" a="1"/>
  <c r="O47" i="1" a="1"/>
  <c r="N44" i="4" a="1"/>
  <c r="O24" i="1" a="1"/>
  <c r="N11" i="1" a="1"/>
  <c r="O44" i="1" a="1"/>
  <c r="N22" i="4" a="1"/>
  <c r="N25" i="4" a="1"/>
  <c r="N34" i="4" a="1"/>
  <c r="M10" i="4" a="1"/>
  <c r="O27" i="1" a="1"/>
  <c r="O23" i="1" a="1"/>
  <c r="N45" i="4" a="1"/>
  <c r="N17" i="4" a="1"/>
  <c r="O38" i="1" a="1"/>
  <c r="O37" i="1" a="1"/>
  <c r="N41" i="4" a="1"/>
  <c r="O34" i="1" a="1"/>
  <c r="O40" i="1" a="1"/>
  <c r="N19" i="4" a="1"/>
  <c r="M5" i="4" a="1"/>
  <c r="N31" i="4" a="1"/>
  <c r="O25" i="1" a="1"/>
  <c r="O29" i="1" a="1"/>
  <c r="G15" i="4" a="1"/>
  <c r="N32" i="4" a="1"/>
  <c r="M11" i="4" a="1"/>
  <c r="N42" i="4" a="1"/>
  <c r="N30" i="4" a="1"/>
  <c r="M7" i="4" a="1"/>
  <c r="O19" i="1" a="1"/>
  <c r="O28" i="1" a="1"/>
  <c r="N20" i="4" a="1"/>
  <c r="N37" i="4" a="1"/>
  <c r="O30" i="1" a="1"/>
  <c r="O43" i="1" a="1"/>
  <c r="N8" i="1" a="1"/>
  <c r="O42" i="1" a="1"/>
  <c r="N33" i="4" a="1"/>
  <c r="N36" i="4" a="1"/>
  <c r="N28" i="4" a="1"/>
  <c r="N39" i="4" a="1"/>
  <c r="N27" i="4" a="1"/>
  <c r="N47" i="4" a="1"/>
  <c r="N18" i="4" a="1"/>
  <c r="N21" i="4" a="1"/>
  <c r="N24" i="4" a="1"/>
  <c r="N38" i="4" a="1"/>
  <c r="N26" i="4" a="1"/>
  <c r="O33" i="1" a="1"/>
  <c r="O39" i="1" a="1"/>
  <c r="O41" i="1" a="1"/>
  <c r="N5" i="1" a="1"/>
  <c r="O18" i="1" a="1"/>
  <c r="O36" i="1" a="1"/>
  <c r="O22" i="1" a="1"/>
  <c r="O17" i="1" a="1"/>
  <c r="O35" i="1" a="1"/>
  <c r="O20" i="1" a="1"/>
  <c r="O46" i="1" a="1"/>
  <c r="N10" i="1" a="1"/>
  <c r="O26" i="1" a="1"/>
  <c r="N9" i="1" a="1"/>
  <c r="O32" i="1" a="1"/>
  <c r="O31" i="1" a="1"/>
  <c r="N6" i="1" a="1"/>
  <c r="O21" i="1" a="1"/>
  <c r="Q43" i="4" l="1"/>
  <c r="P43" i="4"/>
  <c r="O43" i="4"/>
  <c r="N43" i="4"/>
  <c r="P35" i="4"/>
  <c r="O35" i="4"/>
  <c r="N35" i="4"/>
  <c r="Q35" i="4"/>
  <c r="Q27" i="4"/>
  <c r="P27" i="4"/>
  <c r="O27" i="4"/>
  <c r="N27" i="4"/>
  <c r="N19" i="4"/>
  <c r="Q19" i="4"/>
  <c r="P19" i="4"/>
  <c r="O19" i="4"/>
  <c r="P44" i="4"/>
  <c r="Q44" i="4"/>
  <c r="O44" i="4"/>
  <c r="N44" i="4"/>
  <c r="P36" i="4"/>
  <c r="Q36" i="4"/>
  <c r="O36" i="4"/>
  <c r="N36" i="4"/>
  <c r="P20" i="4"/>
  <c r="O20" i="4"/>
  <c r="Q20" i="4"/>
  <c r="N20" i="4"/>
  <c r="O16" i="4"/>
  <c r="N16" i="4"/>
  <c r="P16" i="4"/>
  <c r="Q16" i="4"/>
  <c r="Q39" i="4"/>
  <c r="N39" i="4"/>
  <c r="P39" i="4"/>
  <c r="O39" i="4"/>
  <c r="Q23" i="4"/>
  <c r="N23" i="4"/>
  <c r="P23" i="4"/>
  <c r="O23" i="4"/>
  <c r="O26" i="4"/>
  <c r="N26" i="4"/>
  <c r="Q26" i="4"/>
  <c r="P26" i="4"/>
  <c r="P45" i="4"/>
  <c r="O45" i="4"/>
  <c r="N45" i="4"/>
  <c r="Q45" i="4"/>
  <c r="P29" i="4"/>
  <c r="O29" i="4"/>
  <c r="N29" i="4"/>
  <c r="Q29" i="4"/>
  <c r="P21" i="4"/>
  <c r="Q21" i="4"/>
  <c r="O21" i="4"/>
  <c r="N21" i="4"/>
  <c r="Q32" i="4"/>
  <c r="O32" i="4"/>
  <c r="N32" i="4"/>
  <c r="P32" i="4"/>
  <c r="N46" i="4"/>
  <c r="P46" i="4"/>
  <c r="Q46" i="4"/>
  <c r="O46" i="4"/>
  <c r="N38" i="4"/>
  <c r="Q38" i="4"/>
  <c r="P38" i="4"/>
  <c r="O38" i="4"/>
  <c r="N30" i="4"/>
  <c r="Q30" i="4"/>
  <c r="P30" i="4"/>
  <c r="O30" i="4"/>
  <c r="N22" i="4"/>
  <c r="O22" i="4"/>
  <c r="Q22" i="4"/>
  <c r="P22" i="4"/>
  <c r="O41" i="4"/>
  <c r="Q41" i="4"/>
  <c r="N41" i="4"/>
  <c r="P41" i="4"/>
  <c r="O33" i="4"/>
  <c r="Q33" i="4"/>
  <c r="N33" i="4"/>
  <c r="P33" i="4"/>
  <c r="O25" i="4"/>
  <c r="N25" i="4"/>
  <c r="Q25" i="4"/>
  <c r="P25" i="4"/>
  <c r="O17" i="4"/>
  <c r="N17" i="4"/>
  <c r="P17" i="4"/>
  <c r="Q17" i="4"/>
  <c r="P28" i="4"/>
  <c r="O28" i="4"/>
  <c r="N28" i="4"/>
  <c r="Q28" i="4"/>
  <c r="Q47" i="4"/>
  <c r="N47" i="4"/>
  <c r="P47" i="4"/>
  <c r="O47" i="4"/>
  <c r="Q31" i="4"/>
  <c r="P31" i="4"/>
  <c r="O31" i="4"/>
  <c r="N31" i="4"/>
  <c r="Q42" i="4"/>
  <c r="P42" i="4"/>
  <c r="O42" i="4"/>
  <c r="N42" i="4"/>
  <c r="Q34" i="4"/>
  <c r="P34" i="4"/>
  <c r="O34" i="4"/>
  <c r="N34" i="4"/>
  <c r="Q18" i="4"/>
  <c r="P18" i="4"/>
  <c r="O18" i="4"/>
  <c r="N18" i="4"/>
  <c r="P37" i="4"/>
  <c r="N37" i="4"/>
  <c r="Q37" i="4"/>
  <c r="O37" i="4"/>
  <c r="Q40" i="4"/>
  <c r="O40" i="4"/>
  <c r="P40" i="4"/>
  <c r="N40" i="4"/>
  <c r="Q24" i="4"/>
  <c r="P24" i="4"/>
  <c r="O24" i="4"/>
  <c r="N24" i="4"/>
  <c r="N7" i="4"/>
  <c r="M7" i="4"/>
  <c r="O7" i="4"/>
  <c r="P7" i="4"/>
  <c r="M10" i="4"/>
  <c r="P10" i="4"/>
  <c r="O10" i="4"/>
  <c r="N10" i="4"/>
  <c r="N5" i="4"/>
  <c r="O5" i="4"/>
  <c r="P5" i="4"/>
  <c r="M5" i="4"/>
  <c r="P9" i="4"/>
  <c r="O9" i="4"/>
  <c r="N9" i="4"/>
  <c r="M9" i="4"/>
  <c r="O8" i="4"/>
  <c r="N8" i="4"/>
  <c r="M8" i="4"/>
  <c r="P8" i="4"/>
  <c r="P11" i="4"/>
  <c r="O11" i="4"/>
  <c r="N11" i="4"/>
  <c r="M11" i="4"/>
  <c r="P6" i="4"/>
  <c r="O6" i="4"/>
  <c r="N6" i="4"/>
  <c r="M6" i="4"/>
  <c r="P17" i="1"/>
  <c r="Q17" i="1"/>
  <c r="O17" i="1"/>
  <c r="R17" i="1"/>
  <c r="O25" i="1"/>
  <c r="Q25" i="1"/>
  <c r="P25" i="1"/>
  <c r="R25" i="1"/>
  <c r="O33" i="1"/>
  <c r="P33" i="1"/>
  <c r="Q33" i="1"/>
  <c r="R33" i="1"/>
  <c r="O41" i="1"/>
  <c r="P41" i="1"/>
  <c r="Q41" i="1"/>
  <c r="R41" i="1"/>
  <c r="O22" i="1"/>
  <c r="P22" i="1"/>
  <c r="R22" i="1"/>
  <c r="Q22" i="1"/>
  <c r="O30" i="1"/>
  <c r="P30" i="1"/>
  <c r="R30" i="1"/>
  <c r="Q30" i="1"/>
  <c r="O38" i="1"/>
  <c r="P38" i="1"/>
  <c r="Q38" i="1"/>
  <c r="R38" i="1"/>
  <c r="O46" i="1"/>
  <c r="P46" i="1"/>
  <c r="R46" i="1"/>
  <c r="Q46" i="1"/>
  <c r="O19" i="1"/>
  <c r="P19" i="1"/>
  <c r="Q19" i="1"/>
  <c r="R19" i="1"/>
  <c r="O27" i="1"/>
  <c r="P27" i="1"/>
  <c r="Q27" i="1"/>
  <c r="R27" i="1"/>
  <c r="O43" i="1"/>
  <c r="P43" i="1"/>
  <c r="Q43" i="1"/>
  <c r="R43" i="1"/>
  <c r="P24" i="1"/>
  <c r="O24" i="1"/>
  <c r="Q24" i="1"/>
  <c r="R24" i="1"/>
  <c r="O32" i="1"/>
  <c r="P32" i="1"/>
  <c r="Q32" i="1"/>
  <c r="R32" i="1"/>
  <c r="O40" i="1"/>
  <c r="P40" i="1"/>
  <c r="Q40" i="1"/>
  <c r="R40" i="1"/>
  <c r="O16" i="1"/>
  <c r="P16" i="1"/>
  <c r="R16" i="1"/>
  <c r="Q16" i="1"/>
  <c r="R21" i="1"/>
  <c r="O21" i="1"/>
  <c r="P21" i="1"/>
  <c r="Q21" i="1"/>
  <c r="R29" i="1"/>
  <c r="O29" i="1"/>
  <c r="Q29" i="1"/>
  <c r="P29" i="1"/>
  <c r="R45" i="1"/>
  <c r="O45" i="1"/>
  <c r="P45" i="1"/>
  <c r="Q45" i="1"/>
  <c r="Q26" i="1"/>
  <c r="R26" i="1"/>
  <c r="O26" i="1"/>
  <c r="P26" i="1"/>
  <c r="Q34" i="1"/>
  <c r="R34" i="1"/>
  <c r="O34" i="1"/>
  <c r="P34" i="1"/>
  <c r="O35" i="1"/>
  <c r="P35" i="1"/>
  <c r="Q35" i="1"/>
  <c r="R35" i="1"/>
  <c r="R37" i="1"/>
  <c r="O37" i="1"/>
  <c r="P37" i="1"/>
  <c r="Q37" i="1"/>
  <c r="Q18" i="1"/>
  <c r="R18" i="1"/>
  <c r="O18" i="1"/>
  <c r="P18" i="1"/>
  <c r="Q42" i="1"/>
  <c r="R42" i="1"/>
  <c r="P42" i="1"/>
  <c r="O42" i="1"/>
  <c r="P23" i="1"/>
  <c r="Q23" i="1"/>
  <c r="R23" i="1"/>
  <c r="O23" i="1"/>
  <c r="O36" i="1"/>
  <c r="Q36" i="1"/>
  <c r="R36" i="1"/>
  <c r="P36" i="1"/>
  <c r="P31" i="1"/>
  <c r="Q31" i="1"/>
  <c r="R31" i="1"/>
  <c r="O31" i="1"/>
  <c r="O44" i="1"/>
  <c r="Q44" i="1"/>
  <c r="R44" i="1"/>
  <c r="P44" i="1"/>
  <c r="P39" i="1"/>
  <c r="Q39" i="1"/>
  <c r="R39" i="1"/>
  <c r="O39" i="1"/>
  <c r="P47" i="1"/>
  <c r="Q47" i="1"/>
  <c r="R47" i="1"/>
  <c r="O47" i="1"/>
  <c r="O20" i="1"/>
  <c r="P20" i="1"/>
  <c r="Q20" i="1"/>
  <c r="R20" i="1"/>
  <c r="O28" i="1"/>
  <c r="R28" i="1"/>
  <c r="P28" i="1"/>
  <c r="Q28" i="1"/>
  <c r="N7" i="1"/>
  <c r="Q7" i="1"/>
  <c r="P7" i="1"/>
  <c r="O7" i="1"/>
  <c r="N10" i="1"/>
  <c r="P10" i="1"/>
  <c r="O10" i="1"/>
  <c r="Q10" i="1"/>
  <c r="Q9" i="1"/>
  <c r="P9" i="1"/>
  <c r="O9" i="1"/>
  <c r="N9" i="1"/>
  <c r="P8" i="1"/>
  <c r="O8" i="1"/>
  <c r="N8" i="1"/>
  <c r="Q8" i="1"/>
  <c r="Q11" i="1"/>
  <c r="P11" i="1"/>
  <c r="O11" i="1"/>
  <c r="N11" i="1"/>
  <c r="Q5" i="1"/>
  <c r="P5" i="1"/>
  <c r="O5" i="1"/>
  <c r="N5" i="1"/>
  <c r="O6" i="1"/>
  <c r="P6" i="1"/>
  <c r="Q6" i="1"/>
  <c r="N6" i="1"/>
  <c r="I16" i="4"/>
  <c r="J19" i="4"/>
  <c r="H24" i="4"/>
  <c r="J25" i="4"/>
  <c r="H31" i="4"/>
  <c r="G35" i="4"/>
  <c r="J28" i="4"/>
  <c r="J33" i="4"/>
  <c r="H25" i="4"/>
  <c r="J24" i="4"/>
  <c r="I22" i="4"/>
  <c r="I19" i="4"/>
  <c r="H43" i="4"/>
  <c r="G33" i="4"/>
  <c r="I28" i="4"/>
  <c r="G16" i="4"/>
  <c r="J31" i="4"/>
  <c r="G26" i="4"/>
  <c r="I26" i="4"/>
  <c r="H26" i="4"/>
  <c r="G41" i="4"/>
  <c r="J32" i="4"/>
  <c r="J43" i="4"/>
  <c r="G23" i="4"/>
  <c r="H20" i="4"/>
  <c r="I39" i="4"/>
  <c r="H40" i="4"/>
  <c r="J20" i="4"/>
  <c r="J40" i="4"/>
  <c r="I46" i="4"/>
  <c r="H23" i="4"/>
  <c r="J46" i="4"/>
  <c r="J29" i="4"/>
  <c r="I18" i="4"/>
  <c r="H32" i="4"/>
  <c r="I36" i="4"/>
  <c r="G46" i="4"/>
  <c r="H29" i="4"/>
  <c r="G20" i="4"/>
  <c r="G45" i="4"/>
  <c r="I30" i="4"/>
  <c r="J44" i="4"/>
  <c r="J30" i="4"/>
  <c r="I32" i="4"/>
  <c r="J35" i="4"/>
  <c r="I41" i="4"/>
  <c r="J41" i="4"/>
  <c r="H47" i="4"/>
  <c r="H33" i="4"/>
  <c r="J47" i="4"/>
  <c r="H16" i="4"/>
  <c r="H41" i="4"/>
  <c r="H46" i="4"/>
  <c r="G31" i="4"/>
  <c r="G32" i="4"/>
  <c r="I25" i="4"/>
  <c r="I45" i="4"/>
  <c r="H19" i="4"/>
  <c r="I42" i="4"/>
  <c r="G30" i="4"/>
  <c r="G34" i="4"/>
  <c r="I31" i="4"/>
  <c r="I20" i="4"/>
  <c r="H38" i="4"/>
  <c r="J21" i="4"/>
  <c r="H17" i="4"/>
  <c r="I40" i="4"/>
  <c r="J45" i="4"/>
  <c r="J37" i="4"/>
  <c r="G29" i="4"/>
  <c r="I47" i="4"/>
  <c r="H28" i="4"/>
  <c r="J22" i="4"/>
  <c r="I35" i="4"/>
  <c r="J18" i="4"/>
  <c r="G44" i="4"/>
  <c r="H22" i="4"/>
  <c r="H15" i="4"/>
  <c r="H18" i="4"/>
  <c r="G43" i="4"/>
  <c r="H27" i="4"/>
  <c r="I33" i="4"/>
  <c r="G25" i="4"/>
  <c r="G18" i="4"/>
  <c r="G22" i="4"/>
  <c r="G24" i="4"/>
  <c r="J27" i="4"/>
  <c r="I15" i="4"/>
  <c r="J36" i="4"/>
  <c r="H34" i="4"/>
  <c r="I23" i="4"/>
  <c r="H36" i="4"/>
  <c r="I43" i="4"/>
  <c r="H44" i="4"/>
  <c r="J23" i="4"/>
  <c r="I17" i="4"/>
  <c r="J26" i="4"/>
  <c r="H30" i="4"/>
  <c r="J15" i="4"/>
  <c r="J16" i="4"/>
  <c r="G39" i="4"/>
  <c r="J42" i="4"/>
  <c r="G21" i="4"/>
  <c r="H39" i="4"/>
  <c r="I44" i="4"/>
  <c r="H21" i="4"/>
  <c r="J39" i="4"/>
  <c r="G47" i="4"/>
  <c r="G37" i="4"/>
  <c r="G36" i="4"/>
  <c r="H37" i="4"/>
  <c r="G38" i="4"/>
  <c r="G42" i="4"/>
  <c r="H42" i="4"/>
  <c r="G15" i="4"/>
  <c r="J34" i="4"/>
  <c r="I34" i="4"/>
  <c r="G17" i="4"/>
  <c r="I38" i="4"/>
  <c r="I21" i="4"/>
  <c r="I24" i="4"/>
  <c r="G28" i="4"/>
  <c r="G27" i="4"/>
  <c r="I29" i="4"/>
  <c r="I27" i="4"/>
  <c r="H35" i="4"/>
  <c r="I37" i="4"/>
  <c r="H45" i="4"/>
  <c r="G19" i="4"/>
  <c r="J17" i="4"/>
  <c r="J38" i="4"/>
  <c r="G40" i="4"/>
  <c r="M24" i="9"/>
  <c r="I33" i="7"/>
  <c r="H15" i="1" a="1"/>
  <c r="J30" i="1" l="1"/>
  <c r="J46" i="1"/>
  <c r="K38" i="1"/>
  <c r="K18" i="1"/>
  <c r="H21" i="1"/>
  <c r="H37" i="1"/>
  <c r="K39" i="1"/>
  <c r="I42" i="1"/>
  <c r="I29" i="1"/>
  <c r="I45" i="1"/>
  <c r="H34" i="1"/>
  <c r="J17" i="1"/>
  <c r="J33" i="1"/>
  <c r="K17" i="1"/>
  <c r="H40" i="1"/>
  <c r="K37" i="1"/>
  <c r="I27" i="1"/>
  <c r="J16" i="1"/>
  <c r="J32" i="1"/>
  <c r="K16" i="1"/>
  <c r="K40" i="1"/>
  <c r="K24" i="1"/>
  <c r="H23" i="1"/>
  <c r="H39" i="1"/>
  <c r="K47" i="1"/>
  <c r="I15" i="1"/>
  <c r="I31" i="1"/>
  <c r="I47" i="1"/>
  <c r="H42" i="1"/>
  <c r="J19" i="1"/>
  <c r="J35" i="1"/>
  <c r="K23" i="1"/>
  <c r="H46" i="1"/>
  <c r="K45" i="1"/>
  <c r="J18" i="1"/>
  <c r="J34" i="1"/>
  <c r="K20" i="1"/>
  <c r="K42" i="1"/>
  <c r="K30" i="1"/>
  <c r="H25" i="1"/>
  <c r="H41" i="1"/>
  <c r="H20" i="1"/>
  <c r="I17" i="1"/>
  <c r="I33" i="1"/>
  <c r="K19" i="1"/>
  <c r="I18" i="1"/>
  <c r="J21" i="1"/>
  <c r="J37" i="1"/>
  <c r="K29" i="1"/>
  <c r="I16" i="1"/>
  <c r="H18" i="1"/>
  <c r="H35" i="1"/>
  <c r="H32" i="1"/>
  <c r="J20" i="1"/>
  <c r="J36" i="1"/>
  <c r="K22" i="1"/>
  <c r="K44" i="1"/>
  <c r="K36" i="1"/>
  <c r="H27" i="1"/>
  <c r="H43" i="1"/>
  <c r="H28" i="1"/>
  <c r="I19" i="1"/>
  <c r="I35" i="1"/>
  <c r="K27" i="1"/>
  <c r="I24" i="1"/>
  <c r="J23" i="1"/>
  <c r="J39" i="1"/>
  <c r="K35" i="1"/>
  <c r="I26" i="1"/>
  <c r="H30" i="1"/>
  <c r="K25" i="1"/>
  <c r="J22" i="1"/>
  <c r="J38" i="1"/>
  <c r="K26" i="1"/>
  <c r="K46" i="1"/>
  <c r="I34" i="1"/>
  <c r="H29" i="1"/>
  <c r="H45" i="1"/>
  <c r="H36" i="1"/>
  <c r="I21" i="1"/>
  <c r="I37" i="1"/>
  <c r="K33" i="1"/>
  <c r="I32" i="1"/>
  <c r="J25" i="1"/>
  <c r="J41" i="1"/>
  <c r="K43" i="1"/>
  <c r="I36" i="1"/>
  <c r="H38" i="1"/>
  <c r="J31" i="1"/>
  <c r="J24" i="1"/>
  <c r="J40" i="1"/>
  <c r="K28" i="1"/>
  <c r="I22" i="1"/>
  <c r="H15" i="1"/>
  <c r="H31" i="1"/>
  <c r="H47" i="1"/>
  <c r="H44" i="1"/>
  <c r="I23" i="1"/>
  <c r="I39" i="1"/>
  <c r="K41" i="1"/>
  <c r="I38" i="1"/>
  <c r="J27" i="1"/>
  <c r="J43" i="1"/>
  <c r="H16" i="1"/>
  <c r="I44" i="1"/>
  <c r="J28" i="1"/>
  <c r="J44" i="1"/>
  <c r="K34" i="1"/>
  <c r="I40" i="1"/>
  <c r="H19" i="1"/>
  <c r="K31" i="1"/>
  <c r="I30" i="1"/>
  <c r="I43" i="1"/>
  <c r="H26" i="1"/>
  <c r="J15" i="1"/>
  <c r="J47" i="1"/>
  <c r="J26" i="1"/>
  <c r="J42" i="1"/>
  <c r="K32" i="1"/>
  <c r="I28" i="1"/>
  <c r="H17" i="1"/>
  <c r="H33" i="1"/>
  <c r="K21" i="1"/>
  <c r="I20" i="1"/>
  <c r="I25" i="1"/>
  <c r="I41" i="1"/>
  <c r="H22" i="1"/>
  <c r="I46" i="1"/>
  <c r="J29" i="1"/>
  <c r="J45" i="1"/>
  <c r="H24" i="1"/>
  <c r="K15" i="1"/>
</calcChain>
</file>

<file path=xl/comments1.xml><?xml version="1.0" encoding="utf-8"?>
<comments xmlns="http://schemas.openxmlformats.org/spreadsheetml/2006/main">
  <authors>
    <author>Ye Joseph</author>
    <author>Nicholas Burgess</author>
  </authors>
  <commentList>
    <comment ref="E38" authorId="0" shapeId="0">
      <text>
        <r>
          <rPr>
            <b/>
            <sz val="9"/>
            <color indexed="81"/>
            <rFont val="Tahoma"/>
            <family val="2"/>
          </rPr>
          <t>FALSE - Non USD ccy is the foreign ccy; TRUE - non USD ccy is the domestic ccy</t>
        </r>
      </text>
    </comment>
    <comment ref="E93" authorId="1" shapeId="0">
      <text>
        <r>
          <rPr>
            <u/>
            <sz val="12"/>
            <color indexed="12"/>
            <rFont val="Tahoma"/>
            <family val="2"/>
          </rPr>
          <t>Interpolation</t>
        </r>
        <r>
          <rPr>
            <sz val="12"/>
            <color indexed="81"/>
            <rFont val="Tahoma"/>
            <family val="2"/>
          </rPr>
          <t xml:space="preserve">
The interpolation method to be used for the OIS Discount Curve</t>
        </r>
      </text>
    </comment>
  </commentList>
</comments>
</file>

<file path=xl/sharedStrings.xml><?xml version="1.0" encoding="utf-8"?>
<sst xmlns="http://schemas.openxmlformats.org/spreadsheetml/2006/main" count="1551" uniqueCount="351">
  <si>
    <t>CURVEPROPERTIES</t>
  </si>
  <si>
    <t>EURUSD</t>
  </si>
  <si>
    <t>Currency</t>
  </si>
  <si>
    <t>DfCurveName</t>
  </si>
  <si>
    <t>EURDF_USDCSA,USDDF</t>
  </si>
  <si>
    <t>CurveType</t>
  </si>
  <si>
    <t>FX</t>
  </si>
  <si>
    <t>Interpolation</t>
  </si>
  <si>
    <t>linear</t>
  </si>
  <si>
    <t>FXFWDS</t>
  </si>
  <si>
    <t>Calendar</t>
  </si>
  <si>
    <t>NYB:TGT</t>
  </si>
  <si>
    <t>ResetLag</t>
  </si>
  <si>
    <t>2D</t>
  </si>
  <si>
    <t>SlidingRule</t>
  </si>
  <si>
    <t>MOD_FOLLOWING</t>
  </si>
  <si>
    <t>iseomroll</t>
  </si>
  <si>
    <t>eomday</t>
  </si>
  <si>
    <t>MARKETDATAPROPERTIES</t>
  </si>
  <si>
    <t>AsOfDate</t>
  </si>
  <si>
    <t>PipSize</t>
  </si>
  <si>
    <t>FXSPOTS</t>
  </si>
  <si>
    <t>Bid</t>
  </si>
  <si>
    <t>Ask</t>
  </si>
  <si>
    <t>Term</t>
  </si>
  <si>
    <t>ON</t>
  </si>
  <si>
    <t>TN</t>
  </si>
  <si>
    <t>1W</t>
  </si>
  <si>
    <t>2W</t>
  </si>
  <si>
    <t>3W</t>
  </si>
  <si>
    <t>1M</t>
  </si>
  <si>
    <t>2M</t>
  </si>
  <si>
    <t>3M</t>
  </si>
  <si>
    <t>4M</t>
  </si>
  <si>
    <t>5M</t>
  </si>
  <si>
    <t>6M</t>
  </si>
  <si>
    <t>9M</t>
  </si>
  <si>
    <t>1Y</t>
  </si>
  <si>
    <t>15M</t>
  </si>
  <si>
    <t>18M</t>
  </si>
  <si>
    <t>2Y</t>
  </si>
  <si>
    <t>3Y</t>
  </si>
  <si>
    <t>4Y</t>
  </si>
  <si>
    <t>5Y</t>
  </si>
  <si>
    <t>6Y</t>
  </si>
  <si>
    <t>7Y</t>
  </si>
  <si>
    <t>8Y</t>
  </si>
  <si>
    <t>9Y</t>
  </si>
  <si>
    <t>10Y</t>
  </si>
  <si>
    <t>Tenor</t>
  </si>
  <si>
    <t>SettlementDate</t>
  </si>
  <si>
    <t>SP</t>
  </si>
  <si>
    <t>SN</t>
  </si>
  <si>
    <t>TermCurveCollection</t>
  </si>
  <si>
    <t>BaseCurveCollection</t>
  </si>
  <si>
    <t>EURYC</t>
  </si>
  <si>
    <t>USDYC</t>
  </si>
  <si>
    <t>Base/Term</t>
  </si>
  <si>
    <t>meLWOFXForwardsFromDiscountCurves</t>
  </si>
  <si>
    <t>CurveCollections</t>
  </si>
  <si>
    <t>meLWOFXForwards</t>
  </si>
  <si>
    <t>NearByDate</t>
  </si>
  <si>
    <t>CURVEGEN_FWDPTS</t>
  </si>
  <si>
    <t>MKTDATA_FWDPTS</t>
  </si>
  <si>
    <t>CURVE_FWDPTS</t>
  </si>
  <si>
    <t>CURVECOLLECTIONS</t>
  </si>
  <si>
    <t>FORWARD FORWARDS</t>
  </si>
  <si>
    <t>Date</t>
  </si>
  <si>
    <t>FarDate</t>
  </si>
  <si>
    <t>BROKEN DATES</t>
  </si>
  <si>
    <t>CURVEGEN_DISCFACTORS</t>
  </si>
  <si>
    <t>MKTDATA_DISCFACTORS</t>
  </si>
  <si>
    <t>CURVE_DISCFACTORS</t>
  </si>
  <si>
    <t>BidPoints</t>
  </si>
  <si>
    <t>AskPoints</t>
  </si>
  <si>
    <t>BidOutright</t>
  </si>
  <si>
    <t>AskOutright</t>
  </si>
  <si>
    <t>Enable</t>
  </si>
  <si>
    <t xml:space="preserve"> </t>
  </si>
  <si>
    <t>Create &amp; Save Curve Generator</t>
  </si>
  <si>
    <t>OIS</t>
  </si>
  <si>
    <t>LIBOROISBASISSPREADS</t>
  </si>
  <si>
    <t>SWAPS</t>
  </si>
  <si>
    <t>meCurveCalibrateOIS</t>
  </si>
  <si>
    <t>Rate</t>
  </si>
  <si>
    <t>StartDate</t>
  </si>
  <si>
    <t>EndDate</t>
  </si>
  <si>
    <t>Use</t>
  </si>
  <si>
    <t>Generator Filepath</t>
  </si>
  <si>
    <t>C:\Temp\USD_OIS.JSON</t>
  </si>
  <si>
    <t>USD</t>
  </si>
  <si>
    <t>Curve Names</t>
  </si>
  <si>
    <t>Create Curve Generator</t>
  </si>
  <si>
    <t>CurveCollection</t>
  </si>
  <si>
    <t>Save Curve Generator</t>
  </si>
  <si>
    <t>CurveIndexFrequency</t>
  </si>
  <si>
    <t>DAILY</t>
  </si>
  <si>
    <t>StaticDataTable</t>
  </si>
  <si>
    <t>IndexName(s)</t>
  </si>
  <si>
    <t>OIS:USDOIS:USDDF:USDDF_USDCSA:USDDF_NOCSA</t>
  </si>
  <si>
    <t>Create Market Data Handle</t>
  </si>
  <si>
    <t>Handle Name</t>
  </si>
  <si>
    <t>USD_OIS_CURVE_MARKETDATA</t>
  </si>
  <si>
    <t>12Y</t>
  </si>
  <si>
    <t>Curve Build Properties</t>
  </si>
  <si>
    <t>IndexName</t>
  </si>
  <si>
    <t>Market Data Handle</t>
  </si>
  <si>
    <t>15Y</t>
  </si>
  <si>
    <t>20Y</t>
  </si>
  <si>
    <t>interpolation</t>
  </si>
  <si>
    <t>FN_SPLINEINTERPOLATION</t>
  </si>
  <si>
    <t>25Y</t>
  </si>
  <si>
    <t>yieldgen.interpolation</t>
  </si>
  <si>
    <t>30Y</t>
  </si>
  <si>
    <t>40Y</t>
  </si>
  <si>
    <t>Extrapolated</t>
  </si>
  <si>
    <t>Curve Dictionary</t>
  </si>
  <si>
    <t>50Y</t>
  </si>
  <si>
    <t>USD_OIS_CURVE</t>
  </si>
  <si>
    <t>Curve Generator</t>
  </si>
  <si>
    <t>USD_OIS</t>
  </si>
  <si>
    <t>calendar</t>
  </si>
  <si>
    <t>NYB</t>
  </si>
  <si>
    <t>Domestic Curve Collection</t>
  </si>
  <si>
    <t>daycount</t>
  </si>
  <si>
    <t>ACT/360</t>
  </si>
  <si>
    <t>Foreign Curve Collection</t>
  </si>
  <si>
    <t>frequency</t>
  </si>
  <si>
    <t>ANNUAL</t>
  </si>
  <si>
    <t>Overnight Indexed Swaps</t>
  </si>
  <si>
    <t>generatemethod</t>
  </si>
  <si>
    <t>DAILYCOMPOUNDING</t>
  </si>
  <si>
    <t>resetlag</t>
  </si>
  <si>
    <t>OIS Conventions</t>
  </si>
  <si>
    <t>OIS Par Rates</t>
  </si>
  <si>
    <t>OIS Fixing Table</t>
  </si>
  <si>
    <t>firstrate</t>
  </si>
  <si>
    <t>SHORTMARKET</t>
  </si>
  <si>
    <t>Curve Build</t>
  </si>
  <si>
    <t>NYB:LNB</t>
  </si>
  <si>
    <t>slidingrule</t>
  </si>
  <si>
    <t>Curve Collection</t>
  </si>
  <si>
    <t>Curve Index</t>
  </si>
  <si>
    <t>shorttermconvention</t>
  </si>
  <si>
    <t>ARITHMETICAVERAGE</t>
  </si>
  <si>
    <t>Calibration Time Taken</t>
  </si>
  <si>
    <t>longtermconvention</t>
  </si>
  <si>
    <t>LOBASIS</t>
  </si>
  <si>
    <t>Curve Loaded</t>
  </si>
  <si>
    <t>longterm</t>
  </si>
  <si>
    <t>longterm.generatemethod</t>
  </si>
  <si>
    <t>NONE</t>
  </si>
  <si>
    <t>Epsilon</t>
  </si>
  <si>
    <t>MaxLoop</t>
  </si>
  <si>
    <t>CompoundingMethod</t>
  </si>
  <si>
    <t>ARITHMETIC</t>
  </si>
  <si>
    <t>SmoothShortEnd</t>
  </si>
  <si>
    <t>LIBOROISBASIS</t>
  </si>
  <si>
    <t>OIS FLOAT LEG CONVENTIONS</t>
  </si>
  <si>
    <t>LNB:NYB</t>
  </si>
  <si>
    <t>Daycount</t>
  </si>
  <si>
    <t>Frequency</t>
  </si>
  <si>
    <t>QUARTERLY</t>
  </si>
  <si>
    <t>LIBOR SWAP CONVENTIONS - FIXED LEG</t>
  </si>
  <si>
    <t>daycountfix</t>
  </si>
  <si>
    <t>30/360</t>
  </si>
  <si>
    <t>frequencyfix</t>
  </si>
  <si>
    <t>SEMI-ANNUAL</t>
  </si>
  <si>
    <t>Libor-OIS Basis Swaps</t>
  </si>
  <si>
    <t>Libor-OIS Tenor Basis Conventions</t>
  </si>
  <si>
    <t>Libor-OIS  Spreads</t>
  </si>
  <si>
    <t>Libor Swap Conventions</t>
  </si>
  <si>
    <t>Libor Swap  Rates</t>
  </si>
  <si>
    <t>LIBORFIXINGS</t>
  </si>
  <si>
    <t>FUTURES</t>
  </si>
  <si>
    <t>meCurveCalibrateSwap</t>
  </si>
  <si>
    <t>Volatility</t>
  </si>
  <si>
    <t>C:\Temp\USD_SWAP_3M.JSON</t>
  </si>
  <si>
    <t>SWAP</t>
  </si>
  <si>
    <t>ED1 Comdty</t>
  </si>
  <si>
    <t>ED2 Comdty</t>
  </si>
  <si>
    <t>ED3 Comdty</t>
  </si>
  <si>
    <t>12M</t>
  </si>
  <si>
    <t>ED4 Comdty</t>
  </si>
  <si>
    <t>STD</t>
  </si>
  <si>
    <t>ED5 Comdty</t>
  </si>
  <si>
    <t>STD:USD3ML</t>
  </si>
  <si>
    <t>ED6 Comdty</t>
  </si>
  <si>
    <t>ED7 Comdty</t>
  </si>
  <si>
    <t>USD_SWAP_3M_CURVE_MARKETDATA</t>
  </si>
  <si>
    <t>ED8 Comdty</t>
  </si>
  <si>
    <t>FN_LINEARSPLINEINTERPOLATION</t>
  </si>
  <si>
    <t>future.interpolation</t>
  </si>
  <si>
    <t>isfrause</t>
  </si>
  <si>
    <t>isfutureuse</t>
  </si>
  <si>
    <t>USD_SWAP_3M_CURVE</t>
  </si>
  <si>
    <t>SIMPLE</t>
  </si>
  <si>
    <t>USD_SWAP_3M</t>
  </si>
  <si>
    <t>dfcurvename</t>
  </si>
  <si>
    <t>AlwaysCalcJoinDate</t>
  </si>
  <si>
    <t>FastRebuild</t>
  </si>
  <si>
    <t>MONEYMARKET</t>
  </si>
  <si>
    <t>Act/360</t>
  </si>
  <si>
    <t>Cash Instruments</t>
  </si>
  <si>
    <t>FOLLOWING</t>
  </si>
  <si>
    <t>Money Market O/N and T/N Conventions</t>
  </si>
  <si>
    <t>Libor Conventions</t>
  </si>
  <si>
    <t>Libor Fixing Table</t>
  </si>
  <si>
    <t>simple</t>
  </si>
  <si>
    <t>2</t>
  </si>
  <si>
    <r>
      <t>* These fixings are used in the tenor basis curves see '</t>
    </r>
    <r>
      <rPr>
        <sz val="11"/>
        <color rgb="FF0000FF"/>
        <rFont val="Calibri"/>
        <family val="2"/>
        <scheme val="minor"/>
      </rPr>
      <t>SpotRateTerm</t>
    </r>
    <r>
      <rPr>
        <sz val="11"/>
        <rFont val="Calibri"/>
        <family val="2"/>
        <scheme val="minor"/>
      </rPr>
      <t>'</t>
    </r>
  </si>
  <si>
    <t>FRA Instruments</t>
  </si>
  <si>
    <t>FRAS</t>
  </si>
  <si>
    <t>FRA Conventions</t>
  </si>
  <si>
    <t>FRA Market Data X3</t>
  </si>
  <si>
    <t>FRA Market Data x6</t>
  </si>
  <si>
    <t>MeanReversion</t>
  </si>
  <si>
    <t>ApplyTension</t>
  </si>
  <si>
    <t>TensionGap</t>
  </si>
  <si>
    <t>Futures Instruments</t>
  </si>
  <si>
    <t>Futures Conventions</t>
  </si>
  <si>
    <t>Futures Data</t>
  </si>
  <si>
    <t>Term / Ticker</t>
  </si>
  <si>
    <t>Futures Price</t>
  </si>
  <si>
    <t>Volatility / Convexity</t>
  </si>
  <si>
    <t>DayCount</t>
  </si>
  <si>
    <t>DayCountFloat</t>
  </si>
  <si>
    <t>Semi-Annual</t>
  </si>
  <si>
    <t>FrequencyFloat</t>
  </si>
  <si>
    <t>Quarterly</t>
  </si>
  <si>
    <t>IsEomRoll</t>
  </si>
  <si>
    <t>EomDay</t>
  </si>
  <si>
    <t>IsNewtonraphson</t>
  </si>
  <si>
    <t>Resetlag</t>
  </si>
  <si>
    <t>issimultaneouseq</t>
  </si>
  <si>
    <t>Swap Instruments</t>
  </si>
  <si>
    <t>Swap Conventions</t>
  </si>
  <si>
    <t>Swap Data</t>
  </si>
  <si>
    <t>C:\Temp\EUR_OIS.JSON</t>
  </si>
  <si>
    <t>EUR</t>
  </si>
  <si>
    <t>ECB1</t>
  </si>
  <si>
    <t>ECB2</t>
  </si>
  <si>
    <t>ECB3</t>
  </si>
  <si>
    <t>OIS:EUROIS:EURDF:EURDF_EURCSA:EURDF_NOCSA</t>
  </si>
  <si>
    <t>ECB4</t>
  </si>
  <si>
    <t>EUR_OIS_CURVE_MARKETDATA</t>
  </si>
  <si>
    <t>11Y</t>
  </si>
  <si>
    <t>fn_SplineInterpolation</t>
  </si>
  <si>
    <t>EUR_OIS_CURVE</t>
  </si>
  <si>
    <t>TGT</t>
  </si>
  <si>
    <t>EUR_OIS</t>
  </si>
  <si>
    <t>55Y</t>
  </si>
  <si>
    <t/>
  </si>
  <si>
    <t>GEOMETRIC</t>
  </si>
  <si>
    <t>C:\Temp\EUR_SWAP_3M.JSON</t>
  </si>
  <si>
    <t>ER1</t>
  </si>
  <si>
    <t>ER2</t>
  </si>
  <si>
    <t>ER3</t>
  </si>
  <si>
    <t>ER4</t>
  </si>
  <si>
    <t>STD:EUR3ML</t>
  </si>
  <si>
    <t>EUR_SWAP_3M_CURVE_MARKETDATA</t>
  </si>
  <si>
    <t>FALSE</t>
  </si>
  <si>
    <t>fn_LinearSplineInterpolation</t>
  </si>
  <si>
    <t>TRUE</t>
  </si>
  <si>
    <t>EUR_SWAP_3M_CURVE</t>
  </si>
  <si>
    <t>EUR_SWAP_3M</t>
  </si>
  <si>
    <t>Slidingrule</t>
  </si>
  <si>
    <t>Simple</t>
  </si>
  <si>
    <t>Annual</t>
  </si>
  <si>
    <t>XCCYSWAPS</t>
  </si>
  <si>
    <t>meCurveCalibrateBasis</t>
  </si>
  <si>
    <t>Ccy1</t>
  </si>
  <si>
    <t>Ccy2</t>
  </si>
  <si>
    <t>XCCYBASIS</t>
  </si>
  <si>
    <t>1=IF(AND(isEUR3MLLoaded,isUSD3MLLoaded),meCurveCalibrateBasis(CurveCollection,StaticDataTable,IndexName,CurveBuildProperties,XccyBasisSwapConventions,XccyBasisMarketData,D32:E52,G39:H52,G33:I34),"Error Building Xccy Basis Curve")</t>
  </si>
  <si>
    <t>CREATE MARKET DATA HANDLE</t>
  </si>
  <si>
    <t>EUR_XCCYBASIS_MARKETDATA</t>
  </si>
  <si>
    <t>XccyBasis</t>
  </si>
  <si>
    <t>XccyBasis:EURDF_USDCSA</t>
  </si>
  <si>
    <t>CURVE DICTIONARY</t>
  </si>
  <si>
    <t>HandleName</t>
  </si>
  <si>
    <t>EUR_XCCY_CURVE</t>
  </si>
  <si>
    <t>CurveGenerator</t>
  </si>
  <si>
    <t>EUR_XCCY</t>
  </si>
  <si>
    <t>DomesticCurve</t>
  </si>
  <si>
    <t>ForeignCurve</t>
  </si>
  <si>
    <t>CREATE CURVE HANDLE</t>
  </si>
  <si>
    <t>Extrapolation</t>
  </si>
  <si>
    <t>basis.interpolation</t>
  </si>
  <si>
    <t>isRenotionalAdjust</t>
  </si>
  <si>
    <t>isFwdFX</t>
  </si>
  <si>
    <t>IsCurveLoaded</t>
  </si>
  <si>
    <t>FX Properties</t>
  </si>
  <si>
    <t>FX Forward Conventions</t>
  </si>
  <si>
    <t>FX Spot Markets</t>
  </si>
  <si>
    <t>LnB:NYB:TGT</t>
  </si>
  <si>
    <t>mod_following</t>
  </si>
  <si>
    <t>denominator</t>
  </si>
  <si>
    <t>FX Forward Markets</t>
  </si>
  <si>
    <t>ispriceccy</t>
  </si>
  <si>
    <t>isratio</t>
  </si>
  <si>
    <t>Xccy Basis Swaps</t>
  </si>
  <si>
    <t>Xccy Basis Swap Conventions</t>
  </si>
  <si>
    <t>Xccy Basis Spreads</t>
  </si>
  <si>
    <t>MarketName</t>
  </si>
  <si>
    <t>Leg1Discount Unknown :
OIS is the initial guess</t>
  </si>
  <si>
    <t>adjustvalue.interpolation</t>
  </si>
  <si>
    <t>isleg1spread</t>
  </si>
  <si>
    <t>leg1cashlet.calendar</t>
  </si>
  <si>
    <t>LNB:NYB:TGT</t>
  </si>
  <si>
    <t>leg1cashlet.daycount</t>
  </si>
  <si>
    <t>leg1cashlet.frequency</t>
  </si>
  <si>
    <t>leg1cashlet.slidingrule</t>
  </si>
  <si>
    <t>leg1cashlet.spotlag</t>
  </si>
  <si>
    <t>leg1discount</t>
  </si>
  <si>
    <t>leg1forecast</t>
  </si>
  <si>
    <t>EUR3ML</t>
  </si>
  <si>
    <t>leg1index.accessary</t>
  </si>
  <si>
    <t>leg1index.daycount</t>
  </si>
  <si>
    <t>leg1index.fixing.calendar</t>
  </si>
  <si>
    <t>leg1index.frequency</t>
  </si>
  <si>
    <t>leg1index.payment.calendar</t>
  </si>
  <si>
    <t>leg1index.resetlag</t>
  </si>
  <si>
    <t>leg1index.slidingrule</t>
  </si>
  <si>
    <t>Known Leg</t>
  </si>
  <si>
    <t>leg2cashlet.calendar</t>
  </si>
  <si>
    <t>leg2cashlet.daycount</t>
  </si>
  <si>
    <t>leg2cashlet.frequency</t>
  </si>
  <si>
    <t>leg2cashlet.slidingrule</t>
  </si>
  <si>
    <t>leg2cashlet.spotlag</t>
  </si>
  <si>
    <t>leg2discount</t>
  </si>
  <si>
    <t>USDYC:OIS</t>
  </si>
  <si>
    <t>leg2forecast</t>
  </si>
  <si>
    <t>USDYC:USD3ML</t>
  </si>
  <si>
    <t>leg2index.accessary</t>
  </si>
  <si>
    <t>leg2index.daycount</t>
  </si>
  <si>
    <t>leg2index.fixing.calendar</t>
  </si>
  <si>
    <t>leg2index.frequency</t>
  </si>
  <si>
    <t>leg2index.payment.calendar</t>
  </si>
  <si>
    <t>leg2index.resetlag</t>
  </si>
  <si>
    <t>leg2index.slidingrule</t>
  </si>
  <si>
    <t>target</t>
  </si>
  <si>
    <t>Leg1Discount</t>
  </si>
  <si>
    <t>isfwdinter</t>
  </si>
  <si>
    <t>fwdinterpolation</t>
  </si>
  <si>
    <t>isyieldspreadcalc</t>
  </si>
  <si>
    <t>spotrateterm</t>
  </si>
  <si>
    <t>issamegridindex</t>
  </si>
  <si>
    <t>isFXOutright</t>
  </si>
  <si>
    <t>Domestic</t>
  </si>
  <si>
    <t>Foreign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</si>
</sst>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3">
    <numFmt numFmtId="41" formatCode="_-* #,##0_-;\-* #,##0_-;_-* &quot;-&quot;_-;_-@_-"/>
    <numFmt numFmtId="43" formatCode="_-* #,##0.00_-;\-* #,##0.00_-;_-* &quot;-&quot;??_-;_-@_-"/>
    <numFmt numFmtId="164" formatCode="ddd\,\ d\-mmm\-yy"/>
    <numFmt numFmtId="165" formatCode="#,##0.0000"/>
    <numFmt numFmtId="166" formatCode="0.0000"/>
    <numFmt numFmtId="167" formatCode="0.00000%"/>
    <numFmt numFmtId="168" formatCode="0.0000%"/>
    <numFmt numFmtId="169" formatCode="0.000%"/>
    <numFmt numFmtId="170" formatCode="#,##0.000"/>
    <numFmt numFmtId="171" formatCode="#,##0.0000_ ;\-#,##0.0000\ "/>
    <numFmt numFmtId="172" formatCode="#,##0.000000_ ;\-#,##0.000000\ "/>
    <numFmt numFmtId="173" formatCode="_-* #,##0.000000_-;\-* #,##0.000000_-;_-* &quot;-&quot;??_-;_-@_-"/>
    <numFmt numFmtId="174" formatCode="#,##0.00_ ;\-#,##0.00\ 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6600"/>
      <name val="Calibri"/>
      <family val="2"/>
      <scheme val="minor"/>
    </font>
    <font>
      <b/>
      <sz val="11"/>
      <color rgb="FF006600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rgb="FF0000FF"/>
      <name val="Calibri"/>
      <family val="2"/>
      <scheme val="minor"/>
    </font>
    <font>
      <sz val="11"/>
      <color rgb="FF0000FF"/>
      <name val="Calibri"/>
      <family val="2"/>
      <scheme val="minor"/>
    </font>
    <font>
      <i/>
      <sz val="1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name val="Times New Roman"/>
      <family val="1"/>
    </font>
    <font>
      <sz val="11"/>
      <color theme="0" tint="-0.34998626667073579"/>
      <name val="Calibri"/>
      <family val="2"/>
      <scheme val="minor"/>
    </font>
    <font>
      <sz val="20"/>
      <color rgb="FF0000FF"/>
      <name val="Calibri"/>
      <family val="2"/>
      <scheme val="minor"/>
    </font>
    <font>
      <sz val="20"/>
      <name val="Calibri"/>
      <family val="2"/>
      <scheme val="minor"/>
    </font>
    <font>
      <b/>
      <sz val="9"/>
      <color indexed="81"/>
      <name val="Tahoma"/>
      <family val="2"/>
    </font>
    <font>
      <u/>
      <sz val="12"/>
      <color indexed="12"/>
      <name val="Tahoma"/>
      <family val="2"/>
    </font>
    <font>
      <sz val="12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/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/>
      <right/>
      <top style="thin">
        <color theme="0" tint="-0.14996795556505021"/>
      </top>
      <bottom/>
      <diagonal/>
    </border>
    <border>
      <left/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/>
      <top/>
      <bottom/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/>
      <right/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dotted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dotted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dotted">
        <color theme="0" tint="-0.24994659260841701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6" fillId="0" borderId="0">
      <alignment vertical="center"/>
    </xf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09">
    <xf numFmtId="0" fontId="0" fillId="0" borderId="0" xfId="0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2" fillId="0" borderId="0" xfId="0" applyFont="1"/>
    <xf numFmtId="0" fontId="5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0" fontId="2" fillId="0" borderId="11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4" fontId="0" fillId="0" borderId="0" xfId="0" applyNumberFormat="1" applyBorder="1" applyAlignment="1">
      <alignment horizontal="center" vertical="center"/>
    </xf>
    <xf numFmtId="4" fontId="0" fillId="0" borderId="10" xfId="0" applyNumberFormat="1" applyBorder="1" applyAlignment="1">
      <alignment horizontal="center" vertical="center"/>
    </xf>
    <xf numFmtId="4" fontId="0" fillId="0" borderId="11" xfId="0" applyNumberFormat="1" applyBorder="1" applyAlignment="1">
      <alignment horizontal="center" vertical="center"/>
    </xf>
    <xf numFmtId="4" fontId="0" fillId="0" borderId="7" xfId="0" applyNumberFormat="1" applyBorder="1" applyAlignment="1">
      <alignment horizontal="center" vertical="center"/>
    </xf>
    <xf numFmtId="165" fontId="0" fillId="0" borderId="8" xfId="0" applyNumberFormat="1" applyBorder="1" applyAlignment="1">
      <alignment horizontal="center" vertical="center"/>
    </xf>
    <xf numFmtId="165" fontId="0" fillId="0" borderId="4" xfId="0" applyNumberFormat="1" applyBorder="1" applyAlignment="1">
      <alignment horizontal="center" vertical="center"/>
    </xf>
    <xf numFmtId="165" fontId="0" fillId="0" borderId="0" xfId="0" applyNumberFormat="1" applyBorder="1" applyAlignment="1">
      <alignment horizontal="center" vertical="center"/>
    </xf>
    <xf numFmtId="165" fontId="0" fillId="0" borderId="10" xfId="0" applyNumberForma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66" fontId="0" fillId="0" borderId="6" xfId="0" applyNumberFormat="1" applyBorder="1" applyAlignment="1">
      <alignment horizontal="center" vertical="center"/>
    </xf>
    <xf numFmtId="166" fontId="0" fillId="0" borderId="7" xfId="0" applyNumberForma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165" fontId="6" fillId="3" borderId="5" xfId="0" applyNumberFormat="1" applyFont="1" applyFill="1" applyBorder="1" applyAlignment="1">
      <alignment horizontal="center" vertical="center"/>
    </xf>
    <xf numFmtId="165" fontId="6" fillId="3" borderId="8" xfId="0" applyNumberFormat="1" applyFont="1" applyFill="1" applyBorder="1" applyAlignment="1">
      <alignment horizontal="center" vertical="center"/>
    </xf>
    <xf numFmtId="165" fontId="6" fillId="3" borderId="4" xfId="0" applyNumberFormat="1" applyFont="1" applyFill="1" applyBorder="1" applyAlignment="1">
      <alignment horizontal="center" vertical="center"/>
    </xf>
    <xf numFmtId="165" fontId="6" fillId="3" borderId="9" xfId="0" applyNumberFormat="1" applyFont="1" applyFill="1" applyBorder="1" applyAlignment="1">
      <alignment horizontal="center" vertical="center"/>
    </xf>
    <xf numFmtId="165" fontId="6" fillId="3" borderId="0" xfId="0" applyNumberFormat="1" applyFont="1" applyFill="1" applyBorder="1" applyAlignment="1">
      <alignment horizontal="center" vertical="center"/>
    </xf>
    <xf numFmtId="165" fontId="6" fillId="3" borderId="10" xfId="0" applyNumberFormat="1" applyFont="1" applyFill="1" applyBorder="1" applyAlignment="1">
      <alignment horizontal="center" vertical="center"/>
    </xf>
    <xf numFmtId="165" fontId="7" fillId="5" borderId="9" xfId="0" applyNumberFormat="1" applyFont="1" applyFill="1" applyBorder="1" applyAlignment="1">
      <alignment horizontal="center" vertical="center"/>
    </xf>
    <xf numFmtId="165" fontId="7" fillId="5" borderId="0" xfId="0" applyNumberFormat="1" applyFont="1" applyFill="1" applyBorder="1" applyAlignment="1">
      <alignment horizontal="center" vertical="center"/>
    </xf>
    <xf numFmtId="165" fontId="7" fillId="5" borderId="10" xfId="0" applyNumberFormat="1" applyFont="1" applyFill="1" applyBorder="1" applyAlignment="1">
      <alignment horizontal="center" vertical="center"/>
    </xf>
    <xf numFmtId="165" fontId="6" fillId="3" borderId="6" xfId="0" applyNumberFormat="1" applyFont="1" applyFill="1" applyBorder="1" applyAlignment="1">
      <alignment horizontal="center" vertical="center"/>
    </xf>
    <xf numFmtId="165" fontId="6" fillId="3" borderId="11" xfId="0" applyNumberFormat="1" applyFont="1" applyFill="1" applyBorder="1" applyAlignment="1">
      <alignment horizontal="center" vertical="center"/>
    </xf>
    <xf numFmtId="165" fontId="6" fillId="3" borderId="7" xfId="0" applyNumberFormat="1" applyFont="1" applyFill="1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164" fontId="0" fillId="0" borderId="10" xfId="0" applyNumberFormat="1" applyBorder="1" applyAlignment="1">
      <alignment horizontal="center" vertical="center"/>
    </xf>
    <xf numFmtId="0" fontId="2" fillId="5" borderId="9" xfId="0" applyFont="1" applyFill="1" applyBorder="1" applyAlignment="1">
      <alignment horizontal="left" vertical="center"/>
    </xf>
    <xf numFmtId="164" fontId="2" fillId="5" borderId="10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164" fontId="0" fillId="0" borderId="7" xfId="0" applyNumberForma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165" fontId="0" fillId="0" borderId="0" xfId="0" applyNumberFormat="1"/>
    <xf numFmtId="0" fontId="6" fillId="4" borderId="12" xfId="0" applyFont="1" applyFill="1" applyBorder="1"/>
    <xf numFmtId="0" fontId="0" fillId="4" borderId="13" xfId="0" applyFill="1" applyBorder="1"/>
    <xf numFmtId="0" fontId="0" fillId="4" borderId="14" xfId="0" applyFill="1" applyBorder="1"/>
    <xf numFmtId="0" fontId="0" fillId="0" borderId="2" xfId="0" applyFont="1" applyBorder="1" applyAlignment="1">
      <alignment horizontal="center" vertical="center"/>
    </xf>
    <xf numFmtId="0" fontId="2" fillId="4" borderId="9" xfId="0" applyFont="1" applyFill="1" applyBorder="1" applyAlignment="1">
      <alignment horizontal="left" vertical="center"/>
    </xf>
    <xf numFmtId="164" fontId="2" fillId="4" borderId="10" xfId="0" applyNumberFormat="1" applyFont="1" applyFill="1" applyBorder="1" applyAlignment="1">
      <alignment horizontal="center" vertical="center"/>
    </xf>
    <xf numFmtId="165" fontId="7" fillId="4" borderId="9" xfId="0" applyNumberFormat="1" applyFont="1" applyFill="1" applyBorder="1" applyAlignment="1">
      <alignment horizontal="center" vertical="center"/>
    </xf>
    <xf numFmtId="165" fontId="7" fillId="4" borderId="0" xfId="0" applyNumberFormat="1" applyFont="1" applyFill="1" applyBorder="1" applyAlignment="1">
      <alignment horizontal="center" vertical="center"/>
    </xf>
    <xf numFmtId="165" fontId="7" fillId="4" borderId="10" xfId="0" applyNumberFormat="1" applyFon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4" fontId="6" fillId="3" borderId="8" xfId="0" applyNumberFormat="1" applyFont="1" applyFill="1" applyBorder="1" applyAlignment="1">
      <alignment horizontal="center" vertical="center"/>
    </xf>
    <xf numFmtId="164" fontId="0" fillId="5" borderId="2" xfId="0" applyNumberFormat="1" applyFill="1" applyBorder="1" applyAlignment="1">
      <alignment horizontal="center" vertical="center"/>
    </xf>
    <xf numFmtId="4" fontId="6" fillId="3" borderId="0" xfId="0" applyNumberFormat="1" applyFont="1" applyFill="1" applyBorder="1" applyAlignment="1">
      <alignment horizontal="center" vertical="center"/>
    </xf>
    <xf numFmtId="164" fontId="0" fillId="5" borderId="3" xfId="0" applyNumberFormat="1" applyFill="1" applyBorder="1" applyAlignment="1">
      <alignment horizontal="center" vertical="center"/>
    </xf>
    <xf numFmtId="4" fontId="6" fillId="3" borderId="11" xfId="0" applyNumberFormat="1" applyFont="1" applyFill="1" applyBorder="1" applyAlignment="1">
      <alignment horizontal="center" vertical="center"/>
    </xf>
    <xf numFmtId="4" fontId="6" fillId="3" borderId="5" xfId="0" applyNumberFormat="1" applyFont="1" applyFill="1" applyBorder="1" applyAlignment="1">
      <alignment horizontal="center" vertical="center"/>
    </xf>
    <xf numFmtId="164" fontId="0" fillId="5" borderId="5" xfId="0" applyNumberFormat="1" applyFill="1" applyBorder="1" applyAlignment="1">
      <alignment horizontal="center" vertical="center"/>
    </xf>
    <xf numFmtId="164" fontId="4" fillId="5" borderId="4" xfId="0" applyNumberFormat="1" applyFont="1" applyFill="1" applyBorder="1" applyAlignment="1">
      <alignment horizontal="center" vertical="center"/>
    </xf>
    <xf numFmtId="164" fontId="0" fillId="5" borderId="9" xfId="0" applyNumberFormat="1" applyFill="1" applyBorder="1" applyAlignment="1">
      <alignment horizontal="center" vertical="center"/>
    </xf>
    <xf numFmtId="164" fontId="4" fillId="5" borderId="10" xfId="0" applyNumberFormat="1" applyFont="1" applyFill="1" applyBorder="1" applyAlignment="1">
      <alignment horizontal="center" vertical="center"/>
    </xf>
    <xf numFmtId="164" fontId="0" fillId="5" borderId="6" xfId="0" applyNumberFormat="1" applyFill="1" applyBorder="1" applyAlignment="1">
      <alignment horizontal="center" vertical="center"/>
    </xf>
    <xf numFmtId="164" fontId="4" fillId="5" borderId="7" xfId="0" applyNumberFormat="1" applyFont="1" applyFill="1" applyBorder="1" applyAlignment="1">
      <alignment horizontal="center" vertical="center"/>
    </xf>
    <xf numFmtId="164" fontId="0" fillId="4" borderId="4" xfId="0" applyNumberFormat="1" applyFill="1" applyBorder="1" applyAlignment="1">
      <alignment horizontal="center" vertical="center"/>
    </xf>
    <xf numFmtId="164" fontId="0" fillId="4" borderId="2" xfId="0" applyNumberFormat="1" applyFill="1" applyBorder="1" applyAlignment="1">
      <alignment horizontal="center" vertical="center"/>
    </xf>
    <xf numFmtId="0" fontId="11" fillId="0" borderId="0" xfId="0" applyFont="1"/>
    <xf numFmtId="0" fontId="0" fillId="3" borderId="5" xfId="0" applyFill="1" applyBorder="1"/>
    <xf numFmtId="0" fontId="3" fillId="3" borderId="8" xfId="0" applyFont="1" applyFill="1" applyBorder="1"/>
    <xf numFmtId="0" fontId="12" fillId="3" borderId="8" xfId="0" applyFont="1" applyFill="1" applyBorder="1" applyAlignment="1">
      <alignment horizontal="center" vertical="center"/>
    </xf>
    <xf numFmtId="0" fontId="0" fillId="3" borderId="8" xfId="0" applyFill="1" applyBorder="1"/>
    <xf numFmtId="0" fontId="0" fillId="3" borderId="4" xfId="0" applyFill="1" applyBorder="1"/>
    <xf numFmtId="0" fontId="0" fillId="3" borderId="9" xfId="0" applyFill="1" applyBorder="1"/>
    <xf numFmtId="0" fontId="0" fillId="2" borderId="1" xfId="0" applyFill="1" applyBorder="1"/>
    <xf numFmtId="0" fontId="0" fillId="5" borderId="5" xfId="0" applyFont="1" applyFill="1" applyBorder="1" applyAlignment="1">
      <alignment horizontal="left" vertical="center"/>
    </xf>
    <xf numFmtId="0" fontId="0" fillId="5" borderId="8" xfId="0" applyFont="1" applyFill="1" applyBorder="1" applyAlignment="1">
      <alignment horizontal="center" vertical="center"/>
    </xf>
    <xf numFmtId="0" fontId="0" fillId="5" borderId="4" xfId="0" applyFont="1" applyFill="1" applyBorder="1" applyAlignment="1">
      <alignment horizontal="center" vertical="center"/>
    </xf>
    <xf numFmtId="0" fontId="0" fillId="3" borderId="0" xfId="0" applyFill="1" applyBorder="1"/>
    <xf numFmtId="0" fontId="0" fillId="3" borderId="10" xfId="0" applyFill="1" applyBorder="1"/>
    <xf numFmtId="0" fontId="5" fillId="3" borderId="0" xfId="0" applyFont="1" applyFill="1" applyBorder="1"/>
    <xf numFmtId="0" fontId="3" fillId="3" borderId="0" xfId="0" applyFont="1" applyFill="1" applyBorder="1"/>
    <xf numFmtId="0" fontId="0" fillId="3" borderId="0" xfId="0" applyFont="1" applyFill="1" applyBorder="1" applyAlignment="1">
      <alignment horizontal="center" vertical="center"/>
    </xf>
    <xf numFmtId="0" fontId="3" fillId="3" borderId="0" xfId="0" applyFont="1" applyFill="1"/>
    <xf numFmtId="0" fontId="0" fillId="3" borderId="0" xfId="0" applyFill="1"/>
    <xf numFmtId="0" fontId="13" fillId="0" borderId="3" xfId="0" applyFont="1" applyFill="1" applyBorder="1"/>
    <xf numFmtId="0" fontId="7" fillId="0" borderId="6" xfId="0" applyFont="1" applyFill="1" applyBorder="1" applyAlignment="1">
      <alignment horizontal="left" vertical="center"/>
    </xf>
    <xf numFmtId="0" fontId="7" fillId="0" borderId="11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  <xf numFmtId="0" fontId="0" fillId="5" borderId="1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12" fillId="3" borderId="0" xfId="0" applyFont="1" applyFill="1" applyBorder="1" applyAlignment="1">
      <alignment horizontal="center" vertical="center"/>
    </xf>
    <xf numFmtId="0" fontId="0" fillId="2" borderId="2" xfId="0" applyFill="1" applyBorder="1"/>
    <xf numFmtId="0" fontId="0" fillId="5" borderId="2" xfId="0" applyFont="1" applyFill="1" applyBorder="1" applyAlignment="1">
      <alignment horizontal="center" vertical="center"/>
    </xf>
    <xf numFmtId="0" fontId="0" fillId="2" borderId="1" xfId="0" applyFont="1" applyFill="1" applyBorder="1"/>
    <xf numFmtId="0" fontId="0" fillId="2" borderId="1" xfId="0" applyFont="1" applyFill="1" applyBorder="1" applyAlignment="1">
      <alignment horizontal="left" vertical="center"/>
    </xf>
    <xf numFmtId="0" fontId="7" fillId="0" borderId="5" xfId="0" applyFont="1" applyFill="1" applyBorder="1" applyAlignment="1">
      <alignment horizontal="center" vertical="center"/>
    </xf>
    <xf numFmtId="167" fontId="7" fillId="0" borderId="8" xfId="0" applyNumberFormat="1" applyFont="1" applyFill="1" applyBorder="1" applyAlignment="1">
      <alignment horizontal="center" vertical="center"/>
    </xf>
    <xf numFmtId="15" fontId="7" fillId="0" borderId="0" xfId="0" applyNumberFormat="1" applyFont="1" applyFill="1" applyBorder="1" applyAlignment="1">
      <alignment horizontal="center" vertical="center"/>
    </xf>
    <xf numFmtId="15" fontId="4" fillId="0" borderId="10" xfId="0" applyNumberFormat="1" applyFont="1" applyFill="1" applyBorder="1" applyAlignment="1">
      <alignment horizontal="center" vertical="center"/>
    </xf>
    <xf numFmtId="167" fontId="7" fillId="0" borderId="4" xfId="0" applyNumberFormat="1" applyFont="1" applyFill="1" applyBorder="1" applyAlignment="1">
      <alignment horizontal="center" vertical="center"/>
    </xf>
    <xf numFmtId="0" fontId="5" fillId="3" borderId="11" xfId="0" applyFont="1" applyFill="1" applyBorder="1"/>
    <xf numFmtId="0" fontId="10" fillId="3" borderId="1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0" fillId="2" borderId="2" xfId="0" applyFont="1" applyFill="1" applyBorder="1"/>
    <xf numFmtId="0" fontId="0" fillId="2" borderId="2" xfId="0" applyFont="1" applyFill="1" applyBorder="1" applyAlignment="1">
      <alignment horizontal="left" vertical="center"/>
    </xf>
    <xf numFmtId="0" fontId="7" fillId="0" borderId="9" xfId="0" applyFont="1" applyFill="1" applyBorder="1" applyAlignment="1">
      <alignment horizontal="center" vertical="center"/>
    </xf>
    <xf numFmtId="167" fontId="7" fillId="0" borderId="0" xfId="0" applyNumberFormat="1" applyFont="1" applyFill="1" applyBorder="1" applyAlignment="1">
      <alignment horizontal="center" vertical="center"/>
    </xf>
    <xf numFmtId="167" fontId="7" fillId="0" borderId="10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15" fontId="4" fillId="0" borderId="1" xfId="0" applyNumberFormat="1" applyFont="1" applyFill="1" applyBorder="1" applyAlignment="1">
      <alignment horizontal="center" vertical="center"/>
    </xf>
    <xf numFmtId="0" fontId="0" fillId="2" borderId="3" xfId="0" applyFill="1" applyBorder="1"/>
    <xf numFmtId="0" fontId="6" fillId="3" borderId="3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0" fillId="2" borderId="3" xfId="0" applyFont="1" applyFill="1" applyBorder="1"/>
    <xf numFmtId="164" fontId="7" fillId="2" borderId="3" xfId="0" applyNumberFormat="1" applyFont="1" applyFill="1" applyBorder="1" applyAlignment="1">
      <alignment horizontal="left" vertical="center"/>
    </xf>
    <xf numFmtId="0" fontId="4" fillId="0" borderId="3" xfId="0" applyFont="1" applyFill="1" applyBorder="1" applyAlignment="1">
      <alignment vertical="center"/>
    </xf>
    <xf numFmtId="0" fontId="4" fillId="0" borderId="3" xfId="0" applyFont="1" applyFill="1" applyBorder="1" applyAlignment="1">
      <alignment horizontal="left" vertical="center"/>
    </xf>
    <xf numFmtId="0" fontId="0" fillId="3" borderId="6" xfId="0" applyFill="1" applyBorder="1"/>
    <xf numFmtId="0" fontId="0" fillId="3" borderId="11" xfId="0" applyFill="1" applyBorder="1"/>
    <xf numFmtId="0" fontId="0" fillId="3" borderId="7" xfId="0" applyFill="1" applyBorder="1"/>
    <xf numFmtId="0" fontId="4" fillId="0" borderId="1" xfId="0" applyFont="1" applyFill="1" applyBorder="1"/>
    <xf numFmtId="0" fontId="4" fillId="0" borderId="2" xfId="0" applyFont="1" applyFill="1" applyBorder="1"/>
    <xf numFmtId="15" fontId="4" fillId="0" borderId="2" xfId="0" applyNumberFormat="1" applyFont="1" applyFill="1" applyBorder="1" applyAlignment="1">
      <alignment horizontal="center" vertical="center"/>
    </xf>
    <xf numFmtId="0" fontId="2" fillId="3" borderId="0" xfId="0" applyFont="1" applyFill="1"/>
    <xf numFmtId="0" fontId="0" fillId="2" borderId="1" xfId="0" applyFill="1" applyBorder="1" applyAlignment="1">
      <alignment horizontal="left" vertical="center"/>
    </xf>
    <xf numFmtId="0" fontId="12" fillId="0" borderId="0" xfId="0" applyFont="1"/>
    <xf numFmtId="0" fontId="7" fillId="2" borderId="3" xfId="0" applyFont="1" applyFill="1" applyBorder="1" applyAlignment="1">
      <alignment horizontal="left" vertical="center"/>
    </xf>
    <xf numFmtId="0" fontId="14" fillId="3" borderId="8" xfId="0" applyFont="1" applyFill="1" applyBorder="1"/>
    <xf numFmtId="0" fontId="12" fillId="3" borderId="11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left" vertical="center"/>
    </xf>
    <xf numFmtId="15" fontId="7" fillId="6" borderId="15" xfId="0" applyNumberFormat="1" applyFont="1" applyFill="1" applyBorder="1" applyAlignment="1">
      <alignment horizontal="center" vertical="center"/>
    </xf>
    <xf numFmtId="0" fontId="4" fillId="0" borderId="3" xfId="0" applyFont="1" applyFill="1" applyBorder="1"/>
    <xf numFmtId="0" fontId="4" fillId="0" borderId="3" xfId="0" applyFont="1" applyFill="1" applyBorder="1" applyAlignment="1">
      <alignment horizontal="center" vertical="center"/>
    </xf>
    <xf numFmtId="0" fontId="2" fillId="3" borderId="0" xfId="0" applyFont="1" applyFill="1" applyBorder="1"/>
    <xf numFmtId="0" fontId="0" fillId="0" borderId="1" xfId="0" applyFont="1" applyFill="1" applyBorder="1"/>
    <xf numFmtId="0" fontId="0" fillId="0" borderId="1" xfId="0" applyFont="1" applyFill="1" applyBorder="1" applyAlignment="1">
      <alignment horizontal="left" vertical="center"/>
    </xf>
    <xf numFmtId="0" fontId="6" fillId="0" borderId="3" xfId="0" applyFont="1" applyFill="1" applyBorder="1" applyAlignment="1">
      <alignment horizontal="center" vertical="center"/>
    </xf>
    <xf numFmtId="0" fontId="0" fillId="0" borderId="2" xfId="0" applyFont="1" applyFill="1" applyBorder="1"/>
    <xf numFmtId="0" fontId="0" fillId="0" borderId="2" xfId="0" applyFont="1" applyFill="1" applyBorder="1" applyAlignment="1">
      <alignment horizontal="left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ont="1" applyFill="1" applyBorder="1"/>
    <xf numFmtId="0" fontId="0" fillId="0" borderId="3" xfId="0" applyFont="1" applyFill="1" applyBorder="1" applyAlignment="1">
      <alignment horizontal="left" vertical="center"/>
    </xf>
    <xf numFmtId="0" fontId="0" fillId="0" borderId="0" xfId="0" quotePrefix="1"/>
    <xf numFmtId="0" fontId="4" fillId="3" borderId="0" xfId="0" applyFont="1" applyFill="1" applyBorder="1"/>
    <xf numFmtId="0" fontId="4" fillId="3" borderId="10" xfId="0" applyFont="1" applyFill="1" applyBorder="1"/>
    <xf numFmtId="0" fontId="4" fillId="0" borderId="4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 vertic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4" fillId="0" borderId="10" xfId="0" applyFont="1" applyFill="1" applyBorder="1" applyAlignment="1">
      <alignment horizontal="center" vertical="center"/>
    </xf>
    <xf numFmtId="0" fontId="15" fillId="3" borderId="0" xfId="0" applyFont="1" applyFill="1" applyBorder="1"/>
    <xf numFmtId="168" fontId="7" fillId="0" borderId="8" xfId="0" applyNumberFormat="1" applyFont="1" applyFill="1" applyBorder="1" applyAlignment="1">
      <alignment horizontal="center" vertical="center"/>
    </xf>
    <xf numFmtId="15" fontId="4" fillId="0" borderId="8" xfId="0" applyNumberFormat="1" applyFont="1" applyFill="1" applyBorder="1" applyAlignment="1">
      <alignment horizontal="center" vertical="center"/>
    </xf>
    <xf numFmtId="15" fontId="4" fillId="0" borderId="0" xfId="0" applyNumberFormat="1" applyFont="1" applyFill="1" applyBorder="1" applyAlignment="1">
      <alignment horizontal="center" vertical="center"/>
    </xf>
    <xf numFmtId="15" fontId="6" fillId="0" borderId="9" xfId="0" applyNumberFormat="1" applyFont="1" applyFill="1" applyBorder="1" applyAlignment="1">
      <alignment horizontal="center" vertical="center"/>
    </xf>
    <xf numFmtId="169" fontId="6" fillId="0" borderId="10" xfId="0" applyNumberFormat="1" applyFont="1" applyFill="1" applyBorder="1" applyAlignment="1">
      <alignment horizontal="center" vertical="center"/>
    </xf>
    <xf numFmtId="168" fontId="7" fillId="0" borderId="0" xfId="0" applyNumberFormat="1" applyFont="1" applyFill="1" applyBorder="1" applyAlignment="1">
      <alignment horizontal="center" vertical="center"/>
    </xf>
    <xf numFmtId="11" fontId="0" fillId="0" borderId="2" xfId="0" applyNumberFormat="1" applyFill="1" applyBorder="1" applyAlignment="1">
      <alignment horizontal="center" vertical="center"/>
    </xf>
    <xf numFmtId="15" fontId="6" fillId="0" borderId="10" xfId="0" applyNumberFormat="1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167" fontId="7" fillId="0" borderId="11" xfId="0" applyNumberFormat="1" applyFont="1" applyFill="1" applyBorder="1" applyAlignment="1">
      <alignment horizontal="center" vertical="center"/>
    </xf>
    <xf numFmtId="15" fontId="7" fillId="0" borderId="11" xfId="0" applyNumberFormat="1" applyFont="1" applyFill="1" applyBorder="1" applyAlignment="1">
      <alignment horizontal="center" vertical="center"/>
    </xf>
    <xf numFmtId="15" fontId="6" fillId="0" borderId="7" xfId="0" applyNumberFormat="1" applyFont="1" applyFill="1" applyBorder="1" applyAlignment="1">
      <alignment horizontal="center" vertical="center"/>
    </xf>
    <xf numFmtId="167" fontId="7" fillId="0" borderId="7" xfId="0" applyNumberFormat="1" applyFont="1" applyFill="1" applyBorder="1" applyAlignment="1">
      <alignment horizontal="center" vertical="center"/>
    </xf>
    <xf numFmtId="0" fontId="12" fillId="3" borderId="0" xfId="0" applyFont="1" applyFill="1" applyBorder="1" applyAlignment="1">
      <alignment horizontal="left" vertical="center"/>
    </xf>
    <xf numFmtId="0" fontId="6" fillId="3" borderId="0" xfId="0" applyFont="1" applyFill="1" applyBorder="1" applyAlignment="1">
      <alignment horizontal="left" vertical="center"/>
    </xf>
    <xf numFmtId="0" fontId="4" fillId="0" borderId="2" xfId="0" applyFont="1" applyFill="1" applyBorder="1" applyAlignment="1"/>
    <xf numFmtId="0" fontId="4" fillId="0" borderId="10" xfId="0" applyNumberFormat="1" applyFont="1" applyFill="1" applyBorder="1" applyAlignment="1">
      <alignment horizontal="center" vertical="center"/>
    </xf>
    <xf numFmtId="3" fontId="4" fillId="0" borderId="2" xfId="0" applyNumberFormat="1" applyFont="1" applyFill="1" applyBorder="1" applyAlignment="1">
      <alignment horizontal="center" vertical="center"/>
    </xf>
    <xf numFmtId="3" fontId="4" fillId="0" borderId="10" xfId="0" applyNumberFormat="1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horizontal="center" vertical="center"/>
    </xf>
    <xf numFmtId="169" fontId="4" fillId="0" borderId="0" xfId="0" applyNumberFormat="1" applyFont="1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6" fillId="0" borderId="10" xfId="0" applyFont="1" applyFill="1" applyBorder="1"/>
    <xf numFmtId="0" fontId="2" fillId="3" borderId="0" xfId="0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center" vertical="center"/>
    </xf>
    <xf numFmtId="169" fontId="6" fillId="0" borderId="0" xfId="0" applyNumberFormat="1" applyFont="1" applyFill="1" applyBorder="1" applyAlignment="1">
      <alignment horizontal="center" vertical="center"/>
    </xf>
    <xf numFmtId="15" fontId="6" fillId="0" borderId="0" xfId="0" applyNumberFormat="1" applyFont="1" applyFill="1" applyBorder="1" applyAlignment="1">
      <alignment horizontal="center" vertical="center"/>
    </xf>
    <xf numFmtId="0" fontId="6" fillId="0" borderId="7" xfId="0" applyFont="1" applyFill="1" applyBorder="1"/>
    <xf numFmtId="0" fontId="6" fillId="0" borderId="6" xfId="0" applyFont="1" applyFill="1" applyBorder="1" applyAlignment="1">
      <alignment horizontal="center" vertical="center"/>
    </xf>
    <xf numFmtId="169" fontId="6" fillId="0" borderId="11" xfId="0" applyNumberFormat="1" applyFont="1" applyFill="1" applyBorder="1" applyAlignment="1">
      <alignment horizontal="center" vertical="center"/>
    </xf>
    <xf numFmtId="15" fontId="6" fillId="0" borderId="11" xfId="0" applyNumberFormat="1" applyFont="1" applyFill="1" applyBorder="1" applyAlignment="1">
      <alignment horizontal="center" vertical="center"/>
    </xf>
    <xf numFmtId="15" fontId="6" fillId="0" borderId="6" xfId="0" applyNumberFormat="1" applyFont="1" applyFill="1" applyBorder="1" applyAlignment="1">
      <alignment horizontal="center" vertical="center"/>
    </xf>
    <xf numFmtId="169" fontId="6" fillId="0" borderId="7" xfId="0" applyNumberFormat="1" applyFont="1" applyFill="1" applyBorder="1" applyAlignment="1">
      <alignment horizontal="center" vertical="center"/>
    </xf>
    <xf numFmtId="0" fontId="0" fillId="3" borderId="0" xfId="0" applyFont="1" applyFill="1" applyBorder="1"/>
    <xf numFmtId="168" fontId="0" fillId="3" borderId="0" xfId="0" applyNumberFormat="1" applyFill="1" applyBorder="1"/>
    <xf numFmtId="168" fontId="7" fillId="0" borderId="4" xfId="0" applyNumberFormat="1" applyFont="1" applyFill="1" applyBorder="1" applyAlignment="1">
      <alignment horizontal="center" vertical="center"/>
    </xf>
    <xf numFmtId="169" fontId="0" fillId="3" borderId="0" xfId="0" applyNumberFormat="1" applyFill="1" applyBorder="1"/>
    <xf numFmtId="168" fontId="7" fillId="0" borderId="10" xfId="0" applyNumberFormat="1" applyFont="1" applyFill="1" applyBorder="1" applyAlignment="1">
      <alignment horizontal="center" vertical="center"/>
    </xf>
    <xf numFmtId="0" fontId="6" fillId="0" borderId="10" xfId="0" applyNumberFormat="1" applyFont="1" applyFill="1" applyBorder="1" applyAlignment="1">
      <alignment horizontal="center" vertical="center"/>
    </xf>
    <xf numFmtId="0" fontId="9" fillId="0" borderId="2" xfId="0" applyFont="1" applyFill="1" applyBorder="1" applyAlignment="1"/>
    <xf numFmtId="0" fontId="6" fillId="0" borderId="10" xfId="0" applyFont="1" applyFill="1" applyBorder="1" applyAlignment="1"/>
    <xf numFmtId="11" fontId="6" fillId="0" borderId="10" xfId="0" applyNumberFormat="1" applyFont="1" applyFill="1" applyBorder="1" applyAlignment="1">
      <alignment horizontal="center" vertical="center"/>
    </xf>
    <xf numFmtId="169" fontId="4" fillId="0" borderId="10" xfId="0" applyNumberFormat="1" applyFont="1" applyFill="1" applyBorder="1" applyAlignment="1">
      <alignment horizontal="center" vertical="center"/>
    </xf>
    <xf numFmtId="0" fontId="0" fillId="3" borderId="16" xfId="0" applyFill="1" applyBorder="1"/>
    <xf numFmtId="0" fontId="0" fillId="3" borderId="17" xfId="0" applyFill="1" applyBorder="1"/>
    <xf numFmtId="0" fontId="0" fillId="3" borderId="18" xfId="0" applyFill="1" applyBorder="1"/>
    <xf numFmtId="0" fontId="13" fillId="0" borderId="1" xfId="0" applyFont="1" applyFill="1" applyBorder="1"/>
    <xf numFmtId="0" fontId="4" fillId="5" borderId="5" xfId="0" applyFont="1" applyFill="1" applyBorder="1" applyAlignment="1">
      <alignment horizontal="left" vertical="center"/>
    </xf>
    <xf numFmtId="0" fontId="7" fillId="5" borderId="8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0" fillId="3" borderId="19" xfId="0" applyFill="1" applyBorder="1"/>
    <xf numFmtId="0" fontId="0" fillId="3" borderId="0" xfId="0" applyFill="1" applyBorder="1" applyAlignment="1">
      <alignment horizontal="center" vertical="center"/>
    </xf>
    <xf numFmtId="0" fontId="0" fillId="3" borderId="20" xfId="0" applyFill="1" applyBorder="1"/>
    <xf numFmtId="0" fontId="4" fillId="2" borderId="1" xfId="0" applyFont="1" applyFill="1" applyBorder="1"/>
    <xf numFmtId="15" fontId="4" fillId="2" borderId="1" xfId="0" applyNumberFormat="1" applyFont="1" applyFill="1" applyBorder="1" applyAlignment="1">
      <alignment horizontal="left" vertical="center"/>
    </xf>
    <xf numFmtId="0" fontId="0" fillId="3" borderId="11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4" fillId="2" borderId="2" xfId="0" applyFont="1" applyFill="1" applyBorder="1"/>
    <xf numFmtId="15" fontId="4" fillId="2" borderId="2" xfId="0" applyNumberFormat="1" applyFont="1" applyFill="1" applyBorder="1" applyAlignment="1">
      <alignment horizontal="left" vertical="center"/>
    </xf>
    <xf numFmtId="0" fontId="6" fillId="0" borderId="5" xfId="0" applyFont="1" applyFill="1" applyBorder="1" applyAlignment="1">
      <alignment horizontal="center" vertical="center"/>
    </xf>
    <xf numFmtId="168" fontId="6" fillId="0" borderId="4" xfId="0" applyNumberFormat="1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15" fontId="6" fillId="2" borderId="8" xfId="3" quotePrefix="1" applyNumberFormat="1" applyFont="1" applyFill="1" applyBorder="1" applyAlignment="1">
      <alignment horizontal="center" vertical="center"/>
    </xf>
    <xf numFmtId="170" fontId="6" fillId="2" borderId="8" xfId="0" applyNumberFormat="1" applyFont="1" applyFill="1" applyBorder="1" applyAlignment="1">
      <alignment horizontal="center" vertical="center"/>
    </xf>
    <xf numFmtId="169" fontId="4" fillId="2" borderId="4" xfId="4" quotePrefix="1" applyNumberFormat="1" applyFont="1" applyFill="1" applyBorder="1" applyAlignment="1">
      <alignment horizontal="center" vertical="center"/>
    </xf>
    <xf numFmtId="168" fontId="6" fillId="2" borderId="8" xfId="0" applyNumberFormat="1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168" fontId="6" fillId="0" borderId="10" xfId="0" applyNumberFormat="1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15" fontId="6" fillId="2" borderId="0" xfId="3" quotePrefix="1" applyNumberFormat="1" applyFont="1" applyFill="1" applyBorder="1" applyAlignment="1">
      <alignment horizontal="center" vertical="center"/>
    </xf>
    <xf numFmtId="170" fontId="6" fillId="2" borderId="0" xfId="0" applyNumberFormat="1" applyFont="1" applyFill="1" applyBorder="1" applyAlignment="1">
      <alignment horizontal="center" vertical="center"/>
    </xf>
    <xf numFmtId="169" fontId="4" fillId="2" borderId="10" xfId="4" quotePrefix="1" applyNumberFormat="1" applyFont="1" applyFill="1" applyBorder="1" applyAlignment="1">
      <alignment horizontal="center" vertical="center"/>
    </xf>
    <xf numFmtId="168" fontId="6" fillId="2" borderId="0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164" fontId="7" fillId="2" borderId="2" xfId="0" applyNumberFormat="1" applyFont="1" applyFill="1" applyBorder="1" applyAlignment="1">
      <alignment horizontal="left" vertical="center"/>
    </xf>
    <xf numFmtId="15" fontId="6" fillId="2" borderId="0" xfId="3" applyNumberFormat="1" applyFont="1" applyFill="1" applyBorder="1" applyAlignment="1">
      <alignment horizontal="center" vertical="center"/>
    </xf>
    <xf numFmtId="169" fontId="4" fillId="2" borderId="10" xfId="4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left"/>
    </xf>
    <xf numFmtId="0" fontId="4" fillId="2" borderId="3" xfId="0" applyFont="1" applyFill="1" applyBorder="1" applyAlignment="1">
      <alignment horizontal="left"/>
    </xf>
    <xf numFmtId="0" fontId="4" fillId="0" borderId="6" xfId="0" applyFont="1" applyFill="1" applyBorder="1" applyAlignment="1">
      <alignment horizontal="center" vertical="center"/>
    </xf>
    <xf numFmtId="167" fontId="6" fillId="0" borderId="7" xfId="0" applyNumberFormat="1" applyFont="1" applyFill="1" applyBorder="1" applyAlignment="1">
      <alignment horizontal="center" vertical="center"/>
    </xf>
    <xf numFmtId="0" fontId="17" fillId="3" borderId="0" xfId="0" applyFont="1" applyFill="1" applyBorder="1" applyAlignment="1">
      <alignment horizontal="left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15" fontId="6" fillId="2" borderId="11" xfId="3" applyNumberFormat="1" applyFont="1" applyFill="1" applyBorder="1" applyAlignment="1">
      <alignment horizontal="center" vertical="center"/>
    </xf>
    <xf numFmtId="170" fontId="6" fillId="2" borderId="11" xfId="0" applyNumberFormat="1" applyFont="1" applyFill="1" applyBorder="1" applyAlignment="1">
      <alignment horizontal="center" vertical="center"/>
    </xf>
    <xf numFmtId="169" fontId="4" fillId="2" borderId="7" xfId="4" applyNumberFormat="1" applyFont="1" applyFill="1" applyBorder="1" applyAlignment="1">
      <alignment horizontal="center" vertical="center"/>
    </xf>
    <xf numFmtId="168" fontId="6" fillId="2" borderId="11" xfId="0" applyNumberFormat="1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center"/>
    </xf>
    <xf numFmtId="0" fontId="6" fillId="0" borderId="7" xfId="0" applyFont="1" applyFill="1" applyBorder="1" applyAlignment="1">
      <alignment horizontal="center"/>
    </xf>
    <xf numFmtId="0" fontId="6" fillId="0" borderId="4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167" fontId="6" fillId="0" borderId="4" xfId="0" applyNumberFormat="1" applyFont="1" applyFill="1" applyBorder="1" applyAlignment="1">
      <alignment horizontal="center" vertical="center"/>
    </xf>
    <xf numFmtId="167" fontId="6" fillId="0" borderId="10" xfId="0" applyNumberFormat="1" applyFont="1" applyFill="1" applyBorder="1" applyAlignment="1">
      <alignment horizontal="center" vertical="center"/>
    </xf>
    <xf numFmtId="10" fontId="4" fillId="0" borderId="10" xfId="0" applyNumberFormat="1" applyFont="1" applyFill="1" applyBorder="1" applyAlignment="1">
      <alignment horizontal="center" vertical="center"/>
    </xf>
    <xf numFmtId="15" fontId="4" fillId="3" borderId="0" xfId="0" applyNumberFormat="1" applyFont="1" applyFill="1" applyBorder="1"/>
    <xf numFmtId="0" fontId="0" fillId="3" borderId="11" xfId="0" applyFont="1" applyFill="1" applyBorder="1" applyAlignment="1">
      <alignment horizontal="left" vertical="center"/>
    </xf>
    <xf numFmtId="15" fontId="5" fillId="3" borderId="0" xfId="0" applyNumberFormat="1" applyFont="1" applyFill="1" applyBorder="1" applyAlignment="1">
      <alignment horizontal="right"/>
    </xf>
    <xf numFmtId="167" fontId="7" fillId="0" borderId="9" xfId="3" quotePrefix="1" applyNumberFormat="1" applyFont="1" applyFill="1" applyBorder="1" applyAlignment="1">
      <alignment horizontal="center" vertical="center"/>
    </xf>
    <xf numFmtId="15" fontId="7" fillId="0" borderId="0" xfId="3" quotePrefix="1" applyNumberFormat="1" applyFont="1" applyFill="1" applyBorder="1" applyAlignment="1">
      <alignment horizontal="center" vertical="center"/>
    </xf>
    <xf numFmtId="170" fontId="7" fillId="0" borderId="8" xfId="0" applyNumberFormat="1" applyFont="1" applyFill="1" applyBorder="1" applyAlignment="1">
      <alignment horizontal="center" vertical="center"/>
    </xf>
    <xf numFmtId="169" fontId="4" fillId="0" borderId="10" xfId="2" quotePrefix="1" applyNumberFormat="1" applyFont="1" applyFill="1" applyBorder="1" applyAlignment="1">
      <alignment horizontal="center" vertical="center"/>
    </xf>
    <xf numFmtId="165" fontId="7" fillId="3" borderId="0" xfId="0" applyNumberFormat="1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right"/>
    </xf>
    <xf numFmtId="167" fontId="7" fillId="0" borderId="9" xfId="3" applyNumberFormat="1" applyFont="1" applyFill="1" applyBorder="1" applyAlignment="1">
      <alignment horizontal="center" vertical="center"/>
    </xf>
    <xf numFmtId="15" fontId="7" fillId="0" borderId="0" xfId="3" applyNumberFormat="1" applyFont="1" applyFill="1" applyBorder="1" applyAlignment="1">
      <alignment horizontal="center" vertical="center"/>
    </xf>
    <xf numFmtId="170" fontId="7" fillId="0" borderId="0" xfId="0" applyNumberFormat="1" applyFont="1" applyFill="1" applyBorder="1" applyAlignment="1">
      <alignment horizontal="center" vertical="center"/>
    </xf>
    <xf numFmtId="0" fontId="4" fillId="0" borderId="9" xfId="3" applyFont="1" applyFill="1" applyBorder="1" applyAlignment="1">
      <alignment horizontal="center" vertical="center"/>
    </xf>
    <xf numFmtId="15" fontId="4" fillId="0" borderId="0" xfId="3" applyNumberFormat="1" applyFont="1" applyFill="1" applyBorder="1" applyAlignment="1">
      <alignment horizontal="center" vertical="center"/>
    </xf>
    <xf numFmtId="165" fontId="4" fillId="0" borderId="0" xfId="3" applyNumberFormat="1" applyFont="1" applyFill="1" applyBorder="1" applyAlignment="1">
      <alignment horizontal="center" vertical="center"/>
    </xf>
    <xf numFmtId="169" fontId="4" fillId="0" borderId="10" xfId="2" applyNumberFormat="1" applyFont="1" applyFill="1" applyBorder="1" applyAlignment="1">
      <alignment horizontal="center" vertical="center"/>
    </xf>
    <xf numFmtId="0" fontId="4" fillId="0" borderId="9" xfId="0" applyFont="1" applyFill="1" applyBorder="1" applyAlignment="1">
      <alignment horizontal="center"/>
    </xf>
    <xf numFmtId="15" fontId="4" fillId="0" borderId="0" xfId="0" applyNumberFormat="1" applyFont="1" applyFill="1" applyBorder="1" applyAlignment="1">
      <alignment horizontal="center"/>
    </xf>
    <xf numFmtId="169" fontId="4" fillId="0" borderId="10" xfId="0" applyNumberFormat="1" applyFont="1" applyFill="1" applyBorder="1" applyAlignment="1">
      <alignment horizontal="center"/>
    </xf>
    <xf numFmtId="11" fontId="4" fillId="0" borderId="10" xfId="0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/>
    </xf>
    <xf numFmtId="15" fontId="4" fillId="0" borderId="11" xfId="0" applyNumberFormat="1" applyFont="1" applyFill="1" applyBorder="1" applyAlignment="1">
      <alignment horizontal="center"/>
    </xf>
    <xf numFmtId="165" fontId="4" fillId="0" borderId="11" xfId="3" applyNumberFormat="1" applyFont="1" applyFill="1" applyBorder="1" applyAlignment="1">
      <alignment horizontal="center" vertical="center"/>
    </xf>
    <xf numFmtId="169" fontId="4" fillId="0" borderId="7" xfId="0" applyNumberFormat="1" applyFont="1" applyFill="1" applyBorder="1" applyAlignment="1">
      <alignment horizontal="center"/>
    </xf>
    <xf numFmtId="0" fontId="6" fillId="0" borderId="2" xfId="0" applyFont="1" applyFill="1" applyBorder="1" applyAlignment="1">
      <alignment vertical="center"/>
    </xf>
    <xf numFmtId="0" fontId="6" fillId="0" borderId="3" xfId="0" applyFont="1" applyFill="1" applyBorder="1"/>
    <xf numFmtId="167" fontId="4" fillId="0" borderId="4" xfId="0" applyNumberFormat="1" applyFont="1" applyFill="1" applyBorder="1" applyAlignment="1">
      <alignment horizontal="center" vertical="center"/>
    </xf>
    <xf numFmtId="167" fontId="4" fillId="0" borderId="10" xfId="0" applyNumberFormat="1" applyFont="1" applyFill="1" applyBorder="1" applyAlignment="1">
      <alignment horizontal="center" vertical="center"/>
    </xf>
    <xf numFmtId="165" fontId="4" fillId="0" borderId="0" xfId="0" applyNumberFormat="1" applyFont="1" applyFill="1" applyBorder="1" applyAlignment="1">
      <alignment horizontal="center" vertical="center"/>
    </xf>
    <xf numFmtId="165" fontId="4" fillId="0" borderId="11" xfId="0" applyNumberFormat="1" applyFont="1" applyFill="1" applyBorder="1" applyAlignment="1">
      <alignment horizontal="center" vertical="center"/>
    </xf>
    <xf numFmtId="167" fontId="4" fillId="0" borderId="7" xfId="0" applyNumberFormat="1" applyFont="1" applyFill="1" applyBorder="1" applyAlignment="1">
      <alignment horizontal="center" vertical="center"/>
    </xf>
    <xf numFmtId="0" fontId="0" fillId="3" borderId="21" xfId="0" applyFill="1" applyBorder="1"/>
    <xf numFmtId="0" fontId="0" fillId="3" borderId="22" xfId="0" applyFill="1" applyBorder="1"/>
    <xf numFmtId="0" fontId="0" fillId="3" borderId="23" xfId="0" applyFill="1" applyBorder="1"/>
    <xf numFmtId="167" fontId="6" fillId="0" borderId="8" xfId="0" applyNumberFormat="1" applyFont="1" applyFill="1" applyBorder="1" applyAlignment="1">
      <alignment horizontal="center" vertical="center"/>
    </xf>
    <xf numFmtId="15" fontId="6" fillId="0" borderId="8" xfId="0" applyNumberFormat="1" applyFont="1" applyFill="1" applyBorder="1" applyAlignment="1">
      <alignment horizontal="center" vertical="center"/>
    </xf>
    <xf numFmtId="0" fontId="0" fillId="0" borderId="0" xfId="0" applyBorder="1"/>
    <xf numFmtId="167" fontId="6" fillId="0" borderId="0" xfId="0" applyNumberFormat="1" applyFont="1" applyFill="1" applyBorder="1" applyAlignment="1">
      <alignment horizontal="center" vertical="center"/>
    </xf>
    <xf numFmtId="164" fontId="7" fillId="6" borderId="3" xfId="0" applyNumberFormat="1" applyFont="1" applyFill="1" applyBorder="1" applyAlignment="1">
      <alignment horizontal="left" vertical="center"/>
    </xf>
    <xf numFmtId="15" fontId="7" fillId="0" borderId="0" xfId="0" quotePrefix="1" applyNumberFormat="1" applyFont="1" applyFill="1" applyBorder="1" applyAlignment="1">
      <alignment horizontal="center" vertical="center"/>
    </xf>
    <xf numFmtId="15" fontId="7" fillId="0" borderId="10" xfId="0" applyNumberFormat="1" applyFont="1" applyFill="1" applyBorder="1" applyAlignment="1">
      <alignment horizontal="center" vertical="center"/>
    </xf>
    <xf numFmtId="167" fontId="6" fillId="0" borderId="11" xfId="0" applyNumberFormat="1" applyFont="1" applyFill="1" applyBorder="1" applyAlignment="1">
      <alignment horizontal="center" vertical="center"/>
    </xf>
    <xf numFmtId="169" fontId="7" fillId="0" borderId="11" xfId="0" applyNumberFormat="1" applyFont="1" applyFill="1" applyBorder="1" applyAlignment="1">
      <alignment horizontal="center" vertical="center"/>
    </xf>
    <xf numFmtId="15" fontId="7" fillId="0" borderId="7" xfId="0" applyNumberFormat="1" applyFont="1" applyFill="1" applyBorder="1" applyAlignment="1">
      <alignment horizontal="center" vertical="center"/>
    </xf>
    <xf numFmtId="169" fontId="7" fillId="0" borderId="10" xfId="0" applyNumberFormat="1" applyFont="1" applyFill="1" applyBorder="1" applyAlignment="1">
      <alignment horizontal="center" vertical="center"/>
    </xf>
    <xf numFmtId="0" fontId="4" fillId="0" borderId="10" xfId="0" applyFont="1" applyFill="1" applyBorder="1" applyAlignment="1"/>
    <xf numFmtId="0" fontId="4" fillId="0" borderId="10" xfId="0" applyFont="1" applyFill="1" applyBorder="1"/>
    <xf numFmtId="0" fontId="4" fillId="0" borderId="7" xfId="0" applyFont="1" applyFill="1" applyBorder="1"/>
    <xf numFmtId="169" fontId="4" fillId="0" borderId="7" xfId="0" applyNumberFormat="1" applyFont="1" applyFill="1" applyBorder="1" applyAlignment="1">
      <alignment horizontal="center" vertical="center"/>
    </xf>
    <xf numFmtId="15" fontId="6" fillId="2" borderId="5" xfId="0" applyNumberFormat="1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/>
    </xf>
    <xf numFmtId="4" fontId="7" fillId="0" borderId="9" xfId="3" quotePrefix="1" applyNumberFormat="1" applyFont="1" applyFill="1" applyBorder="1" applyAlignment="1">
      <alignment horizontal="center" vertical="center"/>
    </xf>
    <xf numFmtId="165" fontId="7" fillId="0" borderId="0" xfId="2" quotePrefix="1" applyNumberFormat="1" applyFont="1" applyFill="1" applyBorder="1" applyAlignment="1">
      <alignment horizontal="center" vertical="center"/>
    </xf>
    <xf numFmtId="165" fontId="7" fillId="0" borderId="0" xfId="2" applyNumberFormat="1" applyFont="1" applyFill="1" applyBorder="1" applyAlignment="1">
      <alignment horizontal="center" vertical="center"/>
    </xf>
    <xf numFmtId="167" fontId="6" fillId="0" borderId="9" xfId="3" applyNumberFormat="1" applyFont="1" applyFill="1" applyBorder="1" applyAlignment="1">
      <alignment horizontal="center" vertical="center"/>
    </xf>
    <xf numFmtId="15" fontId="6" fillId="0" borderId="0" xfId="3" applyNumberFormat="1" applyFont="1" applyFill="1" applyBorder="1" applyAlignment="1">
      <alignment horizontal="center" vertical="center"/>
    </xf>
    <xf numFmtId="165" fontId="6" fillId="0" borderId="0" xfId="2" applyNumberFormat="1" applyFont="1" applyFill="1" applyBorder="1" applyAlignment="1">
      <alignment horizontal="center" vertical="center"/>
    </xf>
    <xf numFmtId="169" fontId="6" fillId="0" borderId="10" xfId="2" applyNumberFormat="1" applyFont="1" applyFill="1" applyBorder="1" applyAlignment="1">
      <alignment horizontal="center" vertical="center"/>
    </xf>
    <xf numFmtId="0" fontId="6" fillId="0" borderId="9" xfId="3" applyFont="1" applyFill="1" applyBorder="1" applyAlignment="1">
      <alignment horizontal="center" vertical="center"/>
    </xf>
    <xf numFmtId="165" fontId="6" fillId="0" borderId="0" xfId="3" applyNumberFormat="1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center"/>
    </xf>
    <xf numFmtId="15" fontId="6" fillId="0" borderId="0" xfId="0" applyNumberFormat="1" applyFont="1" applyFill="1" applyBorder="1" applyAlignment="1">
      <alignment horizontal="center"/>
    </xf>
    <xf numFmtId="169" fontId="6" fillId="0" borderId="10" xfId="0" applyNumberFormat="1" applyFont="1" applyFill="1" applyBorder="1" applyAlignment="1">
      <alignment horizontal="center"/>
    </xf>
    <xf numFmtId="0" fontId="6" fillId="0" borderId="6" xfId="0" applyFont="1" applyFill="1" applyBorder="1" applyAlignment="1">
      <alignment horizontal="center"/>
    </xf>
    <xf numFmtId="15" fontId="6" fillId="0" borderId="11" xfId="0" applyNumberFormat="1" applyFont="1" applyFill="1" applyBorder="1" applyAlignment="1">
      <alignment horizontal="center"/>
    </xf>
    <xf numFmtId="165" fontId="6" fillId="0" borderId="11" xfId="3" applyNumberFormat="1" applyFont="1" applyFill="1" applyBorder="1" applyAlignment="1">
      <alignment horizontal="center" vertical="center"/>
    </xf>
    <xf numFmtId="169" fontId="6" fillId="0" borderId="7" xfId="0" applyNumberFormat="1" applyFont="1" applyFill="1" applyBorder="1" applyAlignment="1">
      <alignment horizontal="center"/>
    </xf>
    <xf numFmtId="167" fontId="4" fillId="0" borderId="11" xfId="0" applyNumberFormat="1" applyFont="1" applyFill="1" applyBorder="1" applyAlignment="1">
      <alignment horizontal="center" vertical="center"/>
    </xf>
    <xf numFmtId="0" fontId="14" fillId="0" borderId="0" xfId="0" applyFont="1"/>
    <xf numFmtId="0" fontId="0" fillId="0" borderId="0" xfId="0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4" fillId="3" borderId="5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13" fillId="0" borderId="15" xfId="0" applyFont="1" applyFill="1" applyBorder="1"/>
    <xf numFmtId="0" fontId="7" fillId="0" borderId="12" xfId="0" applyFont="1" applyFill="1" applyBorder="1" applyAlignment="1">
      <alignment horizontal="left" vertical="center"/>
    </xf>
    <xf numFmtId="0" fontId="7" fillId="0" borderId="14" xfId="0" applyFont="1" applyFill="1" applyBorder="1" applyAlignment="1">
      <alignment horizontal="center" vertical="center"/>
    </xf>
    <xf numFmtId="0" fontId="7" fillId="0" borderId="13" xfId="0" applyFont="1" applyFill="1" applyBorder="1" applyAlignment="1">
      <alignment horizontal="center" vertical="center"/>
    </xf>
    <xf numFmtId="164" fontId="7" fillId="0" borderId="3" xfId="0" applyNumberFormat="1" applyFont="1" applyBorder="1" applyAlignment="1">
      <alignment horizontal="left" vertical="center"/>
    </xf>
    <xf numFmtId="0" fontId="4" fillId="3" borderId="8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7" fillId="0" borderId="1" xfId="0" applyFont="1" applyBorder="1"/>
    <xf numFmtId="0" fontId="4" fillId="3" borderId="9" xfId="0" applyFont="1" applyFill="1" applyBorder="1" applyAlignment="1">
      <alignment horizontal="center" vertical="center"/>
    </xf>
    <xf numFmtId="167" fontId="4" fillId="3" borderId="10" xfId="0" applyNumberFormat="1" applyFont="1" applyFill="1" applyBorder="1" applyAlignment="1">
      <alignment horizontal="center" vertical="center"/>
    </xf>
    <xf numFmtId="0" fontId="0" fillId="0" borderId="0" xfId="0" applyFill="1" applyBorder="1"/>
    <xf numFmtId="0" fontId="4" fillId="3" borderId="6" xfId="0" applyFont="1" applyFill="1" applyBorder="1" applyAlignment="1">
      <alignment horizontal="center" vertical="center"/>
    </xf>
    <xf numFmtId="4" fontId="4" fillId="3" borderId="11" xfId="0" applyNumberFormat="1" applyFont="1" applyFill="1" applyBorder="1" applyAlignment="1">
      <alignment horizontal="center" vertical="center"/>
    </xf>
    <xf numFmtId="4" fontId="4" fillId="3" borderId="7" xfId="0" applyNumberFormat="1" applyFont="1" applyFill="1" applyBorder="1" applyAlignment="1">
      <alignment horizontal="center" vertical="center"/>
    </xf>
    <xf numFmtId="167" fontId="4" fillId="3" borderId="7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5" fillId="3" borderId="1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center"/>
    </xf>
    <xf numFmtId="15" fontId="7" fillId="2" borderId="8" xfId="0" applyNumberFormat="1" applyFont="1" applyFill="1" applyBorder="1" applyAlignment="1">
      <alignment horizontal="center" vertical="center"/>
    </xf>
    <xf numFmtId="172" fontId="7" fillId="2" borderId="4" xfId="5" applyNumberFormat="1" applyFont="1" applyFill="1" applyBorder="1" applyAlignment="1">
      <alignment horizontal="center" vertical="center"/>
    </xf>
    <xf numFmtId="15" fontId="7" fillId="2" borderId="11" xfId="0" applyNumberFormat="1" applyFont="1" applyFill="1" applyBorder="1" applyAlignment="1">
      <alignment horizontal="center" vertical="center"/>
    </xf>
    <xf numFmtId="173" fontId="6" fillId="2" borderId="7" xfId="5" applyNumberFormat="1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left"/>
    </xf>
    <xf numFmtId="174" fontId="7" fillId="2" borderId="4" xfId="5" applyNumberFormat="1" applyFont="1" applyFill="1" applyBorder="1" applyAlignment="1">
      <alignment horizontal="center" vertical="center"/>
    </xf>
    <xf numFmtId="174" fontId="7" fillId="2" borderId="10" xfId="5" applyNumberFormat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172" fontId="7" fillId="2" borderId="10" xfId="5" applyNumberFormat="1" applyFont="1" applyFill="1" applyBorder="1" applyAlignment="1">
      <alignment horizontal="center" vertical="center"/>
    </xf>
    <xf numFmtId="172" fontId="7" fillId="2" borderId="7" xfId="5" applyNumberFormat="1" applyFont="1" applyFill="1" applyBorder="1" applyAlignment="1">
      <alignment horizontal="center" vertical="center"/>
    </xf>
    <xf numFmtId="0" fontId="12" fillId="0" borderId="24" xfId="0" applyFont="1" applyFill="1" applyBorder="1" applyAlignment="1">
      <alignment horizontal="center" vertical="center"/>
    </xf>
    <xf numFmtId="0" fontId="4" fillId="0" borderId="24" xfId="0" applyFont="1" applyFill="1" applyBorder="1"/>
    <xf numFmtId="0" fontId="4" fillId="0" borderId="24" xfId="0" applyFont="1" applyFill="1" applyBorder="1" applyAlignment="1">
      <alignment horizontal="center" vertical="center"/>
    </xf>
    <xf numFmtId="0" fontId="18" fillId="0" borderId="25" xfId="0" applyFont="1" applyFill="1" applyBorder="1" applyAlignment="1">
      <alignment horizontal="center" vertical="center" textRotation="90" wrapText="1"/>
    </xf>
    <xf numFmtId="0" fontId="4" fillId="0" borderId="25" xfId="0" applyFont="1" applyFill="1" applyBorder="1"/>
    <xf numFmtId="0" fontId="12" fillId="0" borderId="2" xfId="0" applyFont="1" applyBorder="1" applyAlignment="1">
      <alignment horizontal="center" vertical="center" textRotation="90"/>
    </xf>
    <xf numFmtId="0" fontId="12" fillId="0" borderId="26" xfId="0" applyFont="1" applyBorder="1" applyAlignment="1">
      <alignment horizontal="center" vertical="center" textRotation="90"/>
    </xf>
    <xf numFmtId="0" fontId="19" fillId="0" borderId="25" xfId="0" applyFont="1" applyFill="1" applyBorder="1" applyAlignment="1">
      <alignment horizontal="center" vertical="center" textRotation="90" wrapText="1"/>
    </xf>
    <xf numFmtId="0" fontId="4" fillId="0" borderId="25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textRotation="90"/>
    </xf>
    <xf numFmtId="0" fontId="4" fillId="0" borderId="26" xfId="0" applyFont="1" applyBorder="1" applyAlignment="1">
      <alignment horizontal="center" vertical="center" textRotation="90"/>
    </xf>
    <xf numFmtId="0" fontId="0" fillId="0" borderId="2" xfId="0" applyBorder="1" applyAlignment="1">
      <alignment horizontal="center" vertical="center" textRotation="90" wrapText="1"/>
    </xf>
    <xf numFmtId="0" fontId="0" fillId="0" borderId="3" xfId="0" applyBorder="1" applyAlignment="1">
      <alignment horizontal="center" vertical="center" textRotation="90" wrapText="1"/>
    </xf>
    <xf numFmtId="0" fontId="0" fillId="0" borderId="0" xfId="0" applyFont="1"/>
    <xf numFmtId="0" fontId="6" fillId="3" borderId="6" xfId="0" applyFont="1" applyFill="1" applyBorder="1" applyAlignment="1">
      <alignment horizontal="center" vertical="center"/>
    </xf>
    <xf numFmtId="15" fontId="6" fillId="3" borderId="11" xfId="0" applyNumberFormat="1" applyFont="1" applyFill="1" applyBorder="1" applyAlignment="1">
      <alignment horizontal="center" vertical="center"/>
    </xf>
    <xf numFmtId="171" fontId="6" fillId="3" borderId="7" xfId="5" applyNumberFormat="1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167" fontId="6" fillId="3" borderId="10" xfId="0" applyNumberFormat="1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left" vertical="center"/>
    </xf>
    <xf numFmtId="4" fontId="6" fillId="3" borderId="10" xfId="0" applyNumberFormat="1" applyFont="1" applyFill="1" applyBorder="1" applyAlignment="1">
      <alignment horizontal="center" vertical="center"/>
    </xf>
    <xf numFmtId="0" fontId="4" fillId="0" borderId="0" xfId="0" applyFont="1"/>
    <xf numFmtId="0" fontId="0" fillId="3" borderId="0" xfId="0" applyFont="1" applyFill="1"/>
    <xf numFmtId="0" fontId="0" fillId="3" borderId="10" xfId="0" applyFont="1" applyFill="1" applyBorder="1"/>
    <xf numFmtId="0" fontId="4" fillId="3" borderId="0" xfId="0" applyFont="1" applyFill="1"/>
    <xf numFmtId="0" fontId="4" fillId="2" borderId="9" xfId="0" applyFont="1" applyFill="1" applyBorder="1" applyAlignment="1">
      <alignment horizontal="center" vertical="center"/>
    </xf>
    <xf numFmtId="168" fontId="4" fillId="2" borderId="0" xfId="0" applyNumberFormat="1" applyFont="1" applyFill="1" applyBorder="1" applyAlignment="1">
      <alignment horizontal="center" vertical="center"/>
    </xf>
    <xf numFmtId="0" fontId="4" fillId="3" borderId="20" xfId="0" applyFont="1" applyFill="1" applyBorder="1"/>
    <xf numFmtId="164" fontId="4" fillId="4" borderId="4" xfId="0" applyNumberFormat="1" applyFont="1" applyFill="1" applyBorder="1" applyAlignment="1">
      <alignment horizontal="center" vertical="center"/>
    </xf>
    <xf numFmtId="0" fontId="7" fillId="0" borderId="3" xfId="0" applyFont="1" applyBorder="1" applyAlignment="1">
      <alignment horizontal="left" vertical="center"/>
    </xf>
  </cellXfs>
  <cellStyles count="6">
    <cellStyle name="Comma [0]" xfId="2" builtinId="6"/>
    <cellStyle name="Comma [0] 5" xfId="4"/>
    <cellStyle name="Comma 10 2" xfId="5"/>
    <cellStyle name="Comma 93" xfId="1"/>
    <cellStyle name="Normal" xfId="0" builtinId="0"/>
    <cellStyle name="標準_Input_OutPut20060417" xfId="3"/>
  </cellStyles>
  <dxfs count="0"/>
  <tableStyles count="0" defaultTableStyle="TableStyleMedium2" defaultPivotStyle="PivotStyleLight16"/>
  <colors>
    <mruColors>
      <color rgb="FF006600"/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123825</xdr:colOff>
      <xdr:row>1</xdr:row>
      <xdr:rowOff>165735</xdr:rowOff>
    </xdr:from>
    <xdr:to>
      <xdr:col>19</xdr:col>
      <xdr:colOff>476496</xdr:colOff>
      <xdr:row>3</xdr:row>
      <xdr:rowOff>133593</xdr:rowOff>
    </xdr:to>
    <xdr:pic macro="[1]!ShowCurveGeneratorSettings"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" y="356235"/>
          <a:ext cx="352671" cy="348858"/>
        </a:xfrm>
        <a:prstGeom prst="rect">
          <a:avLst/>
        </a:prstGeom>
      </xdr:spPr>
    </xdr:pic>
    <xdr:clientData/>
  </xdr:twoCellAnchor>
  <xdr:twoCellAnchor editAs="oneCell">
    <xdr:from>
      <xdr:col>19</xdr:col>
      <xdr:colOff>114300</xdr:colOff>
      <xdr:row>4</xdr:row>
      <xdr:rowOff>59126</xdr:rowOff>
    </xdr:from>
    <xdr:to>
      <xdr:col>19</xdr:col>
      <xdr:colOff>486024</xdr:colOff>
      <xdr:row>6</xdr:row>
      <xdr:rowOff>47873</xdr:rowOff>
    </xdr:to>
    <xdr:pic macro="[1]!ShowCurveCalibtrationSettings"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5275" y="821126"/>
          <a:ext cx="371724" cy="36974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123825</xdr:colOff>
      <xdr:row>1</xdr:row>
      <xdr:rowOff>165735</xdr:rowOff>
    </xdr:from>
    <xdr:to>
      <xdr:col>17</xdr:col>
      <xdr:colOff>476496</xdr:colOff>
      <xdr:row>3</xdr:row>
      <xdr:rowOff>133593</xdr:rowOff>
    </xdr:to>
    <xdr:pic macro="[1]!ShowCurveGeneratorSettings"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" y="356235"/>
          <a:ext cx="352671" cy="348858"/>
        </a:xfrm>
        <a:prstGeom prst="rect">
          <a:avLst/>
        </a:prstGeom>
      </xdr:spPr>
    </xdr:pic>
    <xdr:clientData/>
  </xdr:twoCellAnchor>
  <xdr:twoCellAnchor editAs="oneCell">
    <xdr:from>
      <xdr:col>17</xdr:col>
      <xdr:colOff>114300</xdr:colOff>
      <xdr:row>4</xdr:row>
      <xdr:rowOff>59126</xdr:rowOff>
    </xdr:from>
    <xdr:to>
      <xdr:col>17</xdr:col>
      <xdr:colOff>486024</xdr:colOff>
      <xdr:row>6</xdr:row>
      <xdr:rowOff>47873</xdr:rowOff>
    </xdr:to>
    <xdr:pic macro="[1]!ShowCurveCalibtrationSettings"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5275" y="821126"/>
          <a:ext cx="371724" cy="36974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123825</xdr:colOff>
      <xdr:row>1</xdr:row>
      <xdr:rowOff>165735</xdr:rowOff>
    </xdr:from>
    <xdr:to>
      <xdr:col>19</xdr:col>
      <xdr:colOff>476496</xdr:colOff>
      <xdr:row>3</xdr:row>
      <xdr:rowOff>133593</xdr:rowOff>
    </xdr:to>
    <xdr:pic macro="[1]!ShowCurveGeneratorSettings"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" y="356235"/>
          <a:ext cx="352671" cy="348858"/>
        </a:xfrm>
        <a:prstGeom prst="rect">
          <a:avLst/>
        </a:prstGeom>
      </xdr:spPr>
    </xdr:pic>
    <xdr:clientData/>
  </xdr:twoCellAnchor>
  <xdr:twoCellAnchor editAs="oneCell">
    <xdr:from>
      <xdr:col>19</xdr:col>
      <xdr:colOff>114300</xdr:colOff>
      <xdr:row>4</xdr:row>
      <xdr:rowOff>59126</xdr:rowOff>
    </xdr:from>
    <xdr:to>
      <xdr:col>19</xdr:col>
      <xdr:colOff>486024</xdr:colOff>
      <xdr:row>6</xdr:row>
      <xdr:rowOff>47873</xdr:rowOff>
    </xdr:to>
    <xdr:pic macro="[1]!ShowCurveCalibtrationSettings"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5275" y="821126"/>
          <a:ext cx="371724" cy="36974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123825</xdr:colOff>
      <xdr:row>1</xdr:row>
      <xdr:rowOff>165735</xdr:rowOff>
    </xdr:from>
    <xdr:to>
      <xdr:col>17</xdr:col>
      <xdr:colOff>476496</xdr:colOff>
      <xdr:row>3</xdr:row>
      <xdr:rowOff>133593</xdr:rowOff>
    </xdr:to>
    <xdr:pic macro="[1]!ShowCurveGeneratorSettings"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" y="356235"/>
          <a:ext cx="352671" cy="348858"/>
        </a:xfrm>
        <a:prstGeom prst="rect">
          <a:avLst/>
        </a:prstGeom>
      </xdr:spPr>
    </xdr:pic>
    <xdr:clientData/>
  </xdr:twoCellAnchor>
  <xdr:twoCellAnchor editAs="oneCell">
    <xdr:from>
      <xdr:col>17</xdr:col>
      <xdr:colOff>114300</xdr:colOff>
      <xdr:row>4</xdr:row>
      <xdr:rowOff>59126</xdr:rowOff>
    </xdr:from>
    <xdr:to>
      <xdr:col>17</xdr:col>
      <xdr:colOff>486024</xdr:colOff>
      <xdr:row>6</xdr:row>
      <xdr:rowOff>47873</xdr:rowOff>
    </xdr:to>
    <xdr:pic macro="[1]!ShowCurveCalibtrationSettings"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5275" y="821126"/>
          <a:ext cx="371724" cy="36974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002\Global\Secure\DIR_MLib_Analytics\PricingTools\CurveCalibrationTool\CurveCalibrationTool-13.1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tings"/>
      <sheetName val="Curve Dependencies"/>
      <sheetName val="FX Forward Invariance"/>
      <sheetName val="Non-Standard CSA Curves"/>
      <sheetName val="MKT DATA USD"/>
      <sheetName val="USD OIS"/>
      <sheetName val="USD SWAP 3ML"/>
      <sheetName val="USD BASIS 6ML"/>
      <sheetName val="USD BASIS 1ML"/>
      <sheetName val="USD BASIS 12ML"/>
      <sheetName val="USD CSA CURVES"/>
      <sheetName val="USD FORWARDS"/>
      <sheetName val="USD DISC FACTORS"/>
      <sheetName val="USD SWAPS"/>
      <sheetName val="MKT DATA GBP"/>
      <sheetName val="GBP OIS"/>
      <sheetName val="GBP SWAP 3ML"/>
      <sheetName val="GBP BASIS 6ML"/>
      <sheetName val="GBP BASIS 1ML"/>
      <sheetName val="GBP BASIS 12ML"/>
      <sheetName val="GBP XCCY BASIS"/>
      <sheetName val="GBP CSA CURVES"/>
      <sheetName val="GBP FORWARDS"/>
      <sheetName val="GBP DISC FACTORS"/>
      <sheetName val="GBP SWAPS"/>
      <sheetName val="MKT DATA EUR"/>
      <sheetName val="EUR OIS"/>
      <sheetName val="EUR SWAP 3ML"/>
      <sheetName val="EUR SWAP 6ML"/>
      <sheetName val="EUR BASIS 1ML"/>
      <sheetName val="EUR BASIS 12ML"/>
      <sheetName val="EUR XCCY BASIS"/>
      <sheetName val="EUR CSA CURVES"/>
      <sheetName val="EUR FORWARDS"/>
      <sheetName val="EUR DISC FACTORS"/>
      <sheetName val="EUR SWAPS"/>
      <sheetName val="MKT DATA AUD"/>
      <sheetName val="AUD OIS"/>
      <sheetName val="AUD SWAP 3ML"/>
      <sheetName val="AUD SWAP 6ML"/>
      <sheetName val="AUD XCCY BASIS"/>
      <sheetName val="AUD CSA CURVES"/>
      <sheetName val="AUD FORWARDS"/>
      <sheetName val="AUD DISC FACTORS"/>
      <sheetName val="AUD SWAPS"/>
      <sheetName val="MKT DATA JPY"/>
      <sheetName val="JPY OIS JSCC"/>
      <sheetName val="JPY SWAP 6ML JSCC"/>
      <sheetName val="JPY BASIS 3ML JSCC"/>
      <sheetName val="JPY BASIS 1ML JSCC"/>
      <sheetName val="JPY FORWARDS JSCC"/>
      <sheetName val="JPY SWAPS JSCC"/>
      <sheetName val="JPY OIS LCH"/>
      <sheetName val="JPY SWAP 6ML LCH"/>
      <sheetName val="JPY BASIS 3ML LCH"/>
      <sheetName val="JPY BASIS 1ML LCH"/>
      <sheetName val="JPY XCCY BASIS LCH"/>
      <sheetName val="JPY CSA CURVES LCH"/>
      <sheetName val="JPY FORWARDS LCH"/>
      <sheetName val="JPY DISC FACTORS"/>
      <sheetName val="JPY SWAPS LCH"/>
      <sheetName val="JPY OIS TIBOR"/>
      <sheetName val="JPY BASIS 6ML TIBOR"/>
      <sheetName val="JPY BASIS 3ML TIBOR"/>
      <sheetName val="JPY BASIS 1ML TIBOR"/>
      <sheetName val="JPY FORWARDS TIBOR"/>
      <sheetName val="JPY SWAPS TIBOR"/>
    </sheetNames>
    <definedNames>
      <definedName name="ShowCurveCalibtrationSettings"/>
      <definedName name="ShowCurveGeneratorSettings"/>
    </definedNames>
    <sheetDataSet>
      <sheetData sheetId="0">
        <row r="2">
          <cell r="O2">
            <v>0</v>
          </cell>
        </row>
        <row r="4">
          <cell r="C4">
            <v>43937</v>
          </cell>
          <cell r="E4" t="b">
            <v>0</v>
          </cell>
          <cell r="I4" t="b">
            <v>0</v>
          </cell>
          <cell r="K4" t="b">
            <v>1</v>
          </cell>
          <cell r="M4" t="b">
            <v>1</v>
          </cell>
        </row>
        <row r="65">
          <cell r="E65">
            <v>1E-3</v>
          </cell>
          <cell r="G65">
            <v>1E-3</v>
          </cell>
          <cell r="I65">
            <v>1E-3</v>
          </cell>
          <cell r="K65">
            <v>1E-3</v>
          </cell>
          <cell r="M65">
            <v>1E-3</v>
          </cell>
          <cell r="O65">
            <v>1E-3</v>
          </cell>
          <cell r="Q65">
            <v>1E-3</v>
          </cell>
        </row>
        <row r="71">
          <cell r="C71" t="b">
            <v>0</v>
          </cell>
          <cell r="E71" t="str">
            <v>C:/Temp/</v>
          </cell>
        </row>
      </sheetData>
      <sheetData sheetId="1"/>
      <sheetData sheetId="2"/>
      <sheetData sheetId="3"/>
      <sheetData sheetId="4">
        <row r="4">
          <cell r="E4">
            <v>0</v>
          </cell>
        </row>
        <row r="7">
          <cell r="H7" t="str">
            <v>ON</v>
          </cell>
          <cell r="J7">
            <v>5.0000000000000001E-4</v>
          </cell>
          <cell r="M7" t="str">
            <v>1M</v>
          </cell>
          <cell r="R7">
            <v>7.1825000000000005E-3</v>
          </cell>
        </row>
        <row r="8">
          <cell r="H8" t="str">
            <v>1W</v>
          </cell>
          <cell r="J8">
            <v>5.5000000000000003E-4</v>
          </cell>
          <cell r="M8" t="str">
            <v>3M</v>
          </cell>
          <cell r="R8">
            <v>1.1352500000000001E-2</v>
          </cell>
        </row>
        <row r="9">
          <cell r="H9" t="str">
            <v>2W</v>
          </cell>
          <cell r="J9">
            <v>6.3000000000000003E-4</v>
          </cell>
          <cell r="M9" t="str">
            <v>6M</v>
          </cell>
          <cell r="R9">
            <v>1.125E-2</v>
          </cell>
        </row>
        <row r="10">
          <cell r="H10" t="str">
            <v>3W</v>
          </cell>
          <cell r="J10">
            <v>7.2999999999999996E-4</v>
          </cell>
          <cell r="M10" t="str">
            <v>12M</v>
          </cell>
          <cell r="R10">
            <v>9.8125E-3</v>
          </cell>
        </row>
        <row r="11">
          <cell r="H11" t="str">
            <v>1M</v>
          </cell>
          <cell r="J11">
            <v>7.9500000000000003E-4</v>
          </cell>
          <cell r="L11" t="str">
            <v>ED1 Comdty</v>
          </cell>
          <cell r="N11" t="str">
            <v>ED1</v>
          </cell>
          <cell r="O11">
            <v>43999</v>
          </cell>
          <cell r="P11">
            <v>44090</v>
          </cell>
          <cell r="R11">
            <v>99.54</v>
          </cell>
        </row>
        <row r="12">
          <cell r="H12" t="str">
            <v>2M</v>
          </cell>
          <cell r="J12">
            <v>7.8100000000000001E-4</v>
          </cell>
          <cell r="L12" t="str">
            <v>ED2 Comdty</v>
          </cell>
          <cell r="N12" t="str">
            <v>ED2</v>
          </cell>
          <cell r="O12">
            <v>44090</v>
          </cell>
          <cell r="P12">
            <v>44181</v>
          </cell>
          <cell r="R12">
            <v>99.655000000000001</v>
          </cell>
        </row>
        <row r="13">
          <cell r="H13" t="str">
            <v>3M</v>
          </cell>
          <cell r="J13">
            <v>7.5500000000000003E-4</v>
          </cell>
          <cell r="L13" t="str">
            <v>ED3 Comdty</v>
          </cell>
          <cell r="N13" t="str">
            <v>ED3</v>
          </cell>
          <cell r="O13">
            <v>44181</v>
          </cell>
          <cell r="P13">
            <v>44272</v>
          </cell>
          <cell r="R13">
            <v>99.65</v>
          </cell>
        </row>
        <row r="14">
          <cell r="H14" t="str">
            <v>4M</v>
          </cell>
          <cell r="J14">
            <v>6.9900000000000008E-4</v>
          </cell>
          <cell r="L14" t="str">
            <v>ED4 Comdty</v>
          </cell>
          <cell r="N14" t="str">
            <v>ED4</v>
          </cell>
          <cell r="O14">
            <v>44272</v>
          </cell>
          <cell r="P14">
            <v>44363</v>
          </cell>
          <cell r="R14">
            <v>99.72</v>
          </cell>
        </row>
        <row r="15">
          <cell r="H15" t="str">
            <v>5M</v>
          </cell>
          <cell r="J15">
            <v>6.6399999999999999E-4</v>
          </cell>
          <cell r="L15" t="str">
            <v>ED5 Comdty</v>
          </cell>
          <cell r="N15" t="str">
            <v>ED5</v>
          </cell>
          <cell r="O15">
            <v>44363</v>
          </cell>
          <cell r="P15">
            <v>44454</v>
          </cell>
          <cell r="R15">
            <v>99.734999999999999</v>
          </cell>
        </row>
        <row r="16">
          <cell r="H16" t="str">
            <v>6M</v>
          </cell>
          <cell r="J16">
            <v>6.87E-4</v>
          </cell>
          <cell r="L16" t="str">
            <v>ED6 Comdty</v>
          </cell>
          <cell r="N16" t="str">
            <v>ED6</v>
          </cell>
          <cell r="O16">
            <v>44454</v>
          </cell>
          <cell r="P16">
            <v>44545</v>
          </cell>
          <cell r="R16">
            <v>99.734999999999999</v>
          </cell>
        </row>
        <row r="17">
          <cell r="H17" t="str">
            <v>9M</v>
          </cell>
          <cell r="J17">
            <v>6.9099999999999999E-4</v>
          </cell>
          <cell r="L17" t="str">
            <v>ED7 Comdty</v>
          </cell>
          <cell r="N17" t="str">
            <v>ED7</v>
          </cell>
          <cell r="O17">
            <v>44545</v>
          </cell>
          <cell r="P17">
            <v>44636</v>
          </cell>
          <cell r="R17">
            <v>99.715000000000003</v>
          </cell>
        </row>
        <row r="18">
          <cell r="H18" t="str">
            <v>1Y</v>
          </cell>
          <cell r="J18">
            <v>6.9500000000000009E-4</v>
          </cell>
          <cell r="L18" t="str">
            <v>ED8 Comdty</v>
          </cell>
          <cell r="N18" t="str">
            <v>ED8</v>
          </cell>
          <cell r="O18">
            <v>44636</v>
          </cell>
          <cell r="P18">
            <v>44727</v>
          </cell>
          <cell r="R18">
            <v>99.704999999999998</v>
          </cell>
        </row>
        <row r="19">
          <cell r="H19" t="str">
            <v>2Y</v>
          </cell>
          <cell r="J19">
            <v>6.3000000000000003E-4</v>
          </cell>
          <cell r="M19" t="str">
            <v>3Y</v>
          </cell>
          <cell r="R19">
            <v>3.9240000000000004E-3</v>
          </cell>
        </row>
        <row r="20">
          <cell r="H20" t="str">
            <v>3Y</v>
          </cell>
          <cell r="J20">
            <v>9.2999999999999995E-4</v>
          </cell>
          <cell r="M20" t="str">
            <v>4Y</v>
          </cell>
          <cell r="R20">
            <v>4.1700000000000001E-3</v>
          </cell>
        </row>
        <row r="21">
          <cell r="H21" t="str">
            <v>4Y</v>
          </cell>
          <cell r="J21">
            <v>1.4000000000000002E-3</v>
          </cell>
          <cell r="M21" t="str">
            <v>5Y</v>
          </cell>
          <cell r="R21">
            <v>4.5960000000000003E-3</v>
          </cell>
        </row>
        <row r="22">
          <cell r="H22" t="str">
            <v>5Y</v>
          </cell>
          <cell r="J22">
            <v>1.9E-3</v>
          </cell>
          <cell r="M22" t="str">
            <v>7Y</v>
          </cell>
          <cell r="R22">
            <v>5.6169999999999996E-3</v>
          </cell>
        </row>
        <row r="23">
          <cell r="H23" t="str">
            <v>1Y</v>
          </cell>
          <cell r="J23">
            <v>4.7499999999999999E-3</v>
          </cell>
          <cell r="M23" t="str">
            <v>8Y</v>
          </cell>
          <cell r="R23">
            <v>6.0619999999999997E-3</v>
          </cell>
        </row>
        <row r="24">
          <cell r="H24" t="str">
            <v>2Y</v>
          </cell>
          <cell r="J24">
            <v>3.3812500000000001E-3</v>
          </cell>
          <cell r="M24" t="str">
            <v>9Y</v>
          </cell>
          <cell r="R24">
            <v>6.4959999999999992E-3</v>
          </cell>
        </row>
        <row r="25">
          <cell r="H25" t="str">
            <v>3Y</v>
          </cell>
          <cell r="J25">
            <v>2.9250000000000001E-3</v>
          </cell>
          <cell r="M25" t="str">
            <v>10Y</v>
          </cell>
          <cell r="R25">
            <v>6.8089999999999991E-3</v>
          </cell>
        </row>
        <row r="26">
          <cell r="H26" t="str">
            <v>4Y</v>
          </cell>
          <cell r="J26">
            <v>2.7125000000000001E-3</v>
          </cell>
          <cell r="M26" t="str">
            <v>12Y</v>
          </cell>
          <cell r="R26">
            <v>7.3209999999999994E-3</v>
          </cell>
        </row>
        <row r="27">
          <cell r="H27" t="str">
            <v>5Y</v>
          </cell>
          <cell r="J27">
            <v>2.6124999999999998E-3</v>
          </cell>
          <cell r="M27" t="str">
            <v>15Y</v>
          </cell>
          <cell r="R27">
            <v>7.7690000000000007E-3</v>
          </cell>
        </row>
        <row r="28">
          <cell r="H28" t="str">
            <v>7Y</v>
          </cell>
          <cell r="J28">
            <v>2.5249999999999999E-3</v>
          </cell>
          <cell r="M28" t="str">
            <v>20Y</v>
          </cell>
          <cell r="R28">
            <v>8.2719999999999998E-3</v>
          </cell>
        </row>
        <row r="29">
          <cell r="H29" t="str">
            <v>10Y</v>
          </cell>
          <cell r="J29">
            <v>2.4437500000000002E-3</v>
          </cell>
          <cell r="M29" t="str">
            <v>25Y</v>
          </cell>
          <cell r="R29">
            <v>8.4200000000000004E-3</v>
          </cell>
        </row>
        <row r="30">
          <cell r="H30" t="str">
            <v>12Y</v>
          </cell>
          <cell r="J30">
            <v>2.4129999999999998E-3</v>
          </cell>
          <cell r="M30" t="str">
            <v>30Y</v>
          </cell>
          <cell r="R30">
            <v>8.4969999999999993E-3</v>
          </cell>
        </row>
        <row r="31">
          <cell r="H31" t="str">
            <v>15Y</v>
          </cell>
          <cell r="J31">
            <v>2.3874999999999999E-3</v>
          </cell>
        </row>
        <row r="32">
          <cell r="H32" t="str">
            <v>20Y</v>
          </cell>
          <cell r="J32">
            <v>2.3625E-3</v>
          </cell>
        </row>
        <row r="33">
          <cell r="H33" t="str">
            <v>25Y</v>
          </cell>
          <cell r="J33">
            <v>2.3500000000000001E-3</v>
          </cell>
        </row>
        <row r="34">
          <cell r="H34" t="str">
            <v>30Y</v>
          </cell>
          <cell r="J34">
            <v>2.3500000000000001E-3</v>
          </cell>
        </row>
        <row r="35">
          <cell r="H35" t="str">
            <v>1Y</v>
          </cell>
          <cell r="J35">
            <v>5.4890000000000008E-3</v>
          </cell>
        </row>
        <row r="36">
          <cell r="H36" t="str">
            <v>2Y</v>
          </cell>
          <cell r="J36">
            <v>4.117E-3</v>
          </cell>
        </row>
        <row r="37">
          <cell r="H37" t="str">
            <v>3Y</v>
          </cell>
          <cell r="J37">
            <v>3.9240000000000004E-3</v>
          </cell>
        </row>
        <row r="38">
          <cell r="H38" t="str">
            <v>4Y</v>
          </cell>
          <cell r="J38">
            <v>4.1700000000000001E-3</v>
          </cell>
        </row>
        <row r="39">
          <cell r="H39" t="str">
            <v>5Y</v>
          </cell>
          <cell r="J39">
            <v>4.5960000000000003E-3</v>
          </cell>
        </row>
        <row r="40">
          <cell r="H40" t="str">
            <v>7Y</v>
          </cell>
          <cell r="J40">
            <v>5.6169999999999996E-3</v>
          </cell>
        </row>
        <row r="41">
          <cell r="H41" t="str">
            <v>10Y</v>
          </cell>
          <cell r="J41">
            <v>6.8089999999999991E-3</v>
          </cell>
        </row>
        <row r="42">
          <cell r="H42" t="str">
            <v>12Y</v>
          </cell>
          <cell r="J42">
            <v>7.3209999999999994E-3</v>
          </cell>
        </row>
        <row r="43">
          <cell r="H43" t="str">
            <v>15Y</v>
          </cell>
          <cell r="J43">
            <v>7.7690000000000007E-3</v>
          </cell>
        </row>
        <row r="44">
          <cell r="H44" t="str">
            <v>20Y</v>
          </cell>
          <cell r="J44">
            <v>8.2719999999999998E-3</v>
          </cell>
        </row>
        <row r="45">
          <cell r="H45" t="str">
            <v>25Y</v>
          </cell>
          <cell r="J45">
            <v>8.4200000000000004E-3</v>
          </cell>
        </row>
        <row r="46">
          <cell r="H46" t="str">
            <v>30Y</v>
          </cell>
          <cell r="J46">
            <v>8.4969999999999993E-3</v>
          </cell>
        </row>
      </sheetData>
      <sheetData sheetId="5"/>
      <sheetData sheetId="6"/>
      <sheetData sheetId="7"/>
      <sheetData sheetId="8"/>
      <sheetData sheetId="9"/>
      <sheetData sheetId="10">
        <row r="6">
          <cell r="W6" t="b">
            <v>0</v>
          </cell>
        </row>
        <row r="32">
          <cell r="I32" t="b">
            <v>1</v>
          </cell>
        </row>
      </sheetData>
      <sheetData sheetId="11"/>
      <sheetData sheetId="12"/>
      <sheetData sheetId="13">
        <row r="5">
          <cell r="T5">
            <v>3.6692437282992429E-10</v>
          </cell>
        </row>
        <row r="6">
          <cell r="T6">
            <v>2.7481478464402853E-9</v>
          </cell>
        </row>
        <row r="7">
          <cell r="T7">
            <v>5.2858965034902061E-9</v>
          </cell>
        </row>
        <row r="8">
          <cell r="T8">
            <v>2.6195942116891135E-8</v>
          </cell>
        </row>
        <row r="9">
          <cell r="T9">
            <v>1.8792842716025548E-8</v>
          </cell>
        </row>
        <row r="10">
          <cell r="T10">
            <v>4.4234364435236095E-10</v>
          </cell>
        </row>
        <row r="11">
          <cell r="T11">
            <v>1.4730501974452581E-9</v>
          </cell>
        </row>
        <row r="12">
          <cell r="T12">
            <v>1.947819076170143E-9</v>
          </cell>
        </row>
        <row r="13">
          <cell r="T13">
            <v>3.5797775334300841E-9</v>
          </cell>
        </row>
        <row r="14">
          <cell r="T14">
            <v>6.5628817484675306E-9</v>
          </cell>
        </row>
        <row r="15">
          <cell r="T15">
            <v>2.6842601492244045E-9</v>
          </cell>
        </row>
        <row r="25">
          <cell r="T25">
            <v>1.8143238628056529E-4</v>
          </cell>
        </row>
        <row r="26">
          <cell r="T26">
            <v>6.8631456581237649E-5</v>
          </cell>
        </row>
        <row r="27">
          <cell r="T27">
            <v>2.8686831547372615E-5</v>
          </cell>
        </row>
        <row r="28">
          <cell r="T28">
            <v>2.6496934083918705E-4</v>
          </cell>
        </row>
        <row r="29">
          <cell r="T29">
            <v>6.8912013991007104E-4</v>
          </cell>
        </row>
        <row r="30">
          <cell r="T30">
            <v>7.7127810734021335E-4</v>
          </cell>
        </row>
        <row r="31">
          <cell r="T31">
            <v>9.6094467725953148E-4</v>
          </cell>
        </row>
        <row r="32">
          <cell r="T32">
            <v>2.2052951409272381E-3</v>
          </cell>
        </row>
        <row r="33">
          <cell r="T33">
            <v>1.5823492981442006E-3</v>
          </cell>
        </row>
        <row r="34">
          <cell r="T34">
            <v>1.424082463376275E-3</v>
          </cell>
        </row>
        <row r="41">
          <cell r="T41">
            <v>1.8397184979417058E-4</v>
          </cell>
        </row>
        <row r="42">
          <cell r="T42">
            <v>2.0069628567671166E-2</v>
          </cell>
        </row>
        <row r="43">
          <cell r="T43">
            <v>2.9091669550770916E-5</v>
          </cell>
        </row>
        <row r="44">
          <cell r="T44">
            <v>2.6883576641732743E-4</v>
          </cell>
        </row>
        <row r="45">
          <cell r="T45">
            <v>3.5552415625188238E-4</v>
          </cell>
        </row>
        <row r="46">
          <cell r="T46">
            <v>5.3109653918616273E-4</v>
          </cell>
        </row>
        <row r="47">
          <cell r="T47">
            <v>6.994435255199688E-4</v>
          </cell>
        </row>
        <row r="48">
          <cell r="T48">
            <v>7.8299544124457721E-4</v>
          </cell>
        </row>
        <row r="49">
          <cell r="T49">
            <v>1.140355084710068E-3</v>
          </cell>
        </row>
        <row r="50">
          <cell r="T50">
            <v>2.2391502495569537E-3</v>
          </cell>
        </row>
        <row r="56">
          <cell r="T56">
            <v>1.704365815147213E-12</v>
          </cell>
        </row>
        <row r="57">
          <cell r="T57">
            <v>4.5102810375396984E-13</v>
          </cell>
        </row>
        <row r="58">
          <cell r="T58">
            <v>1.707901487184478E-4</v>
          </cell>
        </row>
        <row r="59">
          <cell r="T59">
            <v>1.9785742795164381E-2</v>
          </cell>
        </row>
        <row r="60">
          <cell r="T60">
            <v>6.9230032652841361E-2</v>
          </cell>
        </row>
        <row r="61">
          <cell r="T61">
            <v>1.6089560239684886E-11</v>
          </cell>
        </row>
        <row r="62">
          <cell r="T62">
            <v>1.3977534407683123E-11</v>
          </cell>
        </row>
        <row r="63">
          <cell r="T63">
            <v>1.199344443203465E-11</v>
          </cell>
        </row>
        <row r="64">
          <cell r="T64">
            <v>1.2093191031903316E-11</v>
          </cell>
        </row>
        <row r="65">
          <cell r="T65">
            <v>1.3140530330524314E-11</v>
          </cell>
        </row>
        <row r="66">
          <cell r="T66">
            <v>1.61632859874139E-11</v>
          </cell>
        </row>
        <row r="67">
          <cell r="T67">
            <v>1.205849656238378E-11</v>
          </cell>
        </row>
        <row r="68">
          <cell r="T68">
            <v>1.3042952135000618E-11</v>
          </cell>
        </row>
        <row r="69">
          <cell r="T69">
            <v>8.5001450322863548E-13</v>
          </cell>
        </row>
        <row r="70">
          <cell r="T70">
            <v>4.412702842016003E-12</v>
          </cell>
        </row>
        <row r="76">
          <cell r="T76">
            <v>1.7308203481558593E-11</v>
          </cell>
        </row>
        <row r="77">
          <cell r="T77">
            <v>4.7357950894166834E-12</v>
          </cell>
        </row>
        <row r="78">
          <cell r="T78">
            <v>2.0055840681569223E-4</v>
          </cell>
        </row>
        <row r="79">
          <cell r="T79">
            <v>1.9788308264604999E-2</v>
          </cell>
        </row>
        <row r="80">
          <cell r="T80">
            <v>6.9188758189859825E-2</v>
          </cell>
        </row>
        <row r="81">
          <cell r="T81">
            <v>3.2098213843811951E-7</v>
          </cell>
        </row>
        <row r="82">
          <cell r="T82">
            <v>2.5912854761250825E-7</v>
          </cell>
        </row>
        <row r="83">
          <cell r="T83">
            <v>3.141045930299402E-7</v>
          </cell>
        </row>
        <row r="84">
          <cell r="T84">
            <v>3.1599466099319073E-7</v>
          </cell>
        </row>
        <row r="85">
          <cell r="T85">
            <v>2.4603521151835006E-7</v>
          </cell>
        </row>
        <row r="86">
          <cell r="T86">
            <v>1.7152974136555588E-7</v>
          </cell>
        </row>
        <row r="87">
          <cell r="T87">
            <v>2.2098005174851776E-7</v>
          </cell>
        </row>
        <row r="88">
          <cell r="T88">
            <v>2.2769087179921876E-7</v>
          </cell>
        </row>
        <row r="89">
          <cell r="T89">
            <v>3.7514457686127489E-8</v>
          </cell>
        </row>
        <row r="90">
          <cell r="T90">
            <v>1.4176488758940731E-8</v>
          </cell>
        </row>
        <row r="96">
          <cell r="T96">
            <v>0</v>
          </cell>
        </row>
        <row r="97">
          <cell r="T97">
            <v>7.0256300777060687E-13</v>
          </cell>
        </row>
        <row r="98">
          <cell r="T98">
            <v>4.2438487468134112E-5</v>
          </cell>
        </row>
        <row r="99">
          <cell r="T99">
            <v>1.9732765485563561E-2</v>
          </cell>
        </row>
        <row r="100">
          <cell r="T100">
            <v>6.9295442960354628E-2</v>
          </cell>
        </row>
        <row r="101">
          <cell r="T101">
            <v>1.1492543028346347E-12</v>
          </cell>
        </row>
        <row r="102">
          <cell r="T102">
            <v>1.6609977282477928E-12</v>
          </cell>
        </row>
        <row r="103">
          <cell r="T103">
            <v>1.5699247457590104E-12</v>
          </cell>
        </row>
        <row r="104">
          <cell r="T104">
            <v>3.2829641782861074E-12</v>
          </cell>
        </row>
        <row r="105">
          <cell r="T105">
            <v>9.3241386833753381E-13</v>
          </cell>
        </row>
        <row r="106">
          <cell r="T106">
            <v>1.474514954580286E-13</v>
          </cell>
        </row>
        <row r="107">
          <cell r="T107">
            <v>6.3317406873153459E-13</v>
          </cell>
        </row>
      </sheetData>
      <sheetData sheetId="14">
        <row r="4">
          <cell r="E4">
            <v>0</v>
          </cell>
        </row>
      </sheetData>
      <sheetData sheetId="15">
        <row r="32">
          <cell r="W32" t="b">
            <v>1</v>
          </cell>
        </row>
      </sheetData>
      <sheetData sheetId="16">
        <row r="32">
          <cell r="U32" t="b">
            <v>1</v>
          </cell>
        </row>
      </sheetData>
      <sheetData sheetId="17">
        <row r="25">
          <cell r="L25" t="b">
            <v>1</v>
          </cell>
        </row>
      </sheetData>
      <sheetData sheetId="18"/>
      <sheetData sheetId="19"/>
      <sheetData sheetId="20">
        <row r="24">
          <cell r="M24" t="b">
            <v>1</v>
          </cell>
        </row>
      </sheetData>
      <sheetData sheetId="21">
        <row r="6">
          <cell r="W6" t="b">
            <v>0</v>
          </cell>
        </row>
        <row r="32">
          <cell r="I32" t="b">
            <v>1</v>
          </cell>
        </row>
      </sheetData>
      <sheetData sheetId="22"/>
      <sheetData sheetId="23"/>
      <sheetData sheetId="24">
        <row r="6">
          <cell r="T6">
            <v>0</v>
          </cell>
        </row>
        <row r="7">
          <cell r="T7">
            <v>2.5839886870840378E-8</v>
          </cell>
        </row>
        <row r="8">
          <cell r="T8">
            <v>5.5663915317361035E-10</v>
          </cell>
        </row>
        <row r="9">
          <cell r="T9">
            <v>1.2375124796432102E-8</v>
          </cell>
        </row>
        <row r="10">
          <cell r="T10">
            <v>1.188346296365772E-9</v>
          </cell>
        </row>
        <row r="11">
          <cell r="T11">
            <v>1.3209267664057722E-8</v>
          </cell>
        </row>
        <row r="12">
          <cell r="T12">
            <v>2.6581124454305716E-9</v>
          </cell>
        </row>
        <row r="13">
          <cell r="T13">
            <v>2.1041904113214271E-8</v>
          </cell>
        </row>
        <row r="14">
          <cell r="T14">
            <v>3.4460531216778945E-9</v>
          </cell>
        </row>
        <row r="15">
          <cell r="T15">
            <v>2.0573768383380653E-8</v>
          </cell>
        </row>
        <row r="16">
          <cell r="T16">
            <v>1.611654603175805E-8</v>
          </cell>
        </row>
        <row r="17">
          <cell r="T17">
            <v>1.512419855152769E-8</v>
          </cell>
        </row>
        <row r="18">
          <cell r="T18">
            <v>1.6353751035660946E-8</v>
          </cell>
        </row>
        <row r="27">
          <cell r="T27">
            <v>1.4251398787641645E-4</v>
          </cell>
        </row>
        <row r="28">
          <cell r="T28">
            <v>1.0721665170704969E-4</v>
          </cell>
        </row>
        <row r="29">
          <cell r="T29">
            <v>8.586840958765829E-5</v>
          </cell>
        </row>
        <row r="30">
          <cell r="T30">
            <v>3.8937027930455864E-4</v>
          </cell>
        </row>
        <row r="31">
          <cell r="T31">
            <v>4.3340789119498263E-5</v>
          </cell>
        </row>
        <row r="32">
          <cell r="T32">
            <v>2.9148732967262947E-5</v>
          </cell>
        </row>
        <row r="33">
          <cell r="T33">
            <v>2.2042071703021887E-5</v>
          </cell>
        </row>
        <row r="34">
          <cell r="T34">
            <v>1.4857529579467149E-5</v>
          </cell>
        </row>
        <row r="39">
          <cell r="T39">
            <v>4.8847514574901219E-9</v>
          </cell>
        </row>
        <row r="40">
          <cell r="T40">
            <v>8.4783395581933263E-9</v>
          </cell>
        </row>
        <row r="41">
          <cell r="T41">
            <v>7.0689981646054889E-13</v>
          </cell>
        </row>
        <row r="42">
          <cell r="T42">
            <v>4.5536491244391186E-13</v>
          </cell>
        </row>
        <row r="43">
          <cell r="T43">
            <v>4.2067044292437572E-12</v>
          </cell>
        </row>
        <row r="44">
          <cell r="T44">
            <v>3.0270924655795284E-12</v>
          </cell>
        </row>
        <row r="45">
          <cell r="T45">
            <v>2.9663771439203401E-12</v>
          </cell>
        </row>
        <row r="46">
          <cell r="T46">
            <v>5.4643789493269423E-13</v>
          </cell>
        </row>
        <row r="47">
          <cell r="T47">
            <v>1.1414480471927391E-11</v>
          </cell>
        </row>
        <row r="48">
          <cell r="T48">
            <v>1.1249681741709594E-11</v>
          </cell>
        </row>
        <row r="49">
          <cell r="T49">
            <v>8.4741241801467027E-12</v>
          </cell>
        </row>
        <row r="50">
          <cell r="T50">
            <v>1.4675760606763788E-11</v>
          </cell>
        </row>
        <row r="51">
          <cell r="T51">
            <v>4.6213033400022141E-11</v>
          </cell>
        </row>
        <row r="57">
          <cell r="T57">
            <v>1.1405806854547507E-12</v>
          </cell>
        </row>
        <row r="58">
          <cell r="T58">
            <v>6.5485811218124468E-13</v>
          </cell>
        </row>
        <row r="59">
          <cell r="T59">
            <v>8.4768607064300561E-9</v>
          </cell>
        </row>
        <row r="60">
          <cell r="T60">
            <v>3.1539701406124721E-9</v>
          </cell>
        </row>
        <row r="61">
          <cell r="T61">
            <v>8.8838008130420754E-10</v>
          </cell>
        </row>
        <row r="62">
          <cell r="T62">
            <v>1.4810201676151991E-12</v>
          </cell>
        </row>
        <row r="63">
          <cell r="T63">
            <v>1.4398204850607499E-12</v>
          </cell>
        </row>
        <row r="64">
          <cell r="T64">
            <v>1.1666015375944028E-12</v>
          </cell>
        </row>
        <row r="65">
          <cell r="T65">
            <v>1.1123914289701275E-12</v>
          </cell>
        </row>
        <row r="66">
          <cell r="T66">
            <v>1.0473392986209973E-12</v>
          </cell>
        </row>
        <row r="67">
          <cell r="T67">
            <v>8.2399365108898337E-13</v>
          </cell>
        </row>
        <row r="68">
          <cell r="T68">
            <v>1.951563910473908E-12</v>
          </cell>
        </row>
        <row r="69">
          <cell r="T69">
            <v>7.589415207398531E-13</v>
          </cell>
        </row>
        <row r="70">
          <cell r="T70">
            <v>6.5485811218124468E-13</v>
          </cell>
        </row>
        <row r="71">
          <cell r="T71">
            <v>2.9490299091605721E-13</v>
          </cell>
        </row>
        <row r="77">
          <cell r="T77">
            <v>5.1176987994616674E-9</v>
          </cell>
        </row>
        <row r="78">
          <cell r="T78">
            <v>4.0381847171699903E-9</v>
          </cell>
        </row>
        <row r="79">
          <cell r="T79">
            <v>2.5202730527529305E-8</v>
          </cell>
        </row>
        <row r="80">
          <cell r="T80">
            <v>1.437378211247009E-8</v>
          </cell>
        </row>
        <row r="81">
          <cell r="T81">
            <v>9.9730575360557072E-9</v>
          </cell>
        </row>
        <row r="82">
          <cell r="T82">
            <v>4.1935725725306128E-9</v>
          </cell>
        </row>
        <row r="83">
          <cell r="T83">
            <v>1.5562054683088133E-8</v>
          </cell>
        </row>
        <row r="84">
          <cell r="T84">
            <v>2.2262359056918202E-8</v>
          </cell>
        </row>
        <row r="85">
          <cell r="T85">
            <v>1.3980201545027438E-8</v>
          </cell>
        </row>
        <row r="86">
          <cell r="T86">
            <v>1.4950545142167204E-8</v>
          </cell>
        </row>
        <row r="87">
          <cell r="T87">
            <v>1.4492693069939611E-9</v>
          </cell>
        </row>
        <row r="88">
          <cell r="T88">
            <v>2.4183064405158827E-9</v>
          </cell>
        </row>
        <row r="89">
          <cell r="T89">
            <v>3.1400381426960333E-9</v>
          </cell>
        </row>
        <row r="90">
          <cell r="T90">
            <v>4.1773930235106116E-9</v>
          </cell>
        </row>
        <row r="91">
          <cell r="T91">
            <v>7.2664975165476209E-9</v>
          </cell>
        </row>
        <row r="98">
          <cell r="T98">
            <v>5.0523821237824507E-12</v>
          </cell>
        </row>
        <row r="99">
          <cell r="T99">
            <v>5.7462715141731735E-12</v>
          </cell>
        </row>
        <row r="100">
          <cell r="T100">
            <v>1.7950051167670011E-11</v>
          </cell>
        </row>
        <row r="101">
          <cell r="T101">
            <v>1.3786714825325674E-11</v>
          </cell>
        </row>
        <row r="102">
          <cell r="T102">
            <v>1.4191889850800887E-8</v>
          </cell>
        </row>
        <row r="103">
          <cell r="T103">
            <v>4.0220734728868557E-9</v>
          </cell>
        </row>
        <row r="104">
          <cell r="T104">
            <v>1.6253396198373515E-8</v>
          </cell>
        </row>
        <row r="105">
          <cell r="T105">
            <v>1.32836450172924E-11</v>
          </cell>
        </row>
        <row r="106">
          <cell r="T106">
            <v>1.1587952819525071E-11</v>
          </cell>
        </row>
        <row r="107">
          <cell r="T107">
            <v>1.2522535092207576E-11</v>
          </cell>
        </row>
        <row r="108">
          <cell r="T108">
            <v>4.4452289071905682E-12</v>
          </cell>
        </row>
        <row r="109">
          <cell r="T109">
            <v>9.8272084914086122E-12</v>
          </cell>
        </row>
        <row r="110">
          <cell r="T110">
            <v>5.5034102275364205E-12</v>
          </cell>
        </row>
        <row r="111">
          <cell r="T111">
            <v>7.5221946727044298E-12</v>
          </cell>
        </row>
        <row r="117">
          <cell r="T117">
            <v>0.12637208652206131</v>
          </cell>
        </row>
        <row r="118">
          <cell r="T118">
            <v>9.4133073988178523E-2</v>
          </cell>
        </row>
        <row r="119">
          <cell r="T119">
            <v>2.0451815843083518E-4</v>
          </cell>
        </row>
        <row r="120">
          <cell r="T120">
            <v>8.116378706981859E-5</v>
          </cell>
        </row>
        <row r="121">
          <cell r="T121">
            <v>6.2151889537731542E-13</v>
          </cell>
        </row>
        <row r="122">
          <cell r="T122">
            <v>7.5595996476551797E-13</v>
          </cell>
        </row>
        <row r="123">
          <cell r="T123">
            <v>2.3292728423135456E-12</v>
          </cell>
        </row>
        <row r="124">
          <cell r="T124">
            <v>0</v>
          </cell>
        </row>
        <row r="125">
          <cell r="T125">
            <v>5.4568572967553242E-12</v>
          </cell>
        </row>
        <row r="126">
          <cell r="T126">
            <v>6.3206276150473695E-12</v>
          </cell>
        </row>
        <row r="127">
          <cell r="T127">
            <v>1.6526568254095902E-10</v>
          </cell>
        </row>
        <row r="128">
          <cell r="T128">
            <v>1.9648182820325433E-10</v>
          </cell>
        </row>
        <row r="129">
          <cell r="T129">
            <v>2.5142648379938848E-11</v>
          </cell>
        </row>
        <row r="130">
          <cell r="T130">
            <v>7.3223491072610392E-11</v>
          </cell>
        </row>
      </sheetData>
      <sheetData sheetId="25">
        <row r="4">
          <cell r="E4">
            <v>0</v>
          </cell>
        </row>
        <row r="7">
          <cell r="H7" t="str">
            <v>ON</v>
          </cell>
          <cell r="M7">
            <v>-4.5000000000000005E-3</v>
          </cell>
          <cell r="P7" t="str">
            <v>1M</v>
          </cell>
          <cell r="R7">
            <v>-3.5956999999999999E-3</v>
          </cell>
          <cell r="AO7">
            <v>1.0850500000000001</v>
          </cell>
        </row>
        <row r="8">
          <cell r="H8" t="str">
            <v>ECB1</v>
          </cell>
          <cell r="M8">
            <v>-4.5700000000000003E-3</v>
          </cell>
          <cell r="P8" t="str">
            <v>3M</v>
          </cell>
          <cell r="R8">
            <v>-1.9256999999999998E-3</v>
          </cell>
          <cell r="AM8" t="str">
            <v>ON</v>
          </cell>
          <cell r="AO8">
            <v>0.185</v>
          </cell>
        </row>
        <row r="9">
          <cell r="H9" t="str">
            <v>ECB2</v>
          </cell>
          <cell r="M9">
            <v>-4.6700000000000005E-3</v>
          </cell>
          <cell r="P9" t="str">
            <v>6M</v>
          </cell>
          <cell r="R9">
            <v>-1.1942999999999999E-3</v>
          </cell>
          <cell r="AM9" t="str">
            <v>TN</v>
          </cell>
          <cell r="AO9">
            <v>0.58899999999999997</v>
          </cell>
        </row>
        <row r="10">
          <cell r="H10" t="str">
            <v>ECB3</v>
          </cell>
          <cell r="M10">
            <v>-4.7199999999999994E-3</v>
          </cell>
          <cell r="P10" t="str">
            <v>12M</v>
          </cell>
          <cell r="R10">
            <v>-1.4860000000000001E-4</v>
          </cell>
          <cell r="AM10" t="str">
            <v>1W</v>
          </cell>
          <cell r="AO10">
            <v>1.56</v>
          </cell>
        </row>
        <row r="11">
          <cell r="H11" t="str">
            <v>ECB4</v>
          </cell>
          <cell r="M11">
            <v>-4.8700000000000002E-3</v>
          </cell>
          <cell r="T11" t="str">
            <v>ER1 Comdty</v>
          </cell>
          <cell r="V11" t="str">
            <v>ER1</v>
          </cell>
          <cell r="W11">
            <v>43999</v>
          </cell>
          <cell r="X11">
            <v>44090</v>
          </cell>
          <cell r="Z11">
            <v>100.255</v>
          </cell>
          <cell r="AM11" t="str">
            <v>2W</v>
          </cell>
          <cell r="AO11">
            <v>3.57</v>
          </cell>
        </row>
        <row r="12">
          <cell r="H12" t="str">
            <v>12M</v>
          </cell>
          <cell r="M12">
            <v>-4.8999999999999998E-3</v>
          </cell>
          <cell r="T12" t="str">
            <v>ER2 Comdty</v>
          </cell>
          <cell r="V12" t="str">
            <v>ER2</v>
          </cell>
          <cell r="W12">
            <v>44090</v>
          </cell>
          <cell r="X12">
            <v>44181</v>
          </cell>
          <cell r="Z12">
            <v>100.33</v>
          </cell>
          <cell r="AM12" t="str">
            <v>3W</v>
          </cell>
          <cell r="AO12">
            <v>5.5</v>
          </cell>
        </row>
        <row r="13">
          <cell r="H13" t="str">
            <v>18M</v>
          </cell>
          <cell r="M13">
            <v>-5.11E-3</v>
          </cell>
          <cell r="T13" t="str">
            <v>ER3 Comdty</v>
          </cell>
          <cell r="V13" t="str">
            <v>ER3</v>
          </cell>
          <cell r="W13">
            <v>44181</v>
          </cell>
          <cell r="X13">
            <v>44272</v>
          </cell>
          <cell r="Z13">
            <v>100.38500000000001</v>
          </cell>
          <cell r="AM13" t="str">
            <v>1M</v>
          </cell>
          <cell r="AO13">
            <v>8.1</v>
          </cell>
        </row>
        <row r="14">
          <cell r="T14" t="str">
            <v>ER4 Comdty</v>
          </cell>
          <cell r="V14" t="str">
            <v>ER4</v>
          </cell>
          <cell r="W14">
            <v>44272</v>
          </cell>
          <cell r="X14">
            <v>44363</v>
          </cell>
          <cell r="Z14">
            <v>100.41500000000001</v>
          </cell>
          <cell r="AM14" t="str">
            <v>2M</v>
          </cell>
          <cell r="AO14">
            <v>17.399999999999999</v>
          </cell>
        </row>
        <row r="15">
          <cell r="H15" t="str">
            <v>2Y</v>
          </cell>
          <cell r="M15">
            <v>-5.1999999999999998E-3</v>
          </cell>
          <cell r="T15" t="str">
            <v>ER5 Comdty</v>
          </cell>
          <cell r="V15" t="str">
            <v>ER5</v>
          </cell>
          <cell r="W15">
            <v>44363</v>
          </cell>
          <cell r="X15">
            <v>44454</v>
          </cell>
          <cell r="Z15">
            <v>100.425</v>
          </cell>
          <cell r="AM15" t="str">
            <v>3M</v>
          </cell>
          <cell r="AO15">
            <v>25.53</v>
          </cell>
        </row>
        <row r="16">
          <cell r="H16" t="str">
            <v>3Y</v>
          </cell>
          <cell r="M16">
            <v>-5.2199999999999998E-3</v>
          </cell>
          <cell r="T16" t="str">
            <v>ER6 Comdty</v>
          </cell>
          <cell r="V16" t="str">
            <v>ER6</v>
          </cell>
          <cell r="W16">
            <v>44454</v>
          </cell>
          <cell r="X16">
            <v>44545</v>
          </cell>
          <cell r="Z16">
            <v>100.41500000000001</v>
          </cell>
          <cell r="AM16" t="str">
            <v>4M</v>
          </cell>
          <cell r="AO16">
            <v>33.94</v>
          </cell>
        </row>
        <row r="17">
          <cell r="H17" t="str">
            <v>4Y</v>
          </cell>
          <cell r="M17">
            <v>-5.0499999999999998E-3</v>
          </cell>
          <cell r="T17" t="str">
            <v>ER7 Comdty</v>
          </cell>
          <cell r="V17" t="str">
            <v>ER7</v>
          </cell>
          <cell r="W17">
            <v>44545</v>
          </cell>
          <cell r="X17">
            <v>44636</v>
          </cell>
          <cell r="Z17">
            <v>100.41</v>
          </cell>
          <cell r="AM17" t="str">
            <v>5M</v>
          </cell>
          <cell r="AO17">
            <v>42.5</v>
          </cell>
        </row>
        <row r="18">
          <cell r="H18" t="str">
            <v>5Y</v>
          </cell>
          <cell r="M18">
            <v>-4.7799999999999995E-3</v>
          </cell>
          <cell r="T18" t="str">
            <v>ER8 Comdty</v>
          </cell>
          <cell r="V18" t="str">
            <v>ER8</v>
          </cell>
          <cell r="W18">
            <v>44636</v>
          </cell>
          <cell r="X18">
            <v>44727</v>
          </cell>
          <cell r="Z18">
            <v>100.405</v>
          </cell>
          <cell r="AM18" t="str">
            <v>6M</v>
          </cell>
          <cell r="AO18">
            <v>50.9</v>
          </cell>
        </row>
        <row r="19">
          <cell r="H19" t="str">
            <v>6Y</v>
          </cell>
          <cell r="M19">
            <v>-4.45E-3</v>
          </cell>
          <cell r="U19" t="str">
            <v>3Y</v>
          </cell>
          <cell r="Z19">
            <v>-3.7599999999999999E-3</v>
          </cell>
          <cell r="AM19" t="str">
            <v>9M</v>
          </cell>
          <cell r="AO19">
            <v>80.569999999999993</v>
          </cell>
        </row>
        <row r="20">
          <cell r="H20" t="str">
            <v>7Y</v>
          </cell>
          <cell r="M20">
            <v>-4.0699999999999998E-3</v>
          </cell>
          <cell r="U20" t="str">
            <v>4Y</v>
          </cell>
          <cell r="Z20">
            <v>-3.62E-3</v>
          </cell>
        </row>
        <row r="21">
          <cell r="H21" t="str">
            <v>8Y</v>
          </cell>
          <cell r="M21">
            <v>-3.65E-3</v>
          </cell>
          <cell r="U21" t="str">
            <v>5Y</v>
          </cell>
          <cell r="Z21">
            <v>-3.3600000000000001E-3</v>
          </cell>
        </row>
        <row r="22">
          <cell r="H22" t="str">
            <v>10Y</v>
          </cell>
          <cell r="M22">
            <v>-2.8100000000000004E-3</v>
          </cell>
          <cell r="U22" t="str">
            <v>6Y</v>
          </cell>
          <cell r="Z22">
            <v>-3.0299999999999997E-3</v>
          </cell>
        </row>
        <row r="23">
          <cell r="U23" t="str">
            <v>7Y</v>
          </cell>
          <cell r="Z23">
            <v>-2.66E-3</v>
          </cell>
          <cell r="AM23" t="str">
            <v>1Y</v>
          </cell>
          <cell r="AO23">
            <v>-1E-3</v>
          </cell>
        </row>
        <row r="24">
          <cell r="H24" t="str">
            <v>2Y</v>
          </cell>
          <cell r="M24">
            <v>1.5499999999999999E-3</v>
          </cell>
          <cell r="U24" t="str">
            <v>8Y</v>
          </cell>
          <cell r="Z24">
            <v>-2.2400000000000002E-3</v>
          </cell>
          <cell r="AM24" t="str">
            <v>2Y</v>
          </cell>
          <cell r="AO24">
            <v>-1.5874999999999999E-3</v>
          </cell>
        </row>
        <row r="25">
          <cell r="H25" t="str">
            <v>3Y</v>
          </cell>
          <cell r="M25">
            <v>1.5100000000000001E-3</v>
          </cell>
          <cell r="U25" t="str">
            <v>9Y</v>
          </cell>
          <cell r="Z25">
            <v>-1.83E-3</v>
          </cell>
          <cell r="AM25" t="str">
            <v>3Y</v>
          </cell>
          <cell r="AO25">
            <v>-1.8E-3</v>
          </cell>
        </row>
        <row r="26">
          <cell r="H26" t="str">
            <v>4Y</v>
          </cell>
          <cell r="M26">
            <v>1.48E-3</v>
          </cell>
          <cell r="U26" t="str">
            <v>10Y</v>
          </cell>
          <cell r="Z26">
            <v>-1.4199999999999998E-3</v>
          </cell>
          <cell r="AM26" t="str">
            <v>4Y</v>
          </cell>
          <cell r="AO26">
            <v>-1.9124999999999999E-3</v>
          </cell>
        </row>
        <row r="27">
          <cell r="H27" t="str">
            <v>5Y</v>
          </cell>
          <cell r="M27">
            <v>1.47E-3</v>
          </cell>
          <cell r="U27" t="str">
            <v>11Y</v>
          </cell>
          <cell r="Z27">
            <v>-1E-3</v>
          </cell>
          <cell r="AM27" t="str">
            <v>5Y</v>
          </cell>
          <cell r="AO27">
            <v>-2.0249999999999999E-3</v>
          </cell>
        </row>
        <row r="28">
          <cell r="H28" t="str">
            <v>6Y</v>
          </cell>
          <cell r="M28">
            <v>1.4599999999999999E-3</v>
          </cell>
          <cell r="U28" t="str">
            <v>12Y</v>
          </cell>
          <cell r="Z28">
            <v>-6.2E-4</v>
          </cell>
          <cell r="AM28" t="str">
            <v>6Y</v>
          </cell>
          <cell r="AO28">
            <v>-2.1375000000000001E-3</v>
          </cell>
        </row>
        <row r="29">
          <cell r="H29" t="str">
            <v>7Y</v>
          </cell>
          <cell r="M29">
            <v>1.4499999999999999E-3</v>
          </cell>
          <cell r="U29" t="str">
            <v>15Y</v>
          </cell>
          <cell r="Z29">
            <v>3.4000000000000002E-4</v>
          </cell>
          <cell r="AM29" t="str">
            <v>7Y</v>
          </cell>
          <cell r="AO29">
            <v>-2.2125000000000001E-3</v>
          </cell>
        </row>
        <row r="30">
          <cell r="H30" t="str">
            <v>8Y</v>
          </cell>
          <cell r="M30">
            <v>1.4400000000000001E-3</v>
          </cell>
          <cell r="U30" t="str">
            <v>20Y</v>
          </cell>
          <cell r="Z30">
            <v>9.2000000000000003E-4</v>
          </cell>
          <cell r="AM30" t="str">
            <v>8Y</v>
          </cell>
          <cell r="AO30">
            <v>-2.2374999999999999E-3</v>
          </cell>
        </row>
        <row r="31">
          <cell r="H31" t="str">
            <v>9Y</v>
          </cell>
          <cell r="M31">
            <v>1.4300000000000001E-3</v>
          </cell>
          <cell r="U31" t="str">
            <v>25Y</v>
          </cell>
          <cell r="Z31">
            <v>6.9000000000000008E-4</v>
          </cell>
          <cell r="AM31" t="str">
            <v>9Y</v>
          </cell>
          <cell r="AO31">
            <v>-2.225E-3</v>
          </cell>
        </row>
        <row r="32">
          <cell r="H32" t="str">
            <v>10Y</v>
          </cell>
          <cell r="M32">
            <v>1.4199999999999998E-3</v>
          </cell>
          <cell r="U32" t="str">
            <v>30Y</v>
          </cell>
          <cell r="Z32">
            <v>1.6000000000000001E-4</v>
          </cell>
          <cell r="AM32" t="str">
            <v>10Y</v>
          </cell>
          <cell r="AO32">
            <v>-2.2125000000000001E-3</v>
          </cell>
        </row>
        <row r="33">
          <cell r="H33" t="str">
            <v>11Y</v>
          </cell>
          <cell r="M33">
            <v>1.41E-3</v>
          </cell>
          <cell r="U33" t="str">
            <v>40Y</v>
          </cell>
          <cell r="Z33">
            <v>-6.3000000000000003E-4</v>
          </cell>
          <cell r="AM33" t="str">
            <v>12Y</v>
          </cell>
          <cell r="AO33">
            <v>-2.2000000000000001E-3</v>
          </cell>
        </row>
        <row r="34">
          <cell r="H34" t="str">
            <v>12Y</v>
          </cell>
          <cell r="M34">
            <v>1.41E-3</v>
          </cell>
          <cell r="U34" t="str">
            <v>50Y</v>
          </cell>
          <cell r="Z34">
            <v>-1.32E-3</v>
          </cell>
          <cell r="AM34" t="str">
            <v>15Y</v>
          </cell>
          <cell r="AO34">
            <v>-1.9875000000000001E-3</v>
          </cell>
        </row>
        <row r="35">
          <cell r="H35" t="str">
            <v>15Y</v>
          </cell>
          <cell r="M35">
            <v>1.39E-3</v>
          </cell>
          <cell r="AM35" t="str">
            <v>20Y</v>
          </cell>
          <cell r="AO35">
            <v>-1.4375E-3</v>
          </cell>
        </row>
        <row r="36">
          <cell r="H36" t="str">
            <v>20Y</v>
          </cell>
          <cell r="M36">
            <v>1.3699999999999999E-3</v>
          </cell>
          <cell r="AM36" t="str">
            <v>25Y</v>
          </cell>
          <cell r="AO36">
            <v>-8.8750000000000005E-4</v>
          </cell>
        </row>
        <row r="37">
          <cell r="H37" t="str">
            <v>25Y</v>
          </cell>
          <cell r="M37">
            <v>1.34E-3</v>
          </cell>
          <cell r="AM37" t="str">
            <v>30Y</v>
          </cell>
          <cell r="AO37">
            <v>-5.1250000000000004E-4</v>
          </cell>
        </row>
        <row r="38">
          <cell r="H38" t="str">
            <v>30Y</v>
          </cell>
          <cell r="M38">
            <v>1.32E-3</v>
          </cell>
        </row>
        <row r="39">
          <cell r="H39" t="str">
            <v>40Y</v>
          </cell>
          <cell r="M39">
            <v>1.2699999999999999E-3</v>
          </cell>
        </row>
        <row r="40">
          <cell r="H40" t="str">
            <v>50Y</v>
          </cell>
          <cell r="M40">
            <v>1.2099999999999999E-3</v>
          </cell>
        </row>
        <row r="42">
          <cell r="H42" t="str">
            <v>2Y</v>
          </cell>
          <cell r="M42">
            <v>-3.7000000000000002E-3</v>
          </cell>
        </row>
        <row r="43">
          <cell r="H43" t="str">
            <v>3Y</v>
          </cell>
          <cell r="M43">
            <v>-3.7599999999999999E-3</v>
          </cell>
        </row>
        <row r="44">
          <cell r="H44" t="str">
            <v>4Y</v>
          </cell>
          <cell r="M44">
            <v>-3.62E-3</v>
          </cell>
        </row>
        <row r="45">
          <cell r="H45" t="str">
            <v>5Y</v>
          </cell>
          <cell r="M45">
            <v>-3.3600000000000001E-3</v>
          </cell>
        </row>
        <row r="46">
          <cell r="H46" t="str">
            <v>6Y</v>
          </cell>
          <cell r="M46">
            <v>-3.0299999999999997E-3</v>
          </cell>
        </row>
        <row r="47">
          <cell r="H47" t="str">
            <v>7Y</v>
          </cell>
          <cell r="M47">
            <v>-2.66E-3</v>
          </cell>
        </row>
        <row r="48">
          <cell r="H48" t="str">
            <v>8Y</v>
          </cell>
          <cell r="M48">
            <v>-2.2400000000000002E-3</v>
          </cell>
        </row>
        <row r="49">
          <cell r="H49" t="str">
            <v>9Y</v>
          </cell>
          <cell r="M49">
            <v>-1.83E-3</v>
          </cell>
        </row>
        <row r="50">
          <cell r="H50" t="str">
            <v>10Y</v>
          </cell>
          <cell r="M50">
            <v>-1.4199999999999998E-3</v>
          </cell>
        </row>
        <row r="51">
          <cell r="H51" t="str">
            <v>11Y</v>
          </cell>
          <cell r="M51">
            <v>-1E-3</v>
          </cell>
        </row>
        <row r="52">
          <cell r="H52" t="str">
            <v>12Y</v>
          </cell>
          <cell r="M52">
            <v>-6.2E-4</v>
          </cell>
        </row>
        <row r="53">
          <cell r="H53" t="str">
            <v>15Y</v>
          </cell>
          <cell r="M53">
            <v>3.4000000000000002E-4</v>
          </cell>
        </row>
        <row r="54">
          <cell r="H54" t="str">
            <v>20Y</v>
          </cell>
          <cell r="M54">
            <v>9.2000000000000003E-4</v>
          </cell>
        </row>
        <row r="55">
          <cell r="H55" t="str">
            <v>25Y</v>
          </cell>
          <cell r="M55">
            <v>6.9000000000000008E-4</v>
          </cell>
        </row>
        <row r="56">
          <cell r="H56" t="str">
            <v>30Y</v>
          </cell>
          <cell r="M56">
            <v>1.6000000000000001E-4</v>
          </cell>
        </row>
        <row r="57">
          <cell r="H57" t="str">
            <v>40Y</v>
          </cell>
          <cell r="M57">
            <v>-6.3000000000000003E-4</v>
          </cell>
        </row>
        <row r="58">
          <cell r="H58" t="str">
            <v>50Y</v>
          </cell>
          <cell r="M58">
            <v>-1.32E-3</v>
          </cell>
        </row>
      </sheetData>
      <sheetData sheetId="26"/>
      <sheetData sheetId="27"/>
      <sheetData sheetId="28">
        <row r="9">
          <cell r="D9" t="str">
            <v>EURYC</v>
          </cell>
        </row>
        <row r="10">
          <cell r="D10" t="str">
            <v>EUR6ML</v>
          </cell>
        </row>
        <row r="11">
          <cell r="D11" t="str">
            <v>EUR6ML</v>
          </cell>
        </row>
        <row r="18">
          <cell r="C18" t="str">
            <v>AsOfDate</v>
          </cell>
          <cell r="D18">
            <v>43937</v>
          </cell>
        </row>
        <row r="19">
          <cell r="C19" t="str">
            <v>Currency</v>
          </cell>
          <cell r="D19" t="str">
            <v>EUR</v>
          </cell>
        </row>
        <row r="20">
          <cell r="C20" t="str">
            <v>interpolation</v>
          </cell>
          <cell r="D20" t="str">
            <v>fn_LinearSplineInterpolation</v>
          </cell>
        </row>
        <row r="21">
          <cell r="C21" t="str">
            <v>yieldgen.interpolation</v>
          </cell>
          <cell r="D21" t="str">
            <v>fn_LinearSplineInterpolation</v>
          </cell>
        </row>
        <row r="22">
          <cell r="C22" t="str">
            <v>future.interpolation</v>
          </cell>
          <cell r="D22" t="str">
            <v>fn_LinearSplineInterpolation</v>
          </cell>
        </row>
        <row r="23">
          <cell r="C23" t="str">
            <v>isfrause</v>
          </cell>
          <cell r="D23" t="b">
            <v>1</v>
          </cell>
        </row>
        <row r="24">
          <cell r="C24" t="str">
            <v>isfutureuse</v>
          </cell>
          <cell r="D24" t="b">
            <v>0</v>
          </cell>
        </row>
        <row r="25">
          <cell r="C25" t="str">
            <v>Frequency</v>
          </cell>
          <cell r="D25" t="str">
            <v>SIMPLE</v>
          </cell>
        </row>
        <row r="26">
          <cell r="C26" t="str">
            <v>dfcurvename</v>
          </cell>
          <cell r="D26" t="str">
            <v>OIS</v>
          </cell>
        </row>
        <row r="27">
          <cell r="C27" t="str">
            <v>FastRebuild</v>
          </cell>
          <cell r="D27" t="b">
            <v>1</v>
          </cell>
        </row>
        <row r="32">
          <cell r="U32" t="b">
            <v>1</v>
          </cell>
        </row>
        <row r="34">
          <cell r="C34" t="str">
            <v>Calendar</v>
          </cell>
          <cell r="D34" t="str">
            <v>TGT</v>
          </cell>
          <cell r="F34" t="str">
            <v>Calendar</v>
          </cell>
          <cell r="G34" t="str">
            <v>TGT</v>
          </cell>
        </row>
        <row r="35">
          <cell r="C35" t="str">
            <v>DayCount</v>
          </cell>
          <cell r="D35" t="str">
            <v>ACT/360</v>
          </cell>
          <cell r="F35" t="str">
            <v>Daycount</v>
          </cell>
          <cell r="G35" t="str">
            <v>ACT/360</v>
          </cell>
          <cell r="I35" t="str">
            <v>1M</v>
          </cell>
          <cell r="J35">
            <v>-3.5956999999999999E-3</v>
          </cell>
        </row>
        <row r="36">
          <cell r="C36" t="str">
            <v>Slidingrule</v>
          </cell>
          <cell r="D36" t="str">
            <v>FOLLOWING</v>
          </cell>
          <cell r="F36" t="str">
            <v>Frequency</v>
          </cell>
          <cell r="G36" t="str">
            <v>Simple</v>
          </cell>
          <cell r="I36" t="str">
            <v>3M</v>
          </cell>
          <cell r="J36">
            <v>-1.9256999999999998E-3</v>
          </cell>
        </row>
        <row r="37">
          <cell r="F37" t="str">
            <v>Resetlag</v>
          </cell>
          <cell r="G37">
            <v>2</v>
          </cell>
          <cell r="I37" t="str">
            <v>6M</v>
          </cell>
          <cell r="J37">
            <v>-1.1942999999999999E-3</v>
          </cell>
        </row>
        <row r="38">
          <cell r="F38" t="str">
            <v>SlidingRule</v>
          </cell>
          <cell r="G38" t="str">
            <v>MOD_FOLLOWING</v>
          </cell>
          <cell r="I38" t="str">
            <v>12M</v>
          </cell>
          <cell r="J38">
            <v>-1.4860000000000001E-4</v>
          </cell>
        </row>
        <row r="47">
          <cell r="C47" t="str">
            <v>Calendar</v>
          </cell>
          <cell r="D47" t="str">
            <v>TGT</v>
          </cell>
        </row>
        <row r="48">
          <cell r="C48" t="str">
            <v>DayCount</v>
          </cell>
          <cell r="D48" t="str">
            <v>ACT/360</v>
          </cell>
          <cell r="I48" t="str">
            <v>1X7</v>
          </cell>
          <cell r="J48">
            <v>-1.7799999999999999E-3</v>
          </cell>
        </row>
        <row r="49">
          <cell r="C49" t="str">
            <v>ResetLag</v>
          </cell>
          <cell r="D49">
            <v>2</v>
          </cell>
          <cell r="I49" t="str">
            <v>2X8</v>
          </cell>
          <cell r="J49">
            <v>-2.1299999999999999E-3</v>
          </cell>
        </row>
        <row r="50">
          <cell r="C50" t="str">
            <v>SlidingRule</v>
          </cell>
          <cell r="D50" t="str">
            <v>MOD_FOLLOWING</v>
          </cell>
          <cell r="I50" t="str">
            <v>3X9</v>
          </cell>
          <cell r="J50">
            <v>-2.3400000000000001E-3</v>
          </cell>
        </row>
        <row r="51">
          <cell r="C51" t="str">
            <v>IsEomRoll</v>
          </cell>
          <cell r="D51" t="b">
            <v>0</v>
          </cell>
          <cell r="I51" t="str">
            <v>4X10</v>
          </cell>
          <cell r="J51">
            <v>-2.5500000000000002E-3</v>
          </cell>
        </row>
        <row r="52">
          <cell r="C52" t="str">
            <v>ApplyTension</v>
          </cell>
          <cell r="D52" t="b">
            <v>1</v>
          </cell>
          <cell r="I52" t="str">
            <v>5X11</v>
          </cell>
          <cell r="J52">
            <v>-2.7500000000000003E-3</v>
          </cell>
        </row>
        <row r="53">
          <cell r="C53" t="str">
            <v>TensionGap</v>
          </cell>
          <cell r="D53">
            <v>2</v>
          </cell>
          <cell r="I53" t="str">
            <v>6X12</v>
          </cell>
          <cell r="J53">
            <v>-2.8799999999999997E-3</v>
          </cell>
        </row>
        <row r="54">
          <cell r="I54" t="str">
            <v>7X13</v>
          </cell>
          <cell r="J54">
            <v>-3.0200000000000001E-3</v>
          </cell>
        </row>
        <row r="55">
          <cell r="I55" t="str">
            <v>8X14</v>
          </cell>
          <cell r="J55">
            <v>-3.16E-3</v>
          </cell>
        </row>
        <row r="56">
          <cell r="I56" t="str">
            <v>9X15</v>
          </cell>
          <cell r="J56">
            <v>-3.2300000000000002E-3</v>
          </cell>
        </row>
        <row r="57">
          <cell r="I57" t="str">
            <v>10X16</v>
          </cell>
          <cell r="J57">
            <v>-3.3E-3</v>
          </cell>
        </row>
        <row r="58">
          <cell r="I58" t="str">
            <v>11X17</v>
          </cell>
          <cell r="J58">
            <v>-3.3600000000000001E-3</v>
          </cell>
        </row>
        <row r="89">
          <cell r="C89" t="str">
            <v>Calendar</v>
          </cell>
          <cell r="D89" t="str">
            <v>TGT</v>
          </cell>
        </row>
        <row r="90">
          <cell r="C90" t="str">
            <v>DayCount</v>
          </cell>
          <cell r="D90" t="str">
            <v>30/360</v>
          </cell>
          <cell r="F90" t="str">
            <v>2Y</v>
          </cell>
          <cell r="G90">
            <v>-2.8899999999999998E-3</v>
          </cell>
          <cell r="H90" t="b">
            <v>1</v>
          </cell>
        </row>
        <row r="91">
          <cell r="C91" t="str">
            <v>DayCountFloat</v>
          </cell>
          <cell r="D91" t="str">
            <v>ACT/360</v>
          </cell>
          <cell r="F91" t="str">
            <v>3Y</v>
          </cell>
          <cell r="G91">
            <v>-2.9399999999999999E-3</v>
          </cell>
          <cell r="H91" t="b">
            <v>1</v>
          </cell>
        </row>
        <row r="92">
          <cell r="C92" t="str">
            <v>Frequency</v>
          </cell>
          <cell r="D92" t="str">
            <v>Annual</v>
          </cell>
          <cell r="F92" t="str">
            <v>4Y</v>
          </cell>
          <cell r="G92">
            <v>-2.7900000000000004E-3</v>
          </cell>
          <cell r="H92" t="b">
            <v>1</v>
          </cell>
        </row>
        <row r="93">
          <cell r="C93" t="str">
            <v>FrequencyFloat</v>
          </cell>
          <cell r="D93" t="str">
            <v>Semi-Annual</v>
          </cell>
          <cell r="F93" t="str">
            <v>5Y</v>
          </cell>
          <cell r="G93">
            <v>-2.5400000000000002E-3</v>
          </cell>
          <cell r="H93" t="b">
            <v>1</v>
          </cell>
        </row>
        <row r="94">
          <cell r="C94" t="str">
            <v>Interpolation</v>
          </cell>
          <cell r="D94" t="str">
            <v>fn_LinearSplineInterpolation</v>
          </cell>
          <cell r="F94" t="str">
            <v>6Y</v>
          </cell>
          <cell r="G94">
            <v>-2.2500000000000003E-3</v>
          </cell>
          <cell r="H94" t="b">
            <v>1</v>
          </cell>
        </row>
        <row r="95">
          <cell r="C95" t="str">
            <v>IsEomRoll</v>
          </cell>
          <cell r="D95" t="b">
            <v>1</v>
          </cell>
          <cell r="F95" t="str">
            <v>7Y</v>
          </cell>
          <cell r="G95">
            <v>-1.9300000000000001E-3</v>
          </cell>
          <cell r="H95" t="b">
            <v>1</v>
          </cell>
        </row>
        <row r="96">
          <cell r="C96" t="str">
            <v>EomDay</v>
          </cell>
          <cell r="D96">
            <v>31</v>
          </cell>
          <cell r="F96" t="str">
            <v>8Y</v>
          </cell>
          <cell r="G96">
            <v>-1.57E-3</v>
          </cell>
          <cell r="H96" t="b">
            <v>1</v>
          </cell>
        </row>
        <row r="97">
          <cell r="C97" t="str">
            <v>Resetlag</v>
          </cell>
          <cell r="D97">
            <v>2</v>
          </cell>
          <cell r="F97" t="str">
            <v>9Y</v>
          </cell>
          <cell r="G97">
            <v>-1.2099999999999999E-3</v>
          </cell>
          <cell r="H97" t="b">
            <v>1</v>
          </cell>
        </row>
        <row r="98">
          <cell r="C98" t="str">
            <v>SlidingRule</v>
          </cell>
          <cell r="D98" t="str">
            <v>MOD_FOLLOWING</v>
          </cell>
          <cell r="F98" t="str">
            <v>10Y</v>
          </cell>
          <cell r="G98">
            <v>-8.5999999999999998E-4</v>
          </cell>
          <cell r="H98" t="b">
            <v>1</v>
          </cell>
        </row>
        <row r="99">
          <cell r="C99" t="str">
            <v>IsNewtonraphson</v>
          </cell>
          <cell r="D99" t="b">
            <v>1</v>
          </cell>
          <cell r="F99" t="str">
            <v>11Y</v>
          </cell>
          <cell r="G99">
            <v>-5.0000000000000001E-4</v>
          </cell>
          <cell r="H99" t="b">
            <v>1</v>
          </cell>
        </row>
        <row r="100">
          <cell r="C100" t="str">
            <v>issimultaneouseq</v>
          </cell>
          <cell r="D100" t="b">
            <v>1</v>
          </cell>
          <cell r="F100" t="str">
            <v>12Y</v>
          </cell>
          <cell r="G100">
            <v>-1.7000000000000001E-4</v>
          </cell>
          <cell r="H100" t="b">
            <v>1</v>
          </cell>
        </row>
        <row r="101">
          <cell r="C101" t="str">
            <v>Epsilon</v>
          </cell>
          <cell r="D101">
            <v>1.0000000000000001E-9</v>
          </cell>
          <cell r="F101" t="str">
            <v>15Y</v>
          </cell>
          <cell r="G101">
            <v>6.7000000000000002E-4</v>
          </cell>
          <cell r="H101" t="b">
            <v>1</v>
          </cell>
        </row>
        <row r="102">
          <cell r="C102" t="str">
            <v>MaxLoop</v>
          </cell>
          <cell r="D102">
            <v>1000</v>
          </cell>
          <cell r="F102" t="str">
            <v>20Y</v>
          </cell>
          <cell r="G102">
            <v>1.1299999999999999E-3</v>
          </cell>
          <cell r="H102" t="b">
            <v>1</v>
          </cell>
        </row>
        <row r="103">
          <cell r="F103" t="str">
            <v>25Y</v>
          </cell>
          <cell r="G103">
            <v>8.1999999999999998E-4</v>
          </cell>
          <cell r="H103" t="b">
            <v>1</v>
          </cell>
        </row>
        <row r="104">
          <cell r="F104" t="str">
            <v>30Y</v>
          </cell>
          <cell r="G104">
            <v>2.4000000000000001E-4</v>
          </cell>
          <cell r="H104" t="b">
            <v>1</v>
          </cell>
        </row>
        <row r="105">
          <cell r="F105" t="str">
            <v>40Y</v>
          </cell>
          <cell r="G105">
            <v>-6.2E-4</v>
          </cell>
          <cell r="H105" t="b">
            <v>1</v>
          </cell>
        </row>
        <row r="106">
          <cell r="F106" t="str">
            <v>50Y</v>
          </cell>
          <cell r="G106">
            <v>-1.3600000000000001E-3</v>
          </cell>
          <cell r="H106" t="b">
            <v>1</v>
          </cell>
        </row>
      </sheetData>
      <sheetData sheetId="29"/>
      <sheetData sheetId="30"/>
      <sheetData sheetId="31"/>
      <sheetData sheetId="32">
        <row r="6">
          <cell r="W6" t="b">
            <v>0</v>
          </cell>
        </row>
        <row r="32">
          <cell r="I32" t="b">
            <v>1</v>
          </cell>
        </row>
      </sheetData>
      <sheetData sheetId="33"/>
      <sheetData sheetId="34"/>
      <sheetData sheetId="35">
        <row r="6">
          <cell r="T6">
            <v>1.0487270774017787E-10</v>
          </cell>
        </row>
        <row r="15">
          <cell r="T15">
            <v>1.3465140460966474E-10</v>
          </cell>
        </row>
        <row r="16">
          <cell r="T16">
            <v>2.3047969782696853E-11</v>
          </cell>
        </row>
        <row r="17">
          <cell r="T17">
            <v>3.9442482161009679E-4</v>
          </cell>
        </row>
        <row r="18">
          <cell r="T18">
            <v>3.3806793135098337E-4</v>
          </cell>
        </row>
        <row r="19">
          <cell r="T19">
            <v>3.8724564869205627E-4</v>
          </cell>
        </row>
        <row r="20">
          <cell r="T20">
            <v>4.6249455458099997E-4</v>
          </cell>
        </row>
        <row r="21">
          <cell r="T21">
            <v>2.4641545023646599E-4</v>
          </cell>
        </row>
        <row r="22">
          <cell r="T22">
            <v>6.5445518526632135E-4</v>
          </cell>
        </row>
        <row r="23">
          <cell r="T23">
            <v>7.7867985840557319E-4</v>
          </cell>
        </row>
        <row r="24">
          <cell r="T24">
            <v>8.9882216659526587E-4</v>
          </cell>
        </row>
        <row r="25">
          <cell r="T25">
            <v>1.5391631207842954E-3</v>
          </cell>
        </row>
        <row r="26">
          <cell r="T26">
            <v>1.3051480136092378E-3</v>
          </cell>
        </row>
        <row r="27">
          <cell r="T27">
            <v>7.9770521007726386E-4</v>
          </cell>
        </row>
        <row r="28">
          <cell r="T28">
            <v>2.5465095852307551E-5</v>
          </cell>
        </row>
        <row r="29">
          <cell r="T29">
            <v>1.1116296817965422E-3</v>
          </cell>
        </row>
        <row r="30">
          <cell r="T30">
            <v>2.1142635386341667E-3</v>
          </cell>
        </row>
        <row r="36">
          <cell r="T36">
            <v>9.9999999999987252E-2</v>
          </cell>
        </row>
        <row r="37">
          <cell r="T37">
            <v>9.9999999999618616E-2</v>
          </cell>
        </row>
        <row r="38">
          <cell r="T38">
            <v>7.9095915121382698E-5</v>
          </cell>
        </row>
        <row r="39">
          <cell r="T39">
            <v>2.6623053155701987E-4</v>
          </cell>
        </row>
        <row r="40">
          <cell r="T40">
            <v>2.5287648938374097E-4</v>
          </cell>
        </row>
        <row r="41">
          <cell r="T41">
            <v>2.9731416495643384E-4</v>
          </cell>
        </row>
        <row r="42">
          <cell r="T42">
            <v>3.6763860268356971E-4</v>
          </cell>
        </row>
        <row r="43">
          <cell r="T43">
            <v>4.5064947515631101E-4</v>
          </cell>
        </row>
        <row r="44">
          <cell r="T44">
            <v>5.4489529242103714E-4</v>
          </cell>
        </row>
        <row r="45">
          <cell r="T45">
            <v>6.5735751023955624E-4</v>
          </cell>
        </row>
        <row r="46">
          <cell r="T46">
            <v>7.6815539076433275E-4</v>
          </cell>
        </row>
        <row r="47">
          <cell r="T47">
            <v>1.0846151567503459E-3</v>
          </cell>
        </row>
        <row r="48">
          <cell r="T48">
            <v>1.113677687931882E-3</v>
          </cell>
        </row>
        <row r="49">
          <cell r="T49">
            <v>5.6127118991237436E-4</v>
          </cell>
        </row>
        <row r="50">
          <cell r="T50">
            <v>2.4627295349696028E-4</v>
          </cell>
        </row>
        <row r="56">
          <cell r="T56">
            <v>9.9999999999536224E-2</v>
          </cell>
        </row>
        <row r="57">
          <cell r="T57">
            <v>9.9999999999904859E-2</v>
          </cell>
        </row>
        <row r="58">
          <cell r="T58">
            <v>3.9932005100988544E-4</v>
          </cell>
        </row>
        <row r="59">
          <cell r="T59">
            <v>3.4224578487201951E-4</v>
          </cell>
        </row>
        <row r="60">
          <cell r="T60">
            <v>3.9209470903585342E-4</v>
          </cell>
        </row>
        <row r="61">
          <cell r="T61">
            <v>4.6853153799850805E-4</v>
          </cell>
        </row>
        <row r="62">
          <cell r="T62">
            <v>5.5692435264181883E-4</v>
          </cell>
        </row>
        <row r="63">
          <cell r="T63">
            <v>6.6281240670680933E-4</v>
          </cell>
        </row>
        <row r="64">
          <cell r="T64">
            <v>7.8887562540534695E-4</v>
          </cell>
        </row>
        <row r="65">
          <cell r="T65">
            <v>9.1094786740762712E-4</v>
          </cell>
        </row>
        <row r="66">
          <cell r="T66">
            <v>1.2576305856649072E-3</v>
          </cell>
        </row>
        <row r="67">
          <cell r="T67">
            <v>1.3237007193904037E-3</v>
          </cell>
        </row>
        <row r="68">
          <cell r="T68">
            <v>8.0890064601516105E-4</v>
          </cell>
        </row>
        <row r="69">
          <cell r="T69">
            <v>2.5641042335981367E-5</v>
          </cell>
        </row>
        <row r="70">
          <cell r="T70">
            <v>1.1271659549651203E-3</v>
          </cell>
        </row>
        <row r="71">
          <cell r="T71">
            <v>2.1430980523691988E-3</v>
          </cell>
        </row>
        <row r="78">
          <cell r="T78">
            <v>1.1505466718242374E-8</v>
          </cell>
        </row>
        <row r="79">
          <cell r="T79">
            <v>3.8802294710649221E-8</v>
          </cell>
        </row>
        <row r="80">
          <cell r="T80">
            <v>9.8921797772838327E-2</v>
          </cell>
        </row>
        <row r="81">
          <cell r="T81">
            <v>9.8849306720770996E-2</v>
          </cell>
        </row>
        <row r="82">
          <cell r="T82">
            <v>0.19767518075330753</v>
          </cell>
        </row>
        <row r="83">
          <cell r="T83">
            <v>3.09851038056419E-8</v>
          </cell>
        </row>
        <row r="84">
          <cell r="T84">
            <v>3.9758786540833313E-8</v>
          </cell>
        </row>
        <row r="85">
          <cell r="T85">
            <v>6.1935486036709952E-8</v>
          </cell>
        </row>
        <row r="86">
          <cell r="T86">
            <v>2.0553542591852936E-8</v>
          </cell>
        </row>
        <row r="87">
          <cell r="T87">
            <v>5.3151795031264326E-8</v>
          </cell>
        </row>
        <row r="88">
          <cell r="T88">
            <v>3.5751333534242424E-8</v>
          </cell>
        </row>
        <row r="89">
          <cell r="T89">
            <v>1.0114782275638667E-9</v>
          </cell>
        </row>
        <row r="90">
          <cell r="T90">
            <v>3.1431324556963069E-8</v>
          </cell>
        </row>
        <row r="91">
          <cell r="T91">
            <v>2.6506932499642533E-9</v>
          </cell>
        </row>
        <row r="92">
          <cell r="T92">
            <v>4.4854232090704715E-8</v>
          </cell>
        </row>
        <row r="99">
          <cell r="T99">
            <v>4.7271214720367993E-13</v>
          </cell>
        </row>
        <row r="100">
          <cell r="T100">
            <v>9.8633284165909441E-2</v>
          </cell>
        </row>
        <row r="101">
          <cell r="T101">
            <v>9.8561864434426438E-2</v>
          </cell>
        </row>
        <row r="102">
          <cell r="T102">
            <v>8.7061434450586006E-13</v>
          </cell>
        </row>
        <row r="103">
          <cell r="T103">
            <v>2.4633073358870661E-12</v>
          </cell>
        </row>
        <row r="104">
          <cell r="T104">
            <v>2.8937355983638113E-12</v>
          </cell>
        </row>
        <row r="105">
          <cell r="T105">
            <v>2.3711501512257982E-12</v>
          </cell>
        </row>
        <row r="106">
          <cell r="T106">
            <v>2.3223610534639505E-12</v>
          </cell>
        </row>
        <row r="107">
          <cell r="T107">
            <v>1.6111244283134596E-12</v>
          </cell>
        </row>
        <row r="108">
          <cell r="T108">
            <v>3.1181654480683108E-12</v>
          </cell>
        </row>
        <row r="109">
          <cell r="T109">
            <v>2.2442984970449942E-12</v>
          </cell>
        </row>
        <row r="110">
          <cell r="T110">
            <v>2.1727411536609509E-12</v>
          </cell>
        </row>
        <row r="111">
          <cell r="T111">
            <v>7.6002572291233861E-13</v>
          </cell>
        </row>
        <row r="112">
          <cell r="T112">
            <v>1.1937065919065404E-12</v>
          </cell>
        </row>
        <row r="118">
          <cell r="T118">
            <v>0.26051125489130939</v>
          </cell>
        </row>
        <row r="119">
          <cell r="T119">
            <v>0.1868346298356644</v>
          </cell>
        </row>
        <row r="120">
          <cell r="T120">
            <v>9.7766082585166572E-2</v>
          </cell>
        </row>
        <row r="121">
          <cell r="T121">
            <v>9.8099691759933119E-2</v>
          </cell>
        </row>
        <row r="122">
          <cell r="T122">
            <v>5.8717353895731961E-10</v>
          </cell>
        </row>
        <row r="123">
          <cell r="T123">
            <v>6.5648875224866288E-10</v>
          </cell>
        </row>
        <row r="124">
          <cell r="T124">
            <v>1.0025790961321057E-9</v>
          </cell>
        </row>
        <row r="125">
          <cell r="T125">
            <v>2.2705145055756937E-9</v>
          </cell>
        </row>
        <row r="126">
          <cell r="T126">
            <v>4.3378928921145032E-10</v>
          </cell>
        </row>
        <row r="127">
          <cell r="T127">
            <v>1.9339477935753635E-9</v>
          </cell>
        </row>
        <row r="128">
          <cell r="T128">
            <v>1.8173006502419931E-9</v>
          </cell>
        </row>
        <row r="129">
          <cell r="T129">
            <v>5.3973665814499583E-9</v>
          </cell>
        </row>
        <row r="130">
          <cell r="T130">
            <v>5.6747987385585841E-9</v>
          </cell>
        </row>
        <row r="131">
          <cell r="T131">
            <v>5.7992412955121253E-9</v>
          </cell>
        </row>
      </sheetData>
      <sheetData sheetId="36">
        <row r="4">
          <cell r="E4">
            <v>0</v>
          </cell>
        </row>
      </sheetData>
      <sheetData sheetId="37">
        <row r="31">
          <cell r="W31" t="b">
            <v>1</v>
          </cell>
        </row>
      </sheetData>
      <sheetData sheetId="38">
        <row r="31">
          <cell r="U31" t="b">
            <v>1</v>
          </cell>
        </row>
      </sheetData>
      <sheetData sheetId="39"/>
      <sheetData sheetId="40">
        <row r="24">
          <cell r="M24" t="b">
            <v>1</v>
          </cell>
        </row>
      </sheetData>
      <sheetData sheetId="41">
        <row r="6">
          <cell r="W6" t="b">
            <v>0</v>
          </cell>
        </row>
        <row r="32">
          <cell r="I32" t="b">
            <v>1</v>
          </cell>
        </row>
      </sheetData>
      <sheetData sheetId="42"/>
      <sheetData sheetId="43"/>
      <sheetData sheetId="44">
        <row r="6">
          <cell r="T6">
            <v>4.3114446474784573E-8</v>
          </cell>
        </row>
        <row r="7">
          <cell r="T7">
            <v>3.4928390475058579E-8</v>
          </cell>
        </row>
        <row r="8">
          <cell r="T8">
            <v>4.5201988853327268E-8</v>
          </cell>
        </row>
        <row r="9">
          <cell r="T9">
            <v>2.098907853076426E-8</v>
          </cell>
        </row>
        <row r="10">
          <cell r="T10">
            <v>3.4094654183247641E-8</v>
          </cell>
        </row>
        <row r="11">
          <cell r="T11">
            <v>1.7267049335495388E-8</v>
          </cell>
        </row>
        <row r="12">
          <cell r="T12">
            <v>5.1216238281664994E-8</v>
          </cell>
        </row>
        <row r="13">
          <cell r="T13">
            <v>2.1633589017411303E-8</v>
          </cell>
        </row>
        <row r="39">
          <cell r="T39" t="str">
            <v>-</v>
          </cell>
        </row>
        <row r="40">
          <cell r="T40" t="str">
            <v>-</v>
          </cell>
        </row>
        <row r="41">
          <cell r="T41" t="str">
            <v>-</v>
          </cell>
        </row>
        <row r="42">
          <cell r="T42">
            <v>7.8062556418956319E-13</v>
          </cell>
        </row>
        <row r="43">
          <cell r="T43">
            <v>9.6710833785706996E-13</v>
          </cell>
        </row>
        <row r="44">
          <cell r="T44">
            <v>2.5153490401663703E-13</v>
          </cell>
        </row>
        <row r="45">
          <cell r="T45">
            <v>1.9081958235744878E-13</v>
          </cell>
        </row>
        <row r="46">
          <cell r="T46">
            <v>2.5153490401663703E-13</v>
          </cell>
        </row>
        <row r="47">
          <cell r="T47">
            <v>1.6479873021779667E-13</v>
          </cell>
        </row>
        <row r="48">
          <cell r="T48">
            <v>1.7347234759768071E-14</v>
          </cell>
        </row>
        <row r="49">
          <cell r="T49">
            <v>1.0408340855860843E-13</v>
          </cell>
        </row>
        <row r="50">
          <cell r="T50">
            <v>1.7347234759768071E-13</v>
          </cell>
        </row>
        <row r="51">
          <cell r="T51">
            <v>5.2041704279304213E-14</v>
          </cell>
        </row>
        <row r="52">
          <cell r="T52">
            <v>3.1225022567582528E-13</v>
          </cell>
        </row>
        <row r="53">
          <cell r="T53">
            <v>2.6020852139652106E-13</v>
          </cell>
        </row>
        <row r="59">
          <cell r="T59">
            <v>0.12637257289623005</v>
          </cell>
        </row>
        <row r="60">
          <cell r="T60">
            <v>9.4185080647623237E-2</v>
          </cell>
        </row>
        <row r="61">
          <cell r="T61">
            <v>8.297197789941535E-5</v>
          </cell>
        </row>
        <row r="62">
          <cell r="T62">
            <v>1.1473385757090893E-4</v>
          </cell>
        </row>
        <row r="63">
          <cell r="T63">
            <v>1.8774044818758995E-11</v>
          </cell>
        </row>
        <row r="64">
          <cell r="T64">
            <v>1.7422695230973062E-10</v>
          </cell>
        </row>
        <row r="65">
          <cell r="T65">
            <v>1.0642962205986706E-10</v>
          </cell>
        </row>
        <row r="66">
          <cell r="T66">
            <v>3.415757260372132E-10</v>
          </cell>
        </row>
        <row r="67">
          <cell r="T67">
            <v>2.5630539357557325E-12</v>
          </cell>
        </row>
        <row r="68">
          <cell r="T68">
            <v>9.6081996525665403E-11</v>
          </cell>
        </row>
        <row r="69">
          <cell r="T69">
            <v>4.2223169405275485E-10</v>
          </cell>
        </row>
        <row r="70">
          <cell r="T70">
            <v>2.7301945426660978E-10</v>
          </cell>
        </row>
        <row r="71">
          <cell r="T71">
            <v>1.1259656401696461E-10</v>
          </cell>
        </row>
        <row r="72">
          <cell r="T72">
            <v>2.6671373443143409E-10</v>
          </cell>
        </row>
      </sheetData>
      <sheetData sheetId="45">
        <row r="4">
          <cell r="E4">
            <v>0</v>
          </cell>
        </row>
      </sheetData>
      <sheetData sheetId="46">
        <row r="33">
          <cell r="Y33" t="b">
            <v>1</v>
          </cell>
        </row>
      </sheetData>
      <sheetData sheetId="47">
        <row r="32">
          <cell r="U32" t="b">
            <v>1</v>
          </cell>
          <cell r="W32" t="b">
            <v>1</v>
          </cell>
        </row>
      </sheetData>
      <sheetData sheetId="48"/>
      <sheetData sheetId="49"/>
      <sheetData sheetId="50"/>
      <sheetData sheetId="51">
        <row r="6">
          <cell r="T6">
            <v>3.4301825702770516E-10</v>
          </cell>
        </row>
        <row r="7">
          <cell r="T7">
            <v>7.9157004301971812E-10</v>
          </cell>
        </row>
        <row r="8">
          <cell r="T8">
            <v>2.5234209253405249E-10</v>
          </cell>
        </row>
        <row r="9">
          <cell r="T9">
            <v>1.8592549375084921E-10</v>
          </cell>
        </row>
        <row r="10">
          <cell r="T10">
            <v>3.2727911093016759E-9</v>
          </cell>
        </row>
        <row r="11">
          <cell r="T11">
            <v>3.3058278336994817E-9</v>
          </cell>
        </row>
        <row r="12">
          <cell r="T12">
            <v>7.2004576780193563E-10</v>
          </cell>
        </row>
        <row r="13">
          <cell r="T13">
            <v>5.9129101354776781E-9</v>
          </cell>
        </row>
        <row r="14">
          <cell r="T14">
            <v>1.1318193561191126E-8</v>
          </cell>
        </row>
        <row r="24">
          <cell r="T24">
            <v>5.7656592174215593E-9</v>
          </cell>
        </row>
        <row r="25">
          <cell r="T25">
            <v>4.7544715560399187E-9</v>
          </cell>
        </row>
        <row r="26">
          <cell r="T26">
            <v>2.6280855421577376E-7</v>
          </cell>
        </row>
        <row r="27">
          <cell r="T27">
            <v>1.3795131183214071E-6</v>
          </cell>
        </row>
        <row r="28">
          <cell r="T28">
            <v>1.1812834814061562E-6</v>
          </cell>
        </row>
        <row r="29">
          <cell r="T29">
            <v>1.0255501406864626E-6</v>
          </cell>
        </row>
        <row r="30">
          <cell r="T30">
            <v>9.1052052833204278E-7</v>
          </cell>
        </row>
        <row r="31">
          <cell r="T31">
            <v>8.1884079052886583E-7</v>
          </cell>
        </row>
        <row r="32">
          <cell r="T32">
            <v>4.6218950541798698E-7</v>
          </cell>
        </row>
        <row r="33">
          <cell r="T33">
            <v>3.7284044341473477E-7</v>
          </cell>
        </row>
        <row r="34">
          <cell r="T34">
            <v>2.8057743520042144E-7</v>
          </cell>
        </row>
        <row r="35">
          <cell r="T35">
            <v>2.247766675480406E-7</v>
          </cell>
        </row>
        <row r="36">
          <cell r="T36">
            <v>1.9153637226612674E-7</v>
          </cell>
        </row>
        <row r="37">
          <cell r="T37">
            <v>1.6272864783103969E-7</v>
          </cell>
        </row>
        <row r="45">
          <cell r="T45">
            <v>1.2327378701160185E-12</v>
          </cell>
        </row>
        <row r="46">
          <cell r="T46">
            <v>5.8601127422841515E-13</v>
          </cell>
        </row>
        <row r="47">
          <cell r="T47">
            <v>4.4994390158148434E-14</v>
          </cell>
        </row>
        <row r="48">
          <cell r="T48">
            <v>4.4289658746032856E-13</v>
          </cell>
        </row>
        <row r="49">
          <cell r="T49">
            <v>1.1655173354219173E-13</v>
          </cell>
        </row>
        <row r="50">
          <cell r="T50">
            <v>1.1438332919722072E-13</v>
          </cell>
        </row>
        <row r="51">
          <cell r="T51">
            <v>4.1145472445824893E-13</v>
          </cell>
        </row>
        <row r="52">
          <cell r="T52">
            <v>3.9437854024160224E-13</v>
          </cell>
        </row>
        <row r="53">
          <cell r="T53">
            <v>0</v>
          </cell>
        </row>
        <row r="54">
          <cell r="T54">
            <v>4.2283884726934673E-13</v>
          </cell>
        </row>
        <row r="55">
          <cell r="T55">
            <v>2.1846673775582914E-13</v>
          </cell>
        </row>
        <row r="56">
          <cell r="T56">
            <v>3.9464959078472361E-13</v>
          </cell>
        </row>
        <row r="57">
          <cell r="T57">
            <v>4.0332320816460765E-13</v>
          </cell>
        </row>
        <row r="58">
          <cell r="T58">
            <v>3.7730235602495554E-13</v>
          </cell>
        </row>
        <row r="59">
          <cell r="T59">
            <v>3.903127820947816E-13</v>
          </cell>
        </row>
        <row r="60">
          <cell r="T60">
            <v>2.7755575615628914E-13</v>
          </cell>
        </row>
        <row r="66">
          <cell r="T66">
            <v>1.1902100399002746E-10</v>
          </cell>
        </row>
        <row r="67">
          <cell r="T67">
            <v>1.5338533394804177E-10</v>
          </cell>
        </row>
        <row r="68">
          <cell r="T68">
            <v>5.4882313971216234E-11</v>
          </cell>
        </row>
        <row r="69">
          <cell r="T69">
            <v>1.1407758418457981E-10</v>
          </cell>
        </row>
        <row r="70">
          <cell r="T70">
            <v>2.7940974187123935E-11</v>
          </cell>
        </row>
        <row r="71">
          <cell r="T71">
            <v>1.0536265870192407E-9</v>
          </cell>
        </row>
        <row r="72">
          <cell r="T72">
            <v>1.6555019074354638E-9</v>
          </cell>
        </row>
        <row r="73">
          <cell r="T73">
            <v>1.9982941083102057E-9</v>
          </cell>
        </row>
        <row r="74">
          <cell r="T74">
            <v>1.3942872464228762E-9</v>
          </cell>
        </row>
        <row r="75">
          <cell r="T75">
            <v>2.8329367931373417E-9</v>
          </cell>
        </row>
        <row r="76">
          <cell r="T76">
            <v>3.0862768937711671E-9</v>
          </cell>
        </row>
        <row r="77">
          <cell r="T77">
            <v>3.7500016113189982E-9</v>
          </cell>
        </row>
        <row r="78">
          <cell r="T78">
            <v>2.0072029975615191E-9</v>
          </cell>
        </row>
        <row r="79">
          <cell r="T79">
            <v>5.149591690567501E-10</v>
          </cell>
        </row>
        <row r="80">
          <cell r="T80">
            <v>8.0999443263785054E-10</v>
          </cell>
        </row>
        <row r="81">
          <cell r="T81">
            <v>6.483865094136787E-10</v>
          </cell>
        </row>
        <row r="87">
          <cell r="T87">
            <v>5.3015118336996458E-8</v>
          </cell>
        </row>
        <row r="88">
          <cell r="T88">
            <v>2.7163536177321479E-9</v>
          </cell>
        </row>
        <row r="89">
          <cell r="T89">
            <v>1.162245213265356E-9</v>
          </cell>
        </row>
        <row r="90">
          <cell r="T90">
            <v>7.1236160416668359E-8</v>
          </cell>
        </row>
        <row r="91">
          <cell r="T91">
            <v>1.1750661207954316E-8</v>
          </cell>
        </row>
        <row r="92">
          <cell r="T92">
            <v>1.1299851462517885E-7</v>
          </cell>
        </row>
        <row r="93">
          <cell r="T93">
            <v>1.9526181344563243E-7</v>
          </cell>
        </row>
        <row r="94">
          <cell r="T94">
            <v>4.1296343406514724E-7</v>
          </cell>
        </row>
        <row r="95">
          <cell r="T95">
            <v>2.3869433014335473E-7</v>
          </cell>
        </row>
        <row r="96">
          <cell r="T96">
            <v>5.7780327289251587E-7</v>
          </cell>
        </row>
        <row r="97">
          <cell r="T97">
            <v>6.2704330443252854E-7</v>
          </cell>
        </row>
        <row r="98">
          <cell r="T98">
            <v>1.9683187046405648E-7</v>
          </cell>
        </row>
        <row r="99">
          <cell r="T99">
            <v>3.8696882070227145E-8</v>
          </cell>
        </row>
        <row r="100">
          <cell r="T100">
            <v>4.7895108018503052E-9</v>
          </cell>
        </row>
        <row r="101">
          <cell r="T101">
            <v>2.0605435760434609E-9</v>
          </cell>
        </row>
        <row r="102">
          <cell r="T102">
            <v>1.6460356948994059E-7</v>
          </cell>
        </row>
      </sheetData>
      <sheetData sheetId="52"/>
      <sheetData sheetId="53">
        <row r="32">
          <cell r="U32" t="b">
            <v>1</v>
          </cell>
        </row>
      </sheetData>
      <sheetData sheetId="54">
        <row r="25">
          <cell r="M25" t="b">
            <v>1</v>
          </cell>
        </row>
      </sheetData>
      <sheetData sheetId="55"/>
      <sheetData sheetId="56">
        <row r="24">
          <cell r="M24" t="b">
            <v>1</v>
          </cell>
        </row>
      </sheetData>
      <sheetData sheetId="57">
        <row r="6">
          <cell r="W6" t="b">
            <v>0</v>
          </cell>
        </row>
        <row r="32">
          <cell r="I32" t="b">
            <v>1</v>
          </cell>
        </row>
      </sheetData>
      <sheetData sheetId="58"/>
      <sheetData sheetId="59"/>
      <sheetData sheetId="60">
        <row r="6">
          <cell r="T6">
            <v>3.4301825702770516E-10</v>
          </cell>
        </row>
        <row r="7">
          <cell r="T7">
            <v>7.9157004301971812E-10</v>
          </cell>
        </row>
        <row r="8">
          <cell r="T8">
            <v>2.6585070950213563E-10</v>
          </cell>
        </row>
        <row r="9">
          <cell r="T9">
            <v>1.9879172093173469E-10</v>
          </cell>
        </row>
        <row r="10">
          <cell r="T10">
            <v>3.2861495642688698E-9</v>
          </cell>
        </row>
        <row r="11">
          <cell r="T11">
            <v>3.3091487449538048E-9</v>
          </cell>
        </row>
        <row r="12">
          <cell r="T12">
            <v>7.1485135519355758E-10</v>
          </cell>
        </row>
        <row r="13">
          <cell r="T13">
            <v>5.9129101354776781E-9</v>
          </cell>
        </row>
        <row r="14">
          <cell r="T14">
            <v>1.131524669968631E-8</v>
          </cell>
        </row>
        <row r="23">
          <cell r="T23">
            <v>9.408366013347047E-9</v>
          </cell>
        </row>
        <row r="24">
          <cell r="T24">
            <v>9.5558760557223899E-9</v>
          </cell>
        </row>
        <row r="25">
          <cell r="T25">
            <v>1.162762788614255E-6</v>
          </cell>
        </row>
        <row r="26">
          <cell r="T26">
            <v>7.5146821382730822E-7</v>
          </cell>
        </row>
        <row r="27">
          <cell r="T27">
            <v>6.4419927942385713E-7</v>
          </cell>
        </row>
        <row r="28">
          <cell r="T28">
            <v>5.6544179386462667E-7</v>
          </cell>
        </row>
        <row r="29">
          <cell r="T29">
            <v>4.9871284185654119E-7</v>
          </cell>
        </row>
        <row r="30">
          <cell r="T30">
            <v>4.4715824684508909E-7</v>
          </cell>
        </row>
        <row r="31">
          <cell r="T31">
            <v>7.4690930523813037E-8</v>
          </cell>
        </row>
        <row r="32">
          <cell r="T32">
            <v>5.4922056486050863E-8</v>
          </cell>
        </row>
        <row r="33">
          <cell r="T33">
            <v>4.544811684110972E-8</v>
          </cell>
        </row>
        <row r="34">
          <cell r="T34">
            <v>3.633972680064379E-8</v>
          </cell>
        </row>
        <row r="35">
          <cell r="T35">
            <v>2.8775787091692151E-8</v>
          </cell>
        </row>
        <row r="36">
          <cell r="T36">
            <v>2.7229224734345858E-8</v>
          </cell>
        </row>
        <row r="37">
          <cell r="T37">
            <v>2.459365718888995E-8</v>
          </cell>
        </row>
        <row r="43">
          <cell r="T43">
            <v>1.2327378701160185E-12</v>
          </cell>
        </row>
        <row r="44">
          <cell r="T44">
            <v>5.8601127422841515E-13</v>
          </cell>
        </row>
        <row r="45">
          <cell r="T45">
            <v>3.9410748969848086E-13</v>
          </cell>
        </row>
        <row r="46">
          <cell r="T46">
            <v>4.8138576458356397E-13</v>
          </cell>
        </row>
        <row r="47">
          <cell r="T47">
            <v>4.0332320816460765E-13</v>
          </cell>
        </row>
        <row r="48">
          <cell r="T48">
            <v>1.2902005852577503E-13</v>
          </cell>
        </row>
        <row r="49">
          <cell r="T49">
            <v>9.1072982488782372E-14</v>
          </cell>
        </row>
        <row r="50">
          <cell r="T50">
            <v>2.4990860075790877E-13</v>
          </cell>
        </row>
        <row r="51">
          <cell r="T51">
            <v>2.2226144535952841E-14</v>
          </cell>
        </row>
        <row r="52">
          <cell r="T52">
            <v>1.3295029140103498E-13</v>
          </cell>
        </row>
        <row r="53">
          <cell r="T53">
            <v>6.7085009422540587E-14</v>
          </cell>
        </row>
        <row r="54">
          <cell r="T54">
            <v>1.463672932855431E-14</v>
          </cell>
        </row>
        <row r="55">
          <cell r="T55">
            <v>8.0230960763927328E-14</v>
          </cell>
        </row>
        <row r="56">
          <cell r="T56">
            <v>1.3010426069826053E-13</v>
          </cell>
        </row>
        <row r="57">
          <cell r="T57">
            <v>1.6046192152785466E-13</v>
          </cell>
        </row>
        <row r="58">
          <cell r="T58">
            <v>1.9081958235744878E-13</v>
          </cell>
        </row>
        <row r="64">
          <cell r="T64">
            <v>1.1743752671711238E-10</v>
          </cell>
        </row>
        <row r="65">
          <cell r="T65">
            <v>2.5357103569656481E-10</v>
          </cell>
        </row>
        <row r="66">
          <cell r="T66">
            <v>8.323311657953969E-11</v>
          </cell>
        </row>
        <row r="67">
          <cell r="T67">
            <v>6.9861651186275964E-11</v>
          </cell>
        </row>
        <row r="68">
          <cell r="T68">
            <v>2.1185310450366757E-12</v>
          </cell>
        </row>
        <row r="69">
          <cell r="T69">
            <v>2.6257988838818136E-9</v>
          </cell>
        </row>
        <row r="70">
          <cell r="T70">
            <v>1.2795754039673923E-10</v>
          </cell>
        </row>
        <row r="71">
          <cell r="T71">
            <v>1.5965614247326343E-9</v>
          </cell>
        </row>
        <row r="72">
          <cell r="T72">
            <v>1.3661652104729471E-9</v>
          </cell>
        </row>
        <row r="73">
          <cell r="T73">
            <v>2.0651080671896249E-9</v>
          </cell>
        </row>
        <row r="74">
          <cell r="T74">
            <v>8.0617261997983913E-10</v>
          </cell>
        </row>
        <row r="75">
          <cell r="T75">
            <v>4.4584561736948913E-10</v>
          </cell>
        </row>
        <row r="76">
          <cell r="T76">
            <v>7.7286484503891195E-10</v>
          </cell>
        </row>
        <row r="77">
          <cell r="T77">
            <v>6.9913692890555268E-11</v>
          </cell>
        </row>
        <row r="78">
          <cell r="T78">
            <v>1.1940860626669103E-10</v>
          </cell>
        </row>
        <row r="79">
          <cell r="T79">
            <v>6.5145696996615765E-10</v>
          </cell>
        </row>
        <row r="85">
          <cell r="T85">
            <v>3.6721754109736437E-9</v>
          </cell>
        </row>
        <row r="86">
          <cell r="T86">
            <v>1.7200209355763829E-8</v>
          </cell>
        </row>
        <row r="87">
          <cell r="T87">
            <v>1.7062824677477328E-8</v>
          </cell>
        </row>
        <row r="88">
          <cell r="T88">
            <v>2.30229735016102E-8</v>
          </cell>
        </row>
        <row r="89">
          <cell r="T89">
            <v>2.9478772938310027E-8</v>
          </cell>
        </row>
        <row r="90">
          <cell r="T90">
            <v>1.43890936492308E-7</v>
          </cell>
        </row>
        <row r="91">
          <cell r="T91">
            <v>5.8802071285085633E-8</v>
          </cell>
        </row>
        <row r="92">
          <cell r="T92">
            <v>2.7171494221267523E-9</v>
          </cell>
        </row>
        <row r="93">
          <cell r="T93">
            <v>2.3518166255599715E-7</v>
          </cell>
        </row>
        <row r="94">
          <cell r="T94">
            <v>2.5697582733616442E-7</v>
          </cell>
        </row>
        <row r="95">
          <cell r="T95">
            <v>1.2363705328630181E-7</v>
          </cell>
        </row>
        <row r="96">
          <cell r="T96">
            <v>2.8895527463823623E-8</v>
          </cell>
        </row>
        <row r="97">
          <cell r="T97">
            <v>2.8050650994690396E-8</v>
          </cell>
        </row>
        <row r="98">
          <cell r="T98">
            <v>7.4788873011266688E-8</v>
          </cell>
        </row>
        <row r="99">
          <cell r="T99">
            <v>1.0130821528897549E-7</v>
          </cell>
        </row>
        <row r="100">
          <cell r="T100">
            <v>1.0328494353187279E-7</v>
          </cell>
        </row>
        <row r="106">
          <cell r="T106">
            <v>0.1246753736314915</v>
          </cell>
        </row>
        <row r="107">
          <cell r="T107">
            <v>9.8589278666764632E-2</v>
          </cell>
        </row>
        <row r="108">
          <cell r="T108">
            <v>9.266176493994728E-2</v>
          </cell>
        </row>
        <row r="109">
          <cell r="T109">
            <v>1.1640602359547919E-3</v>
          </cell>
        </row>
        <row r="110">
          <cell r="T110">
            <v>7.4775096363041693E-4</v>
          </cell>
        </row>
        <row r="111">
          <cell r="T111">
            <v>6.1787777465641125E-4</v>
          </cell>
        </row>
        <row r="112">
          <cell r="T112">
            <v>3.0355059181703947E-2</v>
          </cell>
        </row>
        <row r="113">
          <cell r="T113">
            <v>9.4542429440735987E-13</v>
          </cell>
        </row>
        <row r="114">
          <cell r="T114">
            <v>9.0205620750793969E-13</v>
          </cell>
        </row>
        <row r="115">
          <cell r="T115">
            <v>2.1076890233118206E-12</v>
          </cell>
        </row>
        <row r="116">
          <cell r="T116">
            <v>8.9338259012805565E-13</v>
          </cell>
        </row>
        <row r="117">
          <cell r="T117">
            <v>9.1072982488782372E-13</v>
          </cell>
        </row>
        <row r="118">
          <cell r="T118">
            <v>1.6219664500383146E-12</v>
          </cell>
        </row>
        <row r="119">
          <cell r="T119">
            <v>6.591949208711867E-13</v>
          </cell>
        </row>
        <row r="120">
          <cell r="T120">
            <v>1.8214596497756474E-13</v>
          </cell>
        </row>
        <row r="121">
          <cell r="T121">
            <v>4.5102810375396984E-13</v>
          </cell>
        </row>
      </sheetData>
      <sheetData sheetId="61">
        <row r="34">
          <cell r="Y34" t="b">
            <v>1</v>
          </cell>
        </row>
      </sheetData>
      <sheetData sheetId="62">
        <row r="25">
          <cell r="P25" t="b">
            <v>1</v>
          </cell>
        </row>
      </sheetData>
      <sheetData sheetId="63"/>
      <sheetData sheetId="64"/>
      <sheetData sheetId="65"/>
      <sheetData sheetId="66">
        <row r="6">
          <cell r="T6">
            <v>3.4301825702770516E-10</v>
          </cell>
        </row>
        <row r="7">
          <cell r="T7">
            <v>7.9157004301971812E-10</v>
          </cell>
        </row>
        <row r="8">
          <cell r="T8">
            <v>2.5234209253405249E-10</v>
          </cell>
        </row>
        <row r="9">
          <cell r="T9">
            <v>1.8592549375084921E-10</v>
          </cell>
        </row>
        <row r="10">
          <cell r="T10">
            <v>3.2727911093016759E-9</v>
          </cell>
        </row>
        <row r="11">
          <cell r="T11">
            <v>3.3058278336994817E-9</v>
          </cell>
        </row>
        <row r="12">
          <cell r="T12">
            <v>7.2004576780193563E-10</v>
          </cell>
        </row>
        <row r="13">
          <cell r="T13">
            <v>5.9129101354776781E-9</v>
          </cell>
        </row>
        <row r="14">
          <cell r="T14">
            <v>1.1318193561191126E-8</v>
          </cell>
        </row>
        <row r="23">
          <cell r="T23">
            <v>5.7656592174215593E-9</v>
          </cell>
        </row>
        <row r="24">
          <cell r="T24">
            <v>4.7544715560399187E-9</v>
          </cell>
        </row>
        <row r="25">
          <cell r="T25">
            <v>2.6280855421577376E-7</v>
          </cell>
        </row>
        <row r="26">
          <cell r="T26">
            <v>1.3795131183214071E-6</v>
          </cell>
        </row>
        <row r="27">
          <cell r="T27">
            <v>1.1812834814061562E-6</v>
          </cell>
        </row>
        <row r="28">
          <cell r="T28">
            <v>1.0255501406864626E-6</v>
          </cell>
        </row>
        <row r="29">
          <cell r="T29">
            <v>9.1052052833204278E-7</v>
          </cell>
        </row>
        <row r="30">
          <cell r="T30">
            <v>8.1884079052886583E-7</v>
          </cell>
        </row>
        <row r="31">
          <cell r="T31">
            <v>4.6218950541798698E-7</v>
          </cell>
        </row>
        <row r="32">
          <cell r="T32">
            <v>3.7284044341473477E-7</v>
          </cell>
        </row>
        <row r="33">
          <cell r="T33">
            <v>2.8057743520042144E-7</v>
          </cell>
        </row>
        <row r="34">
          <cell r="T34">
            <v>2.247766675480406E-7</v>
          </cell>
        </row>
        <row r="35">
          <cell r="T35">
            <v>1.9153637226612674E-7</v>
          </cell>
        </row>
        <row r="36">
          <cell r="T36">
            <v>1.6272864783103969E-7</v>
          </cell>
        </row>
        <row r="37">
          <cell r="T37">
            <v>1.4490770454227142E-7</v>
          </cell>
        </row>
        <row r="42">
          <cell r="T42">
            <v>1.2576745200831851E-13</v>
          </cell>
        </row>
        <row r="43">
          <cell r="T43">
            <v>7.4809949901499806E-13</v>
          </cell>
        </row>
        <row r="44">
          <cell r="T44">
            <v>5.1824863844807112E-13</v>
          </cell>
        </row>
        <row r="45">
          <cell r="T45">
            <v>5.2041704279304213E-13</v>
          </cell>
        </row>
        <row r="46">
          <cell r="T46">
            <v>3.9681799512969462E-13</v>
          </cell>
        </row>
        <row r="47">
          <cell r="T47">
            <v>4.163336342344337E-13</v>
          </cell>
        </row>
        <row r="48">
          <cell r="T48">
            <v>5.7180822576885504E-12</v>
          </cell>
        </row>
        <row r="49">
          <cell r="T49">
            <v>4.9482987152238422E-12</v>
          </cell>
        </row>
        <row r="50">
          <cell r="T50">
            <v>4.0809369772354387E-12</v>
          </cell>
        </row>
        <row r="51">
          <cell r="T51">
            <v>3.4976362084382373E-12</v>
          </cell>
        </row>
        <row r="52">
          <cell r="T52">
            <v>2.2638141361497333E-12</v>
          </cell>
        </row>
        <row r="53">
          <cell r="T53">
            <v>1.5612511283791264E-12</v>
          </cell>
        </row>
        <row r="54">
          <cell r="T54">
            <v>2.8319360745321376E-12</v>
          </cell>
        </row>
        <row r="55">
          <cell r="T55">
            <v>2.6020852139652106E-12</v>
          </cell>
        </row>
        <row r="56">
          <cell r="T56">
            <v>8.1098322501915732E-13</v>
          </cell>
        </row>
        <row r="57">
          <cell r="T57">
            <v>6.5052130349130266E-14</v>
          </cell>
        </row>
        <row r="58">
          <cell r="T58">
            <v>1.465841337200402E-12</v>
          </cell>
        </row>
        <row r="64">
          <cell r="T64">
            <v>2.8709673527416157E-11</v>
          </cell>
        </row>
        <row r="65">
          <cell r="T65">
            <v>1.8911879440947077E-9</v>
          </cell>
        </row>
        <row r="66">
          <cell r="T66">
            <v>3.1714241692862299E-9</v>
          </cell>
        </row>
        <row r="67">
          <cell r="T67">
            <v>2.2598405351875739E-10</v>
          </cell>
        </row>
        <row r="68">
          <cell r="T68">
            <v>3.0757747694273863E-9</v>
          </cell>
        </row>
        <row r="69">
          <cell r="T69">
            <v>3.1021054865479347E-8</v>
          </cell>
        </row>
        <row r="70">
          <cell r="T70">
            <v>1.9358076990341755E-7</v>
          </cell>
        </row>
        <row r="71">
          <cell r="T71">
            <v>1.7311551064186359E-7</v>
          </cell>
        </row>
        <row r="72">
          <cell r="T72">
            <v>6.5218117364929107E-8</v>
          </cell>
        </row>
        <row r="73">
          <cell r="T73">
            <v>2.6562953225894859E-14</v>
          </cell>
        </row>
        <row r="74">
          <cell r="T74">
            <v>1.0487487614452284E-11</v>
          </cell>
        </row>
        <row r="75">
          <cell r="T75">
            <v>8.792879618857441E-12</v>
          </cell>
        </row>
        <row r="76">
          <cell r="T76">
            <v>8.6232019788634595E-12</v>
          </cell>
        </row>
        <row r="77">
          <cell r="T77">
            <v>1.177877240188252E-11</v>
          </cell>
        </row>
        <row r="78">
          <cell r="T78">
            <v>1.1541874227194437E-11</v>
          </cell>
        </row>
        <row r="84">
          <cell r="T84">
            <v>3.8133923238115389E-8</v>
          </cell>
        </row>
        <row r="85">
          <cell r="T85">
            <v>3.0343500200544563E-8</v>
          </cell>
        </row>
        <row r="86">
          <cell r="T86">
            <v>2.2445842249750256E-8</v>
          </cell>
        </row>
        <row r="87">
          <cell r="T87">
            <v>1.183555938802025E-8</v>
          </cell>
        </row>
        <row r="88">
          <cell r="T88">
            <v>1.5822821297552941E-8</v>
          </cell>
        </row>
        <row r="89">
          <cell r="T89">
            <v>8.1195645909928893E-9</v>
          </cell>
        </row>
        <row r="90">
          <cell r="T90">
            <v>4.3216759652246056E-8</v>
          </cell>
        </row>
        <row r="91">
          <cell r="T91">
            <v>5.9081700035795714E-8</v>
          </cell>
        </row>
        <row r="92">
          <cell r="T92">
            <v>9.3093263132948412E-9</v>
          </cell>
        </row>
        <row r="93">
          <cell r="T93">
            <v>6.5886040113288802E-8</v>
          </cell>
        </row>
        <row r="94">
          <cell r="T94">
            <v>5.1226374758826104E-8</v>
          </cell>
        </row>
        <row r="95">
          <cell r="T95">
            <v>9.2962469861769537E-8</v>
          </cell>
        </row>
        <row r="96">
          <cell r="T96">
            <v>4.5219729382425106E-8</v>
          </cell>
        </row>
        <row r="97">
          <cell r="T97">
            <v>3.2903559163324075E-8</v>
          </cell>
        </row>
        <row r="98">
          <cell r="T98">
            <v>6.5349792634575299E-9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1" tint="0.499984740745262"/>
  </sheetPr>
  <dimension ref="B2:AJ87"/>
  <sheetViews>
    <sheetView showGridLines="0" workbookViewId="0"/>
  </sheetViews>
  <sheetFormatPr defaultRowHeight="15" x14ac:dyDescent="0.25"/>
  <cols>
    <col min="1" max="1" width="2.7109375" customWidth="1"/>
    <col min="2" max="2" width="2.7109375" hidden="1" customWidth="1"/>
    <col min="3" max="3" width="25.7109375" hidden="1" customWidth="1"/>
    <col min="4" max="4" width="32.7109375" hidden="1" customWidth="1"/>
    <col min="5" max="5" width="10.7109375" hidden="1" customWidth="1"/>
    <col min="6" max="8" width="12.7109375" hidden="1" customWidth="1"/>
    <col min="9" max="9" width="15.7109375" hidden="1" customWidth="1"/>
    <col min="10" max="10" width="20.7109375" hidden="1" customWidth="1"/>
    <col min="11" max="11" width="12.7109375" hidden="1" customWidth="1"/>
    <col min="12" max="13" width="15.7109375" hidden="1" customWidth="1"/>
    <col min="14" max="16" width="2.7109375" hidden="1" customWidth="1"/>
    <col min="17" max="18" width="40.7109375" hidden="1" customWidth="1"/>
    <col min="19" max="19" width="2.7109375" hidden="1" customWidth="1"/>
    <col min="21" max="21" width="2.7109375" customWidth="1"/>
    <col min="22" max="22" width="30.7109375" customWidth="1"/>
    <col min="23" max="23" width="35.7109375" customWidth="1"/>
    <col min="24" max="24" width="2.7109375" customWidth="1"/>
    <col min="25" max="25" width="11.140625" customWidth="1"/>
    <col min="26" max="26" width="11.85546875" customWidth="1"/>
    <col min="27" max="28" width="9.140625" customWidth="1"/>
    <col min="29" max="29" width="15.7109375" customWidth="1"/>
    <col min="30" max="30" width="2.7109375" customWidth="1"/>
    <col min="31" max="32" width="15.7109375" customWidth="1"/>
    <col min="33" max="33" width="2.7109375" customWidth="1"/>
    <col min="34" max="35" width="15.7109375" customWidth="1"/>
    <col min="36" max="36" width="2.7109375" customWidth="1"/>
  </cols>
  <sheetData>
    <row r="2" spans="2:36" x14ac:dyDescent="0.25">
      <c r="B2" s="83"/>
      <c r="P2" s="83"/>
      <c r="Q2" s="83"/>
    </row>
    <row r="3" spans="2:36" x14ac:dyDescent="0.25">
      <c r="B3" s="84"/>
      <c r="C3" s="85"/>
      <c r="D3" s="86"/>
      <c r="E3" s="87"/>
      <c r="F3" s="87"/>
      <c r="G3" s="87"/>
      <c r="H3" s="87"/>
      <c r="I3" s="87"/>
      <c r="J3" s="87"/>
      <c r="K3" s="87"/>
      <c r="L3" s="87"/>
      <c r="M3" s="87"/>
      <c r="N3" s="88"/>
      <c r="P3" s="84"/>
      <c r="Q3" s="87"/>
      <c r="R3" s="87"/>
      <c r="S3" s="88"/>
      <c r="U3" s="84"/>
      <c r="V3" s="85"/>
      <c r="W3" s="86"/>
      <c r="X3" s="87"/>
      <c r="Y3" s="87"/>
      <c r="Z3" s="87"/>
      <c r="AA3" s="87"/>
      <c r="AB3" s="87"/>
      <c r="AC3" s="87"/>
      <c r="AD3" s="87"/>
      <c r="AE3" s="87"/>
      <c r="AF3" s="87"/>
      <c r="AG3" s="87"/>
      <c r="AH3" s="87"/>
      <c r="AI3" s="87"/>
      <c r="AJ3" s="88"/>
    </row>
    <row r="4" spans="2:36" x14ac:dyDescent="0.25">
      <c r="B4" s="89"/>
      <c r="C4" s="90" t="s">
        <v>77</v>
      </c>
      <c r="D4" s="91" t="b">
        <v>0</v>
      </c>
      <c r="E4" s="92"/>
      <c r="F4" s="93"/>
      <c r="G4" s="94" t="s">
        <v>78</v>
      </c>
      <c r="H4" s="94"/>
      <c r="I4" s="94"/>
      <c r="J4" s="94"/>
      <c r="K4" s="94"/>
      <c r="L4" s="94"/>
      <c r="M4" s="94"/>
      <c r="N4" s="95"/>
      <c r="P4" s="89"/>
      <c r="Q4" s="96" t="s">
        <v>79</v>
      </c>
      <c r="R4" s="94"/>
      <c r="S4" s="95"/>
      <c r="U4" s="89"/>
      <c r="V4" s="97" t="s">
        <v>18</v>
      </c>
      <c r="W4" s="98"/>
      <c r="X4" s="94" t="s">
        <v>78</v>
      </c>
      <c r="Y4" s="99" t="s">
        <v>80</v>
      </c>
      <c r="Z4" s="100"/>
      <c r="AA4" s="100"/>
      <c r="AB4" s="100"/>
      <c r="AC4" s="100"/>
      <c r="AD4" s="100"/>
      <c r="AE4" s="99" t="s">
        <v>81</v>
      </c>
      <c r="AF4" s="99"/>
      <c r="AG4" s="100"/>
      <c r="AH4" s="99" t="s">
        <v>82</v>
      </c>
      <c r="AI4" s="100"/>
      <c r="AJ4" s="95"/>
    </row>
    <row r="5" spans="2:36" x14ac:dyDescent="0.25">
      <c r="B5" s="89"/>
      <c r="C5" s="101" t="s">
        <v>83</v>
      </c>
      <c r="D5" s="102" t="str">
        <f>IF(D4,_xll.meCurveCalibrateOIS(CurveCollection,StaticDataTable,IndexName,CurveBuildProperties,OISConventions,OISMarketData,OISFixingTable, OISBasis.Conventions,OISBasis.Spreads,LiborSwap.Conventions,LiborSwap.MarketData),"Disabled")</f>
        <v>Disabled</v>
      </c>
      <c r="E5" s="103"/>
      <c r="F5" s="104"/>
      <c r="G5" s="94" t="s">
        <v>78</v>
      </c>
      <c r="H5" s="94"/>
      <c r="I5" s="94"/>
      <c r="J5" s="94"/>
      <c r="K5" s="94"/>
      <c r="L5" s="94"/>
      <c r="M5" s="94"/>
      <c r="N5" s="95"/>
      <c r="P5" s="89"/>
      <c r="Q5" s="90" t="s">
        <v>77</v>
      </c>
      <c r="R5" s="105" t="b">
        <v>0</v>
      </c>
      <c r="S5" s="95"/>
      <c r="U5" s="89" t="s">
        <v>78</v>
      </c>
      <c r="V5" s="98"/>
      <c r="W5" s="98"/>
      <c r="X5" s="94" t="s">
        <v>78</v>
      </c>
      <c r="Y5" s="106" t="s">
        <v>24</v>
      </c>
      <c r="Z5" s="106" t="s">
        <v>84</v>
      </c>
      <c r="AA5" s="106" t="s">
        <v>85</v>
      </c>
      <c r="AB5" s="106" t="s">
        <v>86</v>
      </c>
      <c r="AC5" s="106" t="s">
        <v>87</v>
      </c>
      <c r="AD5" s="94"/>
      <c r="AE5" s="106" t="s">
        <v>24</v>
      </c>
      <c r="AF5" s="106" t="s">
        <v>84</v>
      </c>
      <c r="AG5" s="94"/>
      <c r="AH5" s="106" t="s">
        <v>24</v>
      </c>
      <c r="AI5" s="106" t="s">
        <v>84</v>
      </c>
      <c r="AJ5" s="95"/>
    </row>
    <row r="6" spans="2:36" x14ac:dyDescent="0.25">
      <c r="B6" s="89"/>
      <c r="C6" s="97"/>
      <c r="D6" s="107"/>
      <c r="E6" s="94"/>
      <c r="F6" s="94"/>
      <c r="G6" s="94"/>
      <c r="H6" s="94"/>
      <c r="I6" s="94"/>
      <c r="J6" s="94"/>
      <c r="K6" s="94"/>
      <c r="L6" s="94"/>
      <c r="M6" s="94"/>
      <c r="N6" s="95"/>
      <c r="P6" s="89"/>
      <c r="Q6" s="108" t="s">
        <v>88</v>
      </c>
      <c r="R6" s="109" t="s">
        <v>89</v>
      </c>
      <c r="S6" s="95"/>
      <c r="U6" s="89"/>
      <c r="V6" s="110" t="s">
        <v>2</v>
      </c>
      <c r="W6" s="111" t="s">
        <v>90</v>
      </c>
      <c r="X6" s="94" t="s">
        <v>78</v>
      </c>
      <c r="Y6" s="230" t="s">
        <v>25</v>
      </c>
      <c r="Z6" s="301">
        <v>5.0000000000000001E-4</v>
      </c>
      <c r="AA6" s="302"/>
      <c r="AB6" s="197"/>
      <c r="AC6" s="115" t="b">
        <v>1</v>
      </c>
      <c r="AD6" s="401"/>
      <c r="AE6" s="230" t="s">
        <v>37</v>
      </c>
      <c r="AF6" s="264">
        <v>4.7499999999999999E-3</v>
      </c>
      <c r="AG6" s="401"/>
      <c r="AH6" s="230" t="s">
        <v>37</v>
      </c>
      <c r="AI6" s="264">
        <v>5.4890000000000008E-3</v>
      </c>
      <c r="AJ6" s="402"/>
    </row>
    <row r="7" spans="2:36" x14ac:dyDescent="0.25">
      <c r="B7" s="89"/>
      <c r="C7" s="117" t="s">
        <v>91</v>
      </c>
      <c r="D7" s="118"/>
      <c r="E7" s="94"/>
      <c r="F7" s="94"/>
      <c r="G7" s="94"/>
      <c r="H7" s="94"/>
      <c r="I7" s="94"/>
      <c r="J7" s="94"/>
      <c r="K7" s="94"/>
      <c r="L7" s="94"/>
      <c r="M7" s="94"/>
      <c r="N7" s="95"/>
      <c r="P7" s="89"/>
      <c r="Q7" s="108" t="s">
        <v>92</v>
      </c>
      <c r="R7" s="119" t="str">
        <f>IF(R5,_xll.meLWOCurveGeneratorCreate("USD_OIS",Q10,Q11:R17,Q21,Q22:R38,Q47,Q48:R51,Q53,Q54:R57),"Disabled")</f>
        <v>Disabled</v>
      </c>
      <c r="S7" s="95"/>
      <c r="U7" s="89"/>
      <c r="V7" s="120" t="s">
        <v>5</v>
      </c>
      <c r="W7" s="121" t="s">
        <v>80</v>
      </c>
      <c r="X7" s="94" t="s">
        <v>78</v>
      </c>
      <c r="Y7" s="195" t="s">
        <v>27</v>
      </c>
      <c r="Z7" s="304">
        <v>5.5000000000000003E-4</v>
      </c>
      <c r="AA7" s="197"/>
      <c r="AB7" s="197"/>
      <c r="AC7" s="115" t="b">
        <v>1</v>
      </c>
      <c r="AD7" s="401"/>
      <c r="AE7" s="195" t="s">
        <v>40</v>
      </c>
      <c r="AF7" s="265">
        <v>3.3812500000000001E-3</v>
      </c>
      <c r="AG7" s="401"/>
      <c r="AH7" s="195" t="s">
        <v>40</v>
      </c>
      <c r="AI7" s="265">
        <v>4.117E-3</v>
      </c>
      <c r="AJ7" s="402"/>
    </row>
    <row r="8" spans="2:36" x14ac:dyDescent="0.25">
      <c r="B8" s="89"/>
      <c r="C8" s="125" t="s">
        <v>93</v>
      </c>
      <c r="D8" s="126" t="s">
        <v>56</v>
      </c>
      <c r="E8" s="94"/>
      <c r="F8" s="94"/>
      <c r="G8" s="94"/>
      <c r="H8" s="94"/>
      <c r="I8" s="94"/>
      <c r="J8" s="94"/>
      <c r="K8" s="94"/>
      <c r="L8" s="94"/>
      <c r="M8" s="94"/>
      <c r="N8" s="95"/>
      <c r="P8" s="89"/>
      <c r="Q8" s="127" t="s">
        <v>94</v>
      </c>
      <c r="R8" s="128" t="str">
        <f>IF($R$5,_xll.meLWOSave(R7,"CURVE_GENERATOR",R6),"Disabled")</f>
        <v>Disabled</v>
      </c>
      <c r="S8" s="95" t="s">
        <v>78</v>
      </c>
      <c r="U8" s="89"/>
      <c r="V8" s="120" t="s">
        <v>95</v>
      </c>
      <c r="W8" s="121" t="s">
        <v>96</v>
      </c>
      <c r="X8" s="94" t="s">
        <v>78</v>
      </c>
      <c r="Y8" s="195" t="s">
        <v>28</v>
      </c>
      <c r="Z8" s="304">
        <v>6.3000000000000003E-4</v>
      </c>
      <c r="AA8" s="197"/>
      <c r="AB8" s="197"/>
      <c r="AC8" s="115" t="b">
        <v>1</v>
      </c>
      <c r="AD8" s="401"/>
      <c r="AE8" s="195" t="s">
        <v>41</v>
      </c>
      <c r="AF8" s="265">
        <v>2.9250000000000001E-3</v>
      </c>
      <c r="AG8" s="401"/>
      <c r="AH8" s="195" t="s">
        <v>41</v>
      </c>
      <c r="AI8" s="265">
        <v>3.9240000000000004E-3</v>
      </c>
      <c r="AJ8" s="402"/>
    </row>
    <row r="9" spans="2:36" x14ac:dyDescent="0.25">
      <c r="B9" s="89"/>
      <c r="C9" s="129" t="s">
        <v>97</v>
      </c>
      <c r="D9" s="130" t="s">
        <v>80</v>
      </c>
      <c r="E9" s="94"/>
      <c r="F9" s="94"/>
      <c r="G9" s="94"/>
      <c r="H9" s="94"/>
      <c r="I9" s="94"/>
      <c r="J9" s="94"/>
      <c r="K9" s="94"/>
      <c r="L9" s="94"/>
      <c r="M9" s="94"/>
      <c r="N9" s="95"/>
      <c r="P9" s="89"/>
      <c r="Q9" s="94"/>
      <c r="R9" s="94"/>
      <c r="S9" s="95"/>
      <c r="U9" s="89"/>
      <c r="V9" s="131" t="s">
        <v>19</v>
      </c>
      <c r="W9" s="132">
        <f ca="1">TODAY()</f>
        <v>43937</v>
      </c>
      <c r="X9" s="94" t="s">
        <v>78</v>
      </c>
      <c r="Y9" s="195" t="s">
        <v>29</v>
      </c>
      <c r="Z9" s="304">
        <v>7.2999999999999996E-4</v>
      </c>
      <c r="AA9" s="197"/>
      <c r="AB9" s="197"/>
      <c r="AC9" s="115" t="b">
        <v>1</v>
      </c>
      <c r="AD9" s="401"/>
      <c r="AE9" s="195" t="s">
        <v>42</v>
      </c>
      <c r="AF9" s="265">
        <v>2.7125000000000001E-3</v>
      </c>
      <c r="AG9" s="401"/>
      <c r="AH9" s="195" t="s">
        <v>42</v>
      </c>
      <c r="AI9" s="265">
        <v>4.1700000000000001E-3</v>
      </c>
      <c r="AJ9" s="402"/>
    </row>
    <row r="10" spans="2:36" x14ac:dyDescent="0.25">
      <c r="B10" s="89"/>
      <c r="C10" s="133" t="s">
        <v>98</v>
      </c>
      <c r="D10" s="134" t="s">
        <v>99</v>
      </c>
      <c r="E10" s="94" t="s">
        <v>78</v>
      </c>
      <c r="F10" s="94"/>
      <c r="G10" s="94"/>
      <c r="H10" s="94" t="s">
        <v>78</v>
      </c>
      <c r="I10" s="94" t="s">
        <v>78</v>
      </c>
      <c r="J10" s="94" t="s">
        <v>78</v>
      </c>
      <c r="K10" s="94" t="s">
        <v>78</v>
      </c>
      <c r="L10" s="94" t="s">
        <v>78</v>
      </c>
      <c r="M10" s="94" t="s">
        <v>78</v>
      </c>
      <c r="N10" s="95" t="s">
        <v>78</v>
      </c>
      <c r="P10" s="89"/>
      <c r="Q10" s="97" t="s">
        <v>0</v>
      </c>
      <c r="R10" s="94"/>
      <c r="S10" s="95"/>
      <c r="U10" s="89"/>
      <c r="V10" s="98"/>
      <c r="W10" s="98"/>
      <c r="X10" s="94" t="s">
        <v>78</v>
      </c>
      <c r="Y10" s="195" t="s">
        <v>30</v>
      </c>
      <c r="Z10" s="304">
        <v>7.9500000000000003E-4</v>
      </c>
      <c r="AA10" s="197"/>
      <c r="AB10" s="197"/>
      <c r="AC10" s="115" t="b">
        <v>1</v>
      </c>
      <c r="AD10" s="401"/>
      <c r="AE10" s="195" t="s">
        <v>43</v>
      </c>
      <c r="AF10" s="265">
        <v>2.6124999999999998E-3</v>
      </c>
      <c r="AG10" s="401"/>
      <c r="AH10" s="195" t="s">
        <v>43</v>
      </c>
      <c r="AI10" s="265">
        <v>4.5960000000000003E-3</v>
      </c>
      <c r="AJ10" s="402"/>
    </row>
    <row r="11" spans="2:36" x14ac:dyDescent="0.25">
      <c r="B11" s="135"/>
      <c r="C11" s="136"/>
      <c r="D11" s="136"/>
      <c r="E11" s="136"/>
      <c r="F11" s="136"/>
      <c r="G11" s="136"/>
      <c r="H11" s="136"/>
      <c r="I11" s="136"/>
      <c r="J11" s="136"/>
      <c r="K11" s="136"/>
      <c r="L11" s="136"/>
      <c r="M11" s="136"/>
      <c r="N11" s="137"/>
      <c r="P11" s="89"/>
      <c r="Q11" s="138" t="s">
        <v>5</v>
      </c>
      <c r="R11" s="126" t="s">
        <v>80</v>
      </c>
      <c r="S11" s="95"/>
      <c r="U11" s="89"/>
      <c r="V11" s="94"/>
      <c r="W11" s="94"/>
      <c r="X11" s="94" t="s">
        <v>78</v>
      </c>
      <c r="Y11" s="195" t="s">
        <v>31</v>
      </c>
      <c r="Z11" s="304">
        <v>7.8100000000000001E-4</v>
      </c>
      <c r="AA11" s="197"/>
      <c r="AB11" s="197"/>
      <c r="AC11" s="115" t="b">
        <v>1</v>
      </c>
      <c r="AD11" s="401"/>
      <c r="AE11" s="195" t="s">
        <v>45</v>
      </c>
      <c r="AF11" s="265">
        <v>2.5249999999999999E-3</v>
      </c>
      <c r="AG11" s="401"/>
      <c r="AH11" s="195" t="s">
        <v>45</v>
      </c>
      <c r="AI11" s="265">
        <v>5.6169999999999996E-3</v>
      </c>
      <c r="AJ11" s="402"/>
    </row>
    <row r="12" spans="2:36" x14ac:dyDescent="0.25">
      <c r="P12" s="89"/>
      <c r="Q12" s="139" t="s">
        <v>95</v>
      </c>
      <c r="R12" s="140" t="s">
        <v>96</v>
      </c>
      <c r="S12" s="95"/>
      <c r="U12" s="89"/>
      <c r="V12" s="141" t="s">
        <v>100</v>
      </c>
      <c r="W12" s="98"/>
      <c r="X12" s="94" t="s">
        <v>78</v>
      </c>
      <c r="Y12" s="195" t="s">
        <v>32</v>
      </c>
      <c r="Z12" s="304">
        <v>7.5500000000000003E-4</v>
      </c>
      <c r="AA12" s="197"/>
      <c r="AB12" s="197"/>
      <c r="AC12" s="115" t="b">
        <v>1</v>
      </c>
      <c r="AD12" s="401"/>
      <c r="AE12" s="195" t="s">
        <v>48</v>
      </c>
      <c r="AF12" s="265">
        <v>2.4437500000000002E-3</v>
      </c>
      <c r="AG12" s="401"/>
      <c r="AH12" s="195" t="s">
        <v>48</v>
      </c>
      <c r="AI12" s="265">
        <v>6.8089999999999991E-3</v>
      </c>
      <c r="AJ12" s="402"/>
    </row>
    <row r="13" spans="2:36" x14ac:dyDescent="0.25">
      <c r="P13" s="89"/>
      <c r="Q13" s="139" t="s">
        <v>97</v>
      </c>
      <c r="R13" s="140" t="s">
        <v>80</v>
      </c>
      <c r="S13" s="95"/>
      <c r="U13" s="89"/>
      <c r="V13" s="90" t="s">
        <v>101</v>
      </c>
      <c r="W13" s="142" t="s">
        <v>102</v>
      </c>
      <c r="X13" s="94" t="s">
        <v>78</v>
      </c>
      <c r="Y13" s="195" t="s">
        <v>33</v>
      </c>
      <c r="Z13" s="304">
        <v>6.9900000000000008E-4</v>
      </c>
      <c r="AA13" s="197"/>
      <c r="AB13" s="197"/>
      <c r="AC13" s="115" t="b">
        <v>1</v>
      </c>
      <c r="AD13" s="401"/>
      <c r="AE13" s="195" t="s">
        <v>103</v>
      </c>
      <c r="AF13" s="265">
        <v>2.4129999999999998E-3</v>
      </c>
      <c r="AG13" s="401"/>
      <c r="AH13" s="195" t="s">
        <v>103</v>
      </c>
      <c r="AI13" s="265">
        <v>7.3209999999999994E-3</v>
      </c>
      <c r="AJ13" s="402"/>
    </row>
    <row r="14" spans="2:36" x14ac:dyDescent="0.25">
      <c r="B14" s="143" t="s">
        <v>104</v>
      </c>
      <c r="P14" s="89"/>
      <c r="Q14" s="139" t="s">
        <v>105</v>
      </c>
      <c r="R14" s="140" t="s">
        <v>99</v>
      </c>
      <c r="S14" s="95" t="s">
        <v>78</v>
      </c>
      <c r="U14" s="89"/>
      <c r="V14" s="127" t="s">
        <v>106</v>
      </c>
      <c r="W14" s="144" t="str">
        <f ca="1">_xll.meLWOCurveMarketDataPulse(W13,Settings.PulseFrequency,V4,V6:W9,Y4,Y6:AC31,AE4,AE6:AF31,AH4,IF(enableGlobalCalibration,USD3ML!AF6:AG31,AH6:AI31))</f>
        <v>USD_OIS_CURVE_MARKETDATA@6:1</v>
      </c>
      <c r="X14" s="94" t="s">
        <v>78</v>
      </c>
      <c r="Y14" s="195" t="s">
        <v>34</v>
      </c>
      <c r="Z14" s="304">
        <v>6.6399999999999999E-4</v>
      </c>
      <c r="AA14" s="197"/>
      <c r="AB14" s="197"/>
      <c r="AC14" s="115" t="b">
        <v>1</v>
      </c>
      <c r="AD14" s="401"/>
      <c r="AE14" s="195" t="s">
        <v>107</v>
      </c>
      <c r="AF14" s="265">
        <v>2.3874999999999999E-3</v>
      </c>
      <c r="AG14" s="401"/>
      <c r="AH14" s="195" t="s">
        <v>107</v>
      </c>
      <c r="AI14" s="265">
        <v>7.7690000000000007E-3</v>
      </c>
      <c r="AJ14" s="402"/>
    </row>
    <row r="15" spans="2:36" x14ac:dyDescent="0.25">
      <c r="B15" s="84"/>
      <c r="C15" s="85"/>
      <c r="D15" s="86"/>
      <c r="E15" s="87"/>
      <c r="F15" s="87"/>
      <c r="G15" s="87"/>
      <c r="H15" s="145"/>
      <c r="I15" s="87"/>
      <c r="J15" s="87"/>
      <c r="K15" s="87"/>
      <c r="L15" s="87"/>
      <c r="M15" s="87"/>
      <c r="N15" s="88"/>
      <c r="P15" s="89"/>
      <c r="Q15" s="139" t="s">
        <v>2</v>
      </c>
      <c r="R15" s="130" t="s">
        <v>90</v>
      </c>
      <c r="S15" s="95"/>
      <c r="U15" s="89"/>
      <c r="V15" s="94"/>
      <c r="W15" s="94"/>
      <c r="X15" s="94" t="s">
        <v>78</v>
      </c>
      <c r="Y15" s="195" t="s">
        <v>35</v>
      </c>
      <c r="Z15" s="304">
        <v>6.87E-4</v>
      </c>
      <c r="AA15" s="197"/>
      <c r="AB15" s="197"/>
      <c r="AC15" s="115" t="b">
        <v>1</v>
      </c>
      <c r="AD15" s="401"/>
      <c r="AE15" s="195" t="s">
        <v>108</v>
      </c>
      <c r="AF15" s="265">
        <v>2.3625E-3</v>
      </c>
      <c r="AG15" s="401"/>
      <c r="AH15" s="195" t="s">
        <v>108</v>
      </c>
      <c r="AI15" s="265">
        <v>8.2719999999999998E-3</v>
      </c>
      <c r="AJ15" s="402"/>
    </row>
    <row r="16" spans="2:36" x14ac:dyDescent="0.25">
      <c r="B16" s="89"/>
      <c r="C16" s="117" t="s">
        <v>104</v>
      </c>
      <c r="D16" s="146"/>
      <c r="E16" s="94"/>
      <c r="F16" s="94"/>
      <c r="G16" s="94"/>
      <c r="H16" s="94"/>
      <c r="I16" s="94"/>
      <c r="J16" s="94"/>
      <c r="K16" s="94"/>
      <c r="L16" s="94"/>
      <c r="M16" s="94"/>
      <c r="N16" s="95"/>
      <c r="P16" s="89"/>
      <c r="Q16" s="147" t="s">
        <v>109</v>
      </c>
      <c r="R16" s="130" t="s">
        <v>110</v>
      </c>
      <c r="S16" s="95"/>
      <c r="U16" s="89"/>
      <c r="V16" s="94"/>
      <c r="W16" s="94"/>
      <c r="X16" s="94" t="s">
        <v>78</v>
      </c>
      <c r="Y16" s="195" t="s">
        <v>36</v>
      </c>
      <c r="Z16" s="304">
        <v>6.9099999999999999E-4</v>
      </c>
      <c r="AA16" s="197"/>
      <c r="AB16" s="197"/>
      <c r="AC16" s="115" t="b">
        <v>1</v>
      </c>
      <c r="AD16" s="401"/>
      <c r="AE16" s="195" t="s">
        <v>111</v>
      </c>
      <c r="AF16" s="265">
        <v>2.3500000000000001E-3</v>
      </c>
      <c r="AG16" s="401"/>
      <c r="AH16" s="195" t="s">
        <v>111</v>
      </c>
      <c r="AI16" s="265">
        <v>8.4200000000000004E-3</v>
      </c>
      <c r="AJ16" s="402"/>
    </row>
    <row r="17" spans="2:36" x14ac:dyDescent="0.25">
      <c r="B17" s="89"/>
      <c r="C17" s="125" t="s">
        <v>19</v>
      </c>
      <c r="D17" s="148">
        <f>Settings.COB</f>
        <v>43937</v>
      </c>
      <c r="E17" s="94"/>
      <c r="F17" s="94"/>
      <c r="G17" s="94"/>
      <c r="H17" s="94"/>
      <c r="I17" s="94"/>
      <c r="J17" s="94"/>
      <c r="K17" s="94"/>
      <c r="L17" s="94"/>
      <c r="M17" s="94"/>
      <c r="N17" s="95"/>
      <c r="P17" s="89"/>
      <c r="Q17" s="139" t="s">
        <v>112</v>
      </c>
      <c r="R17" s="130" t="s">
        <v>110</v>
      </c>
      <c r="S17" s="95"/>
      <c r="U17" s="89"/>
      <c r="V17" s="94"/>
      <c r="W17" s="94"/>
      <c r="X17" s="94" t="s">
        <v>78</v>
      </c>
      <c r="Y17" s="195" t="s">
        <v>37</v>
      </c>
      <c r="Z17" s="304">
        <v>6.9500000000000009E-4</v>
      </c>
      <c r="AA17" s="197"/>
      <c r="AB17" s="197"/>
      <c r="AC17" s="115" t="b">
        <v>1</v>
      </c>
      <c r="AD17" s="401"/>
      <c r="AE17" s="195" t="s">
        <v>113</v>
      </c>
      <c r="AF17" s="265">
        <v>2.3500000000000001E-3</v>
      </c>
      <c r="AG17" s="401"/>
      <c r="AH17" s="195" t="s">
        <v>113</v>
      </c>
      <c r="AI17" s="265">
        <v>8.4969999999999993E-3</v>
      </c>
      <c r="AJ17" s="402"/>
    </row>
    <row r="18" spans="2:36" x14ac:dyDescent="0.25">
      <c r="B18" s="89"/>
      <c r="C18" s="129" t="s">
        <v>2</v>
      </c>
      <c r="D18" s="130" t="s">
        <v>90</v>
      </c>
      <c r="E18" s="94"/>
      <c r="F18" s="94"/>
      <c r="G18" s="94"/>
      <c r="H18" s="94"/>
      <c r="I18" s="94"/>
      <c r="J18" s="94"/>
      <c r="K18" s="94"/>
      <c r="L18" s="94"/>
      <c r="M18" s="94"/>
      <c r="N18" s="95"/>
      <c r="P18" s="89"/>
      <c r="Q18" s="139"/>
      <c r="R18" s="130"/>
      <c r="S18" s="95"/>
      <c r="U18" s="89"/>
      <c r="V18" s="94"/>
      <c r="W18" s="94"/>
      <c r="X18" s="94" t="s">
        <v>78</v>
      </c>
      <c r="Y18" s="195" t="s">
        <v>40</v>
      </c>
      <c r="Z18" s="304">
        <v>6.3000000000000003E-4</v>
      </c>
      <c r="AA18" s="197"/>
      <c r="AB18" s="197"/>
      <c r="AC18" s="115" t="b">
        <v>1</v>
      </c>
      <c r="AD18" s="401"/>
      <c r="AE18" s="190" t="s">
        <v>114</v>
      </c>
      <c r="AF18" s="294">
        <v>2.3500000000000001E-3</v>
      </c>
      <c r="AG18" s="403"/>
      <c r="AH18" s="190" t="s">
        <v>114</v>
      </c>
      <c r="AI18" s="294">
        <v>8.4969999999999993E-3</v>
      </c>
      <c r="AJ18" s="163" t="s">
        <v>115</v>
      </c>
    </row>
    <row r="19" spans="2:36" x14ac:dyDescent="0.25">
      <c r="B19" s="89"/>
      <c r="C19" s="147" t="s">
        <v>109</v>
      </c>
      <c r="D19" s="130" t="s">
        <v>110</v>
      </c>
      <c r="E19" s="94"/>
      <c r="F19" s="94"/>
      <c r="G19" s="94"/>
      <c r="H19" s="94"/>
      <c r="I19" s="94"/>
      <c r="J19" s="94"/>
      <c r="K19" s="94"/>
      <c r="L19" s="94"/>
      <c r="M19" s="94"/>
      <c r="N19" s="95"/>
      <c r="P19" s="89"/>
      <c r="Q19" s="149"/>
      <c r="R19" s="150"/>
      <c r="S19" s="95"/>
      <c r="U19" s="89"/>
      <c r="V19" s="151" t="s">
        <v>116</v>
      </c>
      <c r="W19" s="98"/>
      <c r="X19" s="94" t="s">
        <v>78</v>
      </c>
      <c r="Y19" s="195" t="s">
        <v>41</v>
      </c>
      <c r="Z19" s="304">
        <v>9.2999999999999995E-4</v>
      </c>
      <c r="AA19" s="197"/>
      <c r="AB19" s="197"/>
      <c r="AC19" s="115" t="b">
        <v>1</v>
      </c>
      <c r="AD19" s="401"/>
      <c r="AE19" s="190" t="s">
        <v>117</v>
      </c>
      <c r="AF19" s="294">
        <v>2.3500000000000001E-3</v>
      </c>
      <c r="AG19" s="403"/>
      <c r="AH19" s="190" t="s">
        <v>117</v>
      </c>
      <c r="AI19" s="294">
        <v>8.4969999999999993E-3</v>
      </c>
      <c r="AJ19" s="163" t="s">
        <v>115</v>
      </c>
    </row>
    <row r="20" spans="2:36" x14ac:dyDescent="0.25">
      <c r="B20" s="89"/>
      <c r="C20" s="147" t="s">
        <v>112</v>
      </c>
      <c r="D20" s="130" t="s">
        <v>110</v>
      </c>
      <c r="E20" s="94"/>
      <c r="F20" s="94"/>
      <c r="G20" s="94"/>
      <c r="H20" s="94"/>
      <c r="I20" s="94"/>
      <c r="J20" s="94"/>
      <c r="K20" s="94"/>
      <c r="L20" s="94"/>
      <c r="M20" s="94"/>
      <c r="N20" s="95"/>
      <c r="P20" s="89"/>
      <c r="Q20" s="94"/>
      <c r="R20" s="94"/>
      <c r="S20" s="95"/>
      <c r="U20" s="89"/>
      <c r="V20" s="152" t="s">
        <v>101</v>
      </c>
      <c r="W20" s="153" t="s">
        <v>118</v>
      </c>
      <c r="X20" s="94" t="s">
        <v>78</v>
      </c>
      <c r="Y20" s="195" t="s">
        <v>42</v>
      </c>
      <c r="Z20" s="304">
        <v>1.4000000000000002E-3</v>
      </c>
      <c r="AA20" s="197"/>
      <c r="AB20" s="197"/>
      <c r="AC20" s="115" t="b">
        <v>1</v>
      </c>
      <c r="AD20" s="401"/>
      <c r="AE20" s="195"/>
      <c r="AF20" s="265"/>
      <c r="AG20" s="401"/>
      <c r="AH20" s="195"/>
      <c r="AI20" s="265"/>
      <c r="AJ20" s="402"/>
    </row>
    <row r="21" spans="2:36" x14ac:dyDescent="0.25">
      <c r="B21" s="89"/>
      <c r="C21" s="149"/>
      <c r="D21" s="154"/>
      <c r="E21" s="94"/>
      <c r="F21" s="94"/>
      <c r="G21" s="94"/>
      <c r="H21" s="94"/>
      <c r="I21" s="94"/>
      <c r="J21" s="94"/>
      <c r="K21" s="94"/>
      <c r="L21" s="94"/>
      <c r="M21" s="94"/>
      <c r="N21" s="95"/>
      <c r="P21" s="89"/>
      <c r="Q21" s="97" t="s">
        <v>80</v>
      </c>
      <c r="R21" s="94"/>
      <c r="S21" s="95"/>
      <c r="U21" s="89"/>
      <c r="V21" s="155" t="s">
        <v>119</v>
      </c>
      <c r="W21" s="156" t="s">
        <v>120</v>
      </c>
      <c r="X21" s="94" t="s">
        <v>78</v>
      </c>
      <c r="Y21" s="195" t="s">
        <v>43</v>
      </c>
      <c r="Z21" s="304">
        <v>1.9E-3</v>
      </c>
      <c r="AA21" s="197"/>
      <c r="AB21" s="197"/>
      <c r="AC21" s="115" t="b">
        <v>1</v>
      </c>
      <c r="AD21" s="401"/>
      <c r="AE21" s="195"/>
      <c r="AF21" s="265"/>
      <c r="AG21" s="401"/>
      <c r="AH21" s="195"/>
      <c r="AI21" s="265"/>
      <c r="AJ21" s="402"/>
    </row>
    <row r="22" spans="2:36" x14ac:dyDescent="0.25">
      <c r="B22" s="135"/>
      <c r="C22" s="136"/>
      <c r="D22" s="136"/>
      <c r="E22" s="136"/>
      <c r="F22" s="136"/>
      <c r="G22" s="136"/>
      <c r="H22" s="136"/>
      <c r="I22" s="136"/>
      <c r="J22" s="136"/>
      <c r="K22" s="136"/>
      <c r="L22" s="136"/>
      <c r="M22" s="136"/>
      <c r="N22" s="137"/>
      <c r="P22" s="89"/>
      <c r="Q22" s="125" t="s">
        <v>121</v>
      </c>
      <c r="R22" s="157" t="s">
        <v>122</v>
      </c>
      <c r="S22" s="95"/>
      <c r="U22" s="89"/>
      <c r="V22" s="155" t="s">
        <v>123</v>
      </c>
      <c r="W22" s="156" t="s">
        <v>56</v>
      </c>
      <c r="X22" s="94" t="s">
        <v>78</v>
      </c>
      <c r="Y22" s="195"/>
      <c r="Z22" s="304"/>
      <c r="AA22" s="197"/>
      <c r="AB22" s="197"/>
      <c r="AC22" s="115"/>
      <c r="AD22" s="401"/>
      <c r="AE22" s="195"/>
      <c r="AF22" s="265"/>
      <c r="AG22" s="401"/>
      <c r="AH22" s="195"/>
      <c r="AI22" s="265"/>
      <c r="AJ22" s="402"/>
    </row>
    <row r="23" spans="2:36" x14ac:dyDescent="0.25">
      <c r="P23" s="89"/>
      <c r="Q23" s="129" t="s">
        <v>124</v>
      </c>
      <c r="R23" s="158" t="s">
        <v>125</v>
      </c>
      <c r="S23" s="95"/>
      <c r="U23" s="89"/>
      <c r="V23" s="159" t="s">
        <v>126</v>
      </c>
      <c r="W23" s="160"/>
      <c r="X23" s="94" t="s">
        <v>78</v>
      </c>
      <c r="Y23" s="195"/>
      <c r="Z23" s="304"/>
      <c r="AA23" s="197"/>
      <c r="AB23" s="197"/>
      <c r="AC23" s="115"/>
      <c r="AD23" s="401"/>
      <c r="AE23" s="195"/>
      <c r="AF23" s="265"/>
      <c r="AG23" s="401"/>
      <c r="AH23" s="195"/>
      <c r="AI23" s="265"/>
      <c r="AJ23" s="402"/>
    </row>
    <row r="24" spans="2:36" x14ac:dyDescent="0.25">
      <c r="F24" s="161"/>
      <c r="P24" s="89"/>
      <c r="Q24" s="129" t="s">
        <v>127</v>
      </c>
      <c r="R24" s="158" t="s">
        <v>128</v>
      </c>
      <c r="S24" s="95"/>
      <c r="U24" s="89"/>
      <c r="V24" s="94"/>
      <c r="W24" s="94"/>
      <c r="X24" s="94" t="s">
        <v>78</v>
      </c>
      <c r="Y24" s="195"/>
      <c r="Z24" s="304"/>
      <c r="AA24" s="197"/>
      <c r="AB24" s="197"/>
      <c r="AC24" s="115"/>
      <c r="AD24" s="401"/>
      <c r="AE24" s="195"/>
      <c r="AF24" s="265"/>
      <c r="AG24" s="401"/>
      <c r="AH24" s="195"/>
      <c r="AI24" s="265"/>
      <c r="AJ24" s="402"/>
    </row>
    <row r="25" spans="2:36" x14ac:dyDescent="0.25">
      <c r="B25" s="143" t="s">
        <v>129</v>
      </c>
      <c r="P25" s="89"/>
      <c r="Q25" s="129" t="s">
        <v>130</v>
      </c>
      <c r="R25" s="158" t="s">
        <v>131</v>
      </c>
      <c r="S25" s="95"/>
      <c r="U25" s="89"/>
      <c r="V25" s="94"/>
      <c r="W25" s="94"/>
      <c r="X25" s="94" t="s">
        <v>78</v>
      </c>
      <c r="Y25" s="195"/>
      <c r="Z25" s="304"/>
      <c r="AA25" s="197"/>
      <c r="AB25" s="197"/>
      <c r="AC25" s="115"/>
      <c r="AD25" s="401"/>
      <c r="AE25" s="195"/>
      <c r="AF25" s="265"/>
      <c r="AG25" s="401"/>
      <c r="AH25" s="195"/>
      <c r="AI25" s="265"/>
      <c r="AJ25" s="402"/>
    </row>
    <row r="26" spans="2:36" x14ac:dyDescent="0.25">
      <c r="B26" s="84"/>
      <c r="C26" s="87"/>
      <c r="D26" s="87"/>
      <c r="E26" s="87"/>
      <c r="F26" s="87"/>
      <c r="G26" s="87"/>
      <c r="H26" s="87"/>
      <c r="I26" s="87"/>
      <c r="J26" s="87"/>
      <c r="K26" s="87"/>
      <c r="L26" s="87"/>
      <c r="M26" s="87"/>
      <c r="N26" s="88"/>
      <c r="P26" s="89"/>
      <c r="Q26" s="129" t="s">
        <v>132</v>
      </c>
      <c r="R26" s="158" t="s">
        <v>13</v>
      </c>
      <c r="S26" s="95"/>
      <c r="U26" s="89"/>
      <c r="V26" s="94"/>
      <c r="W26" s="94"/>
      <c r="X26" s="94" t="s">
        <v>78</v>
      </c>
      <c r="Y26" s="195"/>
      <c r="Z26" s="304"/>
      <c r="AA26" s="197"/>
      <c r="AB26" s="197"/>
      <c r="AC26" s="115"/>
      <c r="AD26" s="401"/>
      <c r="AE26" s="195"/>
      <c r="AF26" s="265"/>
      <c r="AG26" s="401"/>
      <c r="AH26" s="195"/>
      <c r="AI26" s="265"/>
      <c r="AJ26" s="402"/>
    </row>
    <row r="27" spans="2:36" x14ac:dyDescent="0.25">
      <c r="B27" s="89"/>
      <c r="C27" s="96" t="s">
        <v>133</v>
      </c>
      <c r="D27" s="162"/>
      <c r="E27" s="162"/>
      <c r="F27" s="96" t="s">
        <v>134</v>
      </c>
      <c r="G27" s="162"/>
      <c r="H27" s="162"/>
      <c r="I27" s="162"/>
      <c r="J27" s="162"/>
      <c r="K27" s="162"/>
      <c r="L27" s="96" t="s">
        <v>135</v>
      </c>
      <c r="M27" s="162"/>
      <c r="N27" s="163"/>
      <c r="P27" s="89"/>
      <c r="Q27" s="129" t="s">
        <v>136</v>
      </c>
      <c r="R27" s="158" t="s">
        <v>137</v>
      </c>
      <c r="S27" s="95"/>
      <c r="U27" s="89"/>
      <c r="V27" s="151" t="s">
        <v>138</v>
      </c>
      <c r="W27" s="94"/>
      <c r="X27" s="94" t="s">
        <v>78</v>
      </c>
      <c r="Y27" s="122"/>
      <c r="Z27" s="123"/>
      <c r="AA27" s="114"/>
      <c r="AB27" s="114"/>
      <c r="AC27" s="115"/>
      <c r="AD27" s="100"/>
      <c r="AE27" s="122"/>
      <c r="AF27" s="124"/>
      <c r="AG27" s="100"/>
      <c r="AH27" s="122"/>
      <c r="AI27" s="124"/>
      <c r="AJ27" s="95"/>
    </row>
    <row r="28" spans="2:36" x14ac:dyDescent="0.25">
      <c r="B28" s="89"/>
      <c r="C28" s="125" t="s">
        <v>121</v>
      </c>
      <c r="D28" s="164" t="s">
        <v>139</v>
      </c>
      <c r="E28" s="94"/>
      <c r="F28" s="106" t="s">
        <v>24</v>
      </c>
      <c r="G28" s="106" t="s">
        <v>84</v>
      </c>
      <c r="H28" s="106" t="s">
        <v>85</v>
      </c>
      <c r="I28" s="106" t="s">
        <v>86</v>
      </c>
      <c r="J28" s="106" t="s">
        <v>87</v>
      </c>
      <c r="K28" s="162"/>
      <c r="L28" s="106" t="s">
        <v>67</v>
      </c>
      <c r="M28" s="106" t="s">
        <v>84</v>
      </c>
      <c r="N28" s="163"/>
      <c r="P28" s="89"/>
      <c r="Q28" s="129" t="s">
        <v>140</v>
      </c>
      <c r="R28" s="158" t="s">
        <v>15</v>
      </c>
      <c r="S28" s="95"/>
      <c r="U28" s="89"/>
      <c r="V28" s="7" t="s">
        <v>101</v>
      </c>
      <c r="W28" s="165" t="str">
        <f t="array" aca="1" ref="W28:W31" ca="1">_xll.meLWOCurveCalibrate(W20,W21,W14,W22,W23)</f>
        <v>USD_OIS_CURVE@7:1</v>
      </c>
      <c r="X28" s="94" t="s">
        <v>78</v>
      </c>
      <c r="Y28" s="122"/>
      <c r="Z28" s="123"/>
      <c r="AA28" s="114"/>
      <c r="AB28" s="114"/>
      <c r="AC28" s="115"/>
      <c r="AD28" s="100"/>
      <c r="AE28" s="122"/>
      <c r="AF28" s="124"/>
      <c r="AG28" s="100"/>
      <c r="AH28" s="122"/>
      <c r="AI28" s="124"/>
      <c r="AJ28" s="95"/>
    </row>
    <row r="29" spans="2:36" x14ac:dyDescent="0.25">
      <c r="B29" s="89"/>
      <c r="C29" s="129" t="s">
        <v>124</v>
      </c>
      <c r="D29" s="168" t="s">
        <v>125</v>
      </c>
      <c r="E29" s="169"/>
      <c r="F29" s="112" t="str">
        <f>'[1]MKT DATA USD'!H7</f>
        <v>ON</v>
      </c>
      <c r="G29" s="170">
        <f>'[1]MKT DATA USD'!J7</f>
        <v>5.0000000000000001E-4</v>
      </c>
      <c r="H29" s="171"/>
      <c r="I29" s="172"/>
      <c r="J29" s="115" t="b">
        <v>1</v>
      </c>
      <c r="K29" s="162"/>
      <c r="L29" s="173"/>
      <c r="M29" s="174"/>
      <c r="N29" s="163"/>
      <c r="P29" s="89"/>
      <c r="Q29" s="129" t="s">
        <v>17</v>
      </c>
      <c r="R29" s="130">
        <v>31</v>
      </c>
      <c r="S29" s="95"/>
      <c r="U29" s="89"/>
      <c r="V29" s="8" t="s">
        <v>141</v>
      </c>
      <c r="W29" s="166" t="str">
        <f ca="1"/>
        <v>USDYC</v>
      </c>
      <c r="X29" s="94" t="s">
        <v>78</v>
      </c>
      <c r="Y29" s="122"/>
      <c r="Z29" s="123"/>
      <c r="AA29" s="114"/>
      <c r="AB29" s="114"/>
      <c r="AC29" s="115"/>
      <c r="AD29" s="100"/>
      <c r="AE29" s="122"/>
      <c r="AF29" s="124"/>
      <c r="AG29" s="100"/>
      <c r="AH29" s="122"/>
      <c r="AI29" s="124"/>
      <c r="AJ29" s="95"/>
    </row>
    <row r="30" spans="2:36" x14ac:dyDescent="0.25">
      <c r="B30" s="89"/>
      <c r="C30" s="129" t="s">
        <v>127</v>
      </c>
      <c r="D30" s="168" t="s">
        <v>128</v>
      </c>
      <c r="E30" s="169"/>
      <c r="F30" s="122" t="str">
        <f>'[1]MKT DATA USD'!H8</f>
        <v>1W</v>
      </c>
      <c r="G30" s="175">
        <f>'[1]MKT DATA USD'!J8</f>
        <v>5.5000000000000003E-4</v>
      </c>
      <c r="H30" s="172"/>
      <c r="I30" s="172"/>
      <c r="J30" s="115" t="b">
        <v>1</v>
      </c>
      <c r="K30" s="162"/>
      <c r="L30" s="173"/>
      <c r="M30" s="174"/>
      <c r="N30" s="163"/>
      <c r="P30" s="89"/>
      <c r="Q30" s="129" t="s">
        <v>16</v>
      </c>
      <c r="R30" s="176" t="b">
        <v>1</v>
      </c>
      <c r="S30" s="95"/>
      <c r="U30" s="89"/>
      <c r="V30" s="8" t="s">
        <v>142</v>
      </c>
      <c r="W30" s="166" t="str">
        <f ca="1"/>
        <v>OIS:USDOIS:USDDF:USDDF_USDCSA:USDDF_NOCSA</v>
      </c>
      <c r="X30" s="94" t="s">
        <v>78</v>
      </c>
      <c r="Y30" s="122"/>
      <c r="Z30" s="123"/>
      <c r="AA30" s="114"/>
      <c r="AB30" s="114"/>
      <c r="AC30" s="177"/>
      <c r="AD30" s="100"/>
      <c r="AE30" s="122"/>
      <c r="AF30" s="124"/>
      <c r="AG30" s="100"/>
      <c r="AH30" s="122"/>
      <c r="AI30" s="124"/>
      <c r="AJ30" s="95"/>
    </row>
    <row r="31" spans="2:36" x14ac:dyDescent="0.25">
      <c r="B31" s="89"/>
      <c r="C31" s="129" t="s">
        <v>130</v>
      </c>
      <c r="D31" s="168" t="s">
        <v>131</v>
      </c>
      <c r="E31" s="169"/>
      <c r="F31" s="122" t="str">
        <f>'[1]MKT DATA USD'!H9</f>
        <v>2W</v>
      </c>
      <c r="G31" s="175">
        <f>'[1]MKT DATA USD'!J9</f>
        <v>6.3000000000000003E-4</v>
      </c>
      <c r="H31" s="172"/>
      <c r="I31" s="172"/>
      <c r="J31" s="115" t="b">
        <v>1</v>
      </c>
      <c r="K31" s="162"/>
      <c r="L31" s="173"/>
      <c r="M31" s="174"/>
      <c r="N31" s="163"/>
      <c r="P31" s="89"/>
      <c r="Q31" s="129" t="s">
        <v>143</v>
      </c>
      <c r="R31" s="158" t="s">
        <v>144</v>
      </c>
      <c r="S31" s="95"/>
      <c r="U31" s="89"/>
      <c r="V31" s="9" t="s">
        <v>145</v>
      </c>
      <c r="W31" s="167" t="str">
        <f ca="1"/>
        <v>0.01900 sec</v>
      </c>
      <c r="X31" s="94" t="s">
        <v>78</v>
      </c>
      <c r="Y31" s="178"/>
      <c r="Z31" s="179"/>
      <c r="AA31" s="180"/>
      <c r="AB31" s="180"/>
      <c r="AC31" s="181"/>
      <c r="AD31" s="100"/>
      <c r="AE31" s="178"/>
      <c r="AF31" s="182"/>
      <c r="AG31" s="100"/>
      <c r="AH31" s="178"/>
      <c r="AI31" s="182"/>
      <c r="AJ31" s="95"/>
    </row>
    <row r="32" spans="2:36" x14ac:dyDescent="0.25">
      <c r="B32" s="89"/>
      <c r="C32" s="129" t="s">
        <v>132</v>
      </c>
      <c r="D32" s="168" t="s">
        <v>13</v>
      </c>
      <c r="E32" s="169"/>
      <c r="F32" s="122" t="str">
        <f>'[1]MKT DATA USD'!H10</f>
        <v>3W</v>
      </c>
      <c r="G32" s="175">
        <f>'[1]MKT DATA USD'!J10</f>
        <v>7.2999999999999996E-4</v>
      </c>
      <c r="H32" s="172"/>
      <c r="I32" s="172"/>
      <c r="J32" s="115" t="b">
        <v>1</v>
      </c>
      <c r="K32" s="162"/>
      <c r="L32" s="173"/>
      <c r="M32" s="174"/>
      <c r="N32" s="163"/>
      <c r="P32" s="89"/>
      <c r="Q32" s="129" t="s">
        <v>146</v>
      </c>
      <c r="R32" s="158" t="s">
        <v>147</v>
      </c>
      <c r="S32" s="95"/>
      <c r="U32" s="89"/>
      <c r="V32" s="183" t="s">
        <v>148</v>
      </c>
      <c r="W32" s="184" t="b">
        <f ca="1">_xll.meLWOExists(W28,"CURVE")</f>
        <v>1</v>
      </c>
      <c r="X32" s="94"/>
      <c r="Y32" s="94"/>
      <c r="Z32" s="94"/>
      <c r="AA32" s="94"/>
      <c r="AB32" s="94"/>
      <c r="AC32" s="94"/>
      <c r="AD32" s="94"/>
      <c r="AE32" s="94"/>
      <c r="AF32" s="94"/>
      <c r="AG32" s="94"/>
      <c r="AH32" s="94"/>
      <c r="AI32" s="94"/>
      <c r="AJ32" s="95"/>
    </row>
    <row r="33" spans="2:36" x14ac:dyDescent="0.25">
      <c r="B33" s="89"/>
      <c r="C33" s="139" t="s">
        <v>136</v>
      </c>
      <c r="D33" s="168" t="s">
        <v>137</v>
      </c>
      <c r="E33" s="169"/>
      <c r="F33" s="122" t="str">
        <f>'[1]MKT DATA USD'!H11</f>
        <v>1M</v>
      </c>
      <c r="G33" s="175">
        <f>'[1]MKT DATA USD'!J11</f>
        <v>7.9500000000000003E-4</v>
      </c>
      <c r="H33" s="172"/>
      <c r="I33" s="172"/>
      <c r="J33" s="115" t="b">
        <v>1</v>
      </c>
      <c r="K33" s="162"/>
      <c r="L33" s="173"/>
      <c r="M33" s="174"/>
      <c r="N33" s="163"/>
      <c r="P33" s="89"/>
      <c r="Q33" s="139" t="s">
        <v>149</v>
      </c>
      <c r="R33" s="158" t="s">
        <v>41</v>
      </c>
      <c r="S33" s="95"/>
      <c r="U33" s="89"/>
      <c r="V33" s="94"/>
      <c r="W33" s="94"/>
      <c r="X33" s="94"/>
      <c r="Y33" s="94"/>
      <c r="Z33" s="94"/>
      <c r="AA33" s="94"/>
      <c r="AB33" s="94"/>
      <c r="AC33" s="94"/>
      <c r="AD33" s="94"/>
      <c r="AE33" s="94"/>
      <c r="AF33" s="94"/>
      <c r="AG33" s="94"/>
      <c r="AH33" s="94"/>
      <c r="AI33" s="94"/>
      <c r="AJ33" s="95"/>
    </row>
    <row r="34" spans="2:36" x14ac:dyDescent="0.25">
      <c r="B34" s="89"/>
      <c r="C34" s="185" t="s">
        <v>140</v>
      </c>
      <c r="D34" s="186" t="s">
        <v>15</v>
      </c>
      <c r="E34" s="169"/>
      <c r="F34" s="122" t="str">
        <f>'[1]MKT DATA USD'!H12</f>
        <v>2M</v>
      </c>
      <c r="G34" s="175">
        <f>'[1]MKT DATA USD'!J12</f>
        <v>7.8100000000000001E-4</v>
      </c>
      <c r="H34" s="172"/>
      <c r="I34" s="172"/>
      <c r="J34" s="115" t="b">
        <v>1</v>
      </c>
      <c r="K34" s="162"/>
      <c r="L34" s="173"/>
      <c r="M34" s="174"/>
      <c r="N34" s="163"/>
      <c r="P34" s="89"/>
      <c r="Q34" s="129" t="s">
        <v>150</v>
      </c>
      <c r="R34" s="158" t="s">
        <v>151</v>
      </c>
      <c r="S34" s="95"/>
      <c r="U34" s="89"/>
      <c r="V34" s="94"/>
      <c r="W34" s="94"/>
      <c r="X34" s="94"/>
      <c r="Y34" s="94"/>
      <c r="Z34" s="94"/>
      <c r="AA34" s="94"/>
      <c r="AB34" s="94"/>
      <c r="AC34" s="94"/>
      <c r="AD34" s="94"/>
      <c r="AE34" s="94"/>
      <c r="AF34" s="94"/>
      <c r="AG34" s="94"/>
      <c r="AH34" s="94"/>
      <c r="AI34" s="94"/>
      <c r="AJ34" s="95"/>
    </row>
    <row r="35" spans="2:36" x14ac:dyDescent="0.25">
      <c r="B35" s="89"/>
      <c r="C35" s="129" t="s">
        <v>17</v>
      </c>
      <c r="D35" s="168">
        <v>31</v>
      </c>
      <c r="E35" s="169"/>
      <c r="F35" s="122" t="str">
        <f>'[1]MKT DATA USD'!H13</f>
        <v>3M</v>
      </c>
      <c r="G35" s="175">
        <f>'[1]MKT DATA USD'!J13</f>
        <v>7.5500000000000003E-4</v>
      </c>
      <c r="H35" s="172"/>
      <c r="I35" s="172"/>
      <c r="J35" s="115" t="b">
        <v>1</v>
      </c>
      <c r="K35" s="162"/>
      <c r="L35" s="173"/>
      <c r="M35" s="174"/>
      <c r="N35" s="163"/>
      <c r="P35" s="89"/>
      <c r="Q35" s="129" t="s">
        <v>152</v>
      </c>
      <c r="R35" s="158">
        <v>1E-10</v>
      </c>
      <c r="S35" s="95"/>
      <c r="U35" s="89"/>
      <c r="V35" s="94"/>
      <c r="W35" s="94"/>
      <c r="X35" s="94"/>
      <c r="Y35" s="94"/>
      <c r="Z35" s="94"/>
      <c r="AA35" s="94"/>
      <c r="AB35" s="94"/>
      <c r="AC35" s="94"/>
      <c r="AD35" s="94"/>
      <c r="AE35" s="94"/>
      <c r="AF35" s="94"/>
      <c r="AG35" s="94"/>
      <c r="AH35" s="94"/>
      <c r="AI35" s="94"/>
      <c r="AJ35" s="95"/>
    </row>
    <row r="36" spans="2:36" x14ac:dyDescent="0.25">
      <c r="B36" s="89"/>
      <c r="C36" s="129" t="s">
        <v>16</v>
      </c>
      <c r="D36" s="168" t="b">
        <v>1</v>
      </c>
      <c r="E36" s="169"/>
      <c r="F36" s="122" t="str">
        <f>'[1]MKT DATA USD'!H14</f>
        <v>4M</v>
      </c>
      <c r="G36" s="175">
        <f>'[1]MKT DATA USD'!J14</f>
        <v>6.9900000000000008E-4</v>
      </c>
      <c r="H36" s="172"/>
      <c r="I36" s="172"/>
      <c r="J36" s="115" t="b">
        <v>1</v>
      </c>
      <c r="K36" s="162"/>
      <c r="L36" s="173"/>
      <c r="M36" s="174"/>
      <c r="N36" s="163"/>
      <c r="P36" s="89"/>
      <c r="Q36" s="129" t="s">
        <v>153</v>
      </c>
      <c r="R36" s="158">
        <v>1000</v>
      </c>
      <c r="S36" s="95"/>
      <c r="U36" s="89"/>
      <c r="V36" s="94"/>
      <c r="W36" s="94"/>
      <c r="X36" s="94"/>
      <c r="Y36" s="94"/>
      <c r="Z36" s="94"/>
      <c r="AA36" s="94"/>
      <c r="AB36" s="94"/>
      <c r="AC36" s="94"/>
      <c r="AD36" s="94"/>
      <c r="AE36" s="94"/>
      <c r="AF36" s="94"/>
      <c r="AG36" s="94"/>
      <c r="AH36" s="94"/>
      <c r="AI36" s="94"/>
      <c r="AJ36" s="95"/>
    </row>
    <row r="37" spans="2:36" x14ac:dyDescent="0.25">
      <c r="B37" s="89"/>
      <c r="C37" s="129" t="s">
        <v>143</v>
      </c>
      <c r="D37" s="168" t="s">
        <v>144</v>
      </c>
      <c r="E37" s="169"/>
      <c r="F37" s="122" t="str">
        <f>'[1]MKT DATA USD'!H15</f>
        <v>5M</v>
      </c>
      <c r="G37" s="175">
        <f>'[1]MKT DATA USD'!J15</f>
        <v>6.6399999999999999E-4</v>
      </c>
      <c r="H37" s="172"/>
      <c r="I37" s="172"/>
      <c r="J37" s="115" t="b">
        <v>1</v>
      </c>
      <c r="K37" s="162"/>
      <c r="L37" s="173"/>
      <c r="M37" s="174"/>
      <c r="N37" s="163"/>
      <c r="P37" s="89"/>
      <c r="Q37" s="129" t="s">
        <v>154</v>
      </c>
      <c r="R37" s="158" t="s">
        <v>155</v>
      </c>
      <c r="S37" s="95"/>
      <c r="U37" s="89"/>
      <c r="V37" s="94"/>
      <c r="W37" s="94"/>
      <c r="X37" s="94"/>
      <c r="Y37" s="94"/>
      <c r="Z37" s="94"/>
      <c r="AA37" s="94"/>
      <c r="AB37" s="94"/>
      <c r="AC37" s="94"/>
      <c r="AD37" s="94"/>
      <c r="AE37" s="94"/>
      <c r="AF37" s="94"/>
      <c r="AG37" s="94"/>
      <c r="AH37" s="94"/>
      <c r="AI37" s="94"/>
      <c r="AJ37" s="95"/>
    </row>
    <row r="38" spans="2:36" x14ac:dyDescent="0.25">
      <c r="B38" s="89"/>
      <c r="C38" s="129" t="s">
        <v>146</v>
      </c>
      <c r="D38" s="130" t="s">
        <v>147</v>
      </c>
      <c r="E38" s="169"/>
      <c r="F38" s="122" t="str">
        <f>'[1]MKT DATA USD'!H16</f>
        <v>6M</v>
      </c>
      <c r="G38" s="175">
        <f>'[1]MKT DATA USD'!J16</f>
        <v>6.87E-4</v>
      </c>
      <c r="H38" s="172"/>
      <c r="I38" s="172"/>
      <c r="J38" s="115" t="b">
        <v>1</v>
      </c>
      <c r="K38" s="162"/>
      <c r="L38" s="173"/>
      <c r="M38" s="174"/>
      <c r="N38" s="163"/>
      <c r="P38" s="89"/>
      <c r="Q38" s="129" t="s">
        <v>156</v>
      </c>
      <c r="R38" s="158" t="b">
        <v>0</v>
      </c>
      <c r="S38" s="95"/>
      <c r="U38" s="89"/>
      <c r="V38" s="94"/>
      <c r="W38" s="94"/>
      <c r="X38" s="94"/>
      <c r="Y38" s="94"/>
      <c r="Z38" s="94"/>
      <c r="AA38" s="94"/>
      <c r="AB38" s="94"/>
      <c r="AC38" s="94"/>
      <c r="AD38" s="94"/>
      <c r="AE38" s="94"/>
      <c r="AF38" s="94"/>
      <c r="AG38" s="94"/>
      <c r="AH38" s="94"/>
      <c r="AI38" s="94"/>
      <c r="AJ38" s="95"/>
    </row>
    <row r="39" spans="2:36" x14ac:dyDescent="0.25">
      <c r="B39" s="89"/>
      <c r="C39" s="129" t="s">
        <v>149</v>
      </c>
      <c r="D39" s="130" t="s">
        <v>41</v>
      </c>
      <c r="E39" s="169"/>
      <c r="F39" s="122" t="str">
        <f>'[1]MKT DATA USD'!H17</f>
        <v>9M</v>
      </c>
      <c r="G39" s="175">
        <f>'[1]MKT DATA USD'!J17</f>
        <v>6.9099999999999999E-4</v>
      </c>
      <c r="H39" s="172"/>
      <c r="I39" s="172"/>
      <c r="J39" s="115" t="b">
        <v>1</v>
      </c>
      <c r="K39" s="162"/>
      <c r="L39" s="173"/>
      <c r="M39" s="174"/>
      <c r="N39" s="163"/>
      <c r="P39" s="89"/>
      <c r="Q39" s="129"/>
      <c r="R39" s="158"/>
      <c r="S39" s="95"/>
      <c r="U39" s="89"/>
      <c r="V39" s="94"/>
      <c r="W39" s="94"/>
      <c r="X39" s="94"/>
      <c r="Y39" s="94"/>
      <c r="Z39" s="94"/>
      <c r="AA39" s="94"/>
      <c r="AB39" s="94"/>
      <c r="AC39" s="94"/>
      <c r="AD39" s="94"/>
      <c r="AE39" s="94"/>
      <c r="AF39" s="94"/>
      <c r="AG39" s="94"/>
      <c r="AH39" s="94"/>
      <c r="AI39" s="94"/>
      <c r="AJ39" s="95"/>
    </row>
    <row r="40" spans="2:36" x14ac:dyDescent="0.25">
      <c r="B40" s="89"/>
      <c r="C40" s="129" t="s">
        <v>150</v>
      </c>
      <c r="D40" s="130" t="s">
        <v>151</v>
      </c>
      <c r="E40" s="169"/>
      <c r="F40" s="122" t="str">
        <f>'[1]MKT DATA USD'!H18</f>
        <v>1Y</v>
      </c>
      <c r="G40" s="175">
        <f>'[1]MKT DATA USD'!J18</f>
        <v>6.9500000000000009E-4</v>
      </c>
      <c r="H40" s="172"/>
      <c r="I40" s="172"/>
      <c r="J40" s="115" t="b">
        <v>1</v>
      </c>
      <c r="K40" s="162"/>
      <c r="L40" s="173"/>
      <c r="M40" s="174"/>
      <c r="N40" s="163"/>
      <c r="P40" s="89"/>
      <c r="Q40" s="129"/>
      <c r="R40" s="158"/>
      <c r="S40" s="95"/>
      <c r="U40" s="89"/>
      <c r="V40" s="94"/>
      <c r="W40" s="94"/>
      <c r="X40" s="94"/>
      <c r="Y40" s="94"/>
      <c r="Z40" s="94"/>
      <c r="AA40" s="94"/>
      <c r="AB40" s="94"/>
      <c r="AC40" s="94"/>
      <c r="AD40" s="94"/>
      <c r="AE40" s="94"/>
      <c r="AF40" s="94"/>
      <c r="AG40" s="94"/>
      <c r="AH40" s="94"/>
      <c r="AI40" s="94"/>
      <c r="AJ40" s="95"/>
    </row>
    <row r="41" spans="2:36" x14ac:dyDescent="0.25">
      <c r="B41" s="89"/>
      <c r="C41" s="129" t="s">
        <v>152</v>
      </c>
      <c r="D41" s="130">
        <v>1E-10</v>
      </c>
      <c r="E41" s="169"/>
      <c r="F41" s="122" t="str">
        <f>'[1]MKT DATA USD'!H19</f>
        <v>2Y</v>
      </c>
      <c r="G41" s="175">
        <f>'[1]MKT DATA USD'!J19</f>
        <v>6.3000000000000003E-4</v>
      </c>
      <c r="H41" s="172"/>
      <c r="I41" s="172"/>
      <c r="J41" s="115" t="b">
        <v>1</v>
      </c>
      <c r="K41" s="162"/>
      <c r="L41" s="173"/>
      <c r="M41" s="174"/>
      <c r="N41" s="163"/>
      <c r="P41" s="89"/>
      <c r="Q41" s="129"/>
      <c r="R41" s="158"/>
      <c r="S41" s="95"/>
      <c r="U41" s="89"/>
      <c r="V41" s="94"/>
      <c r="W41" s="94"/>
      <c r="X41" s="94"/>
      <c r="Y41" s="94"/>
      <c r="Z41" s="94"/>
      <c r="AA41" s="94"/>
      <c r="AB41" s="94"/>
      <c r="AC41" s="94"/>
      <c r="AD41" s="94"/>
      <c r="AE41" s="94"/>
      <c r="AF41" s="94"/>
      <c r="AG41" s="94"/>
      <c r="AH41" s="94"/>
      <c r="AI41" s="94"/>
      <c r="AJ41" s="95"/>
    </row>
    <row r="42" spans="2:36" x14ac:dyDescent="0.25">
      <c r="B42" s="89"/>
      <c r="C42" s="129" t="s">
        <v>153</v>
      </c>
      <c r="D42" s="187">
        <v>1000</v>
      </c>
      <c r="E42" s="169"/>
      <c r="F42" s="122" t="str">
        <f>'[1]MKT DATA USD'!H20</f>
        <v>3Y</v>
      </c>
      <c r="G42" s="175">
        <f>'[1]MKT DATA USD'!J20</f>
        <v>9.2999999999999995E-4</v>
      </c>
      <c r="H42" s="172"/>
      <c r="I42" s="172"/>
      <c r="J42" s="115" t="b">
        <v>1</v>
      </c>
      <c r="K42" s="162"/>
      <c r="L42" s="173"/>
      <c r="M42" s="174"/>
      <c r="N42" s="163"/>
      <c r="P42" s="89"/>
      <c r="Q42" s="129"/>
      <c r="R42" s="158"/>
      <c r="S42" s="95"/>
      <c r="U42" s="89"/>
      <c r="V42" s="94"/>
      <c r="W42" s="94"/>
      <c r="X42" s="94"/>
      <c r="Y42" s="94"/>
      <c r="Z42" s="94"/>
      <c r="AA42" s="94"/>
      <c r="AB42" s="94"/>
      <c r="AC42" s="94"/>
      <c r="AD42" s="94"/>
      <c r="AE42" s="94"/>
      <c r="AF42" s="94"/>
      <c r="AG42" s="94"/>
      <c r="AH42" s="94"/>
      <c r="AI42" s="94"/>
      <c r="AJ42" s="95"/>
    </row>
    <row r="43" spans="2:36" x14ac:dyDescent="0.25">
      <c r="B43" s="89"/>
      <c r="C43" s="129" t="s">
        <v>154</v>
      </c>
      <c r="D43" s="188" t="s">
        <v>155</v>
      </c>
      <c r="E43" s="169"/>
      <c r="F43" s="122" t="str">
        <f>'[1]MKT DATA USD'!H21</f>
        <v>4Y</v>
      </c>
      <c r="G43" s="175">
        <f>'[1]MKT DATA USD'!J21</f>
        <v>1.4000000000000002E-3</v>
      </c>
      <c r="H43" s="172"/>
      <c r="I43" s="172"/>
      <c r="J43" s="115" t="b">
        <v>1</v>
      </c>
      <c r="K43" s="162"/>
      <c r="L43" s="173"/>
      <c r="M43" s="174"/>
      <c r="N43" s="163"/>
      <c r="P43" s="89"/>
      <c r="Q43" s="129"/>
      <c r="R43" s="158"/>
      <c r="S43" s="95"/>
      <c r="U43" s="89"/>
      <c r="V43" s="94"/>
      <c r="W43" s="94"/>
      <c r="X43" s="94"/>
      <c r="Y43" s="94"/>
      <c r="Z43" s="94"/>
      <c r="AA43" s="94"/>
      <c r="AB43" s="94"/>
      <c r="AC43" s="94"/>
      <c r="AD43" s="94"/>
      <c r="AE43" s="94"/>
      <c r="AF43" s="94"/>
      <c r="AG43" s="94"/>
      <c r="AH43" s="94"/>
      <c r="AI43" s="94"/>
      <c r="AJ43" s="95"/>
    </row>
    <row r="44" spans="2:36" x14ac:dyDescent="0.25">
      <c r="B44" s="89"/>
      <c r="C44" s="155" t="s">
        <v>156</v>
      </c>
      <c r="D44" s="168" t="b">
        <v>0</v>
      </c>
      <c r="E44" s="169"/>
      <c r="F44" s="122" t="str">
        <f>'[1]MKT DATA USD'!H22</f>
        <v>5Y</v>
      </c>
      <c r="G44" s="175">
        <f>'[1]MKT DATA USD'!J22</f>
        <v>1.9E-3</v>
      </c>
      <c r="H44" s="172"/>
      <c r="I44" s="172"/>
      <c r="J44" s="115" t="b">
        <v>1</v>
      </c>
      <c r="K44" s="162"/>
      <c r="L44" s="173"/>
      <c r="M44" s="174"/>
      <c r="N44" s="163"/>
      <c r="P44" s="89"/>
      <c r="Q44" s="129"/>
      <c r="R44" s="158"/>
      <c r="S44" s="95"/>
      <c r="U44" s="89"/>
      <c r="V44" s="94"/>
      <c r="W44" s="94"/>
      <c r="X44" s="94"/>
      <c r="Y44" s="94"/>
      <c r="Z44" s="94"/>
      <c r="AA44" s="94"/>
      <c r="AB44" s="94"/>
      <c r="AC44" s="94"/>
      <c r="AD44" s="94"/>
      <c r="AE44" s="94"/>
      <c r="AF44" s="94"/>
      <c r="AG44" s="94"/>
      <c r="AH44" s="94"/>
      <c r="AI44" s="94"/>
      <c r="AJ44" s="95"/>
    </row>
    <row r="45" spans="2:36" x14ac:dyDescent="0.25">
      <c r="B45" s="89"/>
      <c r="C45" s="155"/>
      <c r="D45" s="189"/>
      <c r="E45" s="169"/>
      <c r="F45" s="190"/>
      <c r="G45" s="191"/>
      <c r="H45" s="172"/>
      <c r="I45" s="172"/>
      <c r="J45" s="115"/>
      <c r="K45" s="162"/>
      <c r="L45" s="173"/>
      <c r="M45" s="174"/>
      <c r="N45" s="163"/>
      <c r="P45" s="89"/>
      <c r="Q45" s="133"/>
      <c r="R45" s="192"/>
      <c r="S45" s="95"/>
      <c r="U45" s="89"/>
      <c r="V45" s="94"/>
      <c r="W45" s="94"/>
      <c r="X45" s="94"/>
      <c r="Y45" s="94"/>
      <c r="Z45" s="94"/>
      <c r="AA45" s="94"/>
      <c r="AB45" s="94"/>
      <c r="AC45" s="94"/>
      <c r="AD45" s="94"/>
      <c r="AE45" s="94"/>
      <c r="AF45" s="94"/>
      <c r="AG45" s="94"/>
      <c r="AH45" s="94"/>
      <c r="AI45" s="94"/>
      <c r="AJ45" s="95"/>
    </row>
    <row r="46" spans="2:36" x14ac:dyDescent="0.25">
      <c r="B46" s="89"/>
      <c r="C46" s="129"/>
      <c r="D46" s="193"/>
      <c r="E46" s="169"/>
      <c r="F46" s="190"/>
      <c r="G46" s="191"/>
      <c r="H46" s="172"/>
      <c r="I46" s="172"/>
      <c r="J46" s="115"/>
      <c r="K46" s="162"/>
      <c r="L46" s="173"/>
      <c r="M46" s="174"/>
      <c r="N46" s="163"/>
      <c r="P46" s="89"/>
      <c r="Q46" s="94"/>
      <c r="R46" s="94"/>
      <c r="S46" s="95"/>
      <c r="U46" s="89"/>
      <c r="V46" s="94"/>
      <c r="W46" s="94"/>
      <c r="X46" s="94"/>
      <c r="Y46" s="94"/>
      <c r="Z46" s="94"/>
      <c r="AA46" s="94"/>
      <c r="AB46" s="94"/>
      <c r="AC46" s="94"/>
      <c r="AD46" s="94"/>
      <c r="AE46" s="94"/>
      <c r="AF46" s="94"/>
      <c r="AG46" s="94"/>
      <c r="AH46" s="94"/>
      <c r="AI46" s="94"/>
      <c r="AJ46" s="95"/>
    </row>
    <row r="47" spans="2:36" x14ac:dyDescent="0.25">
      <c r="B47" s="89"/>
      <c r="C47" s="129"/>
      <c r="D47" s="193"/>
      <c r="E47" s="169"/>
      <c r="F47" s="190"/>
      <c r="G47" s="191"/>
      <c r="H47" s="172"/>
      <c r="I47" s="172"/>
      <c r="J47" s="115"/>
      <c r="K47" s="162"/>
      <c r="L47" s="173"/>
      <c r="M47" s="174"/>
      <c r="N47" s="163"/>
      <c r="P47" s="89"/>
      <c r="Q47" s="97" t="s">
        <v>157</v>
      </c>
      <c r="R47" s="194" t="s">
        <v>158</v>
      </c>
      <c r="S47" s="95"/>
      <c r="U47" s="89"/>
      <c r="V47" s="94"/>
      <c r="W47" s="94"/>
      <c r="X47" s="94"/>
      <c r="Y47" s="94"/>
      <c r="Z47" s="94"/>
      <c r="AA47" s="94"/>
      <c r="AB47" s="94"/>
      <c r="AC47" s="94"/>
      <c r="AD47" s="94"/>
      <c r="AE47" s="94"/>
      <c r="AF47" s="94"/>
      <c r="AG47" s="94"/>
      <c r="AH47" s="94"/>
      <c r="AI47" s="94"/>
      <c r="AJ47" s="95"/>
    </row>
    <row r="48" spans="2:36" x14ac:dyDescent="0.25">
      <c r="B48" s="89"/>
      <c r="C48" s="129"/>
      <c r="D48" s="193"/>
      <c r="E48" s="169"/>
      <c r="F48" s="190"/>
      <c r="G48" s="191"/>
      <c r="H48" s="172"/>
      <c r="I48" s="172"/>
      <c r="J48" s="115"/>
      <c r="K48" s="162"/>
      <c r="L48" s="173"/>
      <c r="M48" s="174"/>
      <c r="N48" s="163"/>
      <c r="P48" s="89"/>
      <c r="Q48" s="125" t="s">
        <v>10</v>
      </c>
      <c r="R48" s="157" t="s">
        <v>159</v>
      </c>
      <c r="S48" s="95"/>
      <c r="U48" s="89"/>
      <c r="V48" s="94"/>
      <c r="W48" s="94"/>
      <c r="X48" s="94"/>
      <c r="Y48" s="94"/>
      <c r="Z48" s="94"/>
      <c r="AA48" s="94"/>
      <c r="AB48" s="94"/>
      <c r="AC48" s="94"/>
      <c r="AD48" s="94"/>
      <c r="AE48" s="94"/>
      <c r="AF48" s="94"/>
      <c r="AG48" s="94"/>
      <c r="AH48" s="94"/>
      <c r="AI48" s="94"/>
      <c r="AJ48" s="95"/>
    </row>
    <row r="49" spans="2:36" x14ac:dyDescent="0.25">
      <c r="B49" s="89"/>
      <c r="C49" s="129"/>
      <c r="D49" s="193"/>
      <c r="E49" s="169"/>
      <c r="F49" s="190"/>
      <c r="G49" s="191"/>
      <c r="H49" s="172"/>
      <c r="I49" s="172"/>
      <c r="J49" s="115"/>
      <c r="K49" s="162"/>
      <c r="L49" s="173"/>
      <c r="M49" s="174"/>
      <c r="N49" s="163"/>
      <c r="P49" s="89"/>
      <c r="Q49" s="129" t="s">
        <v>160</v>
      </c>
      <c r="R49" s="158" t="s">
        <v>125</v>
      </c>
      <c r="S49" s="95"/>
      <c r="U49" s="89"/>
      <c r="V49" s="94"/>
      <c r="W49" s="94"/>
      <c r="X49" s="94"/>
      <c r="Y49" s="94"/>
      <c r="Z49" s="94"/>
      <c r="AA49" s="94"/>
      <c r="AB49" s="94"/>
      <c r="AC49" s="94"/>
      <c r="AD49" s="94"/>
      <c r="AE49" s="94"/>
      <c r="AF49" s="94"/>
      <c r="AG49" s="94"/>
      <c r="AH49" s="94"/>
      <c r="AI49" s="94"/>
      <c r="AJ49" s="95"/>
    </row>
    <row r="50" spans="2:36" x14ac:dyDescent="0.25">
      <c r="B50" s="89"/>
      <c r="C50" s="155"/>
      <c r="D50" s="193"/>
      <c r="E50" s="169"/>
      <c r="F50" s="190"/>
      <c r="G50" s="191"/>
      <c r="H50" s="172"/>
      <c r="I50" s="172"/>
      <c r="J50" s="115"/>
      <c r="K50" s="162"/>
      <c r="L50" s="173"/>
      <c r="M50" s="174"/>
      <c r="N50" s="163"/>
      <c r="P50" s="89"/>
      <c r="Q50" s="129" t="s">
        <v>161</v>
      </c>
      <c r="R50" s="158" t="s">
        <v>162</v>
      </c>
      <c r="S50" s="95"/>
      <c r="U50" s="89"/>
      <c r="V50" s="94"/>
      <c r="W50" s="94"/>
      <c r="X50" s="94"/>
      <c r="Y50" s="94"/>
      <c r="Z50" s="94"/>
      <c r="AA50" s="94"/>
      <c r="AB50" s="94"/>
      <c r="AC50" s="94"/>
      <c r="AD50" s="94"/>
      <c r="AE50" s="94"/>
      <c r="AF50" s="94"/>
      <c r="AG50" s="94"/>
      <c r="AH50" s="94"/>
      <c r="AI50" s="94"/>
      <c r="AJ50" s="95"/>
    </row>
    <row r="51" spans="2:36" x14ac:dyDescent="0.25">
      <c r="B51" s="89"/>
      <c r="C51" s="155"/>
      <c r="D51" s="193"/>
      <c r="E51" s="169"/>
      <c r="F51" s="190"/>
      <c r="G51" s="191"/>
      <c r="H51" s="172"/>
      <c r="I51" s="172"/>
      <c r="J51" s="115"/>
      <c r="K51" s="162"/>
      <c r="L51" s="173"/>
      <c r="M51" s="174"/>
      <c r="N51" s="163"/>
      <c r="P51" s="89"/>
      <c r="Q51" s="133" t="s">
        <v>14</v>
      </c>
      <c r="R51" s="192" t="s">
        <v>15</v>
      </c>
      <c r="S51" s="95"/>
      <c r="U51" s="89"/>
      <c r="V51" s="94"/>
      <c r="W51" s="94"/>
      <c r="X51" s="94"/>
      <c r="Y51" s="94"/>
      <c r="Z51" s="94"/>
      <c r="AA51" s="94"/>
      <c r="AB51" s="94"/>
      <c r="AC51" s="94"/>
      <c r="AD51" s="94"/>
      <c r="AE51" s="94"/>
      <c r="AF51" s="94"/>
      <c r="AG51" s="94"/>
      <c r="AH51" s="94"/>
      <c r="AI51" s="94"/>
      <c r="AJ51" s="95"/>
    </row>
    <row r="52" spans="2:36" x14ac:dyDescent="0.25">
      <c r="B52" s="89"/>
      <c r="C52" s="155"/>
      <c r="D52" s="193"/>
      <c r="E52" s="169"/>
      <c r="F52" s="190"/>
      <c r="G52" s="191"/>
      <c r="H52" s="172"/>
      <c r="I52" s="172"/>
      <c r="J52" s="115"/>
      <c r="K52" s="162"/>
      <c r="L52" s="173"/>
      <c r="M52" s="174"/>
      <c r="N52" s="163"/>
      <c r="P52" s="89"/>
      <c r="Q52" s="94"/>
      <c r="R52" s="94"/>
      <c r="S52" s="95"/>
      <c r="U52" s="89"/>
      <c r="V52" s="94"/>
      <c r="W52" s="94"/>
      <c r="X52" s="94"/>
      <c r="Y52" s="94"/>
      <c r="Z52" s="94"/>
      <c r="AA52" s="94"/>
      <c r="AB52" s="94"/>
      <c r="AC52" s="94"/>
      <c r="AD52" s="94"/>
      <c r="AE52" s="94"/>
      <c r="AF52" s="94"/>
      <c r="AG52" s="94"/>
      <c r="AH52" s="94"/>
      <c r="AI52" s="94"/>
      <c r="AJ52" s="95"/>
    </row>
    <row r="53" spans="2:36" x14ac:dyDescent="0.25">
      <c r="B53" s="89"/>
      <c r="C53" s="155"/>
      <c r="D53" s="193"/>
      <c r="E53" s="169"/>
      <c r="F53" s="195"/>
      <c r="G53" s="196"/>
      <c r="H53" s="197"/>
      <c r="I53" s="197"/>
      <c r="J53" s="177"/>
      <c r="K53" s="162"/>
      <c r="L53" s="173"/>
      <c r="M53" s="174"/>
      <c r="N53" s="163"/>
      <c r="P53" s="89"/>
      <c r="Q53" s="97" t="s">
        <v>82</v>
      </c>
      <c r="R53" s="194" t="s">
        <v>163</v>
      </c>
      <c r="S53" s="95"/>
      <c r="U53" s="89"/>
      <c r="V53" s="94"/>
      <c r="W53" s="94"/>
      <c r="X53" s="94"/>
      <c r="Y53" s="94"/>
      <c r="Z53" s="94"/>
      <c r="AA53" s="94"/>
      <c r="AB53" s="94"/>
      <c r="AC53" s="94"/>
      <c r="AD53" s="94"/>
      <c r="AE53" s="94"/>
      <c r="AF53" s="94"/>
      <c r="AG53" s="94"/>
      <c r="AH53" s="94"/>
      <c r="AI53" s="94"/>
      <c r="AJ53" s="95"/>
    </row>
    <row r="54" spans="2:36" x14ac:dyDescent="0.25">
      <c r="B54" s="89"/>
      <c r="C54" s="159"/>
      <c r="D54" s="198"/>
      <c r="E54" s="169"/>
      <c r="F54" s="199"/>
      <c r="G54" s="200"/>
      <c r="H54" s="201"/>
      <c r="I54" s="201"/>
      <c r="J54" s="181"/>
      <c r="K54" s="162"/>
      <c r="L54" s="202"/>
      <c r="M54" s="203"/>
      <c r="N54" s="163"/>
      <c r="P54" s="89"/>
      <c r="Q54" s="125" t="s">
        <v>121</v>
      </c>
      <c r="R54" s="157" t="s">
        <v>159</v>
      </c>
      <c r="S54" s="95"/>
      <c r="U54" s="89"/>
      <c r="V54" s="94"/>
      <c r="W54" s="94"/>
      <c r="X54" s="94"/>
      <c r="Y54" s="94"/>
      <c r="Z54" s="94"/>
      <c r="AA54" s="94"/>
      <c r="AB54" s="94"/>
      <c r="AC54" s="94"/>
      <c r="AD54" s="94"/>
      <c r="AE54" s="94"/>
      <c r="AF54" s="94"/>
      <c r="AG54" s="94"/>
      <c r="AH54" s="94"/>
      <c r="AI54" s="94"/>
      <c r="AJ54" s="95"/>
    </row>
    <row r="55" spans="2:36" x14ac:dyDescent="0.25">
      <c r="B55" s="135"/>
      <c r="C55" s="136"/>
      <c r="D55" s="136"/>
      <c r="E55" s="136"/>
      <c r="F55" s="136"/>
      <c r="G55" s="136"/>
      <c r="H55" s="136"/>
      <c r="I55" s="136"/>
      <c r="J55" s="136"/>
      <c r="K55" s="136"/>
      <c r="L55" s="136"/>
      <c r="M55" s="136"/>
      <c r="N55" s="137"/>
      <c r="P55" s="89"/>
      <c r="Q55" s="129" t="s">
        <v>164</v>
      </c>
      <c r="R55" s="158" t="s">
        <v>165</v>
      </c>
      <c r="S55" s="95"/>
      <c r="U55" s="89"/>
      <c r="V55" s="204"/>
      <c r="W55" s="98"/>
      <c r="X55" s="94"/>
      <c r="Y55" s="94"/>
      <c r="Z55" s="94"/>
      <c r="AA55" s="94"/>
      <c r="AB55" s="94"/>
      <c r="AC55" s="94"/>
      <c r="AD55" s="100"/>
      <c r="AE55" s="94"/>
      <c r="AF55" s="94"/>
      <c r="AG55" s="100"/>
      <c r="AH55" s="94"/>
      <c r="AI55" s="94"/>
      <c r="AJ55" s="95"/>
    </row>
    <row r="56" spans="2:36" x14ac:dyDescent="0.25">
      <c r="P56" s="89"/>
      <c r="Q56" s="129" t="s">
        <v>166</v>
      </c>
      <c r="R56" s="158" t="s">
        <v>167</v>
      </c>
      <c r="S56" s="95"/>
      <c r="U56" s="89"/>
      <c r="V56" s="204"/>
      <c r="W56" s="98"/>
      <c r="X56" s="94"/>
      <c r="Y56" s="94"/>
      <c r="Z56" s="94"/>
      <c r="AA56" s="94"/>
      <c r="AB56" s="94"/>
      <c r="AC56" s="94"/>
      <c r="AD56" s="100"/>
      <c r="AE56" s="94"/>
      <c r="AF56" s="94"/>
      <c r="AG56" s="100"/>
      <c r="AH56" s="94"/>
      <c r="AI56" s="94"/>
      <c r="AJ56" s="95"/>
    </row>
    <row r="57" spans="2:36" x14ac:dyDescent="0.25">
      <c r="P57" s="89"/>
      <c r="Q57" s="133" t="s">
        <v>140</v>
      </c>
      <c r="R57" s="192" t="s">
        <v>15</v>
      </c>
      <c r="S57" s="95"/>
      <c r="U57" s="89"/>
      <c r="V57" s="204"/>
      <c r="W57" s="98"/>
      <c r="X57" s="94"/>
      <c r="Y57" s="94"/>
      <c r="Z57" s="94"/>
      <c r="AA57" s="94"/>
      <c r="AB57" s="94"/>
      <c r="AC57" s="94"/>
      <c r="AD57" s="100"/>
      <c r="AE57" s="94"/>
      <c r="AF57" s="94"/>
      <c r="AG57" s="100"/>
      <c r="AH57" s="94"/>
      <c r="AI57" s="94"/>
      <c r="AJ57" s="95"/>
    </row>
    <row r="58" spans="2:36" x14ac:dyDescent="0.25">
      <c r="B58" s="143" t="s">
        <v>168</v>
      </c>
      <c r="P58" s="89"/>
      <c r="Q58" s="94"/>
      <c r="R58" s="94"/>
      <c r="S58" s="95"/>
      <c r="U58" s="89"/>
      <c r="V58" s="204"/>
      <c r="W58" s="98"/>
      <c r="X58" s="94"/>
      <c r="Y58" s="94"/>
      <c r="Z58" s="94"/>
      <c r="AA58" s="94"/>
      <c r="AB58" s="94"/>
      <c r="AC58" s="94"/>
      <c r="AD58" s="100"/>
      <c r="AE58" s="94"/>
      <c r="AF58" s="94"/>
      <c r="AG58" s="100"/>
      <c r="AH58" s="94"/>
      <c r="AI58" s="94"/>
      <c r="AJ58" s="95"/>
    </row>
    <row r="59" spans="2:36" x14ac:dyDescent="0.25">
      <c r="B59" s="84"/>
      <c r="C59" s="87"/>
      <c r="D59" s="87"/>
      <c r="E59" s="87"/>
      <c r="F59" s="87"/>
      <c r="G59" s="87"/>
      <c r="H59" s="87"/>
      <c r="I59" s="87"/>
      <c r="J59" s="87"/>
      <c r="K59" s="87"/>
      <c r="L59" s="87"/>
      <c r="M59" s="87"/>
      <c r="N59" s="88"/>
      <c r="P59" s="89"/>
      <c r="Q59" s="94"/>
      <c r="R59" s="94"/>
      <c r="S59" s="95"/>
      <c r="U59" s="89"/>
      <c r="V59" s="204"/>
      <c r="W59" s="98"/>
      <c r="X59" s="94"/>
      <c r="Y59" s="94"/>
      <c r="Z59" s="94"/>
      <c r="AA59" s="94"/>
      <c r="AB59" s="94"/>
      <c r="AC59" s="94"/>
      <c r="AD59" s="100"/>
      <c r="AE59" s="94"/>
      <c r="AF59" s="94"/>
      <c r="AG59" s="100"/>
      <c r="AH59" s="94"/>
      <c r="AI59" s="94"/>
      <c r="AJ59" s="95"/>
    </row>
    <row r="60" spans="2:36" x14ac:dyDescent="0.25">
      <c r="B60" s="89"/>
      <c r="C60" s="96" t="s">
        <v>169</v>
      </c>
      <c r="D60" s="162"/>
      <c r="E60" s="162"/>
      <c r="F60" s="96" t="s">
        <v>170</v>
      </c>
      <c r="G60" s="162"/>
      <c r="H60" s="162"/>
      <c r="I60" s="96" t="s">
        <v>171</v>
      </c>
      <c r="J60" s="162"/>
      <c r="K60" s="162"/>
      <c r="L60" s="96" t="s">
        <v>172</v>
      </c>
      <c r="M60" s="162"/>
      <c r="N60" s="163"/>
      <c r="P60" s="89"/>
      <c r="Q60" s="94"/>
      <c r="R60" s="94"/>
      <c r="S60" s="95"/>
      <c r="U60" s="89"/>
      <c r="V60" s="204"/>
      <c r="W60" s="98"/>
      <c r="X60" s="94"/>
      <c r="Y60" s="94"/>
      <c r="Z60" s="94"/>
      <c r="AA60" s="94"/>
      <c r="AB60" s="94"/>
      <c r="AC60" s="94"/>
      <c r="AD60" s="100"/>
      <c r="AE60" s="94"/>
      <c r="AF60" s="94"/>
      <c r="AG60" s="100"/>
      <c r="AH60" s="94"/>
      <c r="AI60" s="94"/>
      <c r="AJ60" s="95"/>
    </row>
    <row r="61" spans="2:36" x14ac:dyDescent="0.25">
      <c r="B61" s="89"/>
      <c r="C61" s="125" t="s">
        <v>10</v>
      </c>
      <c r="D61" s="164" t="s">
        <v>159</v>
      </c>
      <c r="E61" s="94"/>
      <c r="F61" s="106" t="s">
        <v>24</v>
      </c>
      <c r="G61" s="106" t="s">
        <v>84</v>
      </c>
      <c r="H61" s="162"/>
      <c r="I61" s="125" t="s">
        <v>121</v>
      </c>
      <c r="J61" s="164" t="s">
        <v>159</v>
      </c>
      <c r="K61" s="162"/>
      <c r="L61" s="106" t="s">
        <v>24</v>
      </c>
      <c r="M61" s="106" t="s">
        <v>84</v>
      </c>
      <c r="N61" s="163"/>
      <c r="P61" s="89"/>
      <c r="Q61" s="205"/>
      <c r="R61" s="94"/>
      <c r="S61" s="95"/>
      <c r="U61" s="89"/>
      <c r="V61" s="204"/>
      <c r="W61" s="98"/>
      <c r="X61" s="94"/>
      <c r="Y61" s="94"/>
      <c r="Z61" s="94"/>
      <c r="AA61" s="94"/>
      <c r="AB61" s="94"/>
      <c r="AC61" s="94"/>
      <c r="AD61" s="100"/>
      <c r="AE61" s="94"/>
      <c r="AF61" s="94"/>
      <c r="AG61" s="100"/>
      <c r="AH61" s="94"/>
      <c r="AI61" s="94"/>
      <c r="AJ61" s="95"/>
    </row>
    <row r="62" spans="2:36" x14ac:dyDescent="0.25">
      <c r="B62" s="89"/>
      <c r="C62" s="129" t="s">
        <v>160</v>
      </c>
      <c r="D62" s="168" t="s">
        <v>125</v>
      </c>
      <c r="E62" s="169"/>
      <c r="F62" s="112" t="str">
        <f>'[1]MKT DATA USD'!H23</f>
        <v>1Y</v>
      </c>
      <c r="G62" s="206">
        <f>'[1]MKT DATA USD'!J23</f>
        <v>4.7499999999999999E-3</v>
      </c>
      <c r="H62" s="162"/>
      <c r="I62" s="129" t="s">
        <v>164</v>
      </c>
      <c r="J62" s="168" t="s">
        <v>165</v>
      </c>
      <c r="K62" s="162"/>
      <c r="L62" s="112" t="str">
        <f>'[1]MKT DATA USD'!H35</f>
        <v>1Y</v>
      </c>
      <c r="M62" s="206">
        <f>'[1]MKT DATA USD'!J35</f>
        <v>5.4890000000000008E-3</v>
      </c>
      <c r="N62" s="163"/>
      <c r="P62" s="89"/>
      <c r="Q62" s="205"/>
      <c r="R62" s="207"/>
      <c r="S62" s="95"/>
      <c r="U62" s="89"/>
      <c r="V62" s="204"/>
      <c r="W62" s="98"/>
      <c r="X62" s="94"/>
      <c r="Y62" s="94"/>
      <c r="Z62" s="94"/>
      <c r="AA62" s="94"/>
      <c r="AB62" s="94"/>
      <c r="AC62" s="94"/>
      <c r="AD62" s="100"/>
      <c r="AE62" s="94"/>
      <c r="AF62" s="94"/>
      <c r="AG62" s="100"/>
      <c r="AH62" s="94"/>
      <c r="AI62" s="94"/>
      <c r="AJ62" s="95"/>
    </row>
    <row r="63" spans="2:36" x14ac:dyDescent="0.25">
      <c r="B63" s="89"/>
      <c r="C63" s="129" t="s">
        <v>161</v>
      </c>
      <c r="D63" s="168" t="s">
        <v>162</v>
      </c>
      <c r="E63" s="169"/>
      <c r="F63" s="122" t="str">
        <f>'[1]MKT DATA USD'!H24</f>
        <v>2Y</v>
      </c>
      <c r="G63" s="208">
        <f>'[1]MKT DATA USD'!J24</f>
        <v>3.3812500000000001E-3</v>
      </c>
      <c r="H63" s="162"/>
      <c r="I63" s="129" t="s">
        <v>166</v>
      </c>
      <c r="J63" s="168" t="s">
        <v>167</v>
      </c>
      <c r="K63" s="162"/>
      <c r="L63" s="122" t="str">
        <f>'[1]MKT DATA USD'!H36</f>
        <v>2Y</v>
      </c>
      <c r="M63" s="208">
        <f>'[1]MKT DATA USD'!J36</f>
        <v>4.117E-3</v>
      </c>
      <c r="N63" s="163"/>
      <c r="P63" s="89"/>
      <c r="Q63" s="205"/>
      <c r="R63" s="94"/>
      <c r="S63" s="95"/>
      <c r="U63" s="89"/>
      <c r="V63" s="204"/>
      <c r="W63" s="98"/>
      <c r="X63" s="94"/>
      <c r="Y63" s="94"/>
      <c r="Z63" s="94"/>
      <c r="AA63" s="94"/>
      <c r="AB63" s="94"/>
      <c r="AC63" s="94"/>
      <c r="AD63" s="100"/>
      <c r="AE63" s="94"/>
      <c r="AF63" s="94"/>
      <c r="AG63" s="100"/>
      <c r="AH63" s="94"/>
      <c r="AI63" s="94"/>
      <c r="AJ63" s="95"/>
    </row>
    <row r="64" spans="2:36" x14ac:dyDescent="0.25">
      <c r="B64" s="89"/>
      <c r="C64" s="129" t="s">
        <v>14</v>
      </c>
      <c r="D64" s="168" t="s">
        <v>15</v>
      </c>
      <c r="E64" s="169"/>
      <c r="F64" s="122" t="str">
        <f>'[1]MKT DATA USD'!H25</f>
        <v>3Y</v>
      </c>
      <c r="G64" s="208">
        <f>'[1]MKT DATA USD'!J25</f>
        <v>2.9250000000000001E-3</v>
      </c>
      <c r="H64" s="162"/>
      <c r="I64" s="129" t="s">
        <v>140</v>
      </c>
      <c r="J64" s="168" t="s">
        <v>15</v>
      </c>
      <c r="K64" s="162"/>
      <c r="L64" s="122" t="str">
        <f>'[1]MKT DATA USD'!H37</f>
        <v>3Y</v>
      </c>
      <c r="M64" s="208">
        <f>'[1]MKT DATA USD'!J37</f>
        <v>3.9240000000000004E-3</v>
      </c>
      <c r="N64" s="163"/>
      <c r="P64" s="89"/>
      <c r="Q64" s="205"/>
      <c r="R64" s="94"/>
      <c r="S64" s="95"/>
      <c r="U64" s="89"/>
      <c r="V64" s="204"/>
      <c r="W64" s="98"/>
      <c r="X64" s="94"/>
      <c r="Y64" s="94"/>
      <c r="Z64" s="94"/>
      <c r="AA64" s="94"/>
      <c r="AB64" s="94"/>
      <c r="AC64" s="94"/>
      <c r="AD64" s="100"/>
      <c r="AE64" s="94"/>
      <c r="AF64" s="94"/>
      <c r="AG64" s="100"/>
      <c r="AH64" s="94"/>
      <c r="AI64" s="94"/>
      <c r="AJ64" s="95"/>
    </row>
    <row r="65" spans="2:36" x14ac:dyDescent="0.25">
      <c r="B65" s="89"/>
      <c r="C65" s="129"/>
      <c r="D65" s="168"/>
      <c r="E65" s="169"/>
      <c r="F65" s="122" t="str">
        <f>'[1]MKT DATA USD'!H26</f>
        <v>4Y</v>
      </c>
      <c r="G65" s="208">
        <f>'[1]MKT DATA USD'!J26</f>
        <v>2.7125000000000001E-3</v>
      </c>
      <c r="H65" s="162"/>
      <c r="I65" s="129"/>
      <c r="J65" s="168"/>
      <c r="K65" s="162"/>
      <c r="L65" s="122" t="str">
        <f>'[1]MKT DATA USD'!H38</f>
        <v>4Y</v>
      </c>
      <c r="M65" s="208">
        <f>'[1]MKT DATA USD'!J38</f>
        <v>4.1700000000000001E-3</v>
      </c>
      <c r="N65" s="163"/>
      <c r="P65" s="89"/>
      <c r="Q65" s="205"/>
      <c r="R65" s="94"/>
      <c r="S65" s="95"/>
      <c r="U65" s="89"/>
      <c r="V65" s="204"/>
      <c r="W65" s="98"/>
      <c r="X65" s="94"/>
      <c r="Y65" s="94"/>
      <c r="Z65" s="94"/>
      <c r="AA65" s="94"/>
      <c r="AB65" s="94"/>
      <c r="AC65" s="94"/>
      <c r="AD65" s="100"/>
      <c r="AE65" s="94"/>
      <c r="AF65" s="94"/>
      <c r="AG65" s="100"/>
      <c r="AH65" s="94"/>
      <c r="AI65" s="94"/>
      <c r="AJ65" s="95"/>
    </row>
    <row r="66" spans="2:36" x14ac:dyDescent="0.25">
      <c r="B66" s="89"/>
      <c r="C66" s="139"/>
      <c r="D66" s="168"/>
      <c r="E66" s="169"/>
      <c r="F66" s="122" t="str">
        <f>'[1]MKT DATA USD'!H27</f>
        <v>5Y</v>
      </c>
      <c r="G66" s="208">
        <f>'[1]MKT DATA USD'!J27</f>
        <v>2.6124999999999998E-3</v>
      </c>
      <c r="H66" s="162"/>
      <c r="I66" s="139"/>
      <c r="J66" s="168"/>
      <c r="K66" s="162"/>
      <c r="L66" s="122" t="str">
        <f>'[1]MKT DATA USD'!H39</f>
        <v>5Y</v>
      </c>
      <c r="M66" s="208">
        <f>'[1]MKT DATA USD'!J39</f>
        <v>4.5960000000000003E-3</v>
      </c>
      <c r="N66" s="163"/>
      <c r="P66" s="89"/>
      <c r="Q66" s="205"/>
      <c r="R66" s="94"/>
      <c r="S66" s="95"/>
      <c r="U66" s="89"/>
      <c r="V66" s="204"/>
      <c r="W66" s="98"/>
      <c r="X66" s="94"/>
      <c r="Y66" s="94"/>
      <c r="Z66" s="94"/>
      <c r="AA66" s="94"/>
      <c r="AB66" s="94"/>
      <c r="AC66" s="94"/>
      <c r="AD66" s="100"/>
      <c r="AE66" s="94"/>
      <c r="AF66" s="94"/>
      <c r="AG66" s="100"/>
      <c r="AH66" s="94"/>
      <c r="AI66" s="94"/>
      <c r="AJ66" s="95"/>
    </row>
    <row r="67" spans="2:36" x14ac:dyDescent="0.25">
      <c r="B67" s="89"/>
      <c r="C67" s="185"/>
      <c r="D67" s="209"/>
      <c r="E67" s="169"/>
      <c r="F67" s="122" t="str">
        <f>'[1]MKT DATA USD'!H28</f>
        <v>7Y</v>
      </c>
      <c r="G67" s="208">
        <f>'[1]MKT DATA USD'!J28</f>
        <v>2.5249999999999999E-3</v>
      </c>
      <c r="H67" s="162"/>
      <c r="I67" s="185"/>
      <c r="J67" s="186"/>
      <c r="K67" s="162"/>
      <c r="L67" s="122" t="str">
        <f>'[1]MKT DATA USD'!H40</f>
        <v>7Y</v>
      </c>
      <c r="M67" s="208">
        <f>'[1]MKT DATA USD'!J40</f>
        <v>5.6169999999999996E-3</v>
      </c>
      <c r="N67" s="163"/>
      <c r="P67" s="89"/>
      <c r="Q67" s="205"/>
      <c r="R67" s="94"/>
      <c r="S67" s="95"/>
      <c r="U67" s="89"/>
      <c r="V67" s="204"/>
      <c r="W67" s="98"/>
      <c r="X67" s="94"/>
      <c r="Y67" s="94"/>
      <c r="Z67" s="94"/>
      <c r="AA67" s="94"/>
      <c r="AB67" s="94"/>
      <c r="AC67" s="94"/>
      <c r="AD67" s="100"/>
      <c r="AE67" s="94"/>
      <c r="AF67" s="94"/>
      <c r="AG67" s="100"/>
      <c r="AH67" s="94"/>
      <c r="AI67" s="94"/>
      <c r="AJ67" s="95"/>
    </row>
    <row r="68" spans="2:36" x14ac:dyDescent="0.25">
      <c r="B68" s="89"/>
      <c r="C68" s="129"/>
      <c r="D68" s="189"/>
      <c r="E68" s="169"/>
      <c r="F68" s="122" t="str">
        <f>'[1]MKT DATA USD'!H29</f>
        <v>10Y</v>
      </c>
      <c r="G68" s="208">
        <f>'[1]MKT DATA USD'!J29</f>
        <v>2.4437500000000002E-3</v>
      </c>
      <c r="H68" s="162"/>
      <c r="I68" s="129"/>
      <c r="J68" s="168"/>
      <c r="K68" s="162"/>
      <c r="L68" s="122" t="str">
        <f>'[1]MKT DATA USD'!H41</f>
        <v>10Y</v>
      </c>
      <c r="M68" s="208">
        <f>'[1]MKT DATA USD'!J41</f>
        <v>6.8089999999999991E-3</v>
      </c>
      <c r="N68" s="163"/>
      <c r="P68" s="89"/>
      <c r="Q68" s="205"/>
      <c r="R68" s="94"/>
      <c r="S68" s="95"/>
      <c r="U68" s="89"/>
      <c r="V68" s="204"/>
      <c r="W68" s="98"/>
      <c r="X68" s="94"/>
      <c r="Y68" s="94"/>
      <c r="Z68" s="94"/>
      <c r="AA68" s="94"/>
      <c r="AB68" s="94"/>
      <c r="AC68" s="94"/>
      <c r="AD68" s="100"/>
      <c r="AE68" s="94"/>
      <c r="AF68" s="94"/>
      <c r="AG68" s="100"/>
      <c r="AH68" s="94"/>
      <c r="AI68" s="94"/>
      <c r="AJ68" s="95"/>
    </row>
    <row r="69" spans="2:36" x14ac:dyDescent="0.25">
      <c r="B69" s="89"/>
      <c r="C69" s="129"/>
      <c r="D69" s="189"/>
      <c r="E69" s="169"/>
      <c r="F69" s="122" t="str">
        <f>'[1]MKT DATA USD'!H30</f>
        <v>12Y</v>
      </c>
      <c r="G69" s="208">
        <f>'[1]MKT DATA USD'!J30</f>
        <v>2.4129999999999998E-3</v>
      </c>
      <c r="H69" s="162"/>
      <c r="I69" s="129"/>
      <c r="J69" s="168"/>
      <c r="K69" s="162"/>
      <c r="L69" s="122" t="str">
        <f>'[1]MKT DATA USD'!H42</f>
        <v>12Y</v>
      </c>
      <c r="M69" s="208">
        <f>'[1]MKT DATA USD'!J42</f>
        <v>7.3209999999999994E-3</v>
      </c>
      <c r="N69" s="163"/>
      <c r="P69" s="89"/>
      <c r="Q69" s="205"/>
      <c r="R69" s="94"/>
      <c r="S69" s="95"/>
      <c r="U69" s="89"/>
      <c r="V69" s="204"/>
      <c r="W69" s="98"/>
      <c r="X69" s="94"/>
      <c r="Y69" s="94"/>
      <c r="Z69" s="94"/>
      <c r="AA69" s="94"/>
      <c r="AB69" s="94"/>
      <c r="AC69" s="94"/>
      <c r="AD69" s="100"/>
      <c r="AE69" s="94"/>
      <c r="AF69" s="94"/>
      <c r="AG69" s="100"/>
      <c r="AH69" s="94"/>
      <c r="AI69" s="94"/>
      <c r="AJ69" s="95"/>
    </row>
    <row r="70" spans="2:36" x14ac:dyDescent="0.25">
      <c r="B70" s="89"/>
      <c r="C70" s="129"/>
      <c r="D70" s="189"/>
      <c r="E70" s="169"/>
      <c r="F70" s="122" t="str">
        <f>'[1]MKT DATA USD'!H31</f>
        <v>15Y</v>
      </c>
      <c r="G70" s="208">
        <f>'[1]MKT DATA USD'!J31</f>
        <v>2.3874999999999999E-3</v>
      </c>
      <c r="H70" s="162"/>
      <c r="I70" s="129"/>
      <c r="J70" s="189"/>
      <c r="K70" s="162"/>
      <c r="L70" s="122" t="str">
        <f>'[1]MKT DATA USD'!H43</f>
        <v>15Y</v>
      </c>
      <c r="M70" s="208">
        <f>'[1]MKT DATA USD'!J43</f>
        <v>7.7690000000000007E-3</v>
      </c>
      <c r="N70" s="163"/>
      <c r="P70" s="89"/>
      <c r="Q70" s="205"/>
      <c r="R70" s="94"/>
      <c r="S70" s="95"/>
      <c r="U70" s="89"/>
      <c r="V70" s="204"/>
      <c r="W70" s="98"/>
      <c r="X70" s="94"/>
      <c r="Y70" s="94"/>
      <c r="Z70" s="94"/>
      <c r="AA70" s="94"/>
      <c r="AB70" s="94"/>
      <c r="AC70" s="94"/>
      <c r="AD70" s="94"/>
      <c r="AE70" s="94"/>
      <c r="AF70" s="94"/>
      <c r="AG70" s="94"/>
      <c r="AH70" s="94"/>
      <c r="AI70" s="94"/>
      <c r="AJ70" s="95"/>
    </row>
    <row r="71" spans="2:36" x14ac:dyDescent="0.25">
      <c r="B71" s="89"/>
      <c r="C71" s="129"/>
      <c r="D71" s="189"/>
      <c r="E71" s="169"/>
      <c r="F71" s="122" t="str">
        <f>'[1]MKT DATA USD'!H32</f>
        <v>20Y</v>
      </c>
      <c r="G71" s="208">
        <f>'[1]MKT DATA USD'!J32</f>
        <v>2.3625E-3</v>
      </c>
      <c r="H71" s="162"/>
      <c r="I71" s="129"/>
      <c r="J71" s="189"/>
      <c r="K71" s="162"/>
      <c r="L71" s="122" t="str">
        <f>'[1]MKT DATA USD'!H44</f>
        <v>20Y</v>
      </c>
      <c r="M71" s="208">
        <f>'[1]MKT DATA USD'!J44</f>
        <v>8.2719999999999998E-3</v>
      </c>
      <c r="N71" s="163"/>
      <c r="P71" s="89"/>
      <c r="Q71" s="207"/>
      <c r="R71" s="94"/>
      <c r="S71" s="95"/>
      <c r="U71" s="89"/>
      <c r="V71" s="204"/>
      <c r="W71" s="98"/>
      <c r="X71" s="94"/>
      <c r="Y71" s="94"/>
      <c r="Z71" s="94"/>
      <c r="AA71" s="94"/>
      <c r="AB71" s="94"/>
      <c r="AC71" s="94"/>
      <c r="AD71" s="94"/>
      <c r="AE71" s="94"/>
      <c r="AF71" s="94"/>
      <c r="AG71" s="94"/>
      <c r="AH71" s="94"/>
      <c r="AI71" s="94"/>
      <c r="AJ71" s="95"/>
    </row>
    <row r="72" spans="2:36" x14ac:dyDescent="0.25">
      <c r="B72" s="89"/>
      <c r="C72" s="129"/>
      <c r="D72" s="189"/>
      <c r="E72" s="169"/>
      <c r="F72" s="122" t="str">
        <f>'[1]MKT DATA USD'!H33</f>
        <v>25Y</v>
      </c>
      <c r="G72" s="208">
        <f>'[1]MKT DATA USD'!J33</f>
        <v>2.3500000000000001E-3</v>
      </c>
      <c r="H72" s="162"/>
      <c r="I72" s="129"/>
      <c r="J72" s="189"/>
      <c r="K72" s="162"/>
      <c r="L72" s="122" t="str">
        <f>'[1]MKT DATA USD'!H45</f>
        <v>25Y</v>
      </c>
      <c r="M72" s="208">
        <f>'[1]MKT DATA USD'!J45</f>
        <v>8.4200000000000004E-3</v>
      </c>
      <c r="N72" s="163"/>
      <c r="P72" s="89"/>
      <c r="Q72" s="207"/>
      <c r="R72" s="94"/>
      <c r="S72" s="95"/>
      <c r="U72" s="89"/>
      <c r="V72" s="204"/>
      <c r="W72" s="98"/>
      <c r="X72" s="94"/>
      <c r="Y72" s="94"/>
      <c r="Z72" s="94"/>
      <c r="AA72" s="94"/>
      <c r="AB72" s="94"/>
      <c r="AC72" s="94"/>
      <c r="AD72" s="94"/>
      <c r="AE72" s="94"/>
      <c r="AF72" s="94"/>
      <c r="AG72" s="94"/>
      <c r="AH72" s="94"/>
      <c r="AI72" s="94"/>
      <c r="AJ72" s="95"/>
    </row>
    <row r="73" spans="2:36" x14ac:dyDescent="0.25">
      <c r="B73" s="89"/>
      <c r="C73" s="139"/>
      <c r="D73" s="189"/>
      <c r="E73" s="169"/>
      <c r="F73" s="122" t="str">
        <f>'[1]MKT DATA USD'!H34</f>
        <v>30Y</v>
      </c>
      <c r="G73" s="208">
        <f>'[1]MKT DATA USD'!J34</f>
        <v>2.3500000000000001E-3</v>
      </c>
      <c r="H73" s="162"/>
      <c r="I73" s="139"/>
      <c r="J73" s="189"/>
      <c r="K73" s="162"/>
      <c r="L73" s="122" t="str">
        <f>'[1]MKT DATA USD'!H46</f>
        <v>30Y</v>
      </c>
      <c r="M73" s="208">
        <f>'[1]MKT DATA USD'!J46</f>
        <v>8.4969999999999993E-3</v>
      </c>
      <c r="N73" s="163"/>
      <c r="P73" s="89"/>
      <c r="Q73" s="94"/>
      <c r="R73" s="94"/>
      <c r="S73" s="95"/>
      <c r="U73" s="89"/>
      <c r="V73" s="204"/>
      <c r="W73" s="98"/>
      <c r="X73" s="94"/>
      <c r="Y73" s="94"/>
      <c r="Z73" s="94"/>
      <c r="AA73" s="94"/>
      <c r="AB73" s="94"/>
      <c r="AC73" s="94"/>
      <c r="AD73" s="94"/>
      <c r="AE73" s="94"/>
      <c r="AF73" s="94"/>
      <c r="AG73" s="94"/>
      <c r="AH73" s="94"/>
      <c r="AI73" s="94"/>
      <c r="AJ73" s="95"/>
    </row>
    <row r="74" spans="2:36" x14ac:dyDescent="0.25">
      <c r="B74" s="89"/>
      <c r="C74" s="210"/>
      <c r="D74" s="211"/>
      <c r="E74" s="169"/>
      <c r="F74" s="122"/>
      <c r="G74" s="208"/>
      <c r="H74" s="162"/>
      <c r="I74" s="210"/>
      <c r="J74" s="211"/>
      <c r="K74" s="162"/>
      <c r="L74" s="122"/>
      <c r="M74" s="208"/>
      <c r="N74" s="163"/>
      <c r="P74" s="89"/>
      <c r="Q74" s="94"/>
      <c r="R74" s="94"/>
      <c r="S74" s="95"/>
      <c r="U74" s="89"/>
      <c r="V74" s="204"/>
      <c r="W74" s="98"/>
      <c r="X74" s="94"/>
      <c r="Y74" s="94"/>
      <c r="Z74" s="94"/>
      <c r="AA74" s="94"/>
      <c r="AB74" s="94"/>
      <c r="AC74" s="94"/>
      <c r="AD74" s="94"/>
      <c r="AE74" s="94"/>
      <c r="AF74" s="94"/>
      <c r="AG74" s="94"/>
      <c r="AH74" s="94"/>
      <c r="AI74" s="94"/>
      <c r="AJ74" s="95"/>
    </row>
    <row r="75" spans="2:36" x14ac:dyDescent="0.25">
      <c r="B75" s="89"/>
      <c r="C75" s="210"/>
      <c r="D75" s="212"/>
      <c r="E75" s="169"/>
      <c r="F75" s="190"/>
      <c r="G75" s="213"/>
      <c r="H75" s="162"/>
      <c r="I75" s="210"/>
      <c r="J75" s="212"/>
      <c r="K75" s="162"/>
      <c r="L75" s="122"/>
      <c r="M75" s="208"/>
      <c r="N75" s="163"/>
      <c r="P75" s="89"/>
      <c r="Q75" s="94"/>
      <c r="R75" s="94"/>
      <c r="S75" s="95"/>
      <c r="U75" s="89"/>
      <c r="V75" s="204"/>
      <c r="W75" s="98"/>
      <c r="X75" s="94"/>
      <c r="Y75" s="94"/>
      <c r="Z75" s="94"/>
      <c r="AA75" s="94"/>
      <c r="AB75" s="94"/>
      <c r="AC75" s="94"/>
      <c r="AD75" s="94"/>
      <c r="AE75" s="94"/>
      <c r="AF75" s="94"/>
      <c r="AG75" s="94"/>
      <c r="AH75" s="94"/>
      <c r="AI75" s="94"/>
      <c r="AJ75" s="95"/>
    </row>
    <row r="76" spans="2:36" x14ac:dyDescent="0.25">
      <c r="B76" s="89"/>
      <c r="C76" s="210"/>
      <c r="D76" s="211"/>
      <c r="E76" s="169"/>
      <c r="F76" s="195"/>
      <c r="G76" s="174"/>
      <c r="H76" s="162"/>
      <c r="I76" s="210"/>
      <c r="J76" s="211"/>
      <c r="K76" s="162"/>
      <c r="L76" s="190"/>
      <c r="M76" s="213"/>
      <c r="N76" s="163"/>
      <c r="P76" s="89"/>
      <c r="Q76" s="94"/>
      <c r="R76" s="94"/>
      <c r="S76" s="95"/>
      <c r="U76" s="89"/>
      <c r="V76" s="204"/>
      <c r="W76" s="98"/>
      <c r="X76" s="94"/>
      <c r="Y76" s="94"/>
      <c r="Z76" s="94"/>
      <c r="AA76" s="94"/>
      <c r="AB76" s="94"/>
      <c r="AC76" s="94"/>
      <c r="AD76" s="94"/>
      <c r="AE76" s="94"/>
      <c r="AF76" s="94"/>
      <c r="AG76" s="94"/>
      <c r="AH76" s="94"/>
      <c r="AI76" s="94"/>
      <c r="AJ76" s="95"/>
    </row>
    <row r="77" spans="2:36" x14ac:dyDescent="0.25">
      <c r="B77" s="89"/>
      <c r="C77" s="155"/>
      <c r="D77" s="189"/>
      <c r="E77" s="169"/>
      <c r="F77" s="195"/>
      <c r="G77" s="174"/>
      <c r="H77" s="162"/>
      <c r="I77" s="155"/>
      <c r="J77" s="189"/>
      <c r="K77" s="162"/>
      <c r="L77" s="195"/>
      <c r="M77" s="174"/>
      <c r="N77" s="163"/>
      <c r="P77" s="89"/>
      <c r="Q77" s="94"/>
      <c r="R77" s="94"/>
      <c r="S77" s="95"/>
      <c r="U77" s="89"/>
      <c r="V77" s="204"/>
      <c r="W77" s="98"/>
      <c r="X77" s="94"/>
      <c r="Y77" s="94"/>
      <c r="Z77" s="94"/>
      <c r="AA77" s="94"/>
      <c r="AB77" s="94"/>
      <c r="AC77" s="94"/>
      <c r="AD77" s="94"/>
      <c r="AE77" s="94"/>
      <c r="AF77" s="94"/>
      <c r="AG77" s="94"/>
      <c r="AH77" s="94"/>
      <c r="AI77" s="94"/>
      <c r="AJ77" s="95"/>
    </row>
    <row r="78" spans="2:36" x14ac:dyDescent="0.25">
      <c r="B78" s="89"/>
      <c r="C78" s="155"/>
      <c r="D78" s="193"/>
      <c r="E78" s="169"/>
      <c r="F78" s="195"/>
      <c r="G78" s="174"/>
      <c r="H78" s="162"/>
      <c r="I78" s="155"/>
      <c r="J78" s="193"/>
      <c r="K78" s="162"/>
      <c r="L78" s="195"/>
      <c r="M78" s="174"/>
      <c r="N78" s="163"/>
      <c r="P78" s="89"/>
      <c r="Q78" s="94"/>
      <c r="R78" s="94"/>
      <c r="S78" s="95"/>
      <c r="U78" s="89"/>
      <c r="V78" s="204"/>
      <c r="W78" s="98"/>
      <c r="X78" s="94"/>
      <c r="Y78" s="94"/>
      <c r="Z78" s="94"/>
      <c r="AA78" s="94"/>
      <c r="AB78" s="94"/>
      <c r="AC78" s="94"/>
      <c r="AD78" s="94"/>
      <c r="AE78" s="94"/>
      <c r="AF78" s="94"/>
      <c r="AG78" s="94"/>
      <c r="AH78" s="94"/>
      <c r="AI78" s="94"/>
      <c r="AJ78" s="95"/>
    </row>
    <row r="79" spans="2:36" x14ac:dyDescent="0.25">
      <c r="B79" s="89"/>
      <c r="C79" s="155"/>
      <c r="D79" s="193"/>
      <c r="E79" s="169"/>
      <c r="F79" s="195"/>
      <c r="G79" s="174"/>
      <c r="H79" s="162"/>
      <c r="I79" s="155"/>
      <c r="J79" s="193"/>
      <c r="K79" s="162"/>
      <c r="L79" s="195"/>
      <c r="M79" s="174"/>
      <c r="N79" s="163"/>
      <c r="P79" s="89"/>
      <c r="Q79" s="94"/>
      <c r="R79" s="94"/>
      <c r="S79" s="95"/>
      <c r="U79" s="89"/>
      <c r="V79" s="204"/>
      <c r="W79" s="98"/>
      <c r="X79" s="94"/>
      <c r="Y79" s="94"/>
      <c r="Z79" s="94"/>
      <c r="AA79" s="94"/>
      <c r="AB79" s="94"/>
      <c r="AC79" s="94"/>
      <c r="AD79" s="94"/>
      <c r="AE79" s="94"/>
      <c r="AF79" s="94"/>
      <c r="AG79" s="94"/>
      <c r="AH79" s="94"/>
      <c r="AI79" s="94"/>
      <c r="AJ79" s="95"/>
    </row>
    <row r="80" spans="2:36" x14ac:dyDescent="0.25">
      <c r="B80" s="89"/>
      <c r="C80" s="155"/>
      <c r="D80" s="193"/>
      <c r="E80" s="169"/>
      <c r="F80" s="195"/>
      <c r="G80" s="174"/>
      <c r="H80" s="162"/>
      <c r="I80" s="155"/>
      <c r="J80" s="193"/>
      <c r="K80" s="162"/>
      <c r="L80" s="195"/>
      <c r="M80" s="174"/>
      <c r="N80" s="163"/>
      <c r="P80" s="89"/>
      <c r="Q80" s="94"/>
      <c r="R80" s="94"/>
      <c r="S80" s="95"/>
      <c r="U80" s="89"/>
      <c r="V80" s="204"/>
      <c r="W80" s="98"/>
      <c r="X80" s="94"/>
      <c r="Y80" s="94"/>
      <c r="Z80" s="94"/>
      <c r="AA80" s="94"/>
      <c r="AB80" s="94"/>
      <c r="AC80" s="94"/>
      <c r="AD80" s="94"/>
      <c r="AE80" s="94"/>
      <c r="AF80" s="94"/>
      <c r="AG80" s="94"/>
      <c r="AH80" s="94"/>
      <c r="AI80" s="94"/>
      <c r="AJ80" s="95"/>
    </row>
    <row r="81" spans="2:36" x14ac:dyDescent="0.25">
      <c r="B81" s="89"/>
      <c r="C81" s="155"/>
      <c r="D81" s="193"/>
      <c r="E81" s="169"/>
      <c r="F81" s="195"/>
      <c r="G81" s="174"/>
      <c r="H81" s="162"/>
      <c r="I81" s="155"/>
      <c r="J81" s="193"/>
      <c r="K81" s="162"/>
      <c r="L81" s="195"/>
      <c r="M81" s="174"/>
      <c r="N81" s="163"/>
      <c r="P81" s="89"/>
      <c r="Q81" s="94"/>
      <c r="R81" s="94"/>
      <c r="S81" s="95"/>
      <c r="U81" s="89"/>
      <c r="V81" s="204"/>
      <c r="W81" s="98"/>
      <c r="X81" s="94"/>
      <c r="Y81" s="94"/>
      <c r="Z81" s="94"/>
      <c r="AA81" s="94"/>
      <c r="AB81" s="94"/>
      <c r="AC81" s="94"/>
      <c r="AD81" s="94"/>
      <c r="AE81" s="94"/>
      <c r="AF81" s="94"/>
      <c r="AG81" s="94"/>
      <c r="AH81" s="94"/>
      <c r="AI81" s="94"/>
      <c r="AJ81" s="95"/>
    </row>
    <row r="82" spans="2:36" x14ac:dyDescent="0.25">
      <c r="B82" s="89"/>
      <c r="C82" s="155"/>
      <c r="D82" s="193"/>
      <c r="E82" s="169"/>
      <c r="F82" s="195"/>
      <c r="G82" s="174"/>
      <c r="H82" s="162"/>
      <c r="I82" s="155"/>
      <c r="J82" s="193"/>
      <c r="K82" s="162"/>
      <c r="L82" s="195"/>
      <c r="M82" s="174"/>
      <c r="N82" s="163"/>
      <c r="P82" s="89"/>
      <c r="Q82" s="94"/>
      <c r="R82" s="94"/>
      <c r="S82" s="95"/>
      <c r="U82" s="89"/>
      <c r="V82" s="204"/>
      <c r="W82" s="98"/>
      <c r="X82" s="94"/>
      <c r="Y82" s="94"/>
      <c r="Z82" s="94"/>
      <c r="AA82" s="94"/>
      <c r="AB82" s="94"/>
      <c r="AC82" s="94"/>
      <c r="AD82" s="94"/>
      <c r="AE82" s="94"/>
      <c r="AF82" s="94"/>
      <c r="AG82" s="94"/>
      <c r="AH82" s="94"/>
      <c r="AI82" s="94"/>
      <c r="AJ82" s="95"/>
    </row>
    <row r="83" spans="2:36" x14ac:dyDescent="0.25">
      <c r="B83" s="89"/>
      <c r="C83" s="155"/>
      <c r="D83" s="193"/>
      <c r="E83" s="169"/>
      <c r="F83" s="195"/>
      <c r="G83" s="174"/>
      <c r="H83" s="162"/>
      <c r="I83" s="155"/>
      <c r="J83" s="193"/>
      <c r="K83" s="162"/>
      <c r="L83" s="195"/>
      <c r="M83" s="174"/>
      <c r="N83" s="163"/>
      <c r="P83" s="89"/>
      <c r="Q83" s="94"/>
      <c r="R83" s="94"/>
      <c r="S83" s="95"/>
      <c r="U83" s="89"/>
      <c r="V83" s="204"/>
      <c r="W83" s="98"/>
      <c r="X83" s="94"/>
      <c r="Y83" s="94"/>
      <c r="Z83" s="94"/>
      <c r="AA83" s="94"/>
      <c r="AB83" s="94"/>
      <c r="AC83" s="94"/>
      <c r="AD83" s="94"/>
      <c r="AE83" s="94"/>
      <c r="AF83" s="94"/>
      <c r="AG83" s="94"/>
      <c r="AH83" s="94"/>
      <c r="AI83" s="94"/>
      <c r="AJ83" s="95"/>
    </row>
    <row r="84" spans="2:36" x14ac:dyDescent="0.25">
      <c r="B84" s="89"/>
      <c r="C84" s="155"/>
      <c r="D84" s="193"/>
      <c r="E84" s="169"/>
      <c r="F84" s="195"/>
      <c r="G84" s="174"/>
      <c r="H84" s="162"/>
      <c r="I84" s="155"/>
      <c r="J84" s="193"/>
      <c r="K84" s="162"/>
      <c r="L84" s="195"/>
      <c r="M84" s="174"/>
      <c r="N84" s="163"/>
      <c r="P84" s="89"/>
      <c r="Q84" s="94"/>
      <c r="R84" s="94"/>
      <c r="S84" s="95"/>
      <c r="U84" s="89"/>
      <c r="V84" s="204"/>
      <c r="W84" s="98"/>
      <c r="X84" s="94"/>
      <c r="Y84" s="94"/>
      <c r="Z84" s="94"/>
      <c r="AA84" s="94"/>
      <c r="AB84" s="94"/>
      <c r="AC84" s="94"/>
      <c r="AD84" s="94"/>
      <c r="AE84" s="94"/>
      <c r="AF84" s="94"/>
      <c r="AG84" s="94"/>
      <c r="AH84" s="94"/>
      <c r="AI84" s="94"/>
      <c r="AJ84" s="95"/>
    </row>
    <row r="85" spans="2:36" x14ac:dyDescent="0.25">
      <c r="B85" s="89"/>
      <c r="C85" s="155"/>
      <c r="D85" s="193"/>
      <c r="E85" s="169"/>
      <c r="F85" s="195"/>
      <c r="G85" s="174"/>
      <c r="H85" s="162"/>
      <c r="I85" s="155"/>
      <c r="J85" s="193"/>
      <c r="K85" s="162"/>
      <c r="L85" s="195"/>
      <c r="M85" s="174"/>
      <c r="N85" s="163"/>
      <c r="P85" s="89"/>
      <c r="Q85" s="94"/>
      <c r="R85" s="94"/>
      <c r="S85" s="95"/>
      <c r="U85" s="89"/>
      <c r="V85" s="204"/>
      <c r="W85" s="98"/>
      <c r="X85" s="94"/>
      <c r="Y85" s="94"/>
      <c r="Z85" s="94"/>
      <c r="AA85" s="94"/>
      <c r="AB85" s="94"/>
      <c r="AC85" s="94"/>
      <c r="AD85" s="94"/>
      <c r="AE85" s="94"/>
      <c r="AF85" s="94"/>
      <c r="AG85" s="94"/>
      <c r="AH85" s="94"/>
      <c r="AI85" s="94"/>
      <c r="AJ85" s="95"/>
    </row>
    <row r="86" spans="2:36" x14ac:dyDescent="0.25">
      <c r="B86" s="89"/>
      <c r="C86" s="159"/>
      <c r="D86" s="198"/>
      <c r="E86" s="169"/>
      <c r="F86" s="199"/>
      <c r="G86" s="203"/>
      <c r="H86" s="162"/>
      <c r="I86" s="159"/>
      <c r="J86" s="198"/>
      <c r="K86" s="162"/>
      <c r="L86" s="199"/>
      <c r="M86" s="203"/>
      <c r="N86" s="163"/>
      <c r="P86" s="89"/>
      <c r="Q86" s="94"/>
      <c r="R86" s="94"/>
      <c r="S86" s="95"/>
      <c r="U86" s="89"/>
      <c r="V86" s="204"/>
      <c r="W86" s="98"/>
      <c r="X86" s="94"/>
      <c r="Y86" s="94"/>
      <c r="Z86" s="94"/>
      <c r="AA86" s="94"/>
      <c r="AB86" s="94"/>
      <c r="AC86" s="94"/>
      <c r="AD86" s="94"/>
      <c r="AE86" s="94"/>
      <c r="AF86" s="94"/>
      <c r="AG86" s="94"/>
      <c r="AH86" s="94"/>
      <c r="AI86" s="94"/>
      <c r="AJ86" s="95"/>
    </row>
    <row r="87" spans="2:36" x14ac:dyDescent="0.25">
      <c r="B87" s="135"/>
      <c r="C87" s="136"/>
      <c r="D87" s="136"/>
      <c r="E87" s="136"/>
      <c r="F87" s="136"/>
      <c r="G87" s="136"/>
      <c r="H87" s="136"/>
      <c r="I87" s="136"/>
      <c r="J87" s="136"/>
      <c r="K87" s="136"/>
      <c r="L87" s="136"/>
      <c r="M87" s="136"/>
      <c r="N87" s="137"/>
      <c r="P87" s="135"/>
      <c r="Q87" s="136"/>
      <c r="R87" s="136"/>
      <c r="S87" s="137"/>
      <c r="U87" s="135"/>
      <c r="V87" s="136"/>
      <c r="W87" s="136"/>
      <c r="X87" s="136"/>
      <c r="Y87" s="136"/>
      <c r="Z87" s="136"/>
      <c r="AA87" s="136"/>
      <c r="AB87" s="136"/>
      <c r="AC87" s="136"/>
      <c r="AD87" s="136"/>
      <c r="AE87" s="136"/>
      <c r="AF87" s="136"/>
      <c r="AG87" s="136"/>
      <c r="AH87" s="136"/>
      <c r="AI87" s="136"/>
      <c r="AJ87" s="137"/>
    </row>
  </sheetData>
  <dataValidations count="2">
    <dataValidation type="list" allowBlank="1" showInputMessage="1" showErrorMessage="1" sqref="R5 D4">
      <formula1>"TRUE,FALSE"</formula1>
    </dataValidation>
    <dataValidation type="list" allowBlank="1" showInputMessage="1" showErrorMessage="1" sqref="D19">
      <formula1>"fn_StepInterpolation,fn_LinearInterpolation,fn_MonotoneConvexInterpolation,fn_SplineInterpolation,fn_ConstrainedSplineInterpolation"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theme="1" tint="0.499984740745262"/>
  </sheetPr>
  <dimension ref="B2:AJ109"/>
  <sheetViews>
    <sheetView showGridLines="0" zoomScaleNormal="100" workbookViewId="0"/>
  </sheetViews>
  <sheetFormatPr defaultRowHeight="15" x14ac:dyDescent="0.25"/>
  <cols>
    <col min="1" max="1" width="2.7109375" customWidth="1"/>
    <col min="2" max="2" width="2.7109375" hidden="1" customWidth="1"/>
    <col min="3" max="3" width="24" hidden="1" customWidth="1"/>
    <col min="4" max="4" width="35.140625" hidden="1" customWidth="1"/>
    <col min="5" max="5" width="9.140625" hidden="1" customWidth="1"/>
    <col min="6" max="7" width="18.7109375" hidden="1" customWidth="1"/>
    <col min="8" max="8" width="12.7109375" hidden="1" customWidth="1"/>
    <col min="9" max="9" width="18.7109375" hidden="1" customWidth="1"/>
    <col min="10" max="10" width="19.5703125" hidden="1" customWidth="1"/>
    <col min="11" max="11" width="18.7109375" hidden="1" customWidth="1"/>
    <col min="12" max="14" width="2.7109375" hidden="1" customWidth="1"/>
    <col min="15" max="16" width="40.7109375" hidden="1" customWidth="1"/>
    <col min="17" max="17" width="2.7109375" hidden="1" customWidth="1"/>
    <col min="19" max="19" width="2.7109375" customWidth="1"/>
    <col min="20" max="20" width="30.7109375" customWidth="1"/>
    <col min="21" max="21" width="42.85546875" bestFit="1" customWidth="1"/>
    <col min="22" max="22" width="2.7109375" customWidth="1"/>
    <col min="23" max="24" width="10.7109375" customWidth="1"/>
    <col min="25" max="25" width="2.7109375" customWidth="1"/>
    <col min="26" max="30" width="12.7109375" customWidth="1"/>
    <col min="31" max="31" width="2.7109375" customWidth="1"/>
    <col min="32" max="34" width="12.7109375" customWidth="1"/>
    <col min="35" max="35" width="2.7109375" customWidth="1"/>
  </cols>
  <sheetData>
    <row r="2" spans="2:35" x14ac:dyDescent="0.25">
      <c r="B2" s="143"/>
    </row>
    <row r="3" spans="2:35" x14ac:dyDescent="0.25">
      <c r="B3" s="84"/>
      <c r="C3" s="85"/>
      <c r="D3" s="86"/>
      <c r="E3" s="87"/>
      <c r="F3" s="87"/>
      <c r="G3" s="87"/>
      <c r="H3" s="87"/>
      <c r="I3" s="87"/>
      <c r="J3" s="87"/>
      <c r="K3" s="87"/>
      <c r="L3" s="88"/>
      <c r="N3" s="84"/>
      <c r="O3" s="87"/>
      <c r="P3" s="87"/>
      <c r="Q3" s="88"/>
      <c r="S3" s="214"/>
      <c r="T3" s="215"/>
      <c r="U3" s="215"/>
      <c r="V3" s="215"/>
      <c r="W3" s="215"/>
      <c r="X3" s="215"/>
      <c r="Y3" s="215"/>
      <c r="Z3" s="215"/>
      <c r="AA3" s="215"/>
      <c r="AB3" s="215"/>
      <c r="AC3" s="215"/>
      <c r="AD3" s="215"/>
      <c r="AE3" s="215"/>
      <c r="AF3" s="215"/>
      <c r="AG3" s="215"/>
      <c r="AH3" s="215"/>
      <c r="AI3" s="216"/>
    </row>
    <row r="4" spans="2:35" x14ac:dyDescent="0.25">
      <c r="B4" s="89"/>
      <c r="C4" s="217" t="s">
        <v>77</v>
      </c>
      <c r="D4" s="218" t="b">
        <v>0</v>
      </c>
      <c r="E4" s="219"/>
      <c r="F4" s="220"/>
      <c r="G4" s="94"/>
      <c r="H4" s="94"/>
      <c r="I4" s="94"/>
      <c r="J4" s="94"/>
      <c r="K4" s="94"/>
      <c r="L4" s="95"/>
      <c r="N4" s="89"/>
      <c r="O4" s="96" t="s">
        <v>79</v>
      </c>
      <c r="P4" s="94"/>
      <c r="Q4" s="95"/>
      <c r="S4" s="221"/>
      <c r="T4" s="99" t="s">
        <v>18</v>
      </c>
      <c r="U4" s="100"/>
      <c r="V4" s="94"/>
      <c r="W4" s="99" t="s">
        <v>173</v>
      </c>
      <c r="X4" s="100"/>
      <c r="Y4" s="94"/>
      <c r="Z4" s="99" t="s">
        <v>174</v>
      </c>
      <c r="AA4" s="222"/>
      <c r="AB4" s="100"/>
      <c r="AC4" s="100"/>
      <c r="AD4" s="100"/>
      <c r="AE4" s="94"/>
      <c r="AF4" s="99" t="s">
        <v>82</v>
      </c>
      <c r="AG4" s="94"/>
      <c r="AH4" s="94"/>
      <c r="AI4" s="223"/>
    </row>
    <row r="5" spans="2:35" x14ac:dyDescent="0.25">
      <c r="B5" s="89"/>
      <c r="C5" s="101" t="s">
        <v>175</v>
      </c>
      <c r="D5" s="102" t="str">
        <f>IF(D4,IF(AND(isUSDOISLoaded),_xll.meCurveCalibrateSwap(CurveCollection,StaticDataTable,IndexName,CurveBuildProperties,MoneyMarketConventions,LiborConventions,LiborMarketData,SwapConventions,SwapMarketData,FRAConventions,FRAMarketData3M,FRAMarketData6M,FuturesConventions,FuturesMarketData),"Please load curve dependencies"),"Disabled")</f>
        <v>Disabled</v>
      </c>
      <c r="E5" s="103"/>
      <c r="F5" s="104"/>
      <c r="G5" s="94"/>
      <c r="H5" s="94"/>
      <c r="I5" s="94"/>
      <c r="J5" s="94"/>
      <c r="K5" s="94"/>
      <c r="L5" s="95"/>
      <c r="N5" s="89"/>
      <c r="O5" s="90" t="s">
        <v>77</v>
      </c>
      <c r="P5" s="105" t="b">
        <v>0</v>
      </c>
      <c r="Q5" s="95"/>
      <c r="S5" s="221"/>
      <c r="T5" s="224" t="s">
        <v>2</v>
      </c>
      <c r="U5" s="225" t="s">
        <v>90</v>
      </c>
      <c r="V5" s="94" t="s">
        <v>78</v>
      </c>
      <c r="W5" s="98" t="s">
        <v>24</v>
      </c>
      <c r="X5" s="98" t="s">
        <v>84</v>
      </c>
      <c r="Y5" s="204"/>
      <c r="Z5" s="226" t="s">
        <v>24</v>
      </c>
      <c r="AA5" s="226" t="s">
        <v>85</v>
      </c>
      <c r="AB5" s="226" t="s">
        <v>86</v>
      </c>
      <c r="AC5" s="226" t="s">
        <v>84</v>
      </c>
      <c r="AD5" s="226" t="s">
        <v>176</v>
      </c>
      <c r="AE5" s="204"/>
      <c r="AF5" s="227" t="s">
        <v>24</v>
      </c>
      <c r="AG5" s="98" t="s">
        <v>84</v>
      </c>
      <c r="AH5" s="98" t="s">
        <v>87</v>
      </c>
      <c r="AI5" s="223"/>
    </row>
    <row r="6" spans="2:35" x14ac:dyDescent="0.25">
      <c r="B6" s="89"/>
      <c r="C6" s="97"/>
      <c r="D6" s="107"/>
      <c r="E6" s="94"/>
      <c r="F6" s="94"/>
      <c r="G6" s="94"/>
      <c r="H6" s="94"/>
      <c r="I6" s="94"/>
      <c r="J6" s="94"/>
      <c r="K6" s="94"/>
      <c r="L6" s="95"/>
      <c r="N6" s="89"/>
      <c r="O6" s="108" t="s">
        <v>88</v>
      </c>
      <c r="P6" s="109" t="s">
        <v>177</v>
      </c>
      <c r="Q6" s="95"/>
      <c r="S6" s="221"/>
      <c r="T6" s="228" t="s">
        <v>5</v>
      </c>
      <c r="U6" s="229" t="s">
        <v>178</v>
      </c>
      <c r="V6" s="94" t="s">
        <v>78</v>
      </c>
      <c r="W6" s="230" t="s">
        <v>30</v>
      </c>
      <c r="X6" s="231">
        <v>7.1825000000000005E-3</v>
      </c>
      <c r="Y6" s="94"/>
      <c r="Z6" s="232" t="s">
        <v>179</v>
      </c>
      <c r="AA6" s="233">
        <v>43999</v>
      </c>
      <c r="AB6" s="233">
        <v>44090</v>
      </c>
      <c r="AC6" s="234">
        <v>99.54</v>
      </c>
      <c r="AD6" s="235">
        <v>1.4500000000000001E-2</v>
      </c>
      <c r="AE6" s="94"/>
      <c r="AF6" s="232" t="s">
        <v>41</v>
      </c>
      <c r="AG6" s="236">
        <v>3.9240000000000004E-3</v>
      </c>
      <c r="AH6" s="237" t="b">
        <v>1</v>
      </c>
      <c r="AI6" s="223"/>
    </row>
    <row r="7" spans="2:35" x14ac:dyDescent="0.25">
      <c r="B7" s="89"/>
      <c r="C7" s="97"/>
      <c r="D7" s="107"/>
      <c r="E7" s="94"/>
      <c r="F7" s="94"/>
      <c r="G7" s="94"/>
      <c r="H7" s="94"/>
      <c r="I7" s="94"/>
      <c r="J7" s="94"/>
      <c r="K7" s="94"/>
      <c r="L7" s="95"/>
      <c r="N7" s="89"/>
      <c r="O7" s="108" t="s">
        <v>92</v>
      </c>
      <c r="P7" s="119" t="str">
        <f>IF(P5,_xll.meLWOCurveGeneratorCreate("USD_SWAP_3M",O11,O12:P25,O28,O29:P31,O36,O37:P41,O44,O45:P45,O52,O53:P59,O68,O69:P81),"Disabled")</f>
        <v>Disabled</v>
      </c>
      <c r="Q7" s="95"/>
      <c r="S7" s="221"/>
      <c r="T7" s="228" t="s">
        <v>95</v>
      </c>
      <c r="U7" s="229" t="s">
        <v>162</v>
      </c>
      <c r="V7" s="94" t="s">
        <v>78</v>
      </c>
      <c r="W7" s="195" t="s">
        <v>32</v>
      </c>
      <c r="X7" s="238">
        <v>1.1352500000000001E-2</v>
      </c>
      <c r="Y7" s="94"/>
      <c r="Z7" s="239" t="s">
        <v>180</v>
      </c>
      <c r="AA7" s="240">
        <v>44090</v>
      </c>
      <c r="AB7" s="240">
        <v>44181</v>
      </c>
      <c r="AC7" s="241">
        <v>99.655000000000001</v>
      </c>
      <c r="AD7" s="242">
        <v>1.4500000000000001E-2</v>
      </c>
      <c r="AE7" s="94"/>
      <c r="AF7" s="239" t="s">
        <v>42</v>
      </c>
      <c r="AG7" s="243">
        <v>4.1700000000000001E-3</v>
      </c>
      <c r="AH7" s="244" t="b">
        <v>1</v>
      </c>
      <c r="AI7" s="223"/>
    </row>
    <row r="8" spans="2:35" x14ac:dyDescent="0.25">
      <c r="B8" s="89"/>
      <c r="C8" s="117" t="s">
        <v>91</v>
      </c>
      <c r="D8" s="118"/>
      <c r="E8" s="94"/>
      <c r="F8" s="94"/>
      <c r="G8" s="94"/>
      <c r="H8" s="94"/>
      <c r="I8" s="94"/>
      <c r="J8" s="94"/>
      <c r="K8" s="94"/>
      <c r="L8" s="95"/>
      <c r="N8" s="89"/>
      <c r="O8" s="127" t="s">
        <v>94</v>
      </c>
      <c r="P8" s="128" t="str">
        <f>IF(P5,_xll.meLWOSave(P7,"CURVE_GENERATOR",P6),"Disabled")</f>
        <v>Disabled</v>
      </c>
      <c r="Q8" s="95" t="s">
        <v>78</v>
      </c>
      <c r="S8" s="221"/>
      <c r="T8" s="228" t="s">
        <v>19</v>
      </c>
      <c r="U8" s="245">
        <f ca="1">TODAY()</f>
        <v>43937</v>
      </c>
      <c r="V8" s="94" t="s">
        <v>78</v>
      </c>
      <c r="W8" s="195" t="s">
        <v>35</v>
      </c>
      <c r="X8" s="238">
        <v>1.125E-2</v>
      </c>
      <c r="Y8" s="94"/>
      <c r="Z8" s="239" t="s">
        <v>181</v>
      </c>
      <c r="AA8" s="246">
        <v>44181</v>
      </c>
      <c r="AB8" s="246">
        <v>44272</v>
      </c>
      <c r="AC8" s="241">
        <v>99.65</v>
      </c>
      <c r="AD8" s="247">
        <v>1.4500000000000001E-2</v>
      </c>
      <c r="AE8" s="94"/>
      <c r="AF8" s="239" t="s">
        <v>43</v>
      </c>
      <c r="AG8" s="243">
        <v>4.5960000000000003E-3</v>
      </c>
      <c r="AH8" s="244" t="b">
        <v>1</v>
      </c>
      <c r="AI8" s="223"/>
    </row>
    <row r="9" spans="2:35" x14ac:dyDescent="0.25">
      <c r="B9" s="89"/>
      <c r="C9" s="125" t="s">
        <v>93</v>
      </c>
      <c r="D9" s="126" t="s">
        <v>56</v>
      </c>
      <c r="E9" s="94"/>
      <c r="F9" s="94"/>
      <c r="G9" s="94"/>
      <c r="H9" s="94"/>
      <c r="I9" s="94"/>
      <c r="J9" s="94"/>
      <c r="K9" s="94"/>
      <c r="L9" s="95"/>
      <c r="N9" s="89"/>
      <c r="O9" s="94"/>
      <c r="P9" s="94"/>
      <c r="Q9" s="95"/>
      <c r="S9" s="221"/>
      <c r="T9" s="108"/>
      <c r="U9" s="248"/>
      <c r="V9" s="94" t="s">
        <v>78</v>
      </c>
      <c r="W9" s="195" t="s">
        <v>182</v>
      </c>
      <c r="X9" s="238">
        <v>9.8125E-3</v>
      </c>
      <c r="Y9" s="94"/>
      <c r="Z9" s="239" t="s">
        <v>183</v>
      </c>
      <c r="AA9" s="246">
        <v>44272</v>
      </c>
      <c r="AB9" s="246">
        <v>44363</v>
      </c>
      <c r="AC9" s="241">
        <v>99.72</v>
      </c>
      <c r="AD9" s="247">
        <v>1.4500000000000001E-2</v>
      </c>
      <c r="AE9" s="94"/>
      <c r="AF9" s="239" t="s">
        <v>45</v>
      </c>
      <c r="AG9" s="243">
        <v>5.6169999999999996E-3</v>
      </c>
      <c r="AH9" s="244" t="b">
        <v>1</v>
      </c>
      <c r="AI9" s="223"/>
    </row>
    <row r="10" spans="2:35" x14ac:dyDescent="0.25">
      <c r="B10" s="89"/>
      <c r="C10" s="129" t="s">
        <v>97</v>
      </c>
      <c r="D10" s="130" t="s">
        <v>184</v>
      </c>
      <c r="E10" s="94"/>
      <c r="F10" s="94"/>
      <c r="G10" s="94"/>
      <c r="H10" s="94"/>
      <c r="I10" s="94"/>
      <c r="J10" s="94"/>
      <c r="K10" s="94"/>
      <c r="L10" s="95"/>
      <c r="N10" s="89"/>
      <c r="O10" s="94"/>
      <c r="P10" s="94"/>
      <c r="Q10" s="95"/>
      <c r="S10" s="221"/>
      <c r="T10" s="127"/>
      <c r="U10" s="249"/>
      <c r="V10" s="94" t="s">
        <v>78</v>
      </c>
      <c r="W10" s="250"/>
      <c r="X10" s="251"/>
      <c r="Y10" s="94"/>
      <c r="Z10" s="239" t="s">
        <v>185</v>
      </c>
      <c r="AA10" s="246">
        <v>44363</v>
      </c>
      <c r="AB10" s="246">
        <v>44454</v>
      </c>
      <c r="AC10" s="241">
        <v>99.734999999999999</v>
      </c>
      <c r="AD10" s="247">
        <v>1.4500000000000001E-2</v>
      </c>
      <c r="AE10" s="94"/>
      <c r="AF10" s="239" t="s">
        <v>46</v>
      </c>
      <c r="AG10" s="243">
        <v>6.0619999999999997E-3</v>
      </c>
      <c r="AH10" s="244" t="b">
        <v>1</v>
      </c>
      <c r="AI10" s="223"/>
    </row>
    <row r="11" spans="2:35" x14ac:dyDescent="0.25">
      <c r="B11" s="89"/>
      <c r="C11" s="133" t="s">
        <v>98</v>
      </c>
      <c r="D11" s="150" t="s">
        <v>186</v>
      </c>
      <c r="E11" s="94"/>
      <c r="F11" s="94"/>
      <c r="G11" s="94"/>
      <c r="H11" s="94" t="s">
        <v>78</v>
      </c>
      <c r="I11" s="94" t="s">
        <v>78</v>
      </c>
      <c r="J11" s="94" t="s">
        <v>78</v>
      </c>
      <c r="K11" s="94"/>
      <c r="L11" s="95" t="s">
        <v>78</v>
      </c>
      <c r="N11" s="89"/>
      <c r="O11" s="99" t="s">
        <v>0</v>
      </c>
      <c r="P11" s="100"/>
      <c r="Q11" s="95"/>
      <c r="S11" s="221"/>
      <c r="T11" s="94"/>
      <c r="U11" s="94"/>
      <c r="V11" s="94" t="s">
        <v>78</v>
      </c>
      <c r="W11" s="94"/>
      <c r="X11" s="94"/>
      <c r="Y11" s="94"/>
      <c r="Z11" s="239" t="s">
        <v>187</v>
      </c>
      <c r="AA11" s="246">
        <v>44454</v>
      </c>
      <c r="AB11" s="246">
        <v>44545</v>
      </c>
      <c r="AC11" s="241">
        <v>99.734999999999999</v>
      </c>
      <c r="AD11" s="247">
        <v>1.4500000000000001E-2</v>
      </c>
      <c r="AE11" s="94"/>
      <c r="AF11" s="239" t="s">
        <v>47</v>
      </c>
      <c r="AG11" s="243">
        <v>6.4959999999999992E-3</v>
      </c>
      <c r="AH11" s="244" t="b">
        <v>1</v>
      </c>
      <c r="AI11" s="223"/>
    </row>
    <row r="12" spans="2:35" x14ac:dyDescent="0.25">
      <c r="B12" s="135"/>
      <c r="C12" s="136"/>
      <c r="D12" s="136"/>
      <c r="E12" s="136"/>
      <c r="F12" s="136"/>
      <c r="G12" s="136"/>
      <c r="H12" s="136"/>
      <c r="I12" s="136"/>
      <c r="J12" s="136"/>
      <c r="K12" s="136"/>
      <c r="L12" s="137"/>
      <c r="N12" s="89"/>
      <c r="O12" s="224" t="s">
        <v>5</v>
      </c>
      <c r="P12" s="126" t="s">
        <v>178</v>
      </c>
      <c r="Q12" s="95"/>
      <c r="S12" s="221"/>
      <c r="T12" s="141" t="s">
        <v>100</v>
      </c>
      <c r="U12" s="98"/>
      <c r="V12" s="94" t="s">
        <v>78</v>
      </c>
      <c r="W12" s="94"/>
      <c r="X12" s="94"/>
      <c r="Y12" s="94"/>
      <c r="Z12" s="239" t="s">
        <v>188</v>
      </c>
      <c r="AA12" s="246">
        <v>44545</v>
      </c>
      <c r="AB12" s="246">
        <v>44636</v>
      </c>
      <c r="AC12" s="241">
        <v>99.715000000000003</v>
      </c>
      <c r="AD12" s="247">
        <v>1.4500000000000001E-2</v>
      </c>
      <c r="AE12" s="94"/>
      <c r="AF12" s="239" t="s">
        <v>48</v>
      </c>
      <c r="AG12" s="243">
        <v>6.8089999999999991E-3</v>
      </c>
      <c r="AH12" s="244" t="b">
        <v>1</v>
      </c>
      <c r="AI12" s="223"/>
    </row>
    <row r="13" spans="2:35" x14ac:dyDescent="0.25">
      <c r="N13" s="89"/>
      <c r="O13" s="228" t="s">
        <v>95</v>
      </c>
      <c r="P13" s="140" t="s">
        <v>162</v>
      </c>
      <c r="Q13" s="95"/>
      <c r="S13" s="221"/>
      <c r="T13" s="90" t="s">
        <v>101</v>
      </c>
      <c r="U13" s="142" t="s">
        <v>189</v>
      </c>
      <c r="V13" s="94" t="s">
        <v>78</v>
      </c>
      <c r="W13" s="94"/>
      <c r="X13" s="94"/>
      <c r="Y13" s="94"/>
      <c r="Z13" s="239" t="s">
        <v>190</v>
      </c>
      <c r="AA13" s="246">
        <v>44636</v>
      </c>
      <c r="AB13" s="246">
        <v>44727</v>
      </c>
      <c r="AC13" s="241">
        <v>99.704999999999998</v>
      </c>
      <c r="AD13" s="247">
        <v>1.4500000000000001E-2</v>
      </c>
      <c r="AE13" s="94"/>
      <c r="AF13" s="239" t="s">
        <v>103</v>
      </c>
      <c r="AG13" s="243">
        <v>7.3209999999999994E-3</v>
      </c>
      <c r="AH13" s="244" t="b">
        <v>1</v>
      </c>
      <c r="AI13" s="223"/>
    </row>
    <row r="14" spans="2:35" x14ac:dyDescent="0.25">
      <c r="N14" s="89"/>
      <c r="O14" s="228" t="s">
        <v>97</v>
      </c>
      <c r="P14" s="140" t="s">
        <v>184</v>
      </c>
      <c r="Q14" s="95" t="s">
        <v>78</v>
      </c>
      <c r="S14" s="221"/>
      <c r="T14" s="127" t="s">
        <v>106</v>
      </c>
      <c r="U14" s="144" t="str">
        <f ca="1">_xll.meLWOCurveMarketDataPulse(U13,Settings.PulseFrequency,T4,T5:U10,W4,W6:X10,Z4,Z6:AD31,AF4,AF6:AH31)</f>
        <v>USD_SWAP_3M_CURVE_MARKETDATA@5:1</v>
      </c>
      <c r="V14" s="94" t="s">
        <v>78</v>
      </c>
      <c r="W14" s="94"/>
      <c r="X14" s="94"/>
      <c r="Y14" s="94"/>
      <c r="Z14" s="239"/>
      <c r="AA14" s="246"/>
      <c r="AB14" s="246"/>
      <c r="AC14" s="241"/>
      <c r="AD14" s="247"/>
      <c r="AE14" s="94"/>
      <c r="AF14" s="239" t="s">
        <v>107</v>
      </c>
      <c r="AG14" s="243">
        <v>7.7690000000000007E-3</v>
      </c>
      <c r="AH14" s="244" t="b">
        <v>1</v>
      </c>
      <c r="AI14" s="223"/>
    </row>
    <row r="15" spans="2:35" x14ac:dyDescent="0.25">
      <c r="B15" s="143" t="s">
        <v>104</v>
      </c>
      <c r="N15" s="89"/>
      <c r="O15" s="228" t="s">
        <v>105</v>
      </c>
      <c r="P15" s="140" t="s">
        <v>186</v>
      </c>
      <c r="Q15" s="95"/>
      <c r="S15" s="221"/>
      <c r="T15" s="94"/>
      <c r="U15" s="94"/>
      <c r="V15" s="94" t="s">
        <v>78</v>
      </c>
      <c r="W15" s="94"/>
      <c r="X15" s="94"/>
      <c r="Y15" s="94"/>
      <c r="Z15" s="239"/>
      <c r="AA15" s="246"/>
      <c r="AB15" s="246"/>
      <c r="AC15" s="241"/>
      <c r="AD15" s="247"/>
      <c r="AE15" s="94"/>
      <c r="AF15" s="239" t="s">
        <v>108</v>
      </c>
      <c r="AG15" s="243">
        <v>8.2719999999999998E-3</v>
      </c>
      <c r="AH15" s="244" t="b">
        <v>1</v>
      </c>
      <c r="AI15" s="223"/>
    </row>
    <row r="16" spans="2:35" x14ac:dyDescent="0.25">
      <c r="B16" s="84"/>
      <c r="C16" s="85"/>
      <c r="D16" s="86"/>
      <c r="E16" s="87"/>
      <c r="F16" s="87"/>
      <c r="G16" s="87"/>
      <c r="H16" s="145"/>
      <c r="I16" s="87"/>
      <c r="J16" s="87"/>
      <c r="K16" s="87"/>
      <c r="L16" s="88"/>
      <c r="N16" s="89"/>
      <c r="O16" s="228" t="s">
        <v>2</v>
      </c>
      <c r="P16" s="130" t="s">
        <v>90</v>
      </c>
      <c r="Q16" s="95"/>
      <c r="S16" s="221"/>
      <c r="T16" s="94"/>
      <c r="U16" s="94"/>
      <c r="V16" s="94" t="s">
        <v>78</v>
      </c>
      <c r="W16" s="94"/>
      <c r="X16" s="94"/>
      <c r="Y16" s="94"/>
      <c r="Z16" s="239"/>
      <c r="AA16" s="246"/>
      <c r="AB16" s="246"/>
      <c r="AC16" s="241"/>
      <c r="AD16" s="247"/>
      <c r="AE16" s="94"/>
      <c r="AF16" s="239" t="s">
        <v>111</v>
      </c>
      <c r="AG16" s="243">
        <v>8.4200000000000004E-3</v>
      </c>
      <c r="AH16" s="244" t="b">
        <v>1</v>
      </c>
      <c r="AI16" s="223"/>
    </row>
    <row r="17" spans="2:36" x14ac:dyDescent="0.25">
      <c r="B17" s="89"/>
      <c r="C17" s="117" t="s">
        <v>104</v>
      </c>
      <c r="D17" s="146"/>
      <c r="E17" s="94"/>
      <c r="F17" s="94"/>
      <c r="G17" s="94"/>
      <c r="H17" s="94"/>
      <c r="I17" s="94"/>
      <c r="J17" s="94"/>
      <c r="K17" s="94"/>
      <c r="L17" s="95"/>
      <c r="N17" s="89"/>
      <c r="O17" s="228" t="s">
        <v>109</v>
      </c>
      <c r="P17" s="130" t="s">
        <v>191</v>
      </c>
      <c r="Q17" s="95"/>
      <c r="S17" s="221"/>
      <c r="T17" s="94"/>
      <c r="U17" s="94"/>
      <c r="V17" s="94" t="s">
        <v>78</v>
      </c>
      <c r="W17" s="94"/>
      <c r="X17" s="94"/>
      <c r="Y17" s="94"/>
      <c r="Z17" s="239"/>
      <c r="AA17" s="246"/>
      <c r="AB17" s="246"/>
      <c r="AC17" s="241"/>
      <c r="AD17" s="247"/>
      <c r="AE17" s="94"/>
      <c r="AF17" s="239" t="s">
        <v>113</v>
      </c>
      <c r="AG17" s="243">
        <v>8.4969999999999993E-3</v>
      </c>
      <c r="AH17" s="244" t="b">
        <v>1</v>
      </c>
      <c r="AI17" s="223"/>
    </row>
    <row r="18" spans="2:36" x14ac:dyDescent="0.25">
      <c r="B18" s="89"/>
      <c r="C18" s="125" t="s">
        <v>19</v>
      </c>
      <c r="D18" s="148">
        <f>Settings.COB</f>
        <v>43937</v>
      </c>
      <c r="E18" s="94"/>
      <c r="F18" s="94"/>
      <c r="G18" s="94"/>
      <c r="H18" s="94"/>
      <c r="I18" s="94"/>
      <c r="J18" s="94"/>
      <c r="K18" s="94"/>
      <c r="L18" s="95"/>
      <c r="N18" s="89"/>
      <c r="O18" s="228" t="s">
        <v>112</v>
      </c>
      <c r="P18" s="130" t="s">
        <v>191</v>
      </c>
      <c r="Q18" s="95"/>
      <c r="S18" s="221"/>
      <c r="T18" s="94"/>
      <c r="U18" s="94"/>
      <c r="V18" s="94" t="s">
        <v>78</v>
      </c>
      <c r="W18" s="94"/>
      <c r="X18" s="94"/>
      <c r="Y18" s="94"/>
      <c r="Z18" s="239"/>
      <c r="AA18" s="246"/>
      <c r="AB18" s="246"/>
      <c r="AC18" s="241"/>
      <c r="AD18" s="247"/>
      <c r="AE18" s="94"/>
      <c r="AF18" s="404" t="s">
        <v>114</v>
      </c>
      <c r="AG18" s="405">
        <v>8.4969999999999993E-3</v>
      </c>
      <c r="AH18" s="244" t="b">
        <v>1</v>
      </c>
      <c r="AI18" s="406" t="s">
        <v>115</v>
      </c>
      <c r="AJ18" s="400"/>
    </row>
    <row r="19" spans="2:36" x14ac:dyDescent="0.25">
      <c r="B19" s="89"/>
      <c r="C19" s="129" t="s">
        <v>2</v>
      </c>
      <c r="D19" s="130" t="s">
        <v>90</v>
      </c>
      <c r="E19" s="94"/>
      <c r="F19" s="94"/>
      <c r="G19" s="94"/>
      <c r="H19" s="94"/>
      <c r="I19" s="94"/>
      <c r="J19" s="94"/>
      <c r="K19" s="94"/>
      <c r="L19" s="95"/>
      <c r="N19" s="89"/>
      <c r="O19" s="228" t="s">
        <v>192</v>
      </c>
      <c r="P19" s="130" t="s">
        <v>191</v>
      </c>
      <c r="Q19" s="95"/>
      <c r="S19" s="221"/>
      <c r="T19" s="94"/>
      <c r="U19" s="94"/>
      <c r="V19" s="94" t="s">
        <v>78</v>
      </c>
      <c r="W19" s="94"/>
      <c r="X19" s="94"/>
      <c r="Y19" s="94"/>
      <c r="Z19" s="239"/>
      <c r="AA19" s="246"/>
      <c r="AB19" s="246"/>
      <c r="AC19" s="241"/>
      <c r="AD19" s="247"/>
      <c r="AE19" s="94"/>
      <c r="AF19" s="404" t="s">
        <v>117</v>
      </c>
      <c r="AG19" s="405">
        <v>8.4969999999999993E-3</v>
      </c>
      <c r="AH19" s="244" t="b">
        <v>1</v>
      </c>
      <c r="AI19" s="406" t="s">
        <v>115</v>
      </c>
      <c r="AJ19" s="400"/>
    </row>
    <row r="20" spans="2:36" x14ac:dyDescent="0.25">
      <c r="B20" s="89"/>
      <c r="C20" s="139" t="s">
        <v>109</v>
      </c>
      <c r="D20" s="130" t="s">
        <v>191</v>
      </c>
      <c r="E20" s="94"/>
      <c r="F20" s="94"/>
      <c r="G20" s="94"/>
      <c r="H20" s="94"/>
      <c r="I20" s="94"/>
      <c r="J20" s="94"/>
      <c r="K20" s="94"/>
      <c r="L20" s="95"/>
      <c r="N20" s="89"/>
      <c r="O20" s="120" t="s">
        <v>193</v>
      </c>
      <c r="P20" s="130" t="b">
        <v>0</v>
      </c>
      <c r="Q20" s="95"/>
      <c r="S20" s="221"/>
      <c r="T20" s="151" t="s">
        <v>116</v>
      </c>
      <c r="U20" s="252"/>
      <c r="V20" s="94" t="s">
        <v>78</v>
      </c>
      <c r="W20" s="94"/>
      <c r="X20" s="94"/>
      <c r="Y20" s="94"/>
      <c r="Z20" s="239"/>
      <c r="AA20" s="246"/>
      <c r="AB20" s="246"/>
      <c r="AC20" s="241"/>
      <c r="AD20" s="247"/>
      <c r="AE20" s="94"/>
      <c r="AF20" s="239"/>
      <c r="AG20" s="243"/>
      <c r="AH20" s="253"/>
      <c r="AI20" s="223"/>
    </row>
    <row r="21" spans="2:36" x14ac:dyDescent="0.25">
      <c r="B21" s="89"/>
      <c r="C21" s="139" t="s">
        <v>112</v>
      </c>
      <c r="D21" s="130" t="s">
        <v>191</v>
      </c>
      <c r="E21" s="94"/>
      <c r="F21" s="94"/>
      <c r="G21" s="94"/>
      <c r="H21" s="94"/>
      <c r="I21" s="94"/>
      <c r="J21" s="94"/>
      <c r="K21" s="94"/>
      <c r="L21" s="95"/>
      <c r="N21" s="89"/>
      <c r="O21" s="120" t="s">
        <v>194</v>
      </c>
      <c r="P21" s="130" t="b">
        <v>1</v>
      </c>
      <c r="Q21" s="95"/>
      <c r="S21" s="221"/>
      <c r="T21" s="152" t="s">
        <v>101</v>
      </c>
      <c r="U21" s="153" t="s">
        <v>195</v>
      </c>
      <c r="V21" s="94" t="s">
        <v>78</v>
      </c>
      <c r="W21" s="94"/>
      <c r="X21" s="94"/>
      <c r="Y21" s="94"/>
      <c r="Z21" s="239"/>
      <c r="AA21" s="246"/>
      <c r="AB21" s="246"/>
      <c r="AC21" s="241"/>
      <c r="AD21" s="247"/>
      <c r="AE21" s="94"/>
      <c r="AF21" s="239"/>
      <c r="AG21" s="243"/>
      <c r="AH21" s="253"/>
      <c r="AI21" s="223"/>
    </row>
    <row r="22" spans="2:36" x14ac:dyDescent="0.25">
      <c r="B22" s="89"/>
      <c r="C22" s="139" t="s">
        <v>192</v>
      </c>
      <c r="D22" s="130" t="s">
        <v>191</v>
      </c>
      <c r="E22" s="94"/>
      <c r="F22" s="94"/>
      <c r="G22" s="94"/>
      <c r="H22" s="94"/>
      <c r="I22" s="94"/>
      <c r="J22" s="94"/>
      <c r="K22" s="94"/>
      <c r="L22" s="95"/>
      <c r="N22" s="89"/>
      <c r="O22" s="120" t="s">
        <v>161</v>
      </c>
      <c r="P22" s="130" t="s">
        <v>196</v>
      </c>
      <c r="Q22" s="95"/>
      <c r="S22" s="221"/>
      <c r="T22" s="155" t="s">
        <v>119</v>
      </c>
      <c r="U22" s="8" t="s">
        <v>197</v>
      </c>
      <c r="V22" s="94" t="s">
        <v>78</v>
      </c>
      <c r="W22" s="94"/>
      <c r="X22" s="94"/>
      <c r="Y22" s="94"/>
      <c r="Z22" s="239"/>
      <c r="AA22" s="246"/>
      <c r="AB22" s="246"/>
      <c r="AC22" s="241"/>
      <c r="AD22" s="247"/>
      <c r="AE22" s="94"/>
      <c r="AF22" s="239"/>
      <c r="AG22" s="243"/>
      <c r="AH22" s="253"/>
      <c r="AI22" s="223"/>
    </row>
    <row r="23" spans="2:36" x14ac:dyDescent="0.25">
      <c r="B23" s="89"/>
      <c r="C23" s="139" t="s">
        <v>193</v>
      </c>
      <c r="D23" s="130" t="b">
        <v>0</v>
      </c>
      <c r="E23" s="94"/>
      <c r="F23" s="94"/>
      <c r="G23" s="94"/>
      <c r="H23" s="94"/>
      <c r="I23" s="94"/>
      <c r="J23" s="94"/>
      <c r="K23" s="94"/>
      <c r="L23" s="95"/>
      <c r="N23" s="89"/>
      <c r="O23" s="120" t="s">
        <v>198</v>
      </c>
      <c r="P23" s="130" t="s">
        <v>80</v>
      </c>
      <c r="Q23" s="95"/>
      <c r="S23" s="221"/>
      <c r="T23" s="155" t="s">
        <v>123</v>
      </c>
      <c r="U23" s="156" t="s">
        <v>56</v>
      </c>
      <c r="V23" s="94" t="s">
        <v>78</v>
      </c>
      <c r="W23" s="94"/>
      <c r="X23" s="94"/>
      <c r="Y23" s="94"/>
      <c r="Z23" s="239"/>
      <c r="AA23" s="246"/>
      <c r="AB23" s="246"/>
      <c r="AC23" s="241"/>
      <c r="AD23" s="247"/>
      <c r="AE23" s="94"/>
      <c r="AF23" s="239"/>
      <c r="AG23" s="243"/>
      <c r="AH23" s="253"/>
      <c r="AI23" s="223"/>
    </row>
    <row r="24" spans="2:36" x14ac:dyDescent="0.25">
      <c r="B24" s="89"/>
      <c r="C24" s="139" t="s">
        <v>194</v>
      </c>
      <c r="D24" s="130" t="b">
        <v>1</v>
      </c>
      <c r="E24" s="94"/>
      <c r="F24" s="94"/>
      <c r="G24" s="94"/>
      <c r="H24" s="94"/>
      <c r="I24" s="94"/>
      <c r="J24" s="94"/>
      <c r="K24" s="94"/>
      <c r="L24" s="95"/>
      <c r="N24" s="89"/>
      <c r="O24" s="120" t="s">
        <v>199</v>
      </c>
      <c r="P24" s="130" t="b">
        <v>1</v>
      </c>
      <c r="Q24" s="95"/>
      <c r="S24" s="221"/>
      <c r="T24" s="159" t="s">
        <v>126</v>
      </c>
      <c r="U24" s="160"/>
      <c r="V24" s="94" t="s">
        <v>78</v>
      </c>
      <c r="W24" s="94"/>
      <c r="X24" s="94"/>
      <c r="Y24" s="94"/>
      <c r="Z24" s="239"/>
      <c r="AA24" s="246"/>
      <c r="AB24" s="246"/>
      <c r="AC24" s="241"/>
      <c r="AD24" s="247"/>
      <c r="AE24" s="94"/>
      <c r="AF24" s="239"/>
      <c r="AG24" s="243"/>
      <c r="AH24" s="253"/>
      <c r="AI24" s="223"/>
    </row>
    <row r="25" spans="2:36" x14ac:dyDescent="0.25">
      <c r="B25" s="89"/>
      <c r="C25" s="139" t="s">
        <v>161</v>
      </c>
      <c r="D25" s="130" t="s">
        <v>196</v>
      </c>
      <c r="E25" s="94"/>
      <c r="F25" s="94"/>
      <c r="G25" s="94"/>
      <c r="H25" s="94"/>
      <c r="I25" s="94"/>
      <c r="J25" s="94"/>
      <c r="K25" s="94"/>
      <c r="L25" s="95"/>
      <c r="N25" s="89"/>
      <c r="O25" s="120" t="s">
        <v>200</v>
      </c>
      <c r="P25" s="130" t="b">
        <v>1</v>
      </c>
      <c r="Q25" s="95"/>
      <c r="S25" s="221"/>
      <c r="T25" s="94"/>
      <c r="U25" s="94"/>
      <c r="V25" s="94" t="s">
        <v>78</v>
      </c>
      <c r="W25" s="94"/>
      <c r="X25" s="94"/>
      <c r="Y25" s="94"/>
      <c r="Z25" s="239"/>
      <c r="AA25" s="246"/>
      <c r="AB25" s="246"/>
      <c r="AC25" s="241"/>
      <c r="AD25" s="247"/>
      <c r="AE25" s="94"/>
      <c r="AF25" s="239"/>
      <c r="AG25" s="243"/>
      <c r="AH25" s="253"/>
      <c r="AI25" s="223"/>
    </row>
    <row r="26" spans="2:36" x14ac:dyDescent="0.25">
      <c r="B26" s="89"/>
      <c r="C26" s="139" t="s">
        <v>198</v>
      </c>
      <c r="D26" s="130" t="s">
        <v>80</v>
      </c>
      <c r="E26" s="94"/>
      <c r="F26" s="94"/>
      <c r="G26" s="94"/>
      <c r="H26" s="94"/>
      <c r="I26" s="94"/>
      <c r="J26" s="94"/>
      <c r="K26" s="94"/>
      <c r="L26" s="95"/>
      <c r="N26" s="89"/>
      <c r="O26" s="131"/>
      <c r="P26" s="150"/>
      <c r="Q26" s="95"/>
      <c r="S26" s="221"/>
      <c r="T26" s="94"/>
      <c r="U26" s="94"/>
      <c r="V26" s="94" t="s">
        <v>78</v>
      </c>
      <c r="W26" s="94"/>
      <c r="X26" s="94"/>
      <c r="Y26" s="94"/>
      <c r="Z26" s="239"/>
      <c r="AA26" s="246"/>
      <c r="AB26" s="246"/>
      <c r="AC26" s="241"/>
      <c r="AD26" s="247"/>
      <c r="AE26" s="94"/>
      <c r="AF26" s="239"/>
      <c r="AG26" s="243"/>
      <c r="AH26" s="253"/>
      <c r="AI26" s="223"/>
    </row>
    <row r="27" spans="2:36" x14ac:dyDescent="0.25">
      <c r="B27" s="89"/>
      <c r="C27" s="149" t="s">
        <v>200</v>
      </c>
      <c r="D27" s="150" t="b">
        <v>1</v>
      </c>
      <c r="E27" s="94"/>
      <c r="F27" s="94"/>
      <c r="G27" s="94"/>
      <c r="H27" s="94"/>
      <c r="I27" s="94"/>
      <c r="J27" s="94"/>
      <c r="K27" s="94"/>
      <c r="L27" s="95"/>
      <c r="N27" s="89"/>
      <c r="O27" s="94"/>
      <c r="P27" s="94"/>
      <c r="Q27" s="95"/>
      <c r="S27" s="221"/>
      <c r="T27" s="151" t="s">
        <v>138</v>
      </c>
      <c r="U27" s="94"/>
      <c r="V27" s="94" t="s">
        <v>78</v>
      </c>
      <c r="W27" s="94"/>
      <c r="X27" s="94"/>
      <c r="Y27" s="94"/>
      <c r="Z27" s="239"/>
      <c r="AA27" s="246"/>
      <c r="AB27" s="246"/>
      <c r="AC27" s="241"/>
      <c r="AD27" s="247"/>
      <c r="AE27" s="94"/>
      <c r="AF27" s="239"/>
      <c r="AG27" s="243"/>
      <c r="AH27" s="253"/>
      <c r="AI27" s="223"/>
    </row>
    <row r="28" spans="2:36" x14ac:dyDescent="0.25">
      <c r="B28" s="135"/>
      <c r="C28" s="136"/>
      <c r="D28" s="136"/>
      <c r="E28" s="136"/>
      <c r="F28" s="136"/>
      <c r="G28" s="136"/>
      <c r="H28" s="136"/>
      <c r="I28" s="136"/>
      <c r="J28" s="136"/>
      <c r="K28" s="136"/>
      <c r="L28" s="137"/>
      <c r="N28" s="89"/>
      <c r="O28" s="99" t="s">
        <v>201</v>
      </c>
      <c r="P28" s="100"/>
      <c r="Q28" s="95"/>
      <c r="S28" s="221"/>
      <c r="T28" s="7" t="s">
        <v>101</v>
      </c>
      <c r="U28" s="165" t="str">
        <f t="array" aca="1" ref="U28:U31" ca="1">IF(isUSDOISLoaded,_xll.meLWOCurveCalibrate(U21,U22,U14,U23,U24),"LOAD USDOIS")</f>
        <v>USD_SWAP_3M_CURVE@8:1</v>
      </c>
      <c r="V28" s="94" t="s">
        <v>78</v>
      </c>
      <c r="W28" s="94"/>
      <c r="X28" s="94"/>
      <c r="Y28" s="94"/>
      <c r="Z28" s="239"/>
      <c r="AA28" s="246"/>
      <c r="AB28" s="246"/>
      <c r="AC28" s="241"/>
      <c r="AD28" s="247"/>
      <c r="AE28" s="94"/>
      <c r="AF28" s="239"/>
      <c r="AG28" s="243"/>
      <c r="AH28" s="253"/>
      <c r="AI28" s="223"/>
    </row>
    <row r="29" spans="2:36" x14ac:dyDescent="0.25">
      <c r="N29" s="89"/>
      <c r="O29" s="125" t="s">
        <v>121</v>
      </c>
      <c r="P29" s="164" t="s">
        <v>122</v>
      </c>
      <c r="Q29" s="95"/>
      <c r="S29" s="221"/>
      <c r="T29" s="8" t="s">
        <v>141</v>
      </c>
      <c r="U29" s="166" t="str">
        <f ca="1"/>
        <v>USDYC</v>
      </c>
      <c r="V29" s="94" t="s">
        <v>78</v>
      </c>
      <c r="W29" s="94"/>
      <c r="X29" s="94"/>
      <c r="Y29" s="94"/>
      <c r="Z29" s="239"/>
      <c r="AA29" s="246"/>
      <c r="AB29" s="246"/>
      <c r="AC29" s="241"/>
      <c r="AD29" s="247"/>
      <c r="AE29" s="94"/>
      <c r="AF29" s="239"/>
      <c r="AG29" s="243"/>
      <c r="AH29" s="253"/>
      <c r="AI29" s="223"/>
    </row>
    <row r="30" spans="2:36" x14ac:dyDescent="0.25">
      <c r="N30" s="89"/>
      <c r="O30" s="129" t="s">
        <v>124</v>
      </c>
      <c r="P30" s="168" t="s">
        <v>202</v>
      </c>
      <c r="Q30" s="95"/>
      <c r="S30" s="221"/>
      <c r="T30" s="8" t="s">
        <v>142</v>
      </c>
      <c r="U30" s="166" t="str">
        <f ca="1"/>
        <v>STD:USD3ML</v>
      </c>
      <c r="V30" s="94" t="s">
        <v>78</v>
      </c>
      <c r="W30" s="94"/>
      <c r="X30" s="94"/>
      <c r="Y30" s="94"/>
      <c r="Z30" s="239"/>
      <c r="AA30" s="246"/>
      <c r="AB30" s="246"/>
      <c r="AC30" s="241"/>
      <c r="AD30" s="247"/>
      <c r="AE30" s="94"/>
      <c r="AF30" s="239"/>
      <c r="AG30" s="243"/>
      <c r="AH30" s="253"/>
      <c r="AI30" s="223"/>
    </row>
    <row r="31" spans="2:36" x14ac:dyDescent="0.25">
      <c r="B31" s="143" t="s">
        <v>203</v>
      </c>
      <c r="N31" s="89"/>
      <c r="O31" s="129" t="s">
        <v>140</v>
      </c>
      <c r="P31" s="168" t="s">
        <v>204</v>
      </c>
      <c r="Q31" s="95"/>
      <c r="S31" s="221"/>
      <c r="T31" s="9" t="s">
        <v>145</v>
      </c>
      <c r="U31" s="167" t="str">
        <f ca="1"/>
        <v>0.00900 sec</v>
      </c>
      <c r="V31" s="94"/>
      <c r="W31" s="94"/>
      <c r="X31" s="94"/>
      <c r="Y31" s="94"/>
      <c r="Z31" s="254"/>
      <c r="AA31" s="255"/>
      <c r="AB31" s="255"/>
      <c r="AC31" s="256"/>
      <c r="AD31" s="257"/>
      <c r="AE31" s="94"/>
      <c r="AF31" s="254"/>
      <c r="AG31" s="258"/>
      <c r="AH31" s="259"/>
      <c r="AI31" s="223"/>
    </row>
    <row r="32" spans="2:36" x14ac:dyDescent="0.25">
      <c r="B32" s="84"/>
      <c r="C32" s="87"/>
      <c r="D32" s="87"/>
      <c r="E32" s="87"/>
      <c r="F32" s="87"/>
      <c r="G32" s="87"/>
      <c r="H32" s="87"/>
      <c r="I32" s="87"/>
      <c r="J32" s="87"/>
      <c r="K32" s="87"/>
      <c r="L32" s="88"/>
      <c r="N32" s="89"/>
      <c r="O32" s="129"/>
      <c r="P32" s="168"/>
      <c r="Q32" s="95"/>
      <c r="S32" s="221"/>
      <c r="T32" s="183" t="s">
        <v>148</v>
      </c>
      <c r="U32" s="184" t="b">
        <f ca="1">_xll.meLWOExists(U28,"CURVE")</f>
        <v>1</v>
      </c>
      <c r="V32" s="94"/>
      <c r="W32" s="94"/>
      <c r="X32" s="94"/>
      <c r="Y32" s="94"/>
      <c r="Z32" s="94"/>
      <c r="AA32" s="94"/>
      <c r="AB32" s="94"/>
      <c r="AC32" s="94"/>
      <c r="AD32" s="94"/>
      <c r="AE32" s="94"/>
      <c r="AF32" s="94"/>
      <c r="AG32" s="94"/>
      <c r="AH32" s="94"/>
      <c r="AI32" s="223"/>
    </row>
    <row r="33" spans="2:35" x14ac:dyDescent="0.25">
      <c r="B33" s="89"/>
      <c r="C33" s="96" t="s">
        <v>205</v>
      </c>
      <c r="D33" s="162"/>
      <c r="E33" s="162"/>
      <c r="F33" s="96" t="s">
        <v>206</v>
      </c>
      <c r="G33" s="162"/>
      <c r="H33" s="162"/>
      <c r="I33" s="96" t="s">
        <v>207</v>
      </c>
      <c r="J33" s="162"/>
      <c r="K33" s="162"/>
      <c r="L33" s="163"/>
      <c r="N33" s="89"/>
      <c r="O33" s="129"/>
      <c r="P33" s="189"/>
      <c r="Q33" s="95"/>
      <c r="S33" s="221"/>
      <c r="T33" s="94"/>
      <c r="U33" s="94"/>
      <c r="V33" s="94"/>
      <c r="W33" s="94"/>
      <c r="X33" s="94"/>
      <c r="Y33" s="94"/>
      <c r="Z33" s="94"/>
      <c r="AA33" s="94"/>
      <c r="AB33" s="94"/>
      <c r="AC33" s="94"/>
      <c r="AD33" s="94"/>
      <c r="AE33" s="94"/>
      <c r="AF33" s="94"/>
      <c r="AG33" s="94"/>
      <c r="AH33" s="94"/>
      <c r="AI33" s="223"/>
    </row>
    <row r="34" spans="2:35" x14ac:dyDescent="0.25">
      <c r="B34" s="89"/>
      <c r="C34" s="125" t="s">
        <v>121</v>
      </c>
      <c r="D34" s="164" t="s">
        <v>122</v>
      </c>
      <c r="E34" s="94"/>
      <c r="F34" s="125" t="s">
        <v>121</v>
      </c>
      <c r="G34" s="164" t="s">
        <v>159</v>
      </c>
      <c r="H34" s="162"/>
      <c r="I34" s="227" t="s">
        <v>24</v>
      </c>
      <c r="J34" s="227" t="s">
        <v>84</v>
      </c>
      <c r="K34" s="227"/>
      <c r="L34" s="163"/>
      <c r="N34" s="89"/>
      <c r="O34" s="159"/>
      <c r="P34" s="198"/>
      <c r="Q34" s="95"/>
      <c r="S34" s="221"/>
      <c r="T34" s="94"/>
      <c r="U34" s="94"/>
      <c r="V34" s="94"/>
      <c r="W34" s="94"/>
      <c r="X34" s="94"/>
      <c r="Y34" s="94"/>
      <c r="Z34" s="94"/>
      <c r="AA34" s="94"/>
      <c r="AB34" s="94"/>
      <c r="AC34" s="94"/>
      <c r="AD34" s="94"/>
      <c r="AE34" s="94"/>
      <c r="AF34" s="94"/>
      <c r="AG34" s="94"/>
      <c r="AH34" s="94"/>
      <c r="AI34" s="223"/>
    </row>
    <row r="35" spans="2:35" x14ac:dyDescent="0.25">
      <c r="B35" s="89"/>
      <c r="C35" s="129" t="s">
        <v>124</v>
      </c>
      <c r="D35" s="168" t="s">
        <v>202</v>
      </c>
      <c r="E35" s="169"/>
      <c r="F35" s="185" t="s">
        <v>124</v>
      </c>
      <c r="G35" s="260" t="s">
        <v>202</v>
      </c>
      <c r="H35" s="162"/>
      <c r="I35" s="112" t="str">
        <f>'[1]MKT DATA USD'!M7</f>
        <v>1M</v>
      </c>
      <c r="J35" s="206">
        <f>'[1]MKT DATA USD'!R7</f>
        <v>7.1825000000000005E-3</v>
      </c>
      <c r="K35" s="227"/>
      <c r="L35" s="163"/>
      <c r="N35" s="89"/>
      <c r="O35" s="94"/>
      <c r="P35" s="94"/>
      <c r="Q35" s="95"/>
      <c r="S35" s="221"/>
      <c r="T35" s="94"/>
      <c r="U35" s="94"/>
      <c r="V35" s="94"/>
      <c r="W35" s="94"/>
      <c r="X35" s="94"/>
      <c r="Y35" s="94"/>
      <c r="Z35" s="94"/>
      <c r="AA35" s="94"/>
      <c r="AB35" s="94"/>
      <c r="AC35" s="94"/>
      <c r="AD35" s="94"/>
      <c r="AE35" s="94"/>
      <c r="AF35" s="94"/>
      <c r="AG35" s="94"/>
      <c r="AH35" s="94"/>
      <c r="AI35" s="223"/>
    </row>
    <row r="36" spans="2:35" x14ac:dyDescent="0.25">
      <c r="B36" s="89"/>
      <c r="C36" s="129" t="s">
        <v>140</v>
      </c>
      <c r="D36" s="168" t="s">
        <v>204</v>
      </c>
      <c r="E36" s="169"/>
      <c r="F36" s="139" t="s">
        <v>127</v>
      </c>
      <c r="G36" s="168" t="s">
        <v>208</v>
      </c>
      <c r="H36" s="162"/>
      <c r="I36" s="122" t="str">
        <f>'[1]MKT DATA USD'!M8</f>
        <v>3M</v>
      </c>
      <c r="J36" s="208">
        <f>'[1]MKT DATA USD'!R8</f>
        <v>1.1352500000000001E-2</v>
      </c>
      <c r="K36" s="227"/>
      <c r="L36" s="163"/>
      <c r="N36" s="89"/>
      <c r="O36" s="99" t="s">
        <v>173</v>
      </c>
      <c r="P36" s="100"/>
      <c r="Q36" s="95"/>
      <c r="S36" s="221"/>
      <c r="T36" s="94"/>
      <c r="U36" s="94"/>
      <c r="V36" s="94" t="s">
        <v>78</v>
      </c>
      <c r="W36" s="94"/>
      <c r="X36" s="94"/>
      <c r="Y36" s="94"/>
      <c r="Z36" s="94"/>
      <c r="AA36" s="94"/>
      <c r="AB36" s="94"/>
      <c r="AC36" s="94"/>
      <c r="AD36" s="94"/>
      <c r="AE36" s="94"/>
      <c r="AF36" s="94"/>
      <c r="AG36" s="94"/>
      <c r="AH36" s="94"/>
      <c r="AI36" s="223"/>
    </row>
    <row r="37" spans="2:35" x14ac:dyDescent="0.25">
      <c r="B37" s="89"/>
      <c r="C37" s="129"/>
      <c r="D37" s="168"/>
      <c r="E37" s="169"/>
      <c r="F37" s="139" t="s">
        <v>132</v>
      </c>
      <c r="G37" s="260" t="s">
        <v>209</v>
      </c>
      <c r="H37" s="162"/>
      <c r="I37" s="122" t="str">
        <f>'[1]MKT DATA USD'!M9</f>
        <v>6M</v>
      </c>
      <c r="J37" s="208">
        <f>'[1]MKT DATA USD'!R9</f>
        <v>1.125E-2</v>
      </c>
      <c r="K37" s="227"/>
      <c r="L37" s="163"/>
      <c r="N37" s="89"/>
      <c r="O37" s="125" t="s">
        <v>121</v>
      </c>
      <c r="P37" s="164" t="s">
        <v>159</v>
      </c>
      <c r="Q37" s="95"/>
      <c r="S37" s="221"/>
      <c r="T37" s="94"/>
      <c r="U37" s="94"/>
      <c r="V37" s="94" t="s">
        <v>78</v>
      </c>
      <c r="W37" s="94"/>
      <c r="X37" s="94"/>
      <c r="Y37" s="94"/>
      <c r="Z37" s="94"/>
      <c r="AA37" s="94"/>
      <c r="AB37" s="94"/>
      <c r="AC37" s="94"/>
      <c r="AD37" s="94"/>
      <c r="AE37" s="94"/>
      <c r="AF37" s="94"/>
      <c r="AG37" s="94"/>
      <c r="AH37" s="94"/>
      <c r="AI37" s="223"/>
    </row>
    <row r="38" spans="2:35" x14ac:dyDescent="0.25">
      <c r="B38" s="89"/>
      <c r="C38" s="129"/>
      <c r="D38" s="189"/>
      <c r="E38" s="169"/>
      <c r="F38" s="139" t="s">
        <v>140</v>
      </c>
      <c r="G38" s="168" t="s">
        <v>15</v>
      </c>
      <c r="H38" s="162"/>
      <c r="I38" s="122" t="str">
        <f>'[1]MKT DATA USD'!M10</f>
        <v>12M</v>
      </c>
      <c r="J38" s="208">
        <f>'[1]MKT DATA USD'!R10</f>
        <v>9.8125E-3</v>
      </c>
      <c r="K38" s="227"/>
      <c r="L38" s="163"/>
      <c r="N38" s="89"/>
      <c r="O38" s="185" t="s">
        <v>124</v>
      </c>
      <c r="P38" s="260" t="s">
        <v>202</v>
      </c>
      <c r="Q38" s="95"/>
      <c r="S38" s="221"/>
      <c r="T38" s="94"/>
      <c r="U38" s="94"/>
      <c r="V38" s="94" t="s">
        <v>78</v>
      </c>
      <c r="W38" s="94"/>
      <c r="X38" s="94"/>
      <c r="Y38" s="94"/>
      <c r="Z38" s="94"/>
      <c r="AA38" s="94"/>
      <c r="AB38" s="94"/>
      <c r="AC38" s="94"/>
      <c r="AD38" s="94"/>
      <c r="AE38" s="94"/>
      <c r="AF38" s="94"/>
      <c r="AG38" s="94"/>
      <c r="AH38" s="94"/>
      <c r="AI38" s="223"/>
    </row>
    <row r="39" spans="2:35" x14ac:dyDescent="0.25">
      <c r="B39" s="89"/>
      <c r="C39" s="159"/>
      <c r="D39" s="198"/>
      <c r="E39" s="169"/>
      <c r="F39" s="149"/>
      <c r="G39" s="261"/>
      <c r="H39" s="162"/>
      <c r="I39" s="250"/>
      <c r="J39" s="182"/>
      <c r="K39" s="227"/>
      <c r="L39" s="163"/>
      <c r="N39" s="89"/>
      <c r="O39" s="139" t="s">
        <v>127</v>
      </c>
      <c r="P39" s="168" t="s">
        <v>208</v>
      </c>
      <c r="Q39" s="95"/>
      <c r="S39" s="221"/>
      <c r="T39" s="94"/>
      <c r="U39" s="94"/>
      <c r="V39" s="94" t="s">
        <v>78</v>
      </c>
      <c r="W39" s="94"/>
      <c r="X39" s="94"/>
      <c r="Y39" s="94"/>
      <c r="Z39" s="94"/>
      <c r="AA39" s="94"/>
      <c r="AB39" s="94"/>
      <c r="AC39" s="94"/>
      <c r="AD39" s="94"/>
      <c r="AE39" s="94"/>
      <c r="AF39" s="94"/>
      <c r="AG39" s="94"/>
      <c r="AH39" s="94"/>
      <c r="AI39" s="223"/>
    </row>
    <row r="40" spans="2:35" x14ac:dyDescent="0.25">
      <c r="B40" s="89"/>
      <c r="C40" s="169"/>
      <c r="D40" s="169"/>
      <c r="E40" s="169"/>
      <c r="F40" s="162"/>
      <c r="G40" s="162"/>
      <c r="H40" s="162"/>
      <c r="I40" s="162" t="s">
        <v>210</v>
      </c>
      <c r="J40" s="162"/>
      <c r="K40" s="162"/>
      <c r="L40" s="163"/>
      <c r="N40" s="89"/>
      <c r="O40" s="139" t="s">
        <v>132</v>
      </c>
      <c r="P40" s="260" t="s">
        <v>209</v>
      </c>
      <c r="Q40" s="95"/>
      <c r="S40" s="221"/>
      <c r="T40" s="94"/>
      <c r="U40" s="94"/>
      <c r="V40" s="94"/>
      <c r="W40" s="94"/>
      <c r="X40" s="94"/>
      <c r="Y40" s="94"/>
      <c r="Z40" s="94"/>
      <c r="AA40" s="94"/>
      <c r="AB40" s="94"/>
      <c r="AC40" s="94"/>
      <c r="AD40" s="94"/>
      <c r="AE40" s="94"/>
      <c r="AF40" s="94"/>
      <c r="AG40" s="94"/>
      <c r="AH40" s="94"/>
      <c r="AI40" s="223"/>
    </row>
    <row r="41" spans="2:35" x14ac:dyDescent="0.25">
      <c r="B41" s="135"/>
      <c r="C41" s="136"/>
      <c r="D41" s="136"/>
      <c r="E41" s="136"/>
      <c r="F41" s="136"/>
      <c r="G41" s="136"/>
      <c r="H41" s="136"/>
      <c r="I41" s="136"/>
      <c r="J41" s="136"/>
      <c r="K41" s="136"/>
      <c r="L41" s="137"/>
      <c r="N41" s="89"/>
      <c r="O41" s="139" t="s">
        <v>140</v>
      </c>
      <c r="P41" s="168" t="s">
        <v>15</v>
      </c>
      <c r="Q41" s="95"/>
      <c r="S41" s="221"/>
      <c r="T41" s="94"/>
      <c r="U41" s="94"/>
      <c r="V41" s="94"/>
      <c r="W41" s="94"/>
      <c r="X41" s="94"/>
      <c r="Y41" s="94"/>
      <c r="Z41" s="94"/>
      <c r="AA41" s="94"/>
      <c r="AB41" s="94"/>
      <c r="AC41" s="94"/>
      <c r="AD41" s="94"/>
      <c r="AE41" s="94"/>
      <c r="AF41" s="94"/>
      <c r="AG41" s="94"/>
      <c r="AH41" s="94"/>
      <c r="AI41" s="223"/>
    </row>
    <row r="42" spans="2:35" x14ac:dyDescent="0.25">
      <c r="N42" s="89"/>
      <c r="O42" s="149"/>
      <c r="P42" s="261"/>
      <c r="Q42" s="95"/>
      <c r="S42" s="221"/>
      <c r="T42" s="94"/>
      <c r="U42" s="94"/>
      <c r="V42" s="94"/>
      <c r="W42" s="94"/>
      <c r="X42" s="94"/>
      <c r="Y42" s="94"/>
      <c r="Z42" s="94"/>
      <c r="AA42" s="94"/>
      <c r="AB42" s="94"/>
      <c r="AC42" s="94"/>
      <c r="AD42" s="94"/>
      <c r="AE42" s="94"/>
      <c r="AF42" s="94"/>
      <c r="AG42" s="94"/>
      <c r="AH42" s="94"/>
      <c r="AI42" s="223"/>
    </row>
    <row r="43" spans="2:35" x14ac:dyDescent="0.25">
      <c r="N43" s="89"/>
      <c r="O43" s="94"/>
      <c r="P43" s="94"/>
      <c r="Q43" s="95"/>
      <c r="S43" s="221"/>
      <c r="T43" s="94"/>
      <c r="U43" s="94"/>
      <c r="V43" s="94"/>
      <c r="W43" s="94"/>
      <c r="X43" s="94"/>
      <c r="Y43" s="94"/>
      <c r="Z43" s="94"/>
      <c r="AA43" s="94"/>
      <c r="AB43" s="94"/>
      <c r="AC43" s="94"/>
      <c r="AD43" s="94"/>
      <c r="AE43" s="94"/>
      <c r="AF43" s="94"/>
      <c r="AG43" s="94"/>
      <c r="AH43" s="94"/>
      <c r="AI43" s="223"/>
    </row>
    <row r="44" spans="2:35" x14ac:dyDescent="0.25">
      <c r="B44" s="143" t="s">
        <v>211</v>
      </c>
      <c r="N44" s="89"/>
      <c r="O44" s="99" t="s">
        <v>212</v>
      </c>
      <c r="P44" s="100"/>
      <c r="Q44" s="95"/>
      <c r="S44" s="221"/>
      <c r="T44" s="94"/>
      <c r="U44" s="94"/>
      <c r="V44" s="94"/>
      <c r="W44" s="94"/>
      <c r="X44" s="94"/>
      <c r="Y44" s="94"/>
      <c r="Z44" s="94"/>
      <c r="AA44" s="94"/>
      <c r="AB44" s="94"/>
      <c r="AC44" s="94"/>
      <c r="AD44" s="94"/>
      <c r="AE44" s="94"/>
      <c r="AF44" s="94"/>
      <c r="AG44" s="94"/>
      <c r="AH44" s="94"/>
      <c r="AI44" s="223"/>
    </row>
    <row r="45" spans="2:35" x14ac:dyDescent="0.25">
      <c r="B45" s="84"/>
      <c r="C45" s="87"/>
      <c r="D45" s="87"/>
      <c r="E45" s="87"/>
      <c r="F45" s="87"/>
      <c r="G45" s="87"/>
      <c r="H45" s="87"/>
      <c r="I45" s="87"/>
      <c r="J45" s="87"/>
      <c r="K45" s="87"/>
      <c r="L45" s="88"/>
      <c r="N45" s="89"/>
      <c r="O45" s="90" t="s">
        <v>10</v>
      </c>
      <c r="P45" s="2" t="s">
        <v>159</v>
      </c>
      <c r="Q45" s="95"/>
      <c r="S45" s="221"/>
      <c r="T45" s="94"/>
      <c r="U45" s="94"/>
      <c r="V45" s="94"/>
      <c r="W45" s="94"/>
      <c r="X45" s="94"/>
      <c r="Y45" s="94"/>
      <c r="Z45" s="94"/>
      <c r="AA45" s="94"/>
      <c r="AB45" s="94"/>
      <c r="AC45" s="94"/>
      <c r="AD45" s="94"/>
      <c r="AE45" s="94"/>
      <c r="AF45" s="94"/>
      <c r="AG45" s="94"/>
      <c r="AH45" s="94"/>
      <c r="AI45" s="223"/>
    </row>
    <row r="46" spans="2:35" x14ac:dyDescent="0.25">
      <c r="B46" s="89"/>
      <c r="C46" s="96" t="s">
        <v>213</v>
      </c>
      <c r="D46" s="162"/>
      <c r="E46" s="162"/>
      <c r="F46" s="96" t="s">
        <v>214</v>
      </c>
      <c r="G46" s="162"/>
      <c r="H46" s="162"/>
      <c r="I46" s="96" t="s">
        <v>215</v>
      </c>
      <c r="J46" s="162"/>
      <c r="K46" s="162"/>
      <c r="L46" s="163"/>
      <c r="N46" s="89"/>
      <c r="O46" s="108"/>
      <c r="P46" s="3"/>
      <c r="Q46" s="95"/>
      <c r="S46" s="221"/>
      <c r="T46" s="94"/>
      <c r="U46" s="94"/>
      <c r="V46" s="94"/>
      <c r="W46" s="94"/>
      <c r="X46" s="94"/>
      <c r="Y46" s="94"/>
      <c r="Z46" s="94"/>
      <c r="AA46" s="94"/>
      <c r="AB46" s="94"/>
      <c r="AC46" s="94"/>
      <c r="AD46" s="94"/>
      <c r="AE46" s="94"/>
      <c r="AF46" s="94"/>
      <c r="AG46" s="94"/>
      <c r="AH46" s="94"/>
      <c r="AI46" s="223"/>
    </row>
    <row r="47" spans="2:35" x14ac:dyDescent="0.25">
      <c r="B47" s="89"/>
      <c r="C47" s="125"/>
      <c r="D47" s="262"/>
      <c r="E47" s="94"/>
      <c r="F47" s="227" t="s">
        <v>24</v>
      </c>
      <c r="G47" s="227" t="s">
        <v>84</v>
      </c>
      <c r="H47" s="162"/>
      <c r="I47" s="227" t="s">
        <v>24</v>
      </c>
      <c r="J47" s="227" t="s">
        <v>84</v>
      </c>
      <c r="K47" s="227"/>
      <c r="L47" s="163"/>
      <c r="N47" s="89"/>
      <c r="O47" s="108"/>
      <c r="P47" s="3"/>
      <c r="Q47" s="95"/>
      <c r="S47" s="221"/>
      <c r="T47" s="94"/>
      <c r="U47" s="94"/>
      <c r="V47" s="94"/>
      <c r="W47" s="94"/>
      <c r="X47" s="94"/>
      <c r="Y47" s="94"/>
      <c r="Z47" s="94"/>
      <c r="AA47" s="94"/>
      <c r="AB47" s="94"/>
      <c r="AC47" s="94"/>
      <c r="AD47" s="94"/>
      <c r="AE47" s="94"/>
      <c r="AF47" s="94"/>
      <c r="AG47" s="94"/>
      <c r="AH47" s="94"/>
      <c r="AI47" s="223"/>
    </row>
    <row r="48" spans="2:35" x14ac:dyDescent="0.25">
      <c r="B48" s="89"/>
      <c r="C48" s="129"/>
      <c r="D48" s="189"/>
      <c r="E48" s="169"/>
      <c r="F48" s="263"/>
      <c r="G48" s="264"/>
      <c r="H48" s="162"/>
      <c r="I48" s="263"/>
      <c r="J48" s="264"/>
      <c r="K48" s="227"/>
      <c r="L48" s="163"/>
      <c r="N48" s="89"/>
      <c r="O48" s="108"/>
      <c r="P48" s="3"/>
      <c r="Q48" s="95"/>
      <c r="S48" s="221"/>
      <c r="T48" s="94"/>
      <c r="U48" s="94"/>
      <c r="V48" s="94"/>
      <c r="W48" s="94"/>
      <c r="X48" s="94"/>
      <c r="Y48" s="94"/>
      <c r="Z48" s="94"/>
      <c r="AA48" s="94"/>
      <c r="AB48" s="94"/>
      <c r="AC48" s="94"/>
      <c r="AD48" s="94"/>
      <c r="AE48" s="94"/>
      <c r="AF48" s="94"/>
      <c r="AG48" s="94"/>
      <c r="AH48" s="94"/>
      <c r="AI48" s="223"/>
    </row>
    <row r="49" spans="2:35" x14ac:dyDescent="0.25">
      <c r="B49" s="89"/>
      <c r="C49" s="129"/>
      <c r="D49" s="189"/>
      <c r="E49" s="169"/>
      <c r="F49" s="190"/>
      <c r="G49" s="265"/>
      <c r="H49" s="162"/>
      <c r="I49" s="190"/>
      <c r="J49" s="265"/>
      <c r="K49" s="227"/>
      <c r="L49" s="163"/>
      <c r="N49" s="89"/>
      <c r="O49" s="120"/>
      <c r="P49" s="3"/>
      <c r="Q49" s="95"/>
      <c r="S49" s="221"/>
      <c r="T49" s="94"/>
      <c r="U49" s="94"/>
      <c r="V49" s="94"/>
      <c r="W49" s="94"/>
      <c r="X49" s="94"/>
      <c r="Y49" s="94"/>
      <c r="Z49" s="94"/>
      <c r="AA49" s="94"/>
      <c r="AB49" s="94"/>
      <c r="AC49" s="94"/>
      <c r="AD49" s="94"/>
      <c r="AE49" s="94"/>
      <c r="AF49" s="94"/>
      <c r="AG49" s="94"/>
      <c r="AH49" s="94"/>
      <c r="AI49" s="223"/>
    </row>
    <row r="50" spans="2:35" x14ac:dyDescent="0.25">
      <c r="B50" s="89"/>
      <c r="C50" s="129"/>
      <c r="D50" s="189"/>
      <c r="E50" s="169"/>
      <c r="F50" s="190"/>
      <c r="G50" s="265"/>
      <c r="H50" s="162"/>
      <c r="I50" s="190"/>
      <c r="J50" s="265"/>
      <c r="K50" s="227"/>
      <c r="L50" s="163"/>
      <c r="N50" s="89"/>
      <c r="O50" s="131"/>
      <c r="P50" s="4"/>
      <c r="Q50" s="95"/>
      <c r="S50" s="221"/>
      <c r="T50" s="94"/>
      <c r="U50" s="94"/>
      <c r="V50" s="94"/>
      <c r="W50" s="94"/>
      <c r="X50" s="94"/>
      <c r="Y50" s="94"/>
      <c r="Z50" s="94"/>
      <c r="AA50" s="94"/>
      <c r="AB50" s="94"/>
      <c r="AC50" s="94"/>
      <c r="AD50" s="94"/>
      <c r="AE50" s="94"/>
      <c r="AF50" s="94"/>
      <c r="AG50" s="94"/>
      <c r="AH50" s="94"/>
      <c r="AI50" s="223"/>
    </row>
    <row r="51" spans="2:35" x14ac:dyDescent="0.25">
      <c r="B51" s="89"/>
      <c r="C51" s="129"/>
      <c r="D51" s="189"/>
      <c r="E51" s="169"/>
      <c r="F51" s="190"/>
      <c r="G51" s="265"/>
      <c r="H51" s="162"/>
      <c r="I51" s="190"/>
      <c r="J51" s="265"/>
      <c r="K51" s="227"/>
      <c r="L51" s="163"/>
      <c r="N51" s="89"/>
      <c r="O51" s="94"/>
      <c r="P51" s="94"/>
      <c r="Q51" s="95"/>
      <c r="S51" s="221"/>
      <c r="T51" s="94"/>
      <c r="U51" s="94"/>
      <c r="V51" s="94"/>
      <c r="W51" s="94"/>
      <c r="X51" s="94"/>
      <c r="Y51" s="94"/>
      <c r="Z51" s="94"/>
      <c r="AA51" s="94"/>
      <c r="AB51" s="94"/>
      <c r="AC51" s="94"/>
      <c r="AD51" s="94"/>
      <c r="AE51" s="94"/>
      <c r="AF51" s="94"/>
      <c r="AG51" s="94"/>
      <c r="AH51" s="94"/>
      <c r="AI51" s="223"/>
    </row>
    <row r="52" spans="2:35" x14ac:dyDescent="0.25">
      <c r="B52" s="89"/>
      <c r="C52" s="129"/>
      <c r="D52" s="189"/>
      <c r="E52" s="169"/>
      <c r="F52" s="190"/>
      <c r="G52" s="265"/>
      <c r="H52" s="162"/>
      <c r="I52" s="190"/>
      <c r="J52" s="265"/>
      <c r="K52" s="227"/>
      <c r="L52" s="163"/>
      <c r="N52" s="89"/>
      <c r="O52" s="99" t="s">
        <v>174</v>
      </c>
      <c r="P52" s="100"/>
      <c r="Q52" s="95"/>
      <c r="S52" s="221"/>
      <c r="T52" s="94"/>
      <c r="U52" s="94"/>
      <c r="V52" s="94"/>
      <c r="W52" s="94"/>
      <c r="X52" s="94"/>
      <c r="Y52" s="94"/>
      <c r="Z52" s="94"/>
      <c r="AA52" s="94"/>
      <c r="AB52" s="94"/>
      <c r="AC52" s="94"/>
      <c r="AD52" s="94"/>
      <c r="AE52" s="94"/>
      <c r="AF52" s="94"/>
      <c r="AG52" s="94"/>
      <c r="AH52" s="94"/>
      <c r="AI52" s="223"/>
    </row>
    <row r="53" spans="2:35" x14ac:dyDescent="0.25">
      <c r="B53" s="89"/>
      <c r="C53" s="129"/>
      <c r="D53" s="189"/>
      <c r="E53" s="169"/>
      <c r="F53" s="190"/>
      <c r="G53" s="265"/>
      <c r="H53" s="162"/>
      <c r="I53" s="190"/>
      <c r="J53" s="265"/>
      <c r="K53" s="227"/>
      <c r="L53" s="163"/>
      <c r="N53" s="89"/>
      <c r="O53" s="125" t="s">
        <v>121</v>
      </c>
      <c r="P53" s="164" t="s">
        <v>122</v>
      </c>
      <c r="Q53" s="95"/>
      <c r="S53" s="221"/>
      <c r="T53" s="94"/>
      <c r="U53" s="94"/>
      <c r="V53" s="94"/>
      <c r="W53" s="94"/>
      <c r="X53" s="94"/>
      <c r="Y53" s="94"/>
      <c r="Z53" s="94"/>
      <c r="AA53" s="94"/>
      <c r="AB53" s="94"/>
      <c r="AC53" s="94"/>
      <c r="AD53" s="94"/>
      <c r="AE53" s="94"/>
      <c r="AF53" s="94"/>
      <c r="AG53" s="94"/>
      <c r="AH53" s="94"/>
      <c r="AI53" s="223"/>
    </row>
    <row r="54" spans="2:35" x14ac:dyDescent="0.25">
      <c r="B54" s="89"/>
      <c r="C54" s="129"/>
      <c r="D54" s="189"/>
      <c r="E54" s="169"/>
      <c r="F54" s="190"/>
      <c r="G54" s="265"/>
      <c r="H54" s="162"/>
      <c r="I54" s="190"/>
      <c r="J54" s="265"/>
      <c r="K54" s="227"/>
      <c r="L54" s="163"/>
      <c r="N54" s="89"/>
      <c r="O54" s="129" t="s">
        <v>124</v>
      </c>
      <c r="P54" s="168" t="s">
        <v>202</v>
      </c>
      <c r="Q54" s="95"/>
      <c r="S54" s="221"/>
      <c r="T54" s="94"/>
      <c r="U54" s="94"/>
      <c r="V54" s="94"/>
      <c r="W54" s="94"/>
      <c r="X54" s="94"/>
      <c r="Y54" s="94"/>
      <c r="Z54" s="94"/>
      <c r="AA54" s="94"/>
      <c r="AB54" s="94"/>
      <c r="AC54" s="94"/>
      <c r="AD54" s="94"/>
      <c r="AE54" s="94"/>
      <c r="AF54" s="94"/>
      <c r="AG54" s="94"/>
      <c r="AH54" s="94"/>
      <c r="AI54" s="223"/>
    </row>
    <row r="55" spans="2:35" x14ac:dyDescent="0.25">
      <c r="B55" s="89"/>
      <c r="C55" s="129"/>
      <c r="D55" s="189"/>
      <c r="E55" s="169"/>
      <c r="F55" s="190"/>
      <c r="G55" s="265"/>
      <c r="H55" s="162"/>
      <c r="I55" s="190"/>
      <c r="J55" s="265"/>
      <c r="K55" s="227"/>
      <c r="L55" s="163"/>
      <c r="N55" s="89"/>
      <c r="O55" s="129" t="s">
        <v>132</v>
      </c>
      <c r="P55" s="168" t="s">
        <v>209</v>
      </c>
      <c r="Q55" s="95"/>
      <c r="S55" s="221"/>
      <c r="T55" s="94"/>
      <c r="U55" s="94"/>
      <c r="V55" s="94"/>
      <c r="W55" s="94"/>
      <c r="X55" s="94"/>
      <c r="Y55" s="94"/>
      <c r="Z55" s="94"/>
      <c r="AA55" s="94"/>
      <c r="AB55" s="94"/>
      <c r="AC55" s="94"/>
      <c r="AD55" s="94"/>
      <c r="AE55" s="94"/>
      <c r="AF55" s="94"/>
      <c r="AG55" s="94"/>
      <c r="AH55" s="94"/>
      <c r="AI55" s="223"/>
    </row>
    <row r="56" spans="2:35" x14ac:dyDescent="0.25">
      <c r="B56" s="89"/>
      <c r="C56" s="129"/>
      <c r="D56" s="189"/>
      <c r="E56" s="169"/>
      <c r="F56" s="190"/>
      <c r="G56" s="265"/>
      <c r="H56" s="162"/>
      <c r="I56" s="190"/>
      <c r="J56" s="265"/>
      <c r="K56" s="227"/>
      <c r="L56" s="163"/>
      <c r="N56" s="89"/>
      <c r="O56" s="129" t="s">
        <v>140</v>
      </c>
      <c r="P56" s="168" t="s">
        <v>15</v>
      </c>
      <c r="Q56" s="95"/>
      <c r="S56" s="221"/>
      <c r="T56" s="94"/>
      <c r="U56" s="94"/>
      <c r="V56" s="94"/>
      <c r="W56" s="94"/>
      <c r="X56" s="94"/>
      <c r="Y56" s="94"/>
      <c r="Z56" s="94"/>
      <c r="AA56" s="94"/>
      <c r="AB56" s="94"/>
      <c r="AC56" s="94"/>
      <c r="AD56" s="94"/>
      <c r="AE56" s="94"/>
      <c r="AF56" s="94"/>
      <c r="AG56" s="94"/>
      <c r="AH56" s="94"/>
      <c r="AI56" s="223"/>
    </row>
    <row r="57" spans="2:35" x14ac:dyDescent="0.25">
      <c r="B57" s="89"/>
      <c r="C57" s="129"/>
      <c r="D57" s="189"/>
      <c r="E57" s="169"/>
      <c r="F57" s="190"/>
      <c r="G57" s="265"/>
      <c r="H57" s="162"/>
      <c r="I57" s="190"/>
      <c r="J57" s="265"/>
      <c r="K57" s="227"/>
      <c r="L57" s="163"/>
      <c r="N57" s="89"/>
      <c r="O57" s="129" t="s">
        <v>216</v>
      </c>
      <c r="P57" s="266">
        <v>0.03</v>
      </c>
      <c r="Q57" s="95"/>
      <c r="S57" s="221"/>
      <c r="T57" s="94"/>
      <c r="U57" s="94"/>
      <c r="V57" s="94"/>
      <c r="W57" s="94"/>
      <c r="X57" s="94"/>
      <c r="Y57" s="94"/>
      <c r="Z57" s="94"/>
      <c r="AA57" s="94"/>
      <c r="AB57" s="94"/>
      <c r="AC57" s="94"/>
      <c r="AD57" s="94"/>
      <c r="AE57" s="94"/>
      <c r="AF57" s="94"/>
      <c r="AG57" s="94"/>
      <c r="AH57" s="94"/>
      <c r="AI57" s="223"/>
    </row>
    <row r="58" spans="2:35" x14ac:dyDescent="0.25">
      <c r="B58" s="89"/>
      <c r="C58" s="129"/>
      <c r="D58" s="189"/>
      <c r="E58" s="169"/>
      <c r="F58" s="190"/>
      <c r="G58" s="265"/>
      <c r="H58" s="162"/>
      <c r="I58" s="190"/>
      <c r="J58" s="265"/>
      <c r="K58" s="227"/>
      <c r="L58" s="163"/>
      <c r="N58" s="89"/>
      <c r="O58" s="129" t="s">
        <v>217</v>
      </c>
      <c r="P58" s="168" t="b">
        <v>0</v>
      </c>
      <c r="Q58" s="95"/>
      <c r="S58" s="221"/>
      <c r="T58" s="94"/>
      <c r="U58" s="94"/>
      <c r="V58" s="94"/>
      <c r="W58" s="94"/>
      <c r="X58" s="94"/>
      <c r="Y58" s="94"/>
      <c r="Z58" s="94"/>
      <c r="AA58" s="94"/>
      <c r="AB58" s="94"/>
      <c r="AC58" s="94"/>
      <c r="AD58" s="94"/>
      <c r="AE58" s="94"/>
      <c r="AF58" s="94"/>
      <c r="AG58" s="94"/>
      <c r="AH58" s="94"/>
      <c r="AI58" s="223"/>
    </row>
    <row r="59" spans="2:35" x14ac:dyDescent="0.25">
      <c r="B59" s="89"/>
      <c r="C59" s="129"/>
      <c r="D59" s="189"/>
      <c r="E59" s="169"/>
      <c r="F59" s="190"/>
      <c r="G59" s="265"/>
      <c r="H59" s="162"/>
      <c r="I59" s="190"/>
      <c r="J59" s="265"/>
      <c r="K59" s="227"/>
      <c r="L59" s="163"/>
      <c r="N59" s="89"/>
      <c r="O59" s="129" t="s">
        <v>218</v>
      </c>
      <c r="P59" s="168">
        <v>2</v>
      </c>
      <c r="Q59" s="95"/>
      <c r="S59" s="221"/>
      <c r="T59" s="94"/>
      <c r="U59" s="94"/>
      <c r="V59" s="94"/>
      <c r="W59" s="94"/>
      <c r="X59" s="94"/>
      <c r="Y59" s="94"/>
      <c r="Z59" s="94"/>
      <c r="AA59" s="94"/>
      <c r="AB59" s="94"/>
      <c r="AC59" s="94"/>
      <c r="AD59" s="94"/>
      <c r="AE59" s="94"/>
      <c r="AF59" s="94"/>
      <c r="AG59" s="94"/>
      <c r="AH59" s="94"/>
      <c r="AI59" s="223"/>
    </row>
    <row r="60" spans="2:35" x14ac:dyDescent="0.25">
      <c r="B60" s="89"/>
      <c r="C60" s="159"/>
      <c r="D60" s="198"/>
      <c r="E60" s="169"/>
      <c r="F60" s="250"/>
      <c r="G60" s="251"/>
      <c r="H60" s="162"/>
      <c r="I60" s="250"/>
      <c r="J60" s="251"/>
      <c r="K60" s="227"/>
      <c r="L60" s="163"/>
      <c r="N60" s="89"/>
      <c r="O60" s="129"/>
      <c r="P60" s="168"/>
      <c r="Q60" s="95"/>
      <c r="S60" s="221"/>
      <c r="T60" s="94"/>
      <c r="U60" s="94"/>
      <c r="V60" s="94"/>
      <c r="W60" s="94"/>
      <c r="X60" s="94"/>
      <c r="Y60" s="94"/>
      <c r="Z60" s="94"/>
      <c r="AA60" s="94"/>
      <c r="AB60" s="94"/>
      <c r="AC60" s="94"/>
      <c r="AD60" s="94"/>
      <c r="AE60" s="94"/>
      <c r="AF60" s="94"/>
      <c r="AG60" s="94"/>
      <c r="AH60" s="94"/>
      <c r="AI60" s="223"/>
    </row>
    <row r="61" spans="2:35" x14ac:dyDescent="0.25">
      <c r="B61" s="89"/>
      <c r="C61" s="169"/>
      <c r="D61" s="169"/>
      <c r="E61" s="169"/>
      <c r="F61" s="162"/>
      <c r="G61" s="162"/>
      <c r="H61" s="162"/>
      <c r="I61" s="162"/>
      <c r="J61" s="162"/>
      <c r="K61" s="227"/>
      <c r="L61" s="163"/>
      <c r="N61" s="89"/>
      <c r="O61" s="129"/>
      <c r="P61" s="168"/>
      <c r="Q61" s="95"/>
      <c r="S61" s="221"/>
      <c r="T61" s="94"/>
      <c r="U61" s="94"/>
      <c r="V61" s="94"/>
      <c r="W61" s="94"/>
      <c r="X61" s="94"/>
      <c r="Y61" s="94"/>
      <c r="Z61" s="94"/>
      <c r="AA61" s="94"/>
      <c r="AB61" s="94"/>
      <c r="AC61" s="94"/>
      <c r="AD61" s="94"/>
      <c r="AE61" s="94"/>
      <c r="AF61" s="94"/>
      <c r="AG61" s="94"/>
      <c r="AH61" s="94"/>
      <c r="AI61" s="223"/>
    </row>
    <row r="62" spans="2:35" x14ac:dyDescent="0.25">
      <c r="B62" s="135"/>
      <c r="C62" s="136"/>
      <c r="D62" s="136"/>
      <c r="E62" s="136"/>
      <c r="F62" s="136"/>
      <c r="G62" s="136"/>
      <c r="H62" s="136"/>
      <c r="I62" s="136"/>
      <c r="J62" s="136"/>
      <c r="K62" s="136"/>
      <c r="L62" s="137"/>
      <c r="N62" s="89"/>
      <c r="O62" s="129"/>
      <c r="P62" s="189"/>
      <c r="Q62" s="95"/>
      <c r="S62" s="221"/>
      <c r="T62" s="94"/>
      <c r="U62" s="94"/>
      <c r="V62" s="94"/>
      <c r="W62" s="94"/>
      <c r="X62" s="94"/>
      <c r="Y62" s="94"/>
      <c r="Z62" s="94"/>
      <c r="AA62" s="94"/>
      <c r="AB62" s="94"/>
      <c r="AC62" s="94"/>
      <c r="AD62" s="94"/>
      <c r="AE62" s="94"/>
      <c r="AF62" s="94"/>
      <c r="AG62" s="94"/>
      <c r="AH62" s="94"/>
      <c r="AI62" s="223"/>
    </row>
    <row r="63" spans="2:35" x14ac:dyDescent="0.25">
      <c r="N63" s="89"/>
      <c r="O63" s="129"/>
      <c r="P63" s="189"/>
      <c r="Q63" s="95"/>
      <c r="S63" s="221"/>
      <c r="T63" s="94"/>
      <c r="U63" s="94"/>
      <c r="V63" s="94"/>
      <c r="W63" s="94"/>
      <c r="X63" s="94"/>
      <c r="Y63" s="94"/>
      <c r="Z63" s="94"/>
      <c r="AA63" s="94"/>
      <c r="AB63" s="94"/>
      <c r="AC63" s="94"/>
      <c r="AD63" s="94"/>
      <c r="AE63" s="94"/>
      <c r="AF63" s="94"/>
      <c r="AG63" s="94"/>
      <c r="AH63" s="94"/>
      <c r="AI63" s="223"/>
    </row>
    <row r="64" spans="2:35" x14ac:dyDescent="0.25">
      <c r="N64" s="89"/>
      <c r="O64" s="129"/>
      <c r="P64" s="189"/>
      <c r="Q64" s="95"/>
      <c r="S64" s="221"/>
      <c r="T64" s="94"/>
      <c r="U64" s="94"/>
      <c r="V64" s="94"/>
      <c r="W64" s="94"/>
      <c r="X64" s="94"/>
      <c r="Y64" s="94"/>
      <c r="Z64" s="94"/>
      <c r="AA64" s="94"/>
      <c r="AB64" s="94"/>
      <c r="AC64" s="94"/>
      <c r="AD64" s="94"/>
      <c r="AE64" s="94"/>
      <c r="AF64" s="94"/>
      <c r="AG64" s="94"/>
      <c r="AH64" s="94"/>
      <c r="AI64" s="223"/>
    </row>
    <row r="65" spans="2:35" x14ac:dyDescent="0.25">
      <c r="B65" s="143" t="s">
        <v>219</v>
      </c>
      <c r="N65" s="89"/>
      <c r="O65" s="129"/>
      <c r="P65" s="189"/>
      <c r="Q65" s="95"/>
      <c r="S65" s="221"/>
      <c r="T65" s="94"/>
      <c r="U65" s="94"/>
      <c r="V65" s="94"/>
      <c r="W65" s="94"/>
      <c r="X65" s="94"/>
      <c r="Y65" s="94"/>
      <c r="Z65" s="94"/>
      <c r="AA65" s="94"/>
      <c r="AB65" s="94"/>
      <c r="AC65" s="94"/>
      <c r="AD65" s="94"/>
      <c r="AE65" s="94"/>
      <c r="AF65" s="94"/>
      <c r="AG65" s="94"/>
      <c r="AH65" s="94"/>
      <c r="AI65" s="223"/>
    </row>
    <row r="66" spans="2:35" x14ac:dyDescent="0.25">
      <c r="B66" s="84"/>
      <c r="C66" s="87"/>
      <c r="D66" s="87"/>
      <c r="E66" s="87"/>
      <c r="F66" s="87"/>
      <c r="G66" s="87"/>
      <c r="H66" s="87"/>
      <c r="I66" s="87"/>
      <c r="J66" s="87"/>
      <c r="K66" s="87"/>
      <c r="L66" s="88"/>
      <c r="N66" s="89"/>
      <c r="O66" s="159"/>
      <c r="P66" s="198"/>
      <c r="Q66" s="95"/>
      <c r="S66" s="221"/>
      <c r="T66" s="94"/>
      <c r="U66" s="94"/>
      <c r="V66" s="94"/>
      <c r="W66" s="94"/>
      <c r="X66" s="94"/>
      <c r="Y66" s="94"/>
      <c r="Z66" s="94"/>
      <c r="AA66" s="94"/>
      <c r="AB66" s="94"/>
      <c r="AC66" s="94"/>
      <c r="AD66" s="94"/>
      <c r="AE66" s="94"/>
      <c r="AF66" s="94"/>
      <c r="AG66" s="94"/>
      <c r="AH66" s="94"/>
      <c r="AI66" s="223"/>
    </row>
    <row r="67" spans="2:35" x14ac:dyDescent="0.25">
      <c r="B67" s="89"/>
      <c r="C67" s="96" t="s">
        <v>220</v>
      </c>
      <c r="D67" s="162"/>
      <c r="E67" s="162"/>
      <c r="F67" s="96" t="s">
        <v>221</v>
      </c>
      <c r="G67" s="267"/>
      <c r="H67" s="162"/>
      <c r="I67" s="162"/>
      <c r="J67" s="162"/>
      <c r="K67" s="162"/>
      <c r="L67" s="163"/>
      <c r="N67" s="89"/>
      <c r="O67" s="94"/>
      <c r="P67" s="94"/>
      <c r="Q67" s="95"/>
      <c r="S67" s="221"/>
      <c r="T67" s="94"/>
      <c r="U67" s="94"/>
      <c r="V67" s="94"/>
      <c r="W67" s="94"/>
      <c r="X67" s="94"/>
      <c r="Y67" s="94"/>
      <c r="Z67" s="94"/>
      <c r="AA67" s="94"/>
      <c r="AB67" s="94"/>
      <c r="AC67" s="94"/>
      <c r="AD67" s="94"/>
      <c r="AE67" s="94"/>
      <c r="AF67" s="94"/>
      <c r="AG67" s="94"/>
      <c r="AH67" s="94"/>
      <c r="AI67" s="223"/>
    </row>
    <row r="68" spans="2:35" x14ac:dyDescent="0.25">
      <c r="B68" s="89"/>
      <c r="C68" s="125" t="s">
        <v>121</v>
      </c>
      <c r="D68" s="164" t="s">
        <v>122</v>
      </c>
      <c r="E68" s="94"/>
      <c r="F68" s="226" t="s">
        <v>222</v>
      </c>
      <c r="G68" s="226" t="s">
        <v>85</v>
      </c>
      <c r="H68" s="226" t="s">
        <v>86</v>
      </c>
      <c r="I68" s="226" t="s">
        <v>223</v>
      </c>
      <c r="J68" s="268" t="s">
        <v>224</v>
      </c>
      <c r="K68" s="227" t="s">
        <v>84</v>
      </c>
      <c r="L68" s="163"/>
      <c r="N68" s="89"/>
      <c r="O68" s="99" t="s">
        <v>82</v>
      </c>
      <c r="P68" s="100"/>
      <c r="Q68" s="95"/>
      <c r="S68" s="221"/>
      <c r="T68" s="94"/>
      <c r="U68" s="94"/>
      <c r="V68" s="94"/>
      <c r="W68" s="94"/>
      <c r="X68" s="94"/>
      <c r="Y68" s="94"/>
      <c r="Z68" s="94"/>
      <c r="AA68" s="94"/>
      <c r="AB68" s="94"/>
      <c r="AC68" s="94"/>
      <c r="AD68" s="94"/>
      <c r="AE68" s="94"/>
      <c r="AF68" s="94"/>
      <c r="AG68" s="94"/>
      <c r="AH68" s="94"/>
      <c r="AI68" s="223"/>
    </row>
    <row r="69" spans="2:35" x14ac:dyDescent="0.25">
      <c r="B69" s="89"/>
      <c r="C69" s="129" t="s">
        <v>124</v>
      </c>
      <c r="D69" s="168" t="s">
        <v>202</v>
      </c>
      <c r="E69" s="269" t="str">
        <f>'[1]MKT DATA USD'!N11</f>
        <v>ED1</v>
      </c>
      <c r="F69" s="270" t="str">
        <f>'[1]MKT DATA USD'!L11</f>
        <v>ED1 Comdty</v>
      </c>
      <c r="G69" s="271">
        <f>'[1]MKT DATA USD'!O11</f>
        <v>43999</v>
      </c>
      <c r="H69" s="271">
        <f>'[1]MKT DATA USD'!P11</f>
        <v>44090</v>
      </c>
      <c r="I69" s="272">
        <f>'[1]MKT DATA USD'!R11</f>
        <v>99.54</v>
      </c>
      <c r="J69" s="273">
        <v>1.4500000000000001E-2</v>
      </c>
      <c r="K69" s="274">
        <f>100-I69</f>
        <v>0.45999999999999375</v>
      </c>
      <c r="L69" s="163"/>
      <c r="N69" s="89"/>
      <c r="O69" s="125" t="s">
        <v>10</v>
      </c>
      <c r="P69" s="164" t="s">
        <v>159</v>
      </c>
      <c r="Q69" s="95"/>
      <c r="S69" s="221"/>
      <c r="T69" s="94"/>
      <c r="U69" s="94"/>
      <c r="V69" s="94"/>
      <c r="W69" s="94"/>
      <c r="X69" s="94"/>
      <c r="Y69" s="94"/>
      <c r="Z69" s="94"/>
      <c r="AA69" s="94"/>
      <c r="AB69" s="94"/>
      <c r="AC69" s="94"/>
      <c r="AD69" s="94"/>
      <c r="AE69" s="94"/>
      <c r="AF69" s="94"/>
      <c r="AG69" s="94"/>
      <c r="AH69" s="94"/>
      <c r="AI69" s="223"/>
    </row>
    <row r="70" spans="2:35" x14ac:dyDescent="0.25">
      <c r="B70" s="89"/>
      <c r="C70" s="129" t="s">
        <v>132</v>
      </c>
      <c r="D70" s="168" t="s">
        <v>209</v>
      </c>
      <c r="E70" s="275" t="str">
        <f>'[1]MKT DATA USD'!N12</f>
        <v>ED2</v>
      </c>
      <c r="F70" s="276" t="str">
        <f>'[1]MKT DATA USD'!L12</f>
        <v>ED2 Comdty</v>
      </c>
      <c r="G70" s="277">
        <f>'[1]MKT DATA USD'!O12</f>
        <v>44090</v>
      </c>
      <c r="H70" s="271">
        <f>'[1]MKT DATA USD'!P12</f>
        <v>44181</v>
      </c>
      <c r="I70" s="278">
        <f>'[1]MKT DATA USD'!R12</f>
        <v>99.655000000000001</v>
      </c>
      <c r="J70" s="273">
        <v>1.4500000000000001E-2</v>
      </c>
      <c r="K70" s="274">
        <f t="shared" ref="K70:K76" si="0">100-I70</f>
        <v>0.34499999999999886</v>
      </c>
      <c r="L70" s="163"/>
      <c r="N70" s="89"/>
      <c r="O70" s="129" t="s">
        <v>225</v>
      </c>
      <c r="P70" s="168" t="s">
        <v>165</v>
      </c>
      <c r="Q70" s="95"/>
      <c r="S70" s="221"/>
      <c r="T70" s="94"/>
      <c r="U70" s="94"/>
      <c r="V70" s="94"/>
      <c r="W70" s="94"/>
      <c r="X70" s="94"/>
      <c r="Y70" s="94"/>
      <c r="Z70" s="94"/>
      <c r="AA70" s="94"/>
      <c r="AB70" s="94"/>
      <c r="AC70" s="94"/>
      <c r="AD70" s="94"/>
      <c r="AE70" s="94"/>
      <c r="AF70" s="94"/>
      <c r="AG70" s="94"/>
      <c r="AH70" s="94"/>
      <c r="AI70" s="223"/>
    </row>
    <row r="71" spans="2:35" x14ac:dyDescent="0.25">
      <c r="B71" s="89"/>
      <c r="C71" s="129" t="s">
        <v>140</v>
      </c>
      <c r="D71" s="168" t="s">
        <v>15</v>
      </c>
      <c r="E71" s="275" t="str">
        <f>'[1]MKT DATA USD'!N13</f>
        <v>ED3</v>
      </c>
      <c r="F71" s="276" t="str">
        <f>'[1]MKT DATA USD'!L13</f>
        <v>ED3 Comdty</v>
      </c>
      <c r="G71" s="277">
        <f>'[1]MKT DATA USD'!O13</f>
        <v>44181</v>
      </c>
      <c r="H71" s="271">
        <f>'[1]MKT DATA USD'!P13</f>
        <v>44272</v>
      </c>
      <c r="I71" s="278">
        <f>'[1]MKT DATA USD'!R13</f>
        <v>99.65</v>
      </c>
      <c r="J71" s="273">
        <v>1.4500000000000001E-2</v>
      </c>
      <c r="K71" s="274">
        <f t="shared" si="0"/>
        <v>0.34999999999999432</v>
      </c>
      <c r="L71" s="163"/>
      <c r="N71" s="89"/>
      <c r="O71" s="129" t="s">
        <v>226</v>
      </c>
      <c r="P71" s="168" t="s">
        <v>125</v>
      </c>
      <c r="Q71" s="95"/>
      <c r="S71" s="221"/>
      <c r="T71" s="94"/>
      <c r="U71" s="94"/>
      <c r="V71" s="94"/>
      <c r="W71" s="94"/>
      <c r="X71" s="94"/>
      <c r="Y71" s="94"/>
      <c r="Z71" s="94"/>
      <c r="AA71" s="94"/>
      <c r="AB71" s="94"/>
      <c r="AC71" s="94"/>
      <c r="AD71" s="94"/>
      <c r="AE71" s="94"/>
      <c r="AF71" s="94"/>
      <c r="AG71" s="94"/>
      <c r="AH71" s="94"/>
      <c r="AI71" s="223"/>
    </row>
    <row r="72" spans="2:35" x14ac:dyDescent="0.25">
      <c r="B72" s="89"/>
      <c r="C72" s="129" t="s">
        <v>216</v>
      </c>
      <c r="D72" s="266">
        <v>0.03</v>
      </c>
      <c r="E72" s="275" t="str">
        <f>'[1]MKT DATA USD'!N14</f>
        <v>ED4</v>
      </c>
      <c r="F72" s="276" t="str">
        <f>'[1]MKT DATA USD'!L14</f>
        <v>ED4 Comdty</v>
      </c>
      <c r="G72" s="277">
        <f>'[1]MKT DATA USD'!O14</f>
        <v>44272</v>
      </c>
      <c r="H72" s="271">
        <f>'[1]MKT DATA USD'!P14</f>
        <v>44363</v>
      </c>
      <c r="I72" s="278">
        <f>'[1]MKT DATA USD'!R14</f>
        <v>99.72</v>
      </c>
      <c r="J72" s="273">
        <v>1.4500000000000001E-2</v>
      </c>
      <c r="K72" s="274">
        <f t="shared" si="0"/>
        <v>0.28000000000000114</v>
      </c>
      <c r="L72" s="163"/>
      <c r="N72" s="89"/>
      <c r="O72" s="129" t="s">
        <v>161</v>
      </c>
      <c r="P72" s="168" t="s">
        <v>227</v>
      </c>
      <c r="Q72" s="95"/>
      <c r="S72" s="221"/>
      <c r="T72" s="94"/>
      <c r="U72" s="94"/>
      <c r="V72" s="94"/>
      <c r="W72" s="94"/>
      <c r="X72" s="94"/>
      <c r="Y72" s="94"/>
      <c r="Z72" s="94"/>
      <c r="AA72" s="94"/>
      <c r="AB72" s="94"/>
      <c r="AC72" s="94"/>
      <c r="AD72" s="94"/>
      <c r="AE72" s="94"/>
      <c r="AF72" s="94"/>
      <c r="AG72" s="94"/>
      <c r="AH72" s="94"/>
      <c r="AI72" s="223"/>
    </row>
    <row r="73" spans="2:35" x14ac:dyDescent="0.25">
      <c r="B73" s="89"/>
      <c r="C73" s="129" t="s">
        <v>217</v>
      </c>
      <c r="D73" s="168" t="b">
        <v>0</v>
      </c>
      <c r="E73" s="275" t="str">
        <f>'[1]MKT DATA USD'!N15</f>
        <v>ED5</v>
      </c>
      <c r="F73" s="276" t="str">
        <f>'[1]MKT DATA USD'!L15</f>
        <v>ED5 Comdty</v>
      </c>
      <c r="G73" s="277">
        <f>'[1]MKT DATA USD'!O15</f>
        <v>44363</v>
      </c>
      <c r="H73" s="271">
        <f>'[1]MKT DATA USD'!P15</f>
        <v>44454</v>
      </c>
      <c r="I73" s="278">
        <f>'[1]MKT DATA USD'!R15</f>
        <v>99.734999999999999</v>
      </c>
      <c r="J73" s="273">
        <v>1.4500000000000001E-2</v>
      </c>
      <c r="K73" s="274">
        <f t="shared" si="0"/>
        <v>0.26500000000000057</v>
      </c>
      <c r="L73" s="163"/>
      <c r="N73" s="89"/>
      <c r="O73" s="129" t="s">
        <v>228</v>
      </c>
      <c r="P73" s="168" t="s">
        <v>229</v>
      </c>
      <c r="Q73" s="95"/>
      <c r="S73" s="221"/>
      <c r="T73" s="94"/>
      <c r="U73" s="94"/>
      <c r="V73" s="94"/>
      <c r="W73" s="94"/>
      <c r="X73" s="94"/>
      <c r="Y73" s="94"/>
      <c r="Z73" s="94"/>
      <c r="AA73" s="94"/>
      <c r="AB73" s="94"/>
      <c r="AC73" s="94"/>
      <c r="AD73" s="94"/>
      <c r="AE73" s="94"/>
      <c r="AF73" s="94"/>
      <c r="AG73" s="94"/>
      <c r="AH73" s="94"/>
      <c r="AI73" s="223"/>
    </row>
    <row r="74" spans="2:35" x14ac:dyDescent="0.25">
      <c r="B74" s="89"/>
      <c r="C74" s="129" t="s">
        <v>218</v>
      </c>
      <c r="D74" s="168">
        <v>2</v>
      </c>
      <c r="E74" s="275" t="str">
        <f>'[1]MKT DATA USD'!N16</f>
        <v>ED6</v>
      </c>
      <c r="F74" s="276" t="str">
        <f>'[1]MKT DATA USD'!L16</f>
        <v>ED6 Comdty</v>
      </c>
      <c r="G74" s="277">
        <f>'[1]MKT DATA USD'!O16</f>
        <v>44454</v>
      </c>
      <c r="H74" s="271">
        <f>'[1]MKT DATA USD'!P16</f>
        <v>44545</v>
      </c>
      <c r="I74" s="278">
        <f>'[1]MKT DATA USD'!R16</f>
        <v>99.734999999999999</v>
      </c>
      <c r="J74" s="273">
        <v>1.4500000000000001E-2</v>
      </c>
      <c r="K74" s="274">
        <f t="shared" si="0"/>
        <v>0.26500000000000057</v>
      </c>
      <c r="L74" s="163"/>
      <c r="N74" s="89"/>
      <c r="O74" s="129" t="s">
        <v>230</v>
      </c>
      <c r="P74" s="168" t="b">
        <v>1</v>
      </c>
      <c r="Q74" s="95"/>
      <c r="S74" s="221"/>
      <c r="T74" s="94"/>
      <c r="U74" s="94"/>
      <c r="V74" s="94"/>
      <c r="W74" s="94"/>
      <c r="X74" s="94"/>
      <c r="Y74" s="94"/>
      <c r="Z74" s="94"/>
      <c r="AA74" s="94"/>
      <c r="AB74" s="94"/>
      <c r="AC74" s="94"/>
      <c r="AD74" s="94"/>
      <c r="AE74" s="94"/>
      <c r="AF74" s="94"/>
      <c r="AG74" s="94"/>
      <c r="AH74" s="94"/>
      <c r="AI74" s="223"/>
    </row>
    <row r="75" spans="2:35" x14ac:dyDescent="0.25">
      <c r="B75" s="89"/>
      <c r="C75" s="129"/>
      <c r="D75" s="168"/>
      <c r="E75" s="275" t="str">
        <f>'[1]MKT DATA USD'!N17</f>
        <v>ED7</v>
      </c>
      <c r="F75" s="276" t="str">
        <f>'[1]MKT DATA USD'!L17</f>
        <v>ED7 Comdty</v>
      </c>
      <c r="G75" s="277">
        <f>'[1]MKT DATA USD'!O17</f>
        <v>44545</v>
      </c>
      <c r="H75" s="271">
        <f>'[1]MKT DATA USD'!P17</f>
        <v>44636</v>
      </c>
      <c r="I75" s="278">
        <f>'[1]MKT DATA USD'!R17</f>
        <v>99.715000000000003</v>
      </c>
      <c r="J75" s="273">
        <v>1.4500000000000001E-2</v>
      </c>
      <c r="K75" s="274">
        <f t="shared" si="0"/>
        <v>0.28499999999999659</v>
      </c>
      <c r="L75" s="163"/>
      <c r="N75" s="89"/>
      <c r="O75" s="129" t="s">
        <v>231</v>
      </c>
      <c r="P75" s="168">
        <v>31</v>
      </c>
      <c r="Q75" s="95"/>
      <c r="S75" s="221"/>
      <c r="T75" s="94"/>
      <c r="U75" s="94"/>
      <c r="V75" s="94"/>
      <c r="W75" s="94"/>
      <c r="X75" s="94"/>
      <c r="Y75" s="94"/>
      <c r="Z75" s="94"/>
      <c r="AA75" s="94"/>
      <c r="AB75" s="94"/>
      <c r="AC75" s="94"/>
      <c r="AD75" s="94"/>
      <c r="AE75" s="94"/>
      <c r="AF75" s="94"/>
      <c r="AG75" s="94"/>
      <c r="AH75" s="94"/>
      <c r="AI75" s="223"/>
    </row>
    <row r="76" spans="2:35" x14ac:dyDescent="0.25">
      <c r="B76" s="89"/>
      <c r="C76" s="129"/>
      <c r="D76" s="168"/>
      <c r="E76" s="275" t="str">
        <f>'[1]MKT DATA USD'!N18</f>
        <v>ED8</v>
      </c>
      <c r="F76" s="276" t="str">
        <f>'[1]MKT DATA USD'!L18</f>
        <v>ED8 Comdty</v>
      </c>
      <c r="G76" s="277">
        <f>'[1]MKT DATA USD'!O18</f>
        <v>44636</v>
      </c>
      <c r="H76" s="271">
        <f>'[1]MKT DATA USD'!P18</f>
        <v>44727</v>
      </c>
      <c r="I76" s="278">
        <f>'[1]MKT DATA USD'!R18</f>
        <v>99.704999999999998</v>
      </c>
      <c r="J76" s="273">
        <v>1.4500000000000001E-2</v>
      </c>
      <c r="K76" s="274">
        <f t="shared" si="0"/>
        <v>0.29500000000000171</v>
      </c>
      <c r="L76" s="163"/>
      <c r="N76" s="89"/>
      <c r="O76" s="129" t="s">
        <v>232</v>
      </c>
      <c r="P76" s="168" t="b">
        <v>1</v>
      </c>
      <c r="Q76" s="95"/>
      <c r="S76" s="221"/>
      <c r="T76" s="94"/>
      <c r="U76" s="94"/>
      <c r="V76" s="94"/>
      <c r="W76" s="94"/>
      <c r="X76" s="94"/>
      <c r="Y76" s="94"/>
      <c r="Z76" s="94"/>
      <c r="AA76" s="94"/>
      <c r="AB76" s="94"/>
      <c r="AC76" s="94"/>
      <c r="AD76" s="94"/>
      <c r="AE76" s="94"/>
      <c r="AF76" s="94"/>
      <c r="AG76" s="94"/>
      <c r="AH76" s="94"/>
      <c r="AI76" s="223"/>
    </row>
    <row r="77" spans="2:35" x14ac:dyDescent="0.25">
      <c r="B77" s="89"/>
      <c r="C77" s="129"/>
      <c r="D77" s="189"/>
      <c r="E77" s="275"/>
      <c r="F77" s="279"/>
      <c r="G77" s="280"/>
      <c r="H77" s="280"/>
      <c r="I77" s="281"/>
      <c r="J77" s="282"/>
      <c r="K77" s="162"/>
      <c r="L77" s="163"/>
      <c r="N77" s="89"/>
      <c r="O77" s="129" t="s">
        <v>233</v>
      </c>
      <c r="P77" s="168">
        <v>2</v>
      </c>
      <c r="Q77" s="95"/>
      <c r="S77" s="221"/>
      <c r="T77" s="94"/>
      <c r="U77" s="94"/>
      <c r="V77" s="94"/>
      <c r="W77" s="94"/>
      <c r="X77" s="94"/>
      <c r="Y77" s="94"/>
      <c r="Z77" s="94"/>
      <c r="AA77" s="94"/>
      <c r="AB77" s="94"/>
      <c r="AC77" s="94"/>
      <c r="AD77" s="94"/>
      <c r="AE77" s="94"/>
      <c r="AF77" s="94"/>
      <c r="AG77" s="94"/>
      <c r="AH77" s="94"/>
      <c r="AI77" s="223"/>
    </row>
    <row r="78" spans="2:35" x14ac:dyDescent="0.25">
      <c r="B78" s="89"/>
      <c r="C78" s="129"/>
      <c r="D78" s="189"/>
      <c r="E78" s="275"/>
      <c r="F78" s="283"/>
      <c r="G78" s="284"/>
      <c r="H78" s="284"/>
      <c r="I78" s="281"/>
      <c r="J78" s="285"/>
      <c r="K78" s="162"/>
      <c r="L78" s="163"/>
      <c r="N78" s="89"/>
      <c r="O78" s="129" t="s">
        <v>14</v>
      </c>
      <c r="P78" s="168" t="s">
        <v>15</v>
      </c>
      <c r="Q78" s="95"/>
      <c r="S78" s="221"/>
      <c r="T78" s="94"/>
      <c r="U78" s="94"/>
      <c r="V78" s="94"/>
      <c r="W78" s="94"/>
      <c r="X78" s="94"/>
      <c r="Y78" s="94"/>
      <c r="Z78" s="94"/>
      <c r="AA78" s="94"/>
      <c r="AB78" s="94"/>
      <c r="AC78" s="94"/>
      <c r="AD78" s="94"/>
      <c r="AE78" s="94"/>
      <c r="AF78" s="94"/>
      <c r="AG78" s="94"/>
      <c r="AH78" s="94"/>
      <c r="AI78" s="223"/>
    </row>
    <row r="79" spans="2:35" x14ac:dyDescent="0.25">
      <c r="B79" s="89"/>
      <c r="C79" s="129"/>
      <c r="D79" s="189"/>
      <c r="E79" s="275"/>
      <c r="F79" s="283"/>
      <c r="G79" s="284"/>
      <c r="H79" s="284"/>
      <c r="I79" s="281"/>
      <c r="J79" s="285"/>
      <c r="K79" s="162"/>
      <c r="L79" s="163"/>
      <c r="N79" s="89"/>
      <c r="O79" s="129" t="s">
        <v>234</v>
      </c>
      <c r="P79" s="168" t="b">
        <v>1</v>
      </c>
      <c r="Q79" s="95"/>
      <c r="S79" s="221"/>
      <c r="T79" s="94"/>
      <c r="U79" s="94"/>
      <c r="V79" s="94"/>
      <c r="W79" s="94"/>
      <c r="X79" s="94"/>
      <c r="Y79" s="94"/>
      <c r="Z79" s="94"/>
      <c r="AA79" s="94"/>
      <c r="AB79" s="94"/>
      <c r="AC79" s="94"/>
      <c r="AD79" s="94"/>
      <c r="AE79" s="94"/>
      <c r="AF79" s="94"/>
      <c r="AG79" s="94"/>
      <c r="AH79" s="94"/>
      <c r="AI79" s="223"/>
    </row>
    <row r="80" spans="2:35" x14ac:dyDescent="0.25">
      <c r="B80" s="89"/>
      <c r="C80" s="129"/>
      <c r="D80" s="189"/>
      <c r="E80" s="275"/>
      <c r="F80" s="283"/>
      <c r="G80" s="284"/>
      <c r="H80" s="284"/>
      <c r="I80" s="281"/>
      <c r="J80" s="285"/>
      <c r="K80" s="162"/>
      <c r="L80" s="163"/>
      <c r="N80" s="89"/>
      <c r="O80" s="129" t="s">
        <v>152</v>
      </c>
      <c r="P80" s="286">
        <v>1.0000000000000001E-9</v>
      </c>
      <c r="Q80" s="95"/>
      <c r="S80" s="221"/>
      <c r="T80" s="94"/>
      <c r="U80" s="94"/>
      <c r="V80" s="94"/>
      <c r="W80" s="94"/>
      <c r="X80" s="94"/>
      <c r="Y80" s="94"/>
      <c r="Z80" s="94"/>
      <c r="AA80" s="94"/>
      <c r="AB80" s="94"/>
      <c r="AC80" s="94"/>
      <c r="AD80" s="94"/>
      <c r="AE80" s="94"/>
      <c r="AF80" s="94"/>
      <c r="AG80" s="94"/>
      <c r="AH80" s="94"/>
      <c r="AI80" s="223"/>
    </row>
    <row r="81" spans="2:35" x14ac:dyDescent="0.25">
      <c r="B81" s="89"/>
      <c r="C81" s="159"/>
      <c r="D81" s="198"/>
      <c r="E81" s="275"/>
      <c r="F81" s="287"/>
      <c r="G81" s="288"/>
      <c r="H81" s="288"/>
      <c r="I81" s="289"/>
      <c r="J81" s="290"/>
      <c r="K81" s="162"/>
      <c r="L81" s="163"/>
      <c r="N81" s="89"/>
      <c r="O81" s="129" t="s">
        <v>153</v>
      </c>
      <c r="P81" s="188">
        <v>1000</v>
      </c>
      <c r="Q81" s="95"/>
      <c r="S81" s="221"/>
      <c r="T81" s="94"/>
      <c r="U81" s="94"/>
      <c r="V81" s="94"/>
      <c r="W81" s="94"/>
      <c r="X81" s="94"/>
      <c r="Y81" s="94"/>
      <c r="Z81" s="94"/>
      <c r="AA81" s="94"/>
      <c r="AB81" s="94"/>
      <c r="AC81" s="94"/>
      <c r="AD81" s="94"/>
      <c r="AE81" s="94"/>
      <c r="AF81" s="94"/>
      <c r="AG81" s="94"/>
      <c r="AH81" s="94"/>
      <c r="AI81" s="223"/>
    </row>
    <row r="82" spans="2:35" x14ac:dyDescent="0.25">
      <c r="B82" s="89"/>
      <c r="C82" s="169"/>
      <c r="D82" s="169"/>
      <c r="E82" s="169"/>
      <c r="F82" s="162"/>
      <c r="G82" s="162"/>
      <c r="H82" s="162"/>
      <c r="I82" s="162"/>
      <c r="J82" s="162"/>
      <c r="K82" s="162"/>
      <c r="L82" s="163"/>
      <c r="N82" s="89"/>
      <c r="O82" s="129"/>
      <c r="P82" s="188"/>
      <c r="Q82" s="95"/>
      <c r="S82" s="221"/>
      <c r="T82" s="94"/>
      <c r="U82" s="94"/>
      <c r="V82" s="94"/>
      <c r="W82" s="94"/>
      <c r="X82" s="94"/>
      <c r="Y82" s="94"/>
      <c r="Z82" s="94"/>
      <c r="AA82" s="94"/>
      <c r="AB82" s="94"/>
      <c r="AC82" s="94"/>
      <c r="AD82" s="94"/>
      <c r="AE82" s="94"/>
      <c r="AF82" s="94"/>
      <c r="AG82" s="94"/>
      <c r="AH82" s="94"/>
      <c r="AI82" s="223"/>
    </row>
    <row r="83" spans="2:35" x14ac:dyDescent="0.25">
      <c r="B83" s="135"/>
      <c r="C83" s="136"/>
      <c r="D83" s="136"/>
      <c r="E83" s="136"/>
      <c r="F83" s="136"/>
      <c r="G83" s="136"/>
      <c r="H83" s="136"/>
      <c r="I83" s="136"/>
      <c r="J83" s="136"/>
      <c r="K83" s="136"/>
      <c r="L83" s="137"/>
      <c r="N83" s="89"/>
      <c r="O83" s="129"/>
      <c r="P83" s="188"/>
      <c r="Q83" s="95"/>
      <c r="S83" s="221"/>
      <c r="T83" s="94"/>
      <c r="U83" s="94"/>
      <c r="V83" s="94"/>
      <c r="W83" s="94"/>
      <c r="X83" s="94"/>
      <c r="Y83" s="94"/>
      <c r="Z83" s="94"/>
      <c r="AA83" s="94"/>
      <c r="AB83" s="94"/>
      <c r="AC83" s="94"/>
      <c r="AD83" s="94"/>
      <c r="AE83" s="94"/>
      <c r="AF83" s="94"/>
      <c r="AG83" s="94"/>
      <c r="AH83" s="94"/>
      <c r="AI83" s="223"/>
    </row>
    <row r="84" spans="2:35" x14ac:dyDescent="0.25">
      <c r="N84" s="89"/>
      <c r="O84" s="129"/>
      <c r="P84" s="168"/>
      <c r="Q84" s="95"/>
      <c r="S84" s="221"/>
      <c r="T84" s="94"/>
      <c r="U84" s="94"/>
      <c r="V84" s="94"/>
      <c r="W84" s="94"/>
      <c r="X84" s="94"/>
      <c r="Y84" s="94"/>
      <c r="Z84" s="94"/>
      <c r="AA84" s="94"/>
      <c r="AB84" s="94"/>
      <c r="AC84" s="94"/>
      <c r="AD84" s="94"/>
      <c r="AE84" s="94"/>
      <c r="AF84" s="94"/>
      <c r="AG84" s="94"/>
      <c r="AH84" s="94"/>
      <c r="AI84" s="223"/>
    </row>
    <row r="85" spans="2:35" x14ac:dyDescent="0.25">
      <c r="N85" s="89"/>
      <c r="O85" s="291"/>
      <c r="P85" s="189"/>
      <c r="Q85" s="95"/>
      <c r="S85" s="221"/>
      <c r="T85" s="94"/>
      <c r="U85" s="94"/>
      <c r="V85" s="94"/>
      <c r="W85" s="94"/>
      <c r="X85" s="94"/>
      <c r="Y85" s="94"/>
      <c r="Z85" s="94"/>
      <c r="AA85" s="94"/>
      <c r="AB85" s="94"/>
      <c r="AC85" s="94"/>
      <c r="AD85" s="94"/>
      <c r="AE85" s="94"/>
      <c r="AF85" s="94"/>
      <c r="AG85" s="94"/>
      <c r="AH85" s="94"/>
      <c r="AI85" s="223"/>
    </row>
    <row r="86" spans="2:35" x14ac:dyDescent="0.25">
      <c r="B86" s="143" t="s">
        <v>235</v>
      </c>
      <c r="N86" s="89"/>
      <c r="O86" s="291"/>
      <c r="P86" s="189"/>
      <c r="Q86" s="95"/>
      <c r="S86" s="221"/>
      <c r="T86" s="94"/>
      <c r="U86" s="94"/>
      <c r="V86" s="94"/>
      <c r="W86" s="94"/>
      <c r="X86" s="94"/>
      <c r="Y86" s="94"/>
      <c r="Z86" s="94"/>
      <c r="AA86" s="94"/>
      <c r="AB86" s="94"/>
      <c r="AC86" s="94"/>
      <c r="AD86" s="94"/>
      <c r="AE86" s="94"/>
      <c r="AF86" s="94"/>
      <c r="AG86" s="94"/>
      <c r="AH86" s="94"/>
      <c r="AI86" s="223"/>
    </row>
    <row r="87" spans="2:35" x14ac:dyDescent="0.25">
      <c r="B87" s="84"/>
      <c r="C87" s="87"/>
      <c r="D87" s="87"/>
      <c r="E87" s="87"/>
      <c r="F87" s="87"/>
      <c r="G87" s="87"/>
      <c r="H87" s="87"/>
      <c r="I87" s="87"/>
      <c r="J87" s="87"/>
      <c r="K87" s="87"/>
      <c r="L87" s="88"/>
      <c r="N87" s="89"/>
      <c r="O87" s="292"/>
      <c r="P87" s="198"/>
      <c r="Q87" s="95"/>
      <c r="S87" s="221"/>
      <c r="T87" s="94"/>
      <c r="U87" s="94"/>
      <c r="V87" s="94"/>
      <c r="W87" s="94"/>
      <c r="X87" s="94"/>
      <c r="Y87" s="94"/>
      <c r="Z87" s="94"/>
      <c r="AA87" s="94"/>
      <c r="AB87" s="94"/>
      <c r="AC87" s="94"/>
      <c r="AD87" s="94"/>
      <c r="AE87" s="94"/>
      <c r="AF87" s="94"/>
      <c r="AG87" s="94"/>
      <c r="AH87" s="94"/>
      <c r="AI87" s="223"/>
    </row>
    <row r="88" spans="2:35" x14ac:dyDescent="0.25">
      <c r="B88" s="89"/>
      <c r="C88" s="96" t="s">
        <v>236</v>
      </c>
      <c r="D88" s="162"/>
      <c r="E88" s="162"/>
      <c r="F88" s="96" t="s">
        <v>237</v>
      </c>
      <c r="G88" s="162"/>
      <c r="H88" s="162"/>
      <c r="I88" s="162"/>
      <c r="J88" s="162"/>
      <c r="K88" s="162"/>
      <c r="L88" s="163"/>
      <c r="N88" s="89"/>
      <c r="O88" s="94"/>
      <c r="P88" s="94"/>
      <c r="Q88" s="95"/>
      <c r="S88" s="221"/>
      <c r="T88" s="94"/>
      <c r="U88" s="94"/>
      <c r="V88" s="94"/>
      <c r="W88" s="94"/>
      <c r="X88" s="94"/>
      <c r="Y88" s="94"/>
      <c r="Z88" s="94"/>
      <c r="AA88" s="94"/>
      <c r="AB88" s="94"/>
      <c r="AC88" s="94"/>
      <c r="AD88" s="94"/>
      <c r="AE88" s="94"/>
      <c r="AF88" s="94"/>
      <c r="AG88" s="94"/>
      <c r="AH88" s="94"/>
      <c r="AI88" s="223"/>
    </row>
    <row r="89" spans="2:35" x14ac:dyDescent="0.25">
      <c r="B89" s="89"/>
      <c r="C89" s="125" t="s">
        <v>10</v>
      </c>
      <c r="D89" s="164" t="s">
        <v>159</v>
      </c>
      <c r="E89" s="94"/>
      <c r="F89" s="227" t="s">
        <v>24</v>
      </c>
      <c r="G89" s="227" t="s">
        <v>84</v>
      </c>
      <c r="H89" s="227" t="s">
        <v>87</v>
      </c>
      <c r="I89" s="162"/>
      <c r="J89" s="162"/>
      <c r="K89" s="162"/>
      <c r="L89" s="163"/>
      <c r="N89" s="89"/>
      <c r="O89" s="94"/>
      <c r="P89" s="94"/>
      <c r="Q89" s="95"/>
      <c r="S89" s="221"/>
      <c r="T89" s="94"/>
      <c r="U89" s="94"/>
      <c r="V89" s="94"/>
      <c r="W89" s="94"/>
      <c r="X89" s="94"/>
      <c r="Y89" s="94"/>
      <c r="Z89" s="94"/>
      <c r="AA89" s="94"/>
      <c r="AB89" s="94"/>
      <c r="AC89" s="94"/>
      <c r="AD89" s="94"/>
      <c r="AE89" s="94"/>
      <c r="AF89" s="94"/>
      <c r="AG89" s="94"/>
      <c r="AH89" s="94"/>
      <c r="AI89" s="223"/>
    </row>
    <row r="90" spans="2:35" x14ac:dyDescent="0.25">
      <c r="B90" s="89"/>
      <c r="C90" s="129" t="s">
        <v>225</v>
      </c>
      <c r="D90" s="168" t="s">
        <v>165</v>
      </c>
      <c r="E90" s="169"/>
      <c r="F90" s="112" t="str">
        <f>'[1]MKT DATA USD'!M19</f>
        <v>3Y</v>
      </c>
      <c r="G90" s="170">
        <f>'[1]MKT DATA USD'!R19</f>
        <v>3.9240000000000004E-3</v>
      </c>
      <c r="H90" s="293" t="b">
        <v>1</v>
      </c>
      <c r="I90" s="162"/>
      <c r="J90" s="162"/>
      <c r="K90" s="162"/>
      <c r="L90" s="163"/>
      <c r="N90" s="89"/>
      <c r="O90" s="94"/>
      <c r="P90" s="94"/>
      <c r="Q90" s="95"/>
      <c r="S90" s="221"/>
      <c r="T90" s="94"/>
      <c r="U90" s="94"/>
      <c r="V90" s="94"/>
      <c r="W90" s="94"/>
      <c r="X90" s="94"/>
      <c r="Y90" s="94"/>
      <c r="Z90" s="94"/>
      <c r="AA90" s="94"/>
      <c r="AB90" s="94"/>
      <c r="AC90" s="94"/>
      <c r="AD90" s="94"/>
      <c r="AE90" s="94"/>
      <c r="AF90" s="94"/>
      <c r="AG90" s="94"/>
      <c r="AH90" s="94"/>
      <c r="AI90" s="223"/>
    </row>
    <row r="91" spans="2:35" x14ac:dyDescent="0.25">
      <c r="B91" s="89"/>
      <c r="C91" s="129" t="s">
        <v>226</v>
      </c>
      <c r="D91" s="168" t="s">
        <v>125</v>
      </c>
      <c r="E91" s="169"/>
      <c r="F91" s="122" t="str">
        <f>'[1]MKT DATA USD'!M20</f>
        <v>4Y</v>
      </c>
      <c r="G91" s="175">
        <f>'[1]MKT DATA USD'!R20</f>
        <v>4.1700000000000001E-3</v>
      </c>
      <c r="H91" s="294" t="b">
        <v>1</v>
      </c>
      <c r="I91" s="162"/>
      <c r="J91" s="162"/>
      <c r="K91" s="162"/>
      <c r="L91" s="163"/>
      <c r="N91" s="89"/>
      <c r="O91" s="94"/>
      <c r="P91" s="94"/>
      <c r="Q91" s="95"/>
      <c r="S91" s="221"/>
      <c r="T91" s="94"/>
      <c r="U91" s="94"/>
      <c r="V91" s="94"/>
      <c r="W91" s="94"/>
      <c r="X91" s="94"/>
      <c r="Y91" s="94"/>
      <c r="Z91" s="94"/>
      <c r="AA91" s="94"/>
      <c r="AB91" s="94"/>
      <c r="AC91" s="94"/>
      <c r="AD91" s="94"/>
      <c r="AE91" s="94"/>
      <c r="AF91" s="94"/>
      <c r="AG91" s="94"/>
      <c r="AH91" s="94"/>
      <c r="AI91" s="223"/>
    </row>
    <row r="92" spans="2:35" x14ac:dyDescent="0.25">
      <c r="B92" s="89"/>
      <c r="C92" s="129" t="s">
        <v>161</v>
      </c>
      <c r="D92" s="168" t="s">
        <v>227</v>
      </c>
      <c r="E92" s="169"/>
      <c r="F92" s="122" t="str">
        <f>'[1]MKT DATA USD'!M21</f>
        <v>5Y</v>
      </c>
      <c r="G92" s="175">
        <f>'[1]MKT DATA USD'!R21</f>
        <v>4.5960000000000003E-3</v>
      </c>
      <c r="H92" s="294" t="b">
        <v>1</v>
      </c>
      <c r="I92" s="162"/>
      <c r="J92" s="162"/>
      <c r="K92" s="162"/>
      <c r="L92" s="163"/>
      <c r="N92" s="89"/>
      <c r="O92" s="94"/>
      <c r="P92" s="94"/>
      <c r="Q92" s="95"/>
      <c r="S92" s="221"/>
      <c r="T92" s="94"/>
      <c r="U92" s="94"/>
      <c r="V92" s="94"/>
      <c r="W92" s="94"/>
      <c r="X92" s="94"/>
      <c r="Y92" s="94"/>
      <c r="Z92" s="94"/>
      <c r="AA92" s="94"/>
      <c r="AB92" s="94"/>
      <c r="AC92" s="94"/>
      <c r="AD92" s="94"/>
      <c r="AE92" s="94"/>
      <c r="AF92" s="94"/>
      <c r="AG92" s="94"/>
      <c r="AH92" s="94"/>
      <c r="AI92" s="223"/>
    </row>
    <row r="93" spans="2:35" x14ac:dyDescent="0.25">
      <c r="B93" s="89"/>
      <c r="C93" s="129" t="s">
        <v>228</v>
      </c>
      <c r="D93" s="168" t="s">
        <v>229</v>
      </c>
      <c r="E93" s="169"/>
      <c r="F93" s="122" t="str">
        <f>'[1]MKT DATA USD'!M22</f>
        <v>7Y</v>
      </c>
      <c r="G93" s="175">
        <f>'[1]MKT DATA USD'!R22</f>
        <v>5.6169999999999996E-3</v>
      </c>
      <c r="H93" s="294" t="b">
        <v>1</v>
      </c>
      <c r="I93" s="162"/>
      <c r="J93" s="162"/>
      <c r="K93" s="162"/>
      <c r="L93" s="163"/>
      <c r="N93" s="89"/>
      <c r="O93" s="94"/>
      <c r="P93" s="94"/>
      <c r="Q93" s="95"/>
      <c r="S93" s="221"/>
      <c r="T93" s="94"/>
      <c r="U93" s="94"/>
      <c r="V93" s="94"/>
      <c r="W93" s="94"/>
      <c r="X93" s="94"/>
      <c r="Y93" s="94"/>
      <c r="Z93" s="94"/>
      <c r="AA93" s="94"/>
      <c r="AB93" s="94"/>
      <c r="AC93" s="94"/>
      <c r="AD93" s="94"/>
      <c r="AE93" s="94"/>
      <c r="AF93" s="94"/>
      <c r="AG93" s="94"/>
      <c r="AH93" s="94"/>
      <c r="AI93" s="223"/>
    </row>
    <row r="94" spans="2:35" x14ac:dyDescent="0.25">
      <c r="B94" s="89"/>
      <c r="C94" s="129" t="s">
        <v>230</v>
      </c>
      <c r="D94" s="168" t="b">
        <v>1</v>
      </c>
      <c r="E94" s="169"/>
      <c r="F94" s="122" t="str">
        <f>'[1]MKT DATA USD'!M23</f>
        <v>8Y</v>
      </c>
      <c r="G94" s="175">
        <f>'[1]MKT DATA USD'!R23</f>
        <v>6.0619999999999997E-3</v>
      </c>
      <c r="H94" s="294" t="b">
        <v>1</v>
      </c>
      <c r="I94" s="162"/>
      <c r="J94" s="162"/>
      <c r="K94" s="162"/>
      <c r="L94" s="163"/>
      <c r="N94" s="89"/>
      <c r="O94" s="94"/>
      <c r="P94" s="94"/>
      <c r="Q94" s="95"/>
      <c r="S94" s="221"/>
      <c r="T94" s="94"/>
      <c r="U94" s="94"/>
      <c r="V94" s="94"/>
      <c r="W94" s="94"/>
      <c r="X94" s="94"/>
      <c r="Y94" s="94"/>
      <c r="Z94" s="94"/>
      <c r="AA94" s="94"/>
      <c r="AB94" s="94"/>
      <c r="AC94" s="94"/>
      <c r="AD94" s="94"/>
      <c r="AE94" s="94"/>
      <c r="AF94" s="94"/>
      <c r="AG94" s="94"/>
      <c r="AH94" s="94"/>
      <c r="AI94" s="223"/>
    </row>
    <row r="95" spans="2:35" x14ac:dyDescent="0.25">
      <c r="B95" s="89"/>
      <c r="C95" s="129" t="s">
        <v>231</v>
      </c>
      <c r="D95" s="168">
        <v>31</v>
      </c>
      <c r="E95" s="169"/>
      <c r="F95" s="122" t="str">
        <f>'[1]MKT DATA USD'!M24</f>
        <v>9Y</v>
      </c>
      <c r="G95" s="175">
        <f>'[1]MKT DATA USD'!R24</f>
        <v>6.4959999999999992E-3</v>
      </c>
      <c r="H95" s="294" t="b">
        <v>1</v>
      </c>
      <c r="I95" s="162"/>
      <c r="J95" s="162"/>
      <c r="K95" s="162"/>
      <c r="L95" s="163"/>
      <c r="N95" s="89"/>
      <c r="O95" s="94"/>
      <c r="P95" s="94"/>
      <c r="Q95" s="95"/>
      <c r="S95" s="221"/>
      <c r="T95" s="94"/>
      <c r="U95" s="94"/>
      <c r="V95" s="94"/>
      <c r="W95" s="94"/>
      <c r="X95" s="94"/>
      <c r="Y95" s="94"/>
      <c r="Z95" s="94"/>
      <c r="AA95" s="94"/>
      <c r="AB95" s="94"/>
      <c r="AC95" s="94"/>
      <c r="AD95" s="94"/>
      <c r="AE95" s="94"/>
      <c r="AF95" s="94"/>
      <c r="AG95" s="94"/>
      <c r="AH95" s="94"/>
      <c r="AI95" s="223"/>
    </row>
    <row r="96" spans="2:35" x14ac:dyDescent="0.25">
      <c r="B96" s="89"/>
      <c r="C96" s="129" t="s">
        <v>232</v>
      </c>
      <c r="D96" s="168" t="b">
        <v>1</v>
      </c>
      <c r="E96" s="169"/>
      <c r="F96" s="122" t="str">
        <f>'[1]MKT DATA USD'!M25</f>
        <v>10Y</v>
      </c>
      <c r="G96" s="175">
        <f>'[1]MKT DATA USD'!R25</f>
        <v>6.8089999999999991E-3</v>
      </c>
      <c r="H96" s="294" t="b">
        <v>1</v>
      </c>
      <c r="I96" s="162"/>
      <c r="J96" s="162"/>
      <c r="K96" s="162"/>
      <c r="L96" s="163"/>
      <c r="N96" s="89"/>
      <c r="O96" s="94"/>
      <c r="P96" s="94"/>
      <c r="Q96" s="95"/>
      <c r="S96" s="221"/>
      <c r="T96" s="94"/>
      <c r="U96" s="94"/>
      <c r="V96" s="94"/>
      <c r="W96" s="94"/>
      <c r="X96" s="94"/>
      <c r="Y96" s="94"/>
      <c r="Z96" s="94"/>
      <c r="AA96" s="94"/>
      <c r="AB96" s="94"/>
      <c r="AC96" s="94"/>
      <c r="AD96" s="94"/>
      <c r="AE96" s="94"/>
      <c r="AF96" s="94"/>
      <c r="AG96" s="94"/>
      <c r="AH96" s="94"/>
      <c r="AI96" s="223"/>
    </row>
    <row r="97" spans="2:35" x14ac:dyDescent="0.25">
      <c r="B97" s="89"/>
      <c r="C97" s="129" t="s">
        <v>233</v>
      </c>
      <c r="D97" s="168">
        <v>2</v>
      </c>
      <c r="E97" s="169"/>
      <c r="F97" s="122" t="str">
        <f>'[1]MKT DATA USD'!M26</f>
        <v>12Y</v>
      </c>
      <c r="G97" s="175">
        <f>'[1]MKT DATA USD'!R26</f>
        <v>7.3209999999999994E-3</v>
      </c>
      <c r="H97" s="294" t="b">
        <v>1</v>
      </c>
      <c r="I97" s="162"/>
      <c r="J97" s="162"/>
      <c r="K97" s="162"/>
      <c r="L97" s="163"/>
      <c r="N97" s="89"/>
      <c r="O97" s="94"/>
      <c r="P97" s="94"/>
      <c r="Q97" s="95"/>
      <c r="S97" s="221"/>
      <c r="T97" s="94"/>
      <c r="U97" s="94"/>
      <c r="V97" s="94"/>
      <c r="W97" s="94"/>
      <c r="X97" s="94"/>
      <c r="Y97" s="94"/>
      <c r="Z97" s="94"/>
      <c r="AA97" s="94"/>
      <c r="AB97" s="94"/>
      <c r="AC97" s="94"/>
      <c r="AD97" s="94"/>
      <c r="AE97" s="94"/>
      <c r="AF97" s="94"/>
      <c r="AG97" s="94"/>
      <c r="AH97" s="94"/>
      <c r="AI97" s="223"/>
    </row>
    <row r="98" spans="2:35" x14ac:dyDescent="0.25">
      <c r="B98" s="89"/>
      <c r="C98" s="129" t="s">
        <v>14</v>
      </c>
      <c r="D98" s="168" t="s">
        <v>15</v>
      </c>
      <c r="E98" s="169"/>
      <c r="F98" s="122" t="str">
        <f>'[1]MKT DATA USD'!M27</f>
        <v>15Y</v>
      </c>
      <c r="G98" s="175">
        <f>'[1]MKT DATA USD'!R27</f>
        <v>7.7690000000000007E-3</v>
      </c>
      <c r="H98" s="294" t="b">
        <v>1</v>
      </c>
      <c r="I98" s="162"/>
      <c r="J98" s="162"/>
      <c r="K98" s="162"/>
      <c r="L98" s="163"/>
      <c r="N98" s="89"/>
      <c r="O98" s="94"/>
      <c r="P98" s="94"/>
      <c r="Q98" s="95"/>
      <c r="S98" s="221"/>
      <c r="T98" s="94"/>
      <c r="U98" s="94"/>
      <c r="V98" s="94"/>
      <c r="W98" s="94"/>
      <c r="X98" s="94"/>
      <c r="Y98" s="94"/>
      <c r="Z98" s="94"/>
      <c r="AA98" s="94"/>
      <c r="AB98" s="94"/>
      <c r="AC98" s="94"/>
      <c r="AD98" s="94"/>
      <c r="AE98" s="94"/>
      <c r="AF98" s="94"/>
      <c r="AG98" s="94"/>
      <c r="AH98" s="94"/>
      <c r="AI98" s="223"/>
    </row>
    <row r="99" spans="2:35" x14ac:dyDescent="0.25">
      <c r="B99" s="89"/>
      <c r="C99" s="129" t="s">
        <v>234</v>
      </c>
      <c r="D99" s="168" t="b">
        <v>1</v>
      </c>
      <c r="E99" s="169"/>
      <c r="F99" s="122" t="str">
        <f>'[1]MKT DATA USD'!M28</f>
        <v>20Y</v>
      </c>
      <c r="G99" s="175">
        <f>'[1]MKT DATA USD'!R28</f>
        <v>8.2719999999999998E-3</v>
      </c>
      <c r="H99" s="294" t="b">
        <v>1</v>
      </c>
      <c r="I99" s="162"/>
      <c r="J99" s="162"/>
      <c r="K99" s="162"/>
      <c r="L99" s="163"/>
      <c r="N99" s="89"/>
      <c r="O99" s="94"/>
      <c r="P99" s="94"/>
      <c r="Q99" s="95"/>
      <c r="S99" s="221"/>
      <c r="T99" s="94"/>
      <c r="U99" s="94"/>
      <c r="V99" s="94"/>
      <c r="W99" s="94"/>
      <c r="X99" s="94"/>
      <c r="Y99" s="94"/>
      <c r="Z99" s="94"/>
      <c r="AA99" s="94"/>
      <c r="AB99" s="94"/>
      <c r="AC99" s="94"/>
      <c r="AD99" s="94"/>
      <c r="AE99" s="94"/>
      <c r="AF99" s="94"/>
      <c r="AG99" s="94"/>
      <c r="AH99" s="94"/>
      <c r="AI99" s="223"/>
    </row>
    <row r="100" spans="2:35" x14ac:dyDescent="0.25">
      <c r="B100" s="89"/>
      <c r="C100" s="129" t="s">
        <v>152</v>
      </c>
      <c r="D100" s="286">
        <v>1.0000000000000001E-9</v>
      </c>
      <c r="E100" s="169"/>
      <c r="F100" s="122" t="str">
        <f>'[1]MKT DATA USD'!M29</f>
        <v>25Y</v>
      </c>
      <c r="G100" s="175">
        <f>'[1]MKT DATA USD'!R29</f>
        <v>8.4200000000000004E-3</v>
      </c>
      <c r="H100" s="294" t="b">
        <v>1</v>
      </c>
      <c r="I100" s="162"/>
      <c r="J100" s="162"/>
      <c r="K100" s="162"/>
      <c r="L100" s="163"/>
      <c r="N100" s="89"/>
      <c r="O100" s="94"/>
      <c r="P100" s="94"/>
      <c r="Q100" s="95"/>
      <c r="S100" s="221"/>
      <c r="T100" s="94"/>
      <c r="U100" s="94"/>
      <c r="V100" s="94"/>
      <c r="W100" s="94"/>
      <c r="X100" s="94"/>
      <c r="Y100" s="94"/>
      <c r="Z100" s="94"/>
      <c r="AA100" s="94"/>
      <c r="AB100" s="94"/>
      <c r="AC100" s="94"/>
      <c r="AD100" s="94"/>
      <c r="AE100" s="94"/>
      <c r="AF100" s="94"/>
      <c r="AG100" s="94"/>
      <c r="AH100" s="94"/>
      <c r="AI100" s="223"/>
    </row>
    <row r="101" spans="2:35" x14ac:dyDescent="0.25">
      <c r="B101" s="89"/>
      <c r="C101" s="129" t="s">
        <v>153</v>
      </c>
      <c r="D101" s="188">
        <v>1000</v>
      </c>
      <c r="E101" s="169"/>
      <c r="F101" s="122" t="str">
        <f>'[1]MKT DATA USD'!M30</f>
        <v>30Y</v>
      </c>
      <c r="G101" s="175">
        <f>'[1]MKT DATA USD'!R30</f>
        <v>8.4969999999999993E-3</v>
      </c>
      <c r="H101" s="294" t="b">
        <v>1</v>
      </c>
      <c r="I101" s="162"/>
      <c r="J101" s="162"/>
      <c r="K101" s="162"/>
      <c r="L101" s="163"/>
      <c r="N101" s="89"/>
      <c r="O101" s="94"/>
      <c r="P101" s="94"/>
      <c r="Q101" s="95"/>
      <c r="S101" s="221"/>
      <c r="T101" s="94"/>
      <c r="U101" s="94"/>
      <c r="V101" s="94"/>
      <c r="W101" s="94"/>
      <c r="X101" s="94"/>
      <c r="Y101" s="94"/>
      <c r="Z101" s="94"/>
      <c r="AA101" s="94"/>
      <c r="AB101" s="94"/>
      <c r="AC101" s="94"/>
      <c r="AD101" s="94"/>
      <c r="AE101" s="94"/>
      <c r="AF101" s="94"/>
      <c r="AG101" s="94"/>
      <c r="AH101" s="94"/>
      <c r="AI101" s="223"/>
    </row>
    <row r="102" spans="2:35" x14ac:dyDescent="0.25">
      <c r="B102" s="89"/>
      <c r="C102" s="129"/>
      <c r="D102" s="188"/>
      <c r="E102" s="169"/>
      <c r="F102" s="122"/>
      <c r="G102" s="175"/>
      <c r="H102" s="294"/>
      <c r="I102" s="162"/>
      <c r="J102" s="162"/>
      <c r="K102" s="162"/>
      <c r="L102" s="163"/>
      <c r="N102" s="89"/>
      <c r="O102" s="94"/>
      <c r="P102" s="94"/>
      <c r="Q102" s="95"/>
      <c r="S102" s="221"/>
      <c r="T102" s="94"/>
      <c r="U102" s="94"/>
      <c r="V102" s="94"/>
      <c r="W102" s="94"/>
      <c r="X102" s="94"/>
      <c r="Y102" s="94"/>
      <c r="Z102" s="94"/>
      <c r="AA102" s="94"/>
      <c r="AB102" s="94"/>
      <c r="AC102" s="94"/>
      <c r="AD102" s="94"/>
      <c r="AE102" s="94"/>
      <c r="AF102" s="94"/>
      <c r="AG102" s="94"/>
      <c r="AH102" s="94"/>
      <c r="AI102" s="223"/>
    </row>
    <row r="103" spans="2:35" x14ac:dyDescent="0.25">
      <c r="B103" s="89"/>
      <c r="C103" s="129"/>
      <c r="D103" s="188"/>
      <c r="E103" s="169"/>
      <c r="F103" s="190"/>
      <c r="G103" s="295"/>
      <c r="H103" s="294"/>
      <c r="I103" s="162"/>
      <c r="J103" s="162"/>
      <c r="K103" s="162"/>
      <c r="L103" s="163"/>
      <c r="N103" s="89"/>
      <c r="O103" s="94"/>
      <c r="P103" s="94"/>
      <c r="Q103" s="95"/>
      <c r="S103" s="221"/>
      <c r="T103" s="94"/>
      <c r="U103" s="94"/>
      <c r="V103" s="94"/>
      <c r="W103" s="94"/>
      <c r="X103" s="94"/>
      <c r="Y103" s="94"/>
      <c r="Z103" s="94"/>
      <c r="AA103" s="94"/>
      <c r="AB103" s="94"/>
      <c r="AC103" s="94"/>
      <c r="AD103" s="94"/>
      <c r="AE103" s="94"/>
      <c r="AF103" s="94"/>
      <c r="AG103" s="94"/>
      <c r="AH103" s="94"/>
      <c r="AI103" s="223"/>
    </row>
    <row r="104" spans="2:35" x14ac:dyDescent="0.25">
      <c r="B104" s="89"/>
      <c r="C104" s="129"/>
      <c r="D104" s="168"/>
      <c r="E104" s="169"/>
      <c r="F104" s="190"/>
      <c r="G104" s="295"/>
      <c r="H104" s="294"/>
      <c r="I104" s="162"/>
      <c r="J104" s="162"/>
      <c r="K104" s="162"/>
      <c r="L104" s="163"/>
      <c r="N104" s="89"/>
      <c r="O104" s="94"/>
      <c r="P104" s="94"/>
      <c r="Q104" s="95"/>
      <c r="S104" s="221"/>
      <c r="T104" s="94"/>
      <c r="U104" s="94"/>
      <c r="V104" s="94"/>
      <c r="W104" s="94"/>
      <c r="X104" s="94"/>
      <c r="Y104" s="94"/>
      <c r="Z104" s="94"/>
      <c r="AA104" s="94"/>
      <c r="AB104" s="94"/>
      <c r="AC104" s="94"/>
      <c r="AD104" s="94"/>
      <c r="AE104" s="94"/>
      <c r="AF104" s="94"/>
      <c r="AG104" s="94"/>
      <c r="AH104" s="94"/>
      <c r="AI104" s="223"/>
    </row>
    <row r="105" spans="2:35" x14ac:dyDescent="0.25">
      <c r="B105" s="89"/>
      <c r="C105" s="291"/>
      <c r="D105" s="189"/>
      <c r="E105" s="169"/>
      <c r="F105" s="190"/>
      <c r="G105" s="295"/>
      <c r="H105" s="294"/>
      <c r="I105" s="162"/>
      <c r="J105" s="162"/>
      <c r="K105" s="162"/>
      <c r="L105" s="163"/>
      <c r="N105" s="89"/>
      <c r="O105" s="94"/>
      <c r="P105" s="94"/>
      <c r="Q105" s="95"/>
      <c r="S105" s="221"/>
      <c r="T105" s="94"/>
      <c r="U105" s="94"/>
      <c r="V105" s="94"/>
      <c r="W105" s="94"/>
      <c r="X105" s="94"/>
      <c r="Y105" s="94"/>
      <c r="Z105" s="94"/>
      <c r="AA105" s="94"/>
      <c r="AB105" s="94"/>
      <c r="AC105" s="94"/>
      <c r="AD105" s="94"/>
      <c r="AE105" s="94"/>
      <c r="AF105" s="94"/>
      <c r="AG105" s="94"/>
      <c r="AH105" s="94"/>
      <c r="AI105" s="223"/>
    </row>
    <row r="106" spans="2:35" x14ac:dyDescent="0.25">
      <c r="B106" s="89"/>
      <c r="C106" s="291"/>
      <c r="D106" s="189"/>
      <c r="E106" s="169"/>
      <c r="F106" s="190"/>
      <c r="G106" s="295"/>
      <c r="H106" s="294"/>
      <c r="I106" s="162"/>
      <c r="J106" s="162"/>
      <c r="K106" s="162"/>
      <c r="L106" s="163"/>
      <c r="N106" s="89"/>
      <c r="O106" s="94"/>
      <c r="P106" s="94"/>
      <c r="Q106" s="95"/>
      <c r="S106" s="221"/>
      <c r="T106" s="94"/>
      <c r="U106" s="94"/>
      <c r="V106" s="94"/>
      <c r="W106" s="94"/>
      <c r="X106" s="94"/>
      <c r="Y106" s="94"/>
      <c r="Z106" s="94"/>
      <c r="AA106" s="94"/>
      <c r="AB106" s="94"/>
      <c r="AC106" s="94"/>
      <c r="AD106" s="94"/>
      <c r="AE106" s="94"/>
      <c r="AF106" s="94"/>
      <c r="AG106" s="94"/>
      <c r="AH106" s="94"/>
      <c r="AI106" s="223"/>
    </row>
    <row r="107" spans="2:35" x14ac:dyDescent="0.25">
      <c r="B107" s="89"/>
      <c r="C107" s="292"/>
      <c r="D107" s="198"/>
      <c r="E107" s="169"/>
      <c r="F107" s="250"/>
      <c r="G107" s="296"/>
      <c r="H107" s="297"/>
      <c r="I107" s="162"/>
      <c r="J107" s="162"/>
      <c r="K107" s="162"/>
      <c r="L107" s="163"/>
      <c r="N107" s="89"/>
      <c r="O107" s="94"/>
      <c r="P107" s="94"/>
      <c r="Q107" s="95"/>
      <c r="S107" s="221"/>
      <c r="T107" s="94"/>
      <c r="U107" s="94"/>
      <c r="V107" s="94"/>
      <c r="W107" s="94"/>
      <c r="X107" s="94"/>
      <c r="Y107" s="94"/>
      <c r="Z107" s="94"/>
      <c r="AA107" s="94"/>
      <c r="AB107" s="94"/>
      <c r="AC107" s="94"/>
      <c r="AD107" s="94"/>
      <c r="AE107" s="94"/>
      <c r="AF107" s="94"/>
      <c r="AG107" s="94"/>
      <c r="AH107" s="94"/>
      <c r="AI107" s="223"/>
    </row>
    <row r="108" spans="2:35" x14ac:dyDescent="0.25">
      <c r="B108" s="89"/>
      <c r="C108" s="169"/>
      <c r="D108" s="169"/>
      <c r="E108" s="169"/>
      <c r="F108" s="162"/>
      <c r="G108" s="162"/>
      <c r="H108" s="162"/>
      <c r="I108" s="162"/>
      <c r="J108" s="162"/>
      <c r="K108" s="162"/>
      <c r="L108" s="163"/>
      <c r="N108" s="89"/>
      <c r="O108" s="94"/>
      <c r="P108" s="94"/>
      <c r="Q108" s="95"/>
      <c r="S108" s="221"/>
      <c r="T108" s="94"/>
      <c r="U108" s="94"/>
      <c r="V108" s="94"/>
      <c r="W108" s="94"/>
      <c r="X108" s="94"/>
      <c r="Y108" s="94"/>
      <c r="Z108" s="94"/>
      <c r="AA108" s="94"/>
      <c r="AB108" s="94"/>
      <c r="AC108" s="94"/>
      <c r="AD108" s="94"/>
      <c r="AE108" s="94"/>
      <c r="AF108" s="94"/>
      <c r="AG108" s="94"/>
      <c r="AH108" s="94"/>
      <c r="AI108" s="223"/>
    </row>
    <row r="109" spans="2:35" x14ac:dyDescent="0.25">
      <c r="B109" s="135"/>
      <c r="C109" s="136"/>
      <c r="D109" s="136"/>
      <c r="E109" s="136"/>
      <c r="F109" s="136"/>
      <c r="G109" s="136"/>
      <c r="H109" s="136"/>
      <c r="I109" s="136"/>
      <c r="J109" s="136"/>
      <c r="K109" s="136"/>
      <c r="L109" s="137"/>
      <c r="N109" s="135"/>
      <c r="O109" s="136"/>
      <c r="P109" s="136"/>
      <c r="Q109" s="137"/>
      <c r="S109" s="298"/>
      <c r="T109" s="299"/>
      <c r="U109" s="299"/>
      <c r="V109" s="299"/>
      <c r="W109" s="299"/>
      <c r="X109" s="299"/>
      <c r="Y109" s="299"/>
      <c r="Z109" s="299"/>
      <c r="AA109" s="299"/>
      <c r="AB109" s="299"/>
      <c r="AC109" s="299"/>
      <c r="AD109" s="299"/>
      <c r="AE109" s="299"/>
      <c r="AF109" s="299"/>
      <c r="AG109" s="299"/>
      <c r="AH109" s="299"/>
      <c r="AI109" s="300"/>
    </row>
  </sheetData>
  <dataValidations count="2">
    <dataValidation type="list" allowBlank="1" showInputMessage="1" showErrorMessage="1" sqref="P5 D4">
      <formula1>"TRUE,FALSE"</formula1>
    </dataValidation>
    <dataValidation type="list" allowBlank="1" showInputMessage="1" showErrorMessage="1" sqref="G38 D98 D71 D36 P31 P41 P56 P78">
      <formula1>"FOLLOWING,MOD_FOLLOWING,PRECEDING,MOD_PRECEEDING,NO_CHANGE"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theme="1" tint="0.499984740745262"/>
  </sheetPr>
  <dimension ref="B2:AK87"/>
  <sheetViews>
    <sheetView showGridLines="0" workbookViewId="0"/>
  </sheetViews>
  <sheetFormatPr defaultRowHeight="15" x14ac:dyDescent="0.25"/>
  <cols>
    <col min="1" max="1" width="2.7109375" customWidth="1"/>
    <col min="2" max="2" width="2.7109375" hidden="1" customWidth="1"/>
    <col min="3" max="3" width="25.140625" hidden="1" customWidth="1"/>
    <col min="4" max="4" width="32.85546875" hidden="1" customWidth="1"/>
    <col min="5" max="5" width="10.7109375" hidden="1" customWidth="1"/>
    <col min="6" max="8" width="12.7109375" hidden="1" customWidth="1"/>
    <col min="9" max="9" width="15.7109375" hidden="1" customWidth="1"/>
    <col min="10" max="10" width="20.7109375" hidden="1" customWidth="1"/>
    <col min="11" max="11" width="12.7109375" hidden="1" customWidth="1"/>
    <col min="12" max="13" width="15.7109375" hidden="1" customWidth="1"/>
    <col min="14" max="16" width="2.7109375" hidden="1" customWidth="1"/>
    <col min="17" max="18" width="40.7109375" hidden="1" customWidth="1"/>
    <col min="19" max="19" width="2.7109375" hidden="1" customWidth="1"/>
    <col min="21" max="21" width="2.7109375" customWidth="1"/>
    <col min="22" max="22" width="30.7109375" customWidth="1"/>
    <col min="23" max="23" width="34.28515625" bestFit="1" customWidth="1"/>
    <col min="24" max="24" width="2.7109375" customWidth="1"/>
    <col min="25" max="29" width="15.7109375" customWidth="1"/>
    <col min="30" max="30" width="2.7109375" customWidth="1"/>
    <col min="31" max="32" width="15.7109375" customWidth="1"/>
    <col min="33" max="33" width="2.7109375" customWidth="1"/>
    <col min="34" max="35" width="15.7109375" customWidth="1"/>
    <col min="36" max="36" width="2.7109375" customWidth="1"/>
  </cols>
  <sheetData>
    <row r="2" spans="2:37" x14ac:dyDescent="0.25">
      <c r="B2" s="83"/>
      <c r="P2" s="83"/>
      <c r="Q2" s="83"/>
      <c r="U2" s="83"/>
    </row>
    <row r="3" spans="2:37" x14ac:dyDescent="0.25">
      <c r="B3" s="84"/>
      <c r="C3" s="85"/>
      <c r="D3" s="86"/>
      <c r="E3" s="87"/>
      <c r="F3" s="87"/>
      <c r="G3" s="87"/>
      <c r="H3" s="87"/>
      <c r="I3" s="87"/>
      <c r="J3" s="87"/>
      <c r="K3" s="87"/>
      <c r="L3" s="87"/>
      <c r="M3" s="87"/>
      <c r="N3" s="88"/>
      <c r="P3" s="84"/>
      <c r="Q3" s="87"/>
      <c r="R3" s="87"/>
      <c r="S3" s="88"/>
      <c r="U3" s="84"/>
      <c r="V3" s="85"/>
      <c r="W3" s="86"/>
      <c r="X3" s="87"/>
      <c r="Y3" s="87"/>
      <c r="Z3" s="87"/>
      <c r="AA3" s="87"/>
      <c r="AB3" s="87"/>
      <c r="AC3" s="87"/>
      <c r="AD3" s="87"/>
      <c r="AE3" s="87"/>
      <c r="AF3" s="87"/>
      <c r="AG3" s="87"/>
      <c r="AH3" s="87"/>
      <c r="AI3" s="87"/>
      <c r="AJ3" s="88"/>
    </row>
    <row r="4" spans="2:37" x14ac:dyDescent="0.25">
      <c r="B4" s="89"/>
      <c r="C4" s="90" t="s">
        <v>77</v>
      </c>
      <c r="D4" s="91" t="b">
        <v>0</v>
      </c>
      <c r="E4" s="92"/>
      <c r="F4" s="93"/>
      <c r="G4" s="94"/>
      <c r="H4" s="94"/>
      <c r="I4" s="94"/>
      <c r="J4" s="94"/>
      <c r="K4" s="94"/>
      <c r="L4" s="94"/>
      <c r="M4" s="94"/>
      <c r="N4" s="95"/>
      <c r="P4" s="89"/>
      <c r="Q4" s="96" t="s">
        <v>79</v>
      </c>
      <c r="R4" s="94"/>
      <c r="S4" s="95"/>
      <c r="U4" s="89"/>
      <c r="V4" s="97" t="s">
        <v>18</v>
      </c>
      <c r="W4" s="98"/>
      <c r="X4" s="94"/>
      <c r="Y4" s="99" t="s">
        <v>80</v>
      </c>
      <c r="Z4" s="100"/>
      <c r="AA4" s="100"/>
      <c r="AB4" s="100"/>
      <c r="AC4" s="100"/>
      <c r="AD4" s="100"/>
      <c r="AE4" s="99" t="s">
        <v>81</v>
      </c>
      <c r="AF4" s="99"/>
      <c r="AG4" s="100"/>
      <c r="AH4" s="99" t="s">
        <v>82</v>
      </c>
      <c r="AI4" s="100"/>
      <c r="AJ4" s="95"/>
    </row>
    <row r="5" spans="2:37" x14ac:dyDescent="0.25">
      <c r="B5" s="89"/>
      <c r="C5" s="101" t="s">
        <v>83</v>
      </c>
      <c r="D5" s="102" t="str">
        <f>IF(D4,_xll.meCurveCalibrateOIS(Curve.CollectionName,Curve.MarketDataTable,Curve.OISIndexName,Curve.BuildProperties,OIS.Conventions,OIS.MarketData,OIS.FixingTable,LiborOISBasis.Conventions,LiborOISBasis.MarketData,LiborSwap.Conventions,LiborSwap.MarketData),"Disabled")</f>
        <v>Disabled</v>
      </c>
      <c r="E5" s="103"/>
      <c r="F5" s="104"/>
      <c r="G5" s="94" t="s">
        <v>78</v>
      </c>
      <c r="H5" s="94"/>
      <c r="I5" s="94"/>
      <c r="J5" s="94"/>
      <c r="K5" s="94"/>
      <c r="L5" s="94"/>
      <c r="M5" s="94"/>
      <c r="N5" s="95"/>
      <c r="P5" s="89"/>
      <c r="Q5" s="90" t="s">
        <v>77</v>
      </c>
      <c r="R5" s="105" t="b">
        <v>0</v>
      </c>
      <c r="S5" s="95"/>
      <c r="U5" s="89" t="s">
        <v>78</v>
      </c>
      <c r="V5" s="98"/>
      <c r="W5" s="98"/>
      <c r="X5" s="94" t="s">
        <v>78</v>
      </c>
      <c r="Y5" s="106" t="s">
        <v>24</v>
      </c>
      <c r="Z5" s="106" t="s">
        <v>84</v>
      </c>
      <c r="AA5" s="106" t="s">
        <v>85</v>
      </c>
      <c r="AB5" s="106" t="s">
        <v>86</v>
      </c>
      <c r="AC5" s="106" t="s">
        <v>87</v>
      </c>
      <c r="AD5" s="94"/>
      <c r="AE5" s="106" t="s">
        <v>24</v>
      </c>
      <c r="AF5" s="106" t="s">
        <v>84</v>
      </c>
      <c r="AG5" s="94"/>
      <c r="AH5" s="106" t="s">
        <v>24</v>
      </c>
      <c r="AI5" s="106" t="s">
        <v>84</v>
      </c>
      <c r="AJ5" s="95"/>
    </row>
    <row r="6" spans="2:37" x14ac:dyDescent="0.25">
      <c r="B6" s="89"/>
      <c r="C6" s="97"/>
      <c r="D6" s="107"/>
      <c r="E6" s="94"/>
      <c r="F6" s="94"/>
      <c r="G6" s="94"/>
      <c r="H6" s="94"/>
      <c r="I6" s="94"/>
      <c r="J6" s="94"/>
      <c r="K6" s="94"/>
      <c r="L6" s="94"/>
      <c r="M6" s="94"/>
      <c r="N6" s="95"/>
      <c r="P6" s="89"/>
      <c r="Q6" s="108" t="s">
        <v>88</v>
      </c>
      <c r="R6" s="109" t="s">
        <v>238</v>
      </c>
      <c r="S6" s="95"/>
      <c r="U6" s="89"/>
      <c r="V6" s="110" t="s">
        <v>2</v>
      </c>
      <c r="W6" s="111" t="s">
        <v>239</v>
      </c>
      <c r="X6" s="94" t="s">
        <v>78</v>
      </c>
      <c r="Y6" s="230" t="s">
        <v>25</v>
      </c>
      <c r="Z6" s="301">
        <v>-4.5000000000000005E-3</v>
      </c>
      <c r="AA6" s="302"/>
      <c r="AB6" s="197"/>
      <c r="AC6" s="177" t="b">
        <v>1</v>
      </c>
      <c r="AD6" s="100"/>
      <c r="AE6" s="230" t="s">
        <v>37</v>
      </c>
      <c r="AF6" s="231">
        <v>1.7600000000000001E-3</v>
      </c>
      <c r="AG6" s="94"/>
      <c r="AH6" s="195" t="s">
        <v>37</v>
      </c>
      <c r="AI6" s="265">
        <v>-3.1700000000000001E-3</v>
      </c>
      <c r="AJ6" s="95"/>
      <c r="AK6" s="303"/>
    </row>
    <row r="7" spans="2:37" x14ac:dyDescent="0.25">
      <c r="B7" s="89"/>
      <c r="C7" s="117" t="s">
        <v>91</v>
      </c>
      <c r="D7" s="118"/>
      <c r="E7" s="94"/>
      <c r="F7" s="94"/>
      <c r="G7" s="94"/>
      <c r="H7" s="94"/>
      <c r="I7" s="94"/>
      <c r="J7" s="94"/>
      <c r="K7" s="94"/>
      <c r="L7" s="94"/>
      <c r="M7" s="94"/>
      <c r="N7" s="95"/>
      <c r="P7" s="89"/>
      <c r="Q7" s="108" t="s">
        <v>92</v>
      </c>
      <c r="R7" s="119" t="str">
        <f>IF(R5,_xll.meLWOCurveGeneratorCreate("EUR_OIS",Q10,Q11:R17,Q21,Q22:R38,Q47,Q48:R51,Q53,Q54:R57),"Disabled")</f>
        <v>Disabled</v>
      </c>
      <c r="S7" s="95"/>
      <c r="U7" s="89"/>
      <c r="V7" s="120" t="s">
        <v>5</v>
      </c>
      <c r="W7" s="121" t="s">
        <v>80</v>
      </c>
      <c r="X7" s="94" t="s">
        <v>78</v>
      </c>
      <c r="Y7" s="195" t="s">
        <v>240</v>
      </c>
      <c r="Z7" s="304">
        <v>-4.5700000000000003E-3</v>
      </c>
      <c r="AA7" s="197">
        <v>43957</v>
      </c>
      <c r="AB7" s="197">
        <v>43991</v>
      </c>
      <c r="AC7" s="177" t="b">
        <v>1</v>
      </c>
      <c r="AD7" s="100"/>
      <c r="AE7" s="195" t="s">
        <v>40</v>
      </c>
      <c r="AF7" s="238">
        <v>1.5499999999999999E-3</v>
      </c>
      <c r="AG7" s="94"/>
      <c r="AH7" s="195" t="s">
        <v>40</v>
      </c>
      <c r="AI7" s="265">
        <v>-3.7000000000000002E-3</v>
      </c>
      <c r="AJ7" s="95"/>
      <c r="AK7" s="303"/>
    </row>
    <row r="8" spans="2:37" x14ac:dyDescent="0.25">
      <c r="B8" s="89"/>
      <c r="C8" s="125" t="s">
        <v>93</v>
      </c>
      <c r="D8" s="126" t="s">
        <v>55</v>
      </c>
      <c r="E8" s="94"/>
      <c r="F8" s="94"/>
      <c r="G8" s="94"/>
      <c r="H8" s="94"/>
      <c r="I8" s="94"/>
      <c r="J8" s="94"/>
      <c r="K8" s="94"/>
      <c r="L8" s="94"/>
      <c r="M8" s="94"/>
      <c r="N8" s="95"/>
      <c r="P8" s="89"/>
      <c r="Q8" s="127" t="s">
        <v>94</v>
      </c>
      <c r="R8" s="128" t="str">
        <f>IF($R$5,_xll.meLWOSave(R7,"CURVE_GENERATOR",R6),"Disabled")</f>
        <v>Disabled</v>
      </c>
      <c r="S8" s="95" t="s">
        <v>78</v>
      </c>
      <c r="U8" s="89"/>
      <c r="V8" s="120" t="s">
        <v>95</v>
      </c>
      <c r="W8" s="121" t="s">
        <v>96</v>
      </c>
      <c r="X8" s="94" t="s">
        <v>78</v>
      </c>
      <c r="Y8" s="195" t="s">
        <v>241</v>
      </c>
      <c r="Z8" s="304">
        <v>-4.6700000000000005E-3</v>
      </c>
      <c r="AA8" s="197">
        <v>43992</v>
      </c>
      <c r="AB8" s="197">
        <v>44033</v>
      </c>
      <c r="AC8" s="177" t="b">
        <v>1</v>
      </c>
      <c r="AD8" s="100"/>
      <c r="AE8" s="195" t="s">
        <v>41</v>
      </c>
      <c r="AF8" s="238">
        <v>1.5100000000000001E-3</v>
      </c>
      <c r="AG8" s="100"/>
      <c r="AH8" s="195" t="s">
        <v>41</v>
      </c>
      <c r="AI8" s="265">
        <v>-3.7599999999999999E-3</v>
      </c>
      <c r="AJ8" s="95"/>
      <c r="AK8" s="303"/>
    </row>
    <row r="9" spans="2:37" x14ac:dyDescent="0.25">
      <c r="B9" s="89"/>
      <c r="C9" s="129" t="s">
        <v>97</v>
      </c>
      <c r="D9" s="130" t="s">
        <v>80</v>
      </c>
      <c r="E9" s="94"/>
      <c r="F9" s="94"/>
      <c r="G9" s="94"/>
      <c r="H9" s="94"/>
      <c r="I9" s="94"/>
      <c r="J9" s="94"/>
      <c r="K9" s="94"/>
      <c r="L9" s="94"/>
      <c r="M9" s="94"/>
      <c r="N9" s="95"/>
      <c r="P9" s="89"/>
      <c r="Q9" s="94"/>
      <c r="R9" s="94"/>
      <c r="S9" s="95"/>
      <c r="U9" s="89"/>
      <c r="V9" s="131" t="s">
        <v>19</v>
      </c>
      <c r="W9" s="305">
        <f ca="1">TODAY()</f>
        <v>43937</v>
      </c>
      <c r="X9" s="94" t="s">
        <v>78</v>
      </c>
      <c r="Y9" s="195" t="s">
        <v>242</v>
      </c>
      <c r="Z9" s="304">
        <v>-4.7199999999999994E-3</v>
      </c>
      <c r="AA9" s="197">
        <v>44034</v>
      </c>
      <c r="AB9" s="197">
        <v>44089</v>
      </c>
      <c r="AC9" s="177" t="b">
        <v>1</v>
      </c>
      <c r="AD9" s="100"/>
      <c r="AE9" s="195" t="s">
        <v>42</v>
      </c>
      <c r="AF9" s="238">
        <v>1.48E-3</v>
      </c>
      <c r="AG9" s="100"/>
      <c r="AH9" s="195" t="s">
        <v>42</v>
      </c>
      <c r="AI9" s="265">
        <v>-3.62E-3</v>
      </c>
      <c r="AJ9" s="95"/>
      <c r="AK9" s="303"/>
    </row>
    <row r="10" spans="2:37" x14ac:dyDescent="0.25">
      <c r="B10" s="89"/>
      <c r="C10" s="133" t="s">
        <v>98</v>
      </c>
      <c r="D10" s="134" t="s">
        <v>243</v>
      </c>
      <c r="E10" s="94" t="s">
        <v>78</v>
      </c>
      <c r="F10" s="94"/>
      <c r="G10" s="94"/>
      <c r="H10" s="94" t="s">
        <v>78</v>
      </c>
      <c r="I10" s="94" t="s">
        <v>78</v>
      </c>
      <c r="J10" s="94" t="s">
        <v>78</v>
      </c>
      <c r="K10" s="94" t="s">
        <v>78</v>
      </c>
      <c r="L10" s="94" t="s">
        <v>78</v>
      </c>
      <c r="M10" s="94" t="s">
        <v>78</v>
      </c>
      <c r="N10" s="95" t="s">
        <v>78</v>
      </c>
      <c r="P10" s="89"/>
      <c r="Q10" s="97" t="s">
        <v>0</v>
      </c>
      <c r="R10" s="94"/>
      <c r="S10" s="95"/>
      <c r="U10" s="89"/>
      <c r="V10" s="98"/>
      <c r="W10" s="98"/>
      <c r="X10" s="94" t="s">
        <v>78</v>
      </c>
      <c r="Y10" s="195" t="s">
        <v>244</v>
      </c>
      <c r="Z10" s="304">
        <v>-4.8700000000000002E-3</v>
      </c>
      <c r="AA10" s="197">
        <v>44090</v>
      </c>
      <c r="AB10" s="197">
        <v>44138</v>
      </c>
      <c r="AC10" s="177" t="b">
        <v>1</v>
      </c>
      <c r="AD10" s="100"/>
      <c r="AE10" s="195" t="s">
        <v>43</v>
      </c>
      <c r="AF10" s="238">
        <v>1.47E-3</v>
      </c>
      <c r="AG10" s="100"/>
      <c r="AH10" s="195" t="s">
        <v>43</v>
      </c>
      <c r="AI10" s="265">
        <v>-3.3600000000000001E-3</v>
      </c>
      <c r="AJ10" s="95"/>
      <c r="AK10" s="303"/>
    </row>
    <row r="11" spans="2:37" x14ac:dyDescent="0.25">
      <c r="B11" s="135"/>
      <c r="C11" s="136"/>
      <c r="D11" s="136"/>
      <c r="E11" s="136"/>
      <c r="F11" s="136"/>
      <c r="G11" s="136"/>
      <c r="H11" s="136"/>
      <c r="I11" s="136"/>
      <c r="J11" s="136"/>
      <c r="K11" s="136"/>
      <c r="L11" s="136"/>
      <c r="M11" s="136"/>
      <c r="N11" s="137"/>
      <c r="P11" s="89"/>
      <c r="Q11" s="138" t="s">
        <v>5</v>
      </c>
      <c r="R11" s="126" t="s">
        <v>80</v>
      </c>
      <c r="S11" s="95"/>
      <c r="U11" s="89"/>
      <c r="V11" s="94"/>
      <c r="W11" s="94"/>
      <c r="X11" s="94" t="s">
        <v>78</v>
      </c>
      <c r="Y11" s="195"/>
      <c r="Z11" s="304"/>
      <c r="AA11" s="197"/>
      <c r="AB11" s="197"/>
      <c r="AC11" s="177"/>
      <c r="AD11" s="100"/>
      <c r="AE11" s="195" t="s">
        <v>44</v>
      </c>
      <c r="AF11" s="238">
        <v>1.4599999999999999E-3</v>
      </c>
      <c r="AG11" s="100"/>
      <c r="AH11" s="195" t="s">
        <v>44</v>
      </c>
      <c r="AI11" s="265">
        <v>-3.0299999999999997E-3</v>
      </c>
      <c r="AJ11" s="95"/>
      <c r="AK11" s="303"/>
    </row>
    <row r="12" spans="2:37" x14ac:dyDescent="0.25">
      <c r="P12" s="89"/>
      <c r="Q12" s="139" t="s">
        <v>95</v>
      </c>
      <c r="R12" s="140" t="s">
        <v>96</v>
      </c>
      <c r="S12" s="95"/>
      <c r="U12" s="89"/>
      <c r="V12" s="141" t="s">
        <v>100</v>
      </c>
      <c r="W12" s="98"/>
      <c r="X12" s="94" t="s">
        <v>78</v>
      </c>
      <c r="Y12" s="195"/>
      <c r="Z12" s="304"/>
      <c r="AA12" s="197"/>
      <c r="AB12" s="197"/>
      <c r="AC12" s="177"/>
      <c r="AD12" s="100"/>
      <c r="AE12" s="195" t="s">
        <v>45</v>
      </c>
      <c r="AF12" s="238">
        <v>1.4499999999999999E-3</v>
      </c>
      <c r="AG12" s="100"/>
      <c r="AH12" s="195" t="s">
        <v>45</v>
      </c>
      <c r="AI12" s="265">
        <v>-2.66E-3</v>
      </c>
      <c r="AJ12" s="95"/>
      <c r="AK12" s="303"/>
    </row>
    <row r="13" spans="2:37" x14ac:dyDescent="0.25">
      <c r="P13" s="89"/>
      <c r="Q13" s="139" t="s">
        <v>97</v>
      </c>
      <c r="R13" s="140" t="s">
        <v>80</v>
      </c>
      <c r="S13" s="95"/>
      <c r="U13" s="89"/>
      <c r="V13" s="90" t="s">
        <v>101</v>
      </c>
      <c r="W13" s="142" t="s">
        <v>245</v>
      </c>
      <c r="X13" s="94" t="s">
        <v>78</v>
      </c>
      <c r="Y13" s="195"/>
      <c r="Z13" s="304"/>
      <c r="AA13" s="197"/>
      <c r="AB13" s="197"/>
      <c r="AC13" s="177"/>
      <c r="AD13" s="100"/>
      <c r="AE13" s="195" t="s">
        <v>46</v>
      </c>
      <c r="AF13" s="238">
        <v>1.4400000000000001E-3</v>
      </c>
      <c r="AG13" s="100"/>
      <c r="AH13" s="195" t="s">
        <v>46</v>
      </c>
      <c r="AI13" s="265">
        <v>-2.2400000000000002E-3</v>
      </c>
      <c r="AJ13" s="95"/>
      <c r="AK13" s="303"/>
    </row>
    <row r="14" spans="2:37" x14ac:dyDescent="0.25">
      <c r="B14" s="143" t="s">
        <v>104</v>
      </c>
      <c r="P14" s="89"/>
      <c r="Q14" s="139" t="s">
        <v>105</v>
      </c>
      <c r="R14" s="140" t="s">
        <v>243</v>
      </c>
      <c r="S14" s="95" t="s">
        <v>78</v>
      </c>
      <c r="U14" s="89"/>
      <c r="V14" s="127" t="s">
        <v>106</v>
      </c>
      <c r="W14" s="144" t="str">
        <f ca="1">_xll.meLWOCurveMarketDataPulse(W13,Settings.PulseFrequency,V4,V6:W9,Y4,Y6:AC31,AE4,AE6:AF31,AH4,IF(enableGlobalCalibration,EUR3ML!AF6:AG31,AH6:AI31))</f>
        <v>EUR_OIS_CURVE_MARKETDATA@2:1</v>
      </c>
      <c r="X14" s="94" t="s">
        <v>78</v>
      </c>
      <c r="Y14" s="195"/>
      <c r="Z14" s="304"/>
      <c r="AA14" s="197"/>
      <c r="AB14" s="197"/>
      <c r="AC14" s="177"/>
      <c r="AD14" s="100"/>
      <c r="AE14" s="195" t="s">
        <v>47</v>
      </c>
      <c r="AF14" s="238">
        <v>1.4300000000000001E-3</v>
      </c>
      <c r="AG14" s="100"/>
      <c r="AH14" s="195" t="s">
        <v>47</v>
      </c>
      <c r="AI14" s="265">
        <v>-1.83E-3</v>
      </c>
      <c r="AJ14" s="95"/>
      <c r="AK14" s="303"/>
    </row>
    <row r="15" spans="2:37" x14ac:dyDescent="0.25">
      <c r="B15" s="84"/>
      <c r="C15" s="85"/>
      <c r="D15" s="86"/>
      <c r="E15" s="87"/>
      <c r="F15" s="87"/>
      <c r="G15" s="87"/>
      <c r="H15" s="145"/>
      <c r="I15" s="87"/>
      <c r="J15" s="87"/>
      <c r="K15" s="87"/>
      <c r="L15" s="87"/>
      <c r="M15" s="87"/>
      <c r="N15" s="88"/>
      <c r="P15" s="89"/>
      <c r="Q15" s="139" t="s">
        <v>2</v>
      </c>
      <c r="R15" s="130" t="s">
        <v>239</v>
      </c>
      <c r="S15" s="95"/>
      <c r="U15" s="89"/>
      <c r="V15" s="204"/>
      <c r="W15" s="98"/>
      <c r="X15" s="94" t="s">
        <v>78</v>
      </c>
      <c r="Y15" s="195"/>
      <c r="Z15" s="304"/>
      <c r="AA15" s="197"/>
      <c r="AB15" s="197"/>
      <c r="AC15" s="177"/>
      <c r="AD15" s="100"/>
      <c r="AE15" s="195" t="s">
        <v>48</v>
      </c>
      <c r="AF15" s="238">
        <v>1.4199999999999998E-3</v>
      </c>
      <c r="AG15" s="100"/>
      <c r="AH15" s="195" t="s">
        <v>48</v>
      </c>
      <c r="AI15" s="265">
        <v>-1.4199999999999998E-3</v>
      </c>
      <c r="AJ15" s="95"/>
      <c r="AK15" s="303"/>
    </row>
    <row r="16" spans="2:37" x14ac:dyDescent="0.25">
      <c r="B16" s="89"/>
      <c r="C16" s="117" t="s">
        <v>104</v>
      </c>
      <c r="D16" s="146"/>
      <c r="E16" s="94"/>
      <c r="F16" s="94"/>
      <c r="G16" s="94"/>
      <c r="H16" s="94"/>
      <c r="I16" s="94"/>
      <c r="J16" s="94"/>
      <c r="K16" s="94"/>
      <c r="L16" s="94"/>
      <c r="M16" s="94"/>
      <c r="N16" s="95"/>
      <c r="P16" s="89"/>
      <c r="Q16" s="147" t="s">
        <v>109</v>
      </c>
      <c r="R16" s="130" t="s">
        <v>110</v>
      </c>
      <c r="S16" s="95"/>
      <c r="U16" s="89"/>
      <c r="V16" s="204"/>
      <c r="W16" s="98"/>
      <c r="X16" s="94" t="s">
        <v>78</v>
      </c>
      <c r="Y16" s="195"/>
      <c r="Z16" s="304"/>
      <c r="AA16" s="197"/>
      <c r="AB16" s="197"/>
      <c r="AC16" s="177"/>
      <c r="AD16" s="100"/>
      <c r="AE16" s="195" t="s">
        <v>246</v>
      </c>
      <c r="AF16" s="238">
        <v>1.41E-3</v>
      </c>
      <c r="AG16" s="100"/>
      <c r="AH16" s="195" t="s">
        <v>246</v>
      </c>
      <c r="AI16" s="265">
        <v>-1E-3</v>
      </c>
      <c r="AJ16" s="95"/>
      <c r="AK16" s="303"/>
    </row>
    <row r="17" spans="2:37" x14ac:dyDescent="0.25">
      <c r="B17" s="89"/>
      <c r="C17" s="125" t="s">
        <v>19</v>
      </c>
      <c r="D17" s="148">
        <f>Settings.COB</f>
        <v>43937</v>
      </c>
      <c r="E17" s="94"/>
      <c r="F17" s="94"/>
      <c r="G17" s="94"/>
      <c r="H17" s="94"/>
      <c r="I17" s="94"/>
      <c r="J17" s="94"/>
      <c r="K17" s="94"/>
      <c r="L17" s="94"/>
      <c r="M17" s="94"/>
      <c r="N17" s="95"/>
      <c r="P17" s="89"/>
      <c r="Q17" s="139" t="s">
        <v>112</v>
      </c>
      <c r="R17" s="130" t="s">
        <v>110</v>
      </c>
      <c r="S17" s="95"/>
      <c r="U17" s="89"/>
      <c r="V17" s="204"/>
      <c r="W17" s="98"/>
      <c r="X17" s="94" t="s">
        <v>78</v>
      </c>
      <c r="Y17" s="195"/>
      <c r="Z17" s="304"/>
      <c r="AA17" s="197"/>
      <c r="AB17" s="197"/>
      <c r="AC17" s="177"/>
      <c r="AD17" s="100"/>
      <c r="AE17" s="195" t="s">
        <v>103</v>
      </c>
      <c r="AF17" s="238">
        <v>1.41E-3</v>
      </c>
      <c r="AG17" s="100"/>
      <c r="AH17" s="195" t="s">
        <v>103</v>
      </c>
      <c r="AI17" s="265">
        <v>-6.2E-4</v>
      </c>
      <c r="AJ17" s="95"/>
      <c r="AK17" s="303"/>
    </row>
    <row r="18" spans="2:37" x14ac:dyDescent="0.25">
      <c r="B18" s="89"/>
      <c r="C18" s="129" t="s">
        <v>2</v>
      </c>
      <c r="D18" s="130" t="s">
        <v>239</v>
      </c>
      <c r="E18" s="94"/>
      <c r="F18" s="94"/>
      <c r="G18" s="94"/>
      <c r="H18" s="94"/>
      <c r="I18" s="94"/>
      <c r="J18" s="94"/>
      <c r="K18" s="94"/>
      <c r="L18" s="94"/>
      <c r="M18" s="94"/>
      <c r="N18" s="95"/>
      <c r="P18" s="89"/>
      <c r="Q18" s="139"/>
      <c r="R18" s="130"/>
      <c r="S18" s="95"/>
      <c r="U18" s="89"/>
      <c r="V18" s="204"/>
      <c r="W18" s="98"/>
      <c r="X18" s="94" t="s">
        <v>78</v>
      </c>
      <c r="Y18" s="195"/>
      <c r="Z18" s="304"/>
      <c r="AA18" s="197"/>
      <c r="AB18" s="197"/>
      <c r="AC18" s="177"/>
      <c r="AD18" s="100"/>
      <c r="AE18" s="195" t="s">
        <v>107</v>
      </c>
      <c r="AF18" s="238">
        <v>1.39E-3</v>
      </c>
      <c r="AG18" s="100"/>
      <c r="AH18" s="195" t="s">
        <v>107</v>
      </c>
      <c r="AI18" s="265">
        <v>3.4000000000000002E-4</v>
      </c>
      <c r="AJ18" s="95"/>
      <c r="AK18" s="303"/>
    </row>
    <row r="19" spans="2:37" x14ac:dyDescent="0.25">
      <c r="B19" s="89"/>
      <c r="C19" s="129" t="s">
        <v>109</v>
      </c>
      <c r="D19" s="130" t="s">
        <v>247</v>
      </c>
      <c r="E19" s="94"/>
      <c r="F19" s="94"/>
      <c r="G19" s="94"/>
      <c r="H19" s="94"/>
      <c r="I19" s="94"/>
      <c r="J19" s="94"/>
      <c r="K19" s="94"/>
      <c r="L19" s="94"/>
      <c r="M19" s="94"/>
      <c r="N19" s="95"/>
      <c r="P19" s="89"/>
      <c r="Q19" s="149"/>
      <c r="R19" s="150"/>
      <c r="S19" s="95"/>
      <c r="U19" s="89"/>
      <c r="V19" s="204"/>
      <c r="W19" s="98"/>
      <c r="X19" s="94" t="s">
        <v>78</v>
      </c>
      <c r="Y19" s="195"/>
      <c r="Z19" s="304"/>
      <c r="AA19" s="197"/>
      <c r="AB19" s="197"/>
      <c r="AC19" s="177"/>
      <c r="AD19" s="100"/>
      <c r="AE19" s="195" t="s">
        <v>108</v>
      </c>
      <c r="AF19" s="238">
        <v>1.3699999999999999E-3</v>
      </c>
      <c r="AG19" s="100"/>
      <c r="AH19" s="195" t="s">
        <v>108</v>
      </c>
      <c r="AI19" s="265">
        <v>9.2000000000000003E-4</v>
      </c>
      <c r="AJ19" s="95"/>
      <c r="AK19" s="303"/>
    </row>
    <row r="20" spans="2:37" x14ac:dyDescent="0.25">
      <c r="B20" s="89"/>
      <c r="C20" s="139" t="s">
        <v>112</v>
      </c>
      <c r="D20" s="130" t="s">
        <v>247</v>
      </c>
      <c r="E20" s="94"/>
      <c r="F20" s="94"/>
      <c r="G20" s="94"/>
      <c r="H20" s="94"/>
      <c r="I20" s="94"/>
      <c r="J20" s="94"/>
      <c r="K20" s="94"/>
      <c r="L20" s="94"/>
      <c r="M20" s="94"/>
      <c r="N20" s="95"/>
      <c r="P20" s="89"/>
      <c r="Q20" s="94"/>
      <c r="R20" s="94"/>
      <c r="S20" s="95"/>
      <c r="U20" s="89"/>
      <c r="V20" s="151" t="s">
        <v>116</v>
      </c>
      <c r="W20" s="98"/>
      <c r="X20" s="94" t="s">
        <v>78</v>
      </c>
      <c r="Y20" s="195"/>
      <c r="Z20" s="304"/>
      <c r="AA20" s="197"/>
      <c r="AB20" s="197"/>
      <c r="AC20" s="177"/>
      <c r="AD20" s="100"/>
      <c r="AE20" s="195" t="s">
        <v>111</v>
      </c>
      <c r="AF20" s="238">
        <v>1.34E-3</v>
      </c>
      <c r="AG20" s="100"/>
      <c r="AH20" s="195" t="s">
        <v>111</v>
      </c>
      <c r="AI20" s="265">
        <v>6.9000000000000008E-4</v>
      </c>
      <c r="AJ20" s="95"/>
      <c r="AK20" s="303"/>
    </row>
    <row r="21" spans="2:37" x14ac:dyDescent="0.25">
      <c r="B21" s="89"/>
      <c r="C21" s="149"/>
      <c r="D21" s="154"/>
      <c r="E21" s="94"/>
      <c r="F21" s="94"/>
      <c r="G21" s="94"/>
      <c r="H21" s="94"/>
      <c r="I21" s="94"/>
      <c r="J21" s="94"/>
      <c r="K21" s="94"/>
      <c r="L21" s="94"/>
      <c r="M21" s="94"/>
      <c r="N21" s="95"/>
      <c r="P21" s="89"/>
      <c r="Q21" s="97" t="s">
        <v>80</v>
      </c>
      <c r="R21" s="94"/>
      <c r="S21" s="95"/>
      <c r="U21" s="89"/>
      <c r="V21" s="152" t="s">
        <v>101</v>
      </c>
      <c r="W21" s="153" t="s">
        <v>248</v>
      </c>
      <c r="X21" s="94" t="s">
        <v>78</v>
      </c>
      <c r="Y21" s="195"/>
      <c r="Z21" s="304"/>
      <c r="AA21" s="197"/>
      <c r="AB21" s="197"/>
      <c r="AC21" s="177"/>
      <c r="AD21" s="100"/>
      <c r="AE21" s="195" t="s">
        <v>113</v>
      </c>
      <c r="AF21" s="238">
        <v>1.32E-3</v>
      </c>
      <c r="AG21" s="100"/>
      <c r="AH21" s="195" t="s">
        <v>113</v>
      </c>
      <c r="AI21" s="265">
        <v>1.6000000000000001E-4</v>
      </c>
      <c r="AJ21" s="95"/>
      <c r="AK21" s="303"/>
    </row>
    <row r="22" spans="2:37" x14ac:dyDescent="0.25">
      <c r="B22" s="135"/>
      <c r="C22" s="136"/>
      <c r="D22" s="136"/>
      <c r="E22" s="136"/>
      <c r="F22" s="136"/>
      <c r="G22" s="136"/>
      <c r="H22" s="136"/>
      <c r="I22" s="136"/>
      <c r="J22" s="136"/>
      <c r="K22" s="136"/>
      <c r="L22" s="136"/>
      <c r="M22" s="136"/>
      <c r="N22" s="137"/>
      <c r="P22" s="89"/>
      <c r="Q22" s="125" t="s">
        <v>121</v>
      </c>
      <c r="R22" s="157" t="s">
        <v>249</v>
      </c>
      <c r="S22" s="95"/>
      <c r="U22" s="89"/>
      <c r="V22" s="155" t="s">
        <v>119</v>
      </c>
      <c r="W22" s="156" t="s">
        <v>250</v>
      </c>
      <c r="X22" s="94" t="s">
        <v>78</v>
      </c>
      <c r="Y22" s="195"/>
      <c r="Z22" s="304"/>
      <c r="AA22" s="197"/>
      <c r="AB22" s="197"/>
      <c r="AC22" s="177"/>
      <c r="AD22" s="100"/>
      <c r="AE22" s="195" t="s">
        <v>114</v>
      </c>
      <c r="AF22" s="238">
        <v>1.2699999999999999E-3</v>
      </c>
      <c r="AG22" s="100"/>
      <c r="AH22" s="195" t="s">
        <v>114</v>
      </c>
      <c r="AI22" s="265">
        <v>-6.3000000000000003E-4</v>
      </c>
      <c r="AJ22" s="95"/>
      <c r="AK22" s="303"/>
    </row>
    <row r="23" spans="2:37" x14ac:dyDescent="0.25">
      <c r="P23" s="89"/>
      <c r="Q23" s="129" t="s">
        <v>124</v>
      </c>
      <c r="R23" s="158" t="s">
        <v>125</v>
      </c>
      <c r="S23" s="95"/>
      <c r="U23" s="89"/>
      <c r="V23" s="155" t="s">
        <v>123</v>
      </c>
      <c r="W23" s="156" t="s">
        <v>55</v>
      </c>
      <c r="X23" s="94" t="s">
        <v>78</v>
      </c>
      <c r="Y23" s="195"/>
      <c r="Z23" s="304"/>
      <c r="AA23" s="197"/>
      <c r="AB23" s="197"/>
      <c r="AC23" s="177"/>
      <c r="AD23" s="100"/>
      <c r="AE23" s="195" t="s">
        <v>117</v>
      </c>
      <c r="AF23" s="238">
        <v>1.2099999999999999E-3</v>
      </c>
      <c r="AG23" s="100"/>
      <c r="AH23" s="195" t="s">
        <v>117</v>
      </c>
      <c r="AI23" s="265">
        <v>-1.32E-3</v>
      </c>
      <c r="AJ23" s="95"/>
      <c r="AK23" s="303"/>
    </row>
    <row r="24" spans="2:37" x14ac:dyDescent="0.25">
      <c r="F24" s="161"/>
      <c r="P24" s="89"/>
      <c r="Q24" s="129" t="s">
        <v>127</v>
      </c>
      <c r="R24" s="158" t="s">
        <v>128</v>
      </c>
      <c r="S24" s="95"/>
      <c r="U24" s="89"/>
      <c r="V24" s="159" t="s">
        <v>126</v>
      </c>
      <c r="W24" s="160"/>
      <c r="X24" s="94" t="s">
        <v>78</v>
      </c>
      <c r="Y24" s="195"/>
      <c r="Z24" s="304"/>
      <c r="AA24" s="197"/>
      <c r="AB24" s="197"/>
      <c r="AC24" s="177"/>
      <c r="AD24" s="100"/>
      <c r="AE24" s="190" t="s">
        <v>251</v>
      </c>
      <c r="AF24" s="294">
        <v>1.2099999999999999E-3</v>
      </c>
      <c r="AG24" s="403"/>
      <c r="AH24" s="190" t="s">
        <v>251</v>
      </c>
      <c r="AI24" s="294">
        <v>-1.32E-3</v>
      </c>
      <c r="AJ24" s="163"/>
      <c r="AK24" s="400" t="s">
        <v>115</v>
      </c>
    </row>
    <row r="25" spans="2:37" x14ac:dyDescent="0.25">
      <c r="B25" s="143" t="s">
        <v>129</v>
      </c>
      <c r="P25" s="89"/>
      <c r="Q25" s="129" t="s">
        <v>130</v>
      </c>
      <c r="R25" s="158" t="s">
        <v>131</v>
      </c>
      <c r="S25" s="95"/>
      <c r="U25" s="89"/>
      <c r="V25" s="94"/>
      <c r="W25" s="94"/>
      <c r="X25" s="94" t="s">
        <v>78</v>
      </c>
      <c r="Y25" s="195"/>
      <c r="Z25" s="304"/>
      <c r="AA25" s="197"/>
      <c r="AB25" s="197"/>
      <c r="AC25" s="177"/>
      <c r="AD25" s="100"/>
      <c r="AE25" s="195"/>
      <c r="AF25" s="265"/>
      <c r="AG25" s="100"/>
      <c r="AH25" s="195"/>
      <c r="AI25" s="265"/>
      <c r="AJ25" s="95"/>
    </row>
    <row r="26" spans="2:37" x14ac:dyDescent="0.25">
      <c r="B26" s="84"/>
      <c r="C26" s="87"/>
      <c r="D26" s="87"/>
      <c r="E26" s="87"/>
      <c r="F26" s="87"/>
      <c r="G26" s="87"/>
      <c r="H26" s="87"/>
      <c r="I26" s="87"/>
      <c r="J26" s="87"/>
      <c r="K26" s="87"/>
      <c r="L26" s="87"/>
      <c r="M26" s="87"/>
      <c r="N26" s="88"/>
      <c r="P26" s="89"/>
      <c r="Q26" s="129" t="s">
        <v>132</v>
      </c>
      <c r="R26" s="158" t="s">
        <v>13</v>
      </c>
      <c r="S26" s="95"/>
      <c r="U26" s="89"/>
      <c r="V26" s="94"/>
      <c r="W26" s="94"/>
      <c r="X26" s="94" t="s">
        <v>78</v>
      </c>
      <c r="Y26" s="195"/>
      <c r="Z26" s="304"/>
      <c r="AA26" s="197"/>
      <c r="AB26" s="197"/>
      <c r="AC26" s="177"/>
      <c r="AD26" s="100"/>
      <c r="AE26" s="195"/>
      <c r="AF26" s="265"/>
      <c r="AG26" s="100"/>
      <c r="AH26" s="195"/>
      <c r="AI26" s="265"/>
      <c r="AJ26" s="95"/>
    </row>
    <row r="27" spans="2:37" x14ac:dyDescent="0.25">
      <c r="B27" s="89"/>
      <c r="C27" s="96" t="s">
        <v>133</v>
      </c>
      <c r="D27" s="162"/>
      <c r="E27" s="162"/>
      <c r="F27" s="96" t="s">
        <v>134</v>
      </c>
      <c r="G27" s="162"/>
      <c r="H27" s="162"/>
      <c r="I27" s="162"/>
      <c r="J27" s="162"/>
      <c r="K27" s="162"/>
      <c r="L27" s="96" t="s">
        <v>135</v>
      </c>
      <c r="M27" s="162"/>
      <c r="N27" s="163"/>
      <c r="P27" s="89"/>
      <c r="Q27" s="129" t="s">
        <v>136</v>
      </c>
      <c r="R27" s="158" t="s">
        <v>137</v>
      </c>
      <c r="S27" s="95"/>
      <c r="U27" s="89"/>
      <c r="V27" s="151" t="s">
        <v>138</v>
      </c>
      <c r="W27" s="94"/>
      <c r="X27" s="94" t="s">
        <v>78</v>
      </c>
      <c r="Y27" s="195"/>
      <c r="Z27" s="304"/>
      <c r="AA27" s="197"/>
      <c r="AB27" s="197"/>
      <c r="AC27" s="177"/>
      <c r="AD27" s="100"/>
      <c r="AE27" s="195"/>
      <c r="AF27" s="265"/>
      <c r="AG27" s="100"/>
      <c r="AH27" s="195"/>
      <c r="AI27" s="265"/>
      <c r="AJ27" s="95"/>
    </row>
    <row r="28" spans="2:37" x14ac:dyDescent="0.25">
      <c r="B28" s="89"/>
      <c r="C28" s="125" t="s">
        <v>121</v>
      </c>
      <c r="D28" s="164" t="s">
        <v>249</v>
      </c>
      <c r="E28" s="94"/>
      <c r="F28" s="106" t="s">
        <v>24</v>
      </c>
      <c r="G28" s="106" t="s">
        <v>84</v>
      </c>
      <c r="H28" s="106" t="s">
        <v>85</v>
      </c>
      <c r="I28" s="106" t="s">
        <v>86</v>
      </c>
      <c r="J28" s="106" t="s">
        <v>87</v>
      </c>
      <c r="K28" s="162"/>
      <c r="L28" s="106" t="s">
        <v>67</v>
      </c>
      <c r="M28" s="106" t="s">
        <v>84</v>
      </c>
      <c r="N28" s="163"/>
      <c r="P28" s="89"/>
      <c r="Q28" s="129" t="s">
        <v>140</v>
      </c>
      <c r="R28" s="158" t="s">
        <v>15</v>
      </c>
      <c r="S28" s="95"/>
      <c r="U28" s="89"/>
      <c r="V28" s="7" t="s">
        <v>101</v>
      </c>
      <c r="W28" s="165" t="str">
        <f t="array" aca="1" ref="W28:W31" ca="1">_xll.meLWOCurveCalibrate(W21,W22,W14,W23,W24)</f>
        <v>EUR_OIS_CURVE@3:1</v>
      </c>
      <c r="X28" s="94" t="s">
        <v>78</v>
      </c>
      <c r="Y28" s="195"/>
      <c r="Z28" s="304"/>
      <c r="AA28" s="197"/>
      <c r="AB28" s="197"/>
      <c r="AC28" s="177"/>
      <c r="AD28" s="100"/>
      <c r="AE28" s="195"/>
      <c r="AF28" s="265"/>
      <c r="AG28" s="100"/>
      <c r="AH28" s="195"/>
      <c r="AI28" s="265"/>
      <c r="AJ28" s="95"/>
    </row>
    <row r="29" spans="2:37" x14ac:dyDescent="0.25">
      <c r="B29" s="89"/>
      <c r="C29" s="129" t="s">
        <v>124</v>
      </c>
      <c r="D29" s="168" t="s">
        <v>125</v>
      </c>
      <c r="E29" s="169"/>
      <c r="F29" s="122" t="str">
        <f>'[1]MKT DATA EUR'!H7</f>
        <v>ON</v>
      </c>
      <c r="G29" s="175">
        <f>'[1]MKT DATA EUR'!M7</f>
        <v>-4.5000000000000005E-3</v>
      </c>
      <c r="H29" s="306"/>
      <c r="I29" s="114" t="s">
        <v>252</v>
      </c>
      <c r="J29" s="307" t="b">
        <v>1</v>
      </c>
      <c r="K29" s="162"/>
      <c r="L29" s="173"/>
      <c r="M29" s="174"/>
      <c r="N29" s="163"/>
      <c r="P29" s="89"/>
      <c r="Q29" s="129" t="s">
        <v>17</v>
      </c>
      <c r="R29" s="130">
        <v>31</v>
      </c>
      <c r="S29" s="95"/>
      <c r="U29" s="89"/>
      <c r="V29" s="8" t="s">
        <v>141</v>
      </c>
      <c r="W29" s="166" t="str">
        <f ca="1"/>
        <v>EURYC</v>
      </c>
      <c r="X29" s="94" t="s">
        <v>78</v>
      </c>
      <c r="Y29" s="195"/>
      <c r="Z29" s="304"/>
      <c r="AA29" s="197"/>
      <c r="AB29" s="197"/>
      <c r="AC29" s="177"/>
      <c r="AD29" s="100"/>
      <c r="AE29" s="195"/>
      <c r="AF29" s="265"/>
      <c r="AG29" s="100"/>
      <c r="AH29" s="195"/>
      <c r="AI29" s="265"/>
      <c r="AJ29" s="95"/>
    </row>
    <row r="30" spans="2:37" x14ac:dyDescent="0.25">
      <c r="B30" s="89"/>
      <c r="C30" s="129" t="s">
        <v>127</v>
      </c>
      <c r="D30" s="168" t="s">
        <v>128</v>
      </c>
      <c r="E30" s="169"/>
      <c r="F30" s="122" t="str">
        <f>'[1]MKT DATA EUR'!H8</f>
        <v>ECB1</v>
      </c>
      <c r="G30" s="175">
        <f>'[1]MKT DATA EUR'!M8</f>
        <v>-4.5700000000000003E-3</v>
      </c>
      <c r="H30" s="114">
        <f>IF(LEFT(F30,3)="ECB",_xll.meDateECBSwapStart(IF(ISNUMBER($H29),$H29,Settings.COB)),"")</f>
        <v>43957</v>
      </c>
      <c r="I30" s="114">
        <f>IF(LEFT($F30,3)="ECB",_xll.meDateECBSwapEnd(IF(ISNUMBER(H30),H30,Settings.COB)),"")</f>
        <v>44033</v>
      </c>
      <c r="J30" s="307" t="b">
        <v>1</v>
      </c>
      <c r="K30" s="162"/>
      <c r="L30" s="173"/>
      <c r="M30" s="174"/>
      <c r="N30" s="163"/>
      <c r="P30" s="89"/>
      <c r="Q30" s="129" t="s">
        <v>16</v>
      </c>
      <c r="R30" s="176" t="b">
        <v>1</v>
      </c>
      <c r="S30" s="95"/>
      <c r="U30" s="89"/>
      <c r="V30" s="8" t="s">
        <v>142</v>
      </c>
      <c r="W30" s="166" t="str">
        <f ca="1"/>
        <v>OIS:EUROIS:EURDF:EURDF_EURCSA:EURDF_NOCSA</v>
      </c>
      <c r="X30" s="94" t="s">
        <v>78</v>
      </c>
      <c r="Y30" s="195"/>
      <c r="Z30" s="304"/>
      <c r="AA30" s="197"/>
      <c r="AB30" s="197"/>
      <c r="AC30" s="177"/>
      <c r="AD30" s="100"/>
      <c r="AE30" s="195"/>
      <c r="AF30" s="265"/>
      <c r="AG30" s="100"/>
      <c r="AH30" s="195"/>
      <c r="AI30" s="265"/>
      <c r="AJ30" s="95"/>
    </row>
    <row r="31" spans="2:37" x14ac:dyDescent="0.25">
      <c r="B31" s="89"/>
      <c r="C31" s="129" t="s">
        <v>130</v>
      </c>
      <c r="D31" s="168" t="s">
        <v>131</v>
      </c>
      <c r="E31" s="169"/>
      <c r="F31" s="122" t="str">
        <f>'[1]MKT DATA EUR'!H9</f>
        <v>ECB2</v>
      </c>
      <c r="G31" s="175">
        <f>'[1]MKT DATA EUR'!M9</f>
        <v>-4.6700000000000005E-3</v>
      </c>
      <c r="H31" s="114">
        <f>IF(LEFT(F31,3)="ECB",_xll.meDateECBSwapStart(IF(ISNUMBER($H30),$H30,Settings.COB)),"")</f>
        <v>43992</v>
      </c>
      <c r="I31" s="114">
        <f>IF(LEFT($F31,3)="ECB",_xll.meDateECBSwapEnd(IF(ISNUMBER(H31),H31,Settings.COB)),"")</f>
        <v>44089</v>
      </c>
      <c r="J31" s="307" t="b">
        <v>1</v>
      </c>
      <c r="K31" s="162"/>
      <c r="L31" s="173"/>
      <c r="M31" s="174"/>
      <c r="N31" s="163"/>
      <c r="P31" s="89"/>
      <c r="Q31" s="129" t="s">
        <v>143</v>
      </c>
      <c r="R31" s="158" t="s">
        <v>144</v>
      </c>
      <c r="S31" s="95"/>
      <c r="U31" s="89"/>
      <c r="V31" s="9" t="s">
        <v>145</v>
      </c>
      <c r="W31" s="167" t="str">
        <f ca="1"/>
        <v>0.02100 sec</v>
      </c>
      <c r="X31" s="94" t="s">
        <v>78</v>
      </c>
      <c r="Y31" s="199"/>
      <c r="Z31" s="308"/>
      <c r="AA31" s="201"/>
      <c r="AB31" s="201"/>
      <c r="AC31" s="181"/>
      <c r="AD31" s="100"/>
      <c r="AE31" s="199"/>
      <c r="AF31" s="251"/>
      <c r="AG31" s="100"/>
      <c r="AH31" s="199"/>
      <c r="AI31" s="251"/>
      <c r="AJ31" s="95"/>
    </row>
    <row r="32" spans="2:37" x14ac:dyDescent="0.25">
      <c r="B32" s="89"/>
      <c r="C32" s="129" t="s">
        <v>132</v>
      </c>
      <c r="D32" s="168" t="s">
        <v>13</v>
      </c>
      <c r="E32" s="169"/>
      <c r="F32" s="122" t="str">
        <f>'[1]MKT DATA EUR'!H10</f>
        <v>ECB3</v>
      </c>
      <c r="G32" s="175">
        <f>'[1]MKT DATA EUR'!M10</f>
        <v>-4.7199999999999994E-3</v>
      </c>
      <c r="H32" s="114">
        <f>IF(LEFT(F32,3)="ECB",_xll.meDateECBSwapStart(IF(ISNUMBER($H31),$H31,Settings.COB)),"")</f>
        <v>44034</v>
      </c>
      <c r="I32" s="114">
        <f>IF(LEFT($F32,3)="ECB",_xll.meDateECBSwapEnd(IF(ISNUMBER(H32),H32,Settings.COB)),"")</f>
        <v>44138</v>
      </c>
      <c r="J32" s="307" t="b">
        <v>1</v>
      </c>
      <c r="K32" s="162"/>
      <c r="L32" s="173"/>
      <c r="M32" s="174"/>
      <c r="N32" s="163"/>
      <c r="P32" s="89"/>
      <c r="Q32" s="129" t="s">
        <v>146</v>
      </c>
      <c r="R32" s="158" t="s">
        <v>147</v>
      </c>
      <c r="S32" s="95"/>
      <c r="U32" s="89"/>
      <c r="V32" s="183" t="s">
        <v>148</v>
      </c>
      <c r="W32" s="184" t="b">
        <f ca="1">_xll.meLWOExists(W28,"CURVE")</f>
        <v>1</v>
      </c>
      <c r="X32" s="94"/>
      <c r="Y32" s="94"/>
      <c r="Z32" s="94"/>
      <c r="AA32" s="94"/>
      <c r="AB32" s="94"/>
      <c r="AC32" s="94"/>
      <c r="AD32" s="94"/>
      <c r="AE32" s="94"/>
      <c r="AF32" s="94"/>
      <c r="AG32" s="94"/>
      <c r="AH32" s="94"/>
      <c r="AI32" s="94"/>
      <c r="AJ32" s="95"/>
    </row>
    <row r="33" spans="2:36" x14ac:dyDescent="0.25">
      <c r="B33" s="89"/>
      <c r="C33" s="139" t="s">
        <v>136</v>
      </c>
      <c r="D33" s="168" t="s">
        <v>137</v>
      </c>
      <c r="E33" s="169"/>
      <c r="F33" s="122" t="str">
        <f>'[1]MKT DATA EUR'!H11</f>
        <v>ECB4</v>
      </c>
      <c r="G33" s="175">
        <f>'[1]MKT DATA EUR'!M11</f>
        <v>-4.8700000000000002E-3</v>
      </c>
      <c r="H33" s="114">
        <f>IF(LEFT(F33,3)="ECB",_xll.meDateECBSwapStart(IF(ISNUMBER($H32),$H32,Settings.COB)),"")</f>
        <v>44090</v>
      </c>
      <c r="I33" s="114">
        <f>IF(LEFT($F33,3)="ECB",_xll.meDateECBSwapEnd(IF(ISNUMBER(H33),H33,Settings.COB)),"")</f>
        <v>44180</v>
      </c>
      <c r="J33" s="307" t="b">
        <v>1</v>
      </c>
      <c r="K33" s="162"/>
      <c r="L33" s="173"/>
      <c r="M33" s="174"/>
      <c r="N33" s="163"/>
      <c r="P33" s="89"/>
      <c r="Q33" s="139" t="s">
        <v>149</v>
      </c>
      <c r="R33" s="158" t="s">
        <v>41</v>
      </c>
      <c r="S33" s="95"/>
      <c r="U33" s="89"/>
      <c r="V33" s="94"/>
      <c r="W33" s="94"/>
      <c r="X33" s="94"/>
      <c r="Y33" s="94"/>
      <c r="Z33" s="94"/>
      <c r="AA33" s="94"/>
      <c r="AB33" s="94"/>
      <c r="AC33" s="94"/>
      <c r="AD33" s="94"/>
      <c r="AE33" s="94"/>
      <c r="AF33" s="94"/>
      <c r="AG33" s="94"/>
      <c r="AH33" s="94"/>
      <c r="AI33" s="94"/>
      <c r="AJ33" s="95"/>
    </row>
    <row r="34" spans="2:36" x14ac:dyDescent="0.25">
      <c r="B34" s="89"/>
      <c r="C34" s="185" t="s">
        <v>140</v>
      </c>
      <c r="D34" s="186" t="s">
        <v>15</v>
      </c>
      <c r="E34" s="169"/>
      <c r="F34" s="122" t="str">
        <f>'[1]MKT DATA EUR'!H12</f>
        <v>12M</v>
      </c>
      <c r="G34" s="175">
        <f>'[1]MKT DATA EUR'!M12</f>
        <v>-4.8999999999999998E-3</v>
      </c>
      <c r="H34" s="114" t="str">
        <f>IF(LEFT(F34,3)="ECB",_xll.meDateECBSwapStart(IF(ISNUMBER($H33),$H33,Settings.COB)),"")</f>
        <v/>
      </c>
      <c r="I34" s="114" t="str">
        <f>IF(LEFT($F34,3)="ECB",_xll.meDateECBSwapEnd(IF(ISNUMBER(#REF!),#REF!,Settings.COB)),"")</f>
        <v/>
      </c>
      <c r="J34" s="307" t="b">
        <v>1</v>
      </c>
      <c r="K34" s="162"/>
      <c r="L34" s="173"/>
      <c r="M34" s="174"/>
      <c r="N34" s="163"/>
      <c r="P34" s="89"/>
      <c r="Q34" s="129" t="s">
        <v>150</v>
      </c>
      <c r="R34" s="158" t="s">
        <v>151</v>
      </c>
      <c r="S34" s="95"/>
      <c r="U34" s="89"/>
      <c r="V34" s="94"/>
      <c r="W34" s="94"/>
      <c r="X34" s="94"/>
      <c r="Y34" s="94"/>
      <c r="Z34" s="94"/>
      <c r="AA34" s="94"/>
      <c r="AB34" s="94"/>
      <c r="AC34" s="94"/>
      <c r="AD34" s="94"/>
      <c r="AE34" s="94"/>
      <c r="AF34" s="94"/>
      <c r="AG34" s="94"/>
      <c r="AH34" s="94"/>
      <c r="AI34" s="94"/>
      <c r="AJ34" s="95"/>
    </row>
    <row r="35" spans="2:36" x14ac:dyDescent="0.25">
      <c r="B35" s="89"/>
      <c r="C35" s="129" t="s">
        <v>17</v>
      </c>
      <c r="D35" s="168">
        <v>31</v>
      </c>
      <c r="E35" s="169"/>
      <c r="F35" s="122" t="str">
        <f>'[1]MKT DATA EUR'!H13</f>
        <v>18M</v>
      </c>
      <c r="G35" s="175">
        <f>'[1]MKT DATA EUR'!M13</f>
        <v>-5.11E-3</v>
      </c>
      <c r="H35" s="114" t="str">
        <f>IF(LEFT(F35,3)="ECB",_xll.meDateECBSwapStart(IF(ISNUMBER($H34),$H34,Settings.COB)),"")</f>
        <v/>
      </c>
      <c r="I35" s="114" t="str">
        <f>IF(LEFT($F35,3)="ECB",_xll.meDateECBSwapEnd(IF(ISNUMBER($H34),$H34,Settings.COB)),"")</f>
        <v/>
      </c>
      <c r="J35" s="307" t="b">
        <v>1</v>
      </c>
      <c r="K35" s="162"/>
      <c r="L35" s="173"/>
      <c r="M35" s="174"/>
      <c r="N35" s="163"/>
      <c r="P35" s="89"/>
      <c r="Q35" s="129" t="s">
        <v>152</v>
      </c>
      <c r="R35" s="158">
        <v>1E-10</v>
      </c>
      <c r="S35" s="95"/>
      <c r="U35" s="89"/>
      <c r="V35" s="94"/>
      <c r="W35" s="94"/>
      <c r="X35" s="94"/>
      <c r="Y35" s="94"/>
      <c r="Z35" s="94"/>
      <c r="AA35" s="94"/>
      <c r="AB35" s="94"/>
      <c r="AC35" s="94"/>
      <c r="AD35" s="94"/>
      <c r="AE35" s="94"/>
      <c r="AF35" s="94"/>
      <c r="AG35" s="94"/>
      <c r="AH35" s="94"/>
      <c r="AI35" s="94"/>
      <c r="AJ35" s="95"/>
    </row>
    <row r="36" spans="2:36" x14ac:dyDescent="0.25">
      <c r="B36" s="89"/>
      <c r="C36" s="129" t="s">
        <v>16</v>
      </c>
      <c r="D36" s="168" t="b">
        <v>1</v>
      </c>
      <c r="E36" s="169"/>
      <c r="F36" s="122" t="str">
        <f>'[1]MKT DATA EUR'!H15</f>
        <v>2Y</v>
      </c>
      <c r="G36" s="175">
        <f>'[1]MKT DATA EUR'!M15</f>
        <v>-5.1999999999999998E-3</v>
      </c>
      <c r="H36" s="114" t="str">
        <f>IF(LEFT(F36,3)="ECB",_xll.meDateECBSwapStart(IF(ISNUMBER($H35),$H35,Settings.COB)),"")</f>
        <v/>
      </c>
      <c r="I36" s="114" t="str">
        <f>IF(LEFT($F36,3)="ECB",_xll.meDateECBSwapEnd(IF(ISNUMBER($H35),$H35,Settings.COB)),"")</f>
        <v/>
      </c>
      <c r="J36" s="307" t="b">
        <v>1</v>
      </c>
      <c r="K36" s="162"/>
      <c r="L36" s="173"/>
      <c r="M36" s="174"/>
      <c r="N36" s="163"/>
      <c r="P36" s="89"/>
      <c r="Q36" s="129" t="s">
        <v>153</v>
      </c>
      <c r="R36" s="158">
        <v>1000</v>
      </c>
      <c r="S36" s="95"/>
      <c r="U36" s="89"/>
      <c r="V36" s="94"/>
      <c r="W36" s="94"/>
      <c r="X36" s="94"/>
      <c r="Y36" s="94"/>
      <c r="Z36" s="94"/>
      <c r="AA36" s="94"/>
      <c r="AB36" s="94"/>
      <c r="AC36" s="94"/>
      <c r="AD36" s="94"/>
      <c r="AE36" s="94"/>
      <c r="AF36" s="94"/>
      <c r="AG36" s="94"/>
      <c r="AH36" s="94"/>
      <c r="AI36" s="94"/>
      <c r="AJ36" s="95"/>
    </row>
    <row r="37" spans="2:36" x14ac:dyDescent="0.25">
      <c r="B37" s="89"/>
      <c r="C37" s="129" t="s">
        <v>143</v>
      </c>
      <c r="D37" s="188" t="s">
        <v>144</v>
      </c>
      <c r="E37" s="169"/>
      <c r="F37" s="122" t="str">
        <f>'[1]MKT DATA EUR'!H16</f>
        <v>3Y</v>
      </c>
      <c r="G37" s="175">
        <f>'[1]MKT DATA EUR'!M16</f>
        <v>-5.2199999999999998E-3</v>
      </c>
      <c r="H37" s="114" t="str">
        <f>IF(LEFT(F37,3)="ECB",_xll.meDateECBSwapStart(IF(ISNUMBER($H36),$H36,Settings.COB)),"")</f>
        <v/>
      </c>
      <c r="I37" s="114" t="str">
        <f>IF(LEFT($F37,3)="ECB",_xll.meDateECBSwapEnd(IF(ISNUMBER($H36),$H36,Settings.COB)),"")</f>
        <v/>
      </c>
      <c r="J37" s="307" t="b">
        <v>1</v>
      </c>
      <c r="K37" s="162"/>
      <c r="L37" s="173"/>
      <c r="M37" s="174"/>
      <c r="N37" s="163"/>
      <c r="P37" s="89"/>
      <c r="Q37" s="129" t="s">
        <v>154</v>
      </c>
      <c r="R37" s="158" t="s">
        <v>253</v>
      </c>
      <c r="S37" s="95"/>
      <c r="U37" s="89"/>
      <c r="V37" s="94"/>
      <c r="W37" s="94"/>
      <c r="X37" s="94"/>
      <c r="Y37" s="94"/>
      <c r="Z37" s="94"/>
      <c r="AA37" s="94"/>
      <c r="AB37" s="94"/>
      <c r="AC37" s="94"/>
      <c r="AD37" s="94"/>
      <c r="AE37" s="94"/>
      <c r="AF37" s="94"/>
      <c r="AG37" s="94"/>
      <c r="AH37" s="94"/>
      <c r="AI37" s="94"/>
      <c r="AJ37" s="95"/>
    </row>
    <row r="38" spans="2:36" x14ac:dyDescent="0.25">
      <c r="B38" s="89"/>
      <c r="C38" s="139" t="s">
        <v>146</v>
      </c>
      <c r="D38" s="168" t="s">
        <v>147</v>
      </c>
      <c r="E38" s="169"/>
      <c r="F38" s="122" t="str">
        <f>'[1]MKT DATA EUR'!H17</f>
        <v>4Y</v>
      </c>
      <c r="G38" s="175">
        <f>'[1]MKT DATA EUR'!M17</f>
        <v>-5.0499999999999998E-3</v>
      </c>
      <c r="H38" s="114" t="str">
        <f>IF(LEFT(F38,3)="ECB",_xll.meDateECBSwapStart(IF(ISNUMBER($H37),$H37,Settings.COB)),"")</f>
        <v/>
      </c>
      <c r="I38" s="114" t="str">
        <f>IF(LEFT($F38,3)="ECB",_xll.meDateECBSwapEnd(IF(ISNUMBER($H37),$H37,Settings.COB)),"")</f>
        <v/>
      </c>
      <c r="J38" s="307" t="b">
        <v>1</v>
      </c>
      <c r="K38" s="162"/>
      <c r="L38" s="173"/>
      <c r="M38" s="174"/>
      <c r="N38" s="163"/>
      <c r="P38" s="89"/>
      <c r="Q38" s="129" t="s">
        <v>156</v>
      </c>
      <c r="R38" s="158" t="b">
        <v>1</v>
      </c>
      <c r="S38" s="95"/>
      <c r="U38" s="89"/>
      <c r="V38" s="94"/>
      <c r="W38" s="94"/>
      <c r="X38" s="94"/>
      <c r="Y38" s="94"/>
      <c r="Z38" s="94"/>
      <c r="AA38" s="94"/>
      <c r="AB38" s="94"/>
      <c r="AC38" s="94"/>
      <c r="AD38" s="94"/>
      <c r="AE38" s="94"/>
      <c r="AF38" s="94"/>
      <c r="AG38" s="94"/>
      <c r="AH38" s="94"/>
      <c r="AI38" s="94"/>
      <c r="AJ38" s="95"/>
    </row>
    <row r="39" spans="2:36" x14ac:dyDescent="0.25">
      <c r="B39" s="89"/>
      <c r="C39" s="139" t="s">
        <v>149</v>
      </c>
      <c r="D39" s="168" t="s">
        <v>41</v>
      </c>
      <c r="E39" s="169"/>
      <c r="F39" s="122" t="str">
        <f>'[1]MKT DATA EUR'!H18</f>
        <v>5Y</v>
      </c>
      <c r="G39" s="175">
        <f>'[1]MKT DATA EUR'!M18</f>
        <v>-4.7799999999999995E-3</v>
      </c>
      <c r="H39" s="114" t="str">
        <f>IF(LEFT(F39,3)="ECB",_xll.meDateECBSwapStart(IF(ISNUMBER($H38),$H38,Settings.COB)),"")</f>
        <v/>
      </c>
      <c r="I39" s="114" t="str">
        <f>IF(LEFT($F39,3)="ECB",_xll.meDateECBSwapEnd(IF(ISNUMBER($H38),$H38,Settings.COB)),"")</f>
        <v/>
      </c>
      <c r="J39" s="307" t="b">
        <v>1</v>
      </c>
      <c r="K39" s="162"/>
      <c r="L39" s="173"/>
      <c r="M39" s="174"/>
      <c r="N39" s="163"/>
      <c r="P39" s="89"/>
      <c r="Q39" s="129"/>
      <c r="R39" s="158"/>
      <c r="S39" s="95"/>
      <c r="U39" s="89"/>
      <c r="V39" s="94"/>
      <c r="W39" s="94"/>
      <c r="X39" s="94"/>
      <c r="Y39" s="94"/>
      <c r="Z39" s="94"/>
      <c r="AA39" s="94"/>
      <c r="AB39" s="94"/>
      <c r="AC39" s="94"/>
      <c r="AD39" s="94"/>
      <c r="AE39" s="94"/>
      <c r="AF39" s="94"/>
      <c r="AG39" s="94"/>
      <c r="AH39" s="94"/>
      <c r="AI39" s="94"/>
      <c r="AJ39" s="95"/>
    </row>
    <row r="40" spans="2:36" x14ac:dyDescent="0.25">
      <c r="B40" s="89"/>
      <c r="C40" s="139" t="s">
        <v>150</v>
      </c>
      <c r="D40" s="168" t="s">
        <v>151</v>
      </c>
      <c r="E40" s="169"/>
      <c r="F40" s="122" t="str">
        <f>'[1]MKT DATA EUR'!H19</f>
        <v>6Y</v>
      </c>
      <c r="G40" s="175">
        <f>'[1]MKT DATA EUR'!M19</f>
        <v>-4.45E-3</v>
      </c>
      <c r="H40" s="114" t="str">
        <f>IF(LEFT(F40,3)="ECB",_xll.meDateECBSwapStart(IF(ISNUMBER($H39),$H39,Settings.COB)),"")</f>
        <v/>
      </c>
      <c r="I40" s="114" t="str">
        <f>IF(LEFT($F40,3)="ECB",_xll.meDateECBSwapEnd(IF(ISNUMBER($H39),$H39,Settings.COB)),"")</f>
        <v/>
      </c>
      <c r="J40" s="307" t="b">
        <v>1</v>
      </c>
      <c r="K40" s="162"/>
      <c r="L40" s="173"/>
      <c r="M40" s="174"/>
      <c r="N40" s="163"/>
      <c r="P40" s="89"/>
      <c r="Q40" s="129"/>
      <c r="R40" s="158"/>
      <c r="S40" s="95"/>
      <c r="U40" s="89"/>
      <c r="V40" s="94"/>
      <c r="W40" s="94"/>
      <c r="X40" s="94"/>
      <c r="Y40" s="94"/>
      <c r="Z40" s="94"/>
      <c r="AA40" s="94"/>
      <c r="AB40" s="94"/>
      <c r="AC40" s="94"/>
      <c r="AD40" s="94"/>
      <c r="AE40" s="94"/>
      <c r="AF40" s="94"/>
      <c r="AG40" s="94"/>
      <c r="AH40" s="94"/>
      <c r="AI40" s="94"/>
      <c r="AJ40" s="95"/>
    </row>
    <row r="41" spans="2:36" x14ac:dyDescent="0.25">
      <c r="B41" s="89"/>
      <c r="C41" s="129" t="s">
        <v>152</v>
      </c>
      <c r="D41" s="286">
        <v>1E-10</v>
      </c>
      <c r="E41" s="169"/>
      <c r="F41" s="122" t="str">
        <f>'[1]MKT DATA EUR'!H20</f>
        <v>7Y</v>
      </c>
      <c r="G41" s="175">
        <f>'[1]MKT DATA EUR'!M20</f>
        <v>-4.0699999999999998E-3</v>
      </c>
      <c r="H41" s="114" t="str">
        <f>IF(LEFT(F41,3)="ECB",_xll.meDateECBSwapStart(IF(ISNUMBER($H40),$H40,Settings.COB)),"")</f>
        <v/>
      </c>
      <c r="I41" s="114" t="str">
        <f>IF(LEFT($F41,3)="ECB",_xll.meDateECBSwapEnd(IF(ISNUMBER($H40),$H40,Settings.COB)),"")</f>
        <v/>
      </c>
      <c r="J41" s="307" t="b">
        <v>1</v>
      </c>
      <c r="K41" s="162"/>
      <c r="L41" s="173"/>
      <c r="M41" s="174"/>
      <c r="N41" s="163"/>
      <c r="P41" s="89"/>
      <c r="Q41" s="129"/>
      <c r="R41" s="158"/>
      <c r="S41" s="95"/>
      <c r="U41" s="89"/>
      <c r="V41" s="94"/>
      <c r="W41" s="94"/>
      <c r="X41" s="94"/>
      <c r="Y41" s="94"/>
      <c r="Z41" s="94"/>
      <c r="AA41" s="94"/>
      <c r="AB41" s="94"/>
      <c r="AC41" s="94"/>
      <c r="AD41" s="94"/>
      <c r="AE41" s="94"/>
      <c r="AF41" s="94"/>
      <c r="AG41" s="94"/>
      <c r="AH41" s="94"/>
      <c r="AI41" s="94"/>
      <c r="AJ41" s="95"/>
    </row>
    <row r="42" spans="2:36" x14ac:dyDescent="0.25">
      <c r="B42" s="89"/>
      <c r="C42" s="129" t="s">
        <v>153</v>
      </c>
      <c r="D42" s="188">
        <v>1000</v>
      </c>
      <c r="E42" s="169"/>
      <c r="F42" s="122" t="str">
        <f>'[1]MKT DATA EUR'!H21</f>
        <v>8Y</v>
      </c>
      <c r="G42" s="175">
        <f>'[1]MKT DATA EUR'!M21</f>
        <v>-3.65E-3</v>
      </c>
      <c r="H42" s="114" t="str">
        <f>IF(LEFT(F42,3)="ECB",_xll.meDateECBSwapStart(IF(ISNUMBER($H41),$H41,Settings.COB)),"")</f>
        <v/>
      </c>
      <c r="I42" s="114" t="str">
        <f>IF(LEFT($F42,3)="ECB",_xll.meDateECBSwapEnd(IF(ISNUMBER($H41),$H41,Settings.COB)),"")</f>
        <v/>
      </c>
      <c r="J42" s="307" t="b">
        <v>1</v>
      </c>
      <c r="K42" s="162"/>
      <c r="L42" s="173"/>
      <c r="M42" s="174"/>
      <c r="N42" s="163"/>
      <c r="P42" s="89"/>
      <c r="Q42" s="129"/>
      <c r="R42" s="158"/>
      <c r="S42" s="95"/>
      <c r="U42" s="89"/>
      <c r="V42" s="94"/>
      <c r="W42" s="94"/>
      <c r="X42" s="94"/>
      <c r="Y42" s="94"/>
      <c r="Z42" s="94"/>
      <c r="AA42" s="94"/>
      <c r="AB42" s="94"/>
      <c r="AC42" s="94"/>
      <c r="AD42" s="94"/>
      <c r="AE42" s="94"/>
      <c r="AF42" s="94"/>
      <c r="AG42" s="94"/>
      <c r="AH42" s="94"/>
      <c r="AI42" s="94"/>
      <c r="AJ42" s="95"/>
    </row>
    <row r="43" spans="2:36" x14ac:dyDescent="0.25">
      <c r="B43" s="89"/>
      <c r="C43" s="129" t="s">
        <v>154</v>
      </c>
      <c r="D43" s="188" t="s">
        <v>253</v>
      </c>
      <c r="E43" s="169"/>
      <c r="F43" s="122" t="str">
        <f>'[1]MKT DATA EUR'!H22</f>
        <v>10Y</v>
      </c>
      <c r="G43" s="175">
        <f>'[1]MKT DATA EUR'!M22</f>
        <v>-2.8100000000000004E-3</v>
      </c>
      <c r="H43" s="114" t="str">
        <f>IF(LEFT(F43,3)="ECB",_xll.meDateECBSwapStart(IF(ISNUMBER(#REF!),#REF!,Settings.COB)),"")</f>
        <v/>
      </c>
      <c r="I43" s="114" t="str">
        <f>IF(LEFT($F43,3)="ECB",_xll.meDateECBSwapEnd(IF(ISNUMBER(#REF!),#REF!,Settings.COB)),"")</f>
        <v/>
      </c>
      <c r="J43" s="307" t="b">
        <v>1</v>
      </c>
      <c r="K43" s="162"/>
      <c r="L43" s="173"/>
      <c r="M43" s="174"/>
      <c r="N43" s="163"/>
      <c r="P43" s="89"/>
      <c r="Q43" s="129"/>
      <c r="R43" s="158"/>
      <c r="S43" s="95"/>
      <c r="U43" s="89"/>
      <c r="V43" s="94"/>
      <c r="W43" s="94"/>
      <c r="X43" s="94"/>
      <c r="Y43" s="94"/>
      <c r="Z43" s="94"/>
      <c r="AA43" s="94"/>
      <c r="AB43" s="94"/>
      <c r="AC43" s="94"/>
      <c r="AD43" s="94"/>
      <c r="AE43" s="94"/>
      <c r="AF43" s="94"/>
      <c r="AG43" s="94"/>
      <c r="AH43" s="94"/>
      <c r="AI43" s="94"/>
      <c r="AJ43" s="95"/>
    </row>
    <row r="44" spans="2:36" x14ac:dyDescent="0.25">
      <c r="B44" s="89"/>
      <c r="C44" s="147" t="s">
        <v>156</v>
      </c>
      <c r="D44" s="188" t="b">
        <v>1</v>
      </c>
      <c r="E44" s="169"/>
      <c r="F44" s="122"/>
      <c r="G44" s="175"/>
      <c r="H44" s="114"/>
      <c r="I44" s="114"/>
      <c r="J44" s="307"/>
      <c r="K44" s="162"/>
      <c r="L44" s="173"/>
      <c r="M44" s="174"/>
      <c r="N44" s="163"/>
      <c r="P44" s="89"/>
      <c r="Q44" s="129"/>
      <c r="R44" s="158"/>
      <c r="S44" s="95"/>
      <c r="U44" s="89"/>
      <c r="V44" s="94"/>
      <c r="W44" s="94"/>
      <c r="X44" s="94"/>
      <c r="Y44" s="94"/>
      <c r="Z44" s="94"/>
      <c r="AA44" s="94"/>
      <c r="AB44" s="94"/>
      <c r="AC44" s="94"/>
      <c r="AD44" s="94"/>
      <c r="AE44" s="94"/>
      <c r="AF44" s="94"/>
      <c r="AG44" s="94"/>
      <c r="AH44" s="94"/>
      <c r="AI44" s="94"/>
      <c r="AJ44" s="95"/>
    </row>
    <row r="45" spans="2:36" x14ac:dyDescent="0.25">
      <c r="B45" s="89"/>
      <c r="C45" s="155"/>
      <c r="D45" s="193"/>
      <c r="E45" s="169"/>
      <c r="F45" s="122"/>
      <c r="G45" s="175"/>
      <c r="H45" s="114"/>
      <c r="I45" s="114"/>
      <c r="J45" s="307"/>
      <c r="K45" s="162"/>
      <c r="L45" s="173"/>
      <c r="M45" s="174"/>
      <c r="N45" s="163"/>
      <c r="P45" s="89"/>
      <c r="Q45" s="133"/>
      <c r="R45" s="192"/>
      <c r="S45" s="95"/>
      <c r="U45" s="89"/>
      <c r="V45" s="94"/>
      <c r="W45" s="94"/>
      <c r="X45" s="94"/>
      <c r="Y45" s="94"/>
      <c r="Z45" s="94"/>
      <c r="AA45" s="94"/>
      <c r="AB45" s="94"/>
      <c r="AC45" s="94"/>
      <c r="AD45" s="94"/>
      <c r="AE45" s="94"/>
      <c r="AF45" s="94"/>
      <c r="AG45" s="94"/>
      <c r="AH45" s="94"/>
      <c r="AI45" s="94"/>
      <c r="AJ45" s="95"/>
    </row>
    <row r="46" spans="2:36" x14ac:dyDescent="0.25">
      <c r="B46" s="89"/>
      <c r="C46" s="159"/>
      <c r="D46" s="198"/>
      <c r="E46" s="169"/>
      <c r="F46" s="178"/>
      <c r="G46" s="309"/>
      <c r="H46" s="180"/>
      <c r="I46" s="180"/>
      <c r="J46" s="310"/>
      <c r="K46" s="162"/>
      <c r="L46" s="202"/>
      <c r="M46" s="203"/>
      <c r="N46" s="163"/>
      <c r="P46" s="89"/>
      <c r="Q46" s="94"/>
      <c r="R46" s="94"/>
      <c r="S46" s="95"/>
      <c r="U46" s="89"/>
      <c r="V46" s="94"/>
      <c r="W46" s="94"/>
      <c r="X46" s="94"/>
      <c r="Y46" s="94"/>
      <c r="Z46" s="94"/>
      <c r="AA46" s="94"/>
      <c r="AB46" s="94"/>
      <c r="AC46" s="94"/>
      <c r="AD46" s="94"/>
      <c r="AE46" s="94"/>
      <c r="AF46" s="94"/>
      <c r="AG46" s="94"/>
      <c r="AH46" s="94"/>
      <c r="AI46" s="94"/>
      <c r="AJ46" s="95"/>
    </row>
    <row r="47" spans="2:36" x14ac:dyDescent="0.25">
      <c r="B47" s="135"/>
      <c r="C47" s="136"/>
      <c r="D47" s="136"/>
      <c r="E47" s="136"/>
      <c r="F47" s="136"/>
      <c r="G47" s="136"/>
      <c r="H47" s="136"/>
      <c r="I47" s="136"/>
      <c r="J47" s="136"/>
      <c r="K47" s="136"/>
      <c r="L47" s="136"/>
      <c r="M47" s="136"/>
      <c r="N47" s="137"/>
      <c r="P47" s="89"/>
      <c r="Q47" s="97" t="s">
        <v>157</v>
      </c>
      <c r="R47" s="194" t="s">
        <v>158</v>
      </c>
      <c r="S47" s="95"/>
      <c r="U47" s="89"/>
      <c r="V47" s="94"/>
      <c r="W47" s="94"/>
      <c r="X47" s="94"/>
      <c r="Y47" s="94"/>
      <c r="Z47" s="94"/>
      <c r="AA47" s="94"/>
      <c r="AB47" s="94"/>
      <c r="AC47" s="94"/>
      <c r="AD47" s="94"/>
      <c r="AE47" s="94"/>
      <c r="AF47" s="94"/>
      <c r="AG47" s="94"/>
      <c r="AH47" s="94"/>
      <c r="AI47" s="94"/>
      <c r="AJ47" s="95"/>
    </row>
    <row r="48" spans="2:36" x14ac:dyDescent="0.25">
      <c r="P48" s="89"/>
      <c r="Q48" s="125" t="s">
        <v>10</v>
      </c>
      <c r="R48" s="157" t="s">
        <v>249</v>
      </c>
      <c r="S48" s="95"/>
      <c r="U48" s="89"/>
      <c r="V48" s="94"/>
      <c r="W48" s="94"/>
      <c r="X48" s="94"/>
      <c r="Y48" s="94"/>
      <c r="Z48" s="94"/>
      <c r="AA48" s="94"/>
      <c r="AB48" s="94"/>
      <c r="AC48" s="94"/>
      <c r="AD48" s="94"/>
      <c r="AE48" s="94"/>
      <c r="AF48" s="94"/>
      <c r="AG48" s="94"/>
      <c r="AH48" s="94"/>
      <c r="AI48" s="94"/>
      <c r="AJ48" s="95"/>
    </row>
    <row r="49" spans="2:36" x14ac:dyDescent="0.25">
      <c r="P49" s="89"/>
      <c r="Q49" s="129" t="s">
        <v>160</v>
      </c>
      <c r="R49" s="158" t="s">
        <v>125</v>
      </c>
      <c r="S49" s="95"/>
      <c r="U49" s="89"/>
      <c r="V49" s="94"/>
      <c r="W49" s="94"/>
      <c r="X49" s="94"/>
      <c r="Y49" s="94"/>
      <c r="Z49" s="94"/>
      <c r="AA49" s="94"/>
      <c r="AB49" s="94"/>
      <c r="AC49" s="94"/>
      <c r="AD49" s="94"/>
      <c r="AE49" s="94"/>
      <c r="AF49" s="94"/>
      <c r="AG49" s="94"/>
      <c r="AH49" s="94"/>
      <c r="AI49" s="94"/>
      <c r="AJ49" s="95"/>
    </row>
    <row r="50" spans="2:36" x14ac:dyDescent="0.25">
      <c r="B50" s="143" t="s">
        <v>168</v>
      </c>
      <c r="P50" s="89"/>
      <c r="Q50" s="129" t="s">
        <v>161</v>
      </c>
      <c r="R50" s="158" t="s">
        <v>162</v>
      </c>
      <c r="S50" s="95"/>
      <c r="U50" s="89"/>
      <c r="V50" s="94"/>
      <c r="W50" s="94"/>
      <c r="X50" s="94"/>
      <c r="Y50" s="94"/>
      <c r="Z50" s="94"/>
      <c r="AA50" s="94"/>
      <c r="AB50" s="94"/>
      <c r="AC50" s="94"/>
      <c r="AD50" s="94"/>
      <c r="AE50" s="94"/>
      <c r="AF50" s="94"/>
      <c r="AG50" s="94"/>
      <c r="AH50" s="94"/>
      <c r="AI50" s="94"/>
      <c r="AJ50" s="95"/>
    </row>
    <row r="51" spans="2:36" x14ac:dyDescent="0.25">
      <c r="B51" s="84"/>
      <c r="C51" s="87"/>
      <c r="D51" s="87"/>
      <c r="E51" s="87"/>
      <c r="F51" s="87"/>
      <c r="G51" s="87"/>
      <c r="H51" s="87"/>
      <c r="I51" s="87"/>
      <c r="J51" s="87"/>
      <c r="K51" s="87"/>
      <c r="L51" s="87"/>
      <c r="M51" s="87"/>
      <c r="N51" s="88"/>
      <c r="P51" s="89"/>
      <c r="Q51" s="133" t="s">
        <v>14</v>
      </c>
      <c r="R51" s="192" t="s">
        <v>15</v>
      </c>
      <c r="S51" s="95"/>
      <c r="U51" s="89"/>
      <c r="V51" s="94"/>
      <c r="W51" s="94"/>
      <c r="X51" s="94"/>
      <c r="Y51" s="94"/>
      <c r="Z51" s="94"/>
      <c r="AA51" s="94"/>
      <c r="AB51" s="94"/>
      <c r="AC51" s="94"/>
      <c r="AD51" s="94"/>
      <c r="AE51" s="94"/>
      <c r="AF51" s="94"/>
      <c r="AG51" s="94"/>
      <c r="AH51" s="94"/>
      <c r="AI51" s="94"/>
      <c r="AJ51" s="95"/>
    </row>
    <row r="52" spans="2:36" x14ac:dyDescent="0.25">
      <c r="B52" s="89"/>
      <c r="C52" s="96" t="s">
        <v>169</v>
      </c>
      <c r="D52" s="162"/>
      <c r="E52" s="162"/>
      <c r="F52" s="96" t="s">
        <v>170</v>
      </c>
      <c r="G52" s="162"/>
      <c r="H52" s="162"/>
      <c r="I52" s="96" t="s">
        <v>171</v>
      </c>
      <c r="J52" s="162"/>
      <c r="K52" s="162"/>
      <c r="L52" s="96" t="s">
        <v>172</v>
      </c>
      <c r="M52" s="162"/>
      <c r="N52" s="163"/>
      <c r="P52" s="89"/>
      <c r="Q52" s="94"/>
      <c r="R52" s="94"/>
      <c r="S52" s="95"/>
      <c r="U52" s="89"/>
      <c r="V52" s="94"/>
      <c r="W52" s="94"/>
      <c r="X52" s="94"/>
      <c r="Y52" s="94"/>
      <c r="Z52" s="94"/>
      <c r="AA52" s="94"/>
      <c r="AB52" s="94"/>
      <c r="AC52" s="94"/>
      <c r="AD52" s="94"/>
      <c r="AE52" s="94"/>
      <c r="AF52" s="94"/>
      <c r="AG52" s="94"/>
      <c r="AH52" s="94"/>
      <c r="AI52" s="94"/>
      <c r="AJ52" s="95"/>
    </row>
    <row r="53" spans="2:36" x14ac:dyDescent="0.25">
      <c r="B53" s="89"/>
      <c r="C53" s="125" t="s">
        <v>10</v>
      </c>
      <c r="D53" s="164" t="s">
        <v>249</v>
      </c>
      <c r="E53" s="94"/>
      <c r="F53" s="106" t="s">
        <v>24</v>
      </c>
      <c r="G53" s="106" t="s">
        <v>84</v>
      </c>
      <c r="H53" s="162"/>
      <c r="I53" s="125" t="s">
        <v>121</v>
      </c>
      <c r="J53" s="164" t="s">
        <v>249</v>
      </c>
      <c r="K53" s="162"/>
      <c r="L53" s="106" t="s">
        <v>24</v>
      </c>
      <c r="M53" s="106" t="s">
        <v>84</v>
      </c>
      <c r="N53" s="163"/>
      <c r="P53" s="89"/>
      <c r="Q53" s="97" t="s">
        <v>82</v>
      </c>
      <c r="R53" s="194" t="s">
        <v>163</v>
      </c>
      <c r="S53" s="95"/>
      <c r="U53" s="89"/>
      <c r="V53" s="94"/>
      <c r="W53" s="94"/>
      <c r="X53" s="94"/>
      <c r="Y53" s="94"/>
      <c r="Z53" s="94"/>
      <c r="AA53" s="94"/>
      <c r="AB53" s="94"/>
      <c r="AC53" s="94"/>
      <c r="AD53" s="94"/>
      <c r="AE53" s="94"/>
      <c r="AF53" s="94"/>
      <c r="AG53" s="94"/>
      <c r="AH53" s="94"/>
      <c r="AI53" s="94"/>
      <c r="AJ53" s="95"/>
    </row>
    <row r="54" spans="2:36" x14ac:dyDescent="0.25">
      <c r="B54" s="89"/>
      <c r="C54" s="129" t="s">
        <v>160</v>
      </c>
      <c r="D54" s="168" t="s">
        <v>125</v>
      </c>
      <c r="E54" s="169"/>
      <c r="F54" s="122" t="str">
        <f>'[1]MKT DATA EUR'!H24</f>
        <v>2Y</v>
      </c>
      <c r="G54" s="311">
        <f>'[1]MKT DATA EUR'!M24</f>
        <v>1.5499999999999999E-3</v>
      </c>
      <c r="H54" s="162"/>
      <c r="I54" s="129" t="s">
        <v>164</v>
      </c>
      <c r="J54" s="168" t="s">
        <v>165</v>
      </c>
      <c r="K54" s="162"/>
      <c r="L54" s="122" t="str">
        <f>'[1]MKT DATA EUR'!H42</f>
        <v>2Y</v>
      </c>
      <c r="M54" s="311">
        <f>'[1]MKT DATA EUR'!M42</f>
        <v>-3.7000000000000002E-3</v>
      </c>
      <c r="N54" s="163"/>
      <c r="P54" s="89"/>
      <c r="Q54" s="125" t="s">
        <v>121</v>
      </c>
      <c r="R54" s="157" t="s">
        <v>249</v>
      </c>
      <c r="S54" s="95"/>
      <c r="U54" s="89"/>
      <c r="V54" s="204"/>
      <c r="W54" s="98"/>
      <c r="X54" s="94"/>
      <c r="Y54" s="94"/>
      <c r="Z54" s="94"/>
      <c r="AA54" s="94"/>
      <c r="AB54" s="94"/>
      <c r="AC54" s="94"/>
      <c r="AD54" s="100"/>
      <c r="AE54" s="94"/>
      <c r="AF54" s="94"/>
      <c r="AG54" s="100"/>
      <c r="AH54" s="94"/>
      <c r="AI54" s="94"/>
      <c r="AJ54" s="95"/>
    </row>
    <row r="55" spans="2:36" x14ac:dyDescent="0.25">
      <c r="B55" s="89"/>
      <c r="C55" s="129" t="s">
        <v>161</v>
      </c>
      <c r="D55" s="168" t="s">
        <v>162</v>
      </c>
      <c r="E55" s="169"/>
      <c r="F55" s="122" t="str">
        <f>'[1]MKT DATA EUR'!H25</f>
        <v>3Y</v>
      </c>
      <c r="G55" s="311">
        <f>'[1]MKT DATA EUR'!M25</f>
        <v>1.5100000000000001E-3</v>
      </c>
      <c r="H55" s="162"/>
      <c r="I55" s="129" t="s">
        <v>166</v>
      </c>
      <c r="J55" s="168" t="s">
        <v>128</v>
      </c>
      <c r="K55" s="162"/>
      <c r="L55" s="122" t="str">
        <f>'[1]MKT DATA EUR'!H43</f>
        <v>3Y</v>
      </c>
      <c r="M55" s="311">
        <f>'[1]MKT DATA EUR'!M43</f>
        <v>-3.7599999999999999E-3</v>
      </c>
      <c r="N55" s="163"/>
      <c r="P55" s="89"/>
      <c r="Q55" s="129" t="s">
        <v>164</v>
      </c>
      <c r="R55" s="158" t="s">
        <v>165</v>
      </c>
      <c r="S55" s="95"/>
      <c r="U55" s="89"/>
      <c r="V55" s="204"/>
      <c r="W55" s="98"/>
      <c r="X55" s="94"/>
      <c r="Y55" s="94"/>
      <c r="Z55" s="94"/>
      <c r="AA55" s="94"/>
      <c r="AB55" s="94"/>
      <c r="AC55" s="94"/>
      <c r="AD55" s="100"/>
      <c r="AE55" s="94"/>
      <c r="AF55" s="94"/>
      <c r="AG55" s="100"/>
      <c r="AH55" s="94"/>
      <c r="AI55" s="94"/>
      <c r="AJ55" s="95"/>
    </row>
    <row r="56" spans="2:36" x14ac:dyDescent="0.25">
      <c r="B56" s="89"/>
      <c r="C56" s="129" t="s">
        <v>14</v>
      </c>
      <c r="D56" s="168" t="s">
        <v>15</v>
      </c>
      <c r="E56" s="169"/>
      <c r="F56" s="122" t="str">
        <f>'[1]MKT DATA EUR'!H26</f>
        <v>4Y</v>
      </c>
      <c r="G56" s="311">
        <f>'[1]MKT DATA EUR'!M26</f>
        <v>1.48E-3</v>
      </c>
      <c r="H56" s="162"/>
      <c r="I56" s="129" t="s">
        <v>140</v>
      </c>
      <c r="J56" s="168" t="s">
        <v>15</v>
      </c>
      <c r="K56" s="162"/>
      <c r="L56" s="122" t="str">
        <f>'[1]MKT DATA EUR'!H44</f>
        <v>4Y</v>
      </c>
      <c r="M56" s="311">
        <f>'[1]MKT DATA EUR'!M44</f>
        <v>-3.62E-3</v>
      </c>
      <c r="N56" s="163"/>
      <c r="P56" s="89"/>
      <c r="Q56" s="129" t="s">
        <v>166</v>
      </c>
      <c r="R56" s="158" t="s">
        <v>128</v>
      </c>
      <c r="S56" s="95"/>
      <c r="U56" s="89"/>
      <c r="V56" s="204"/>
      <c r="W56" s="98"/>
      <c r="X56" s="94"/>
      <c r="Y56" s="94"/>
      <c r="Z56" s="94"/>
      <c r="AA56" s="94"/>
      <c r="AB56" s="94"/>
      <c r="AC56" s="94"/>
      <c r="AD56" s="100"/>
      <c r="AE56" s="94"/>
      <c r="AF56" s="94"/>
      <c r="AG56" s="100"/>
      <c r="AH56" s="94"/>
      <c r="AI56" s="94"/>
      <c r="AJ56" s="95"/>
    </row>
    <row r="57" spans="2:36" x14ac:dyDescent="0.25">
      <c r="B57" s="89"/>
      <c r="C57" s="129"/>
      <c r="D57" s="168"/>
      <c r="E57" s="169"/>
      <c r="F57" s="122" t="str">
        <f>'[1]MKT DATA EUR'!H27</f>
        <v>5Y</v>
      </c>
      <c r="G57" s="311">
        <f>'[1]MKT DATA EUR'!M27</f>
        <v>1.47E-3</v>
      </c>
      <c r="H57" s="162"/>
      <c r="I57" s="129"/>
      <c r="J57" s="168"/>
      <c r="K57" s="162"/>
      <c r="L57" s="122" t="str">
        <f>'[1]MKT DATA EUR'!H45</f>
        <v>5Y</v>
      </c>
      <c r="M57" s="311">
        <f>'[1]MKT DATA EUR'!M45</f>
        <v>-3.3600000000000001E-3</v>
      </c>
      <c r="N57" s="163"/>
      <c r="P57" s="89"/>
      <c r="Q57" s="133" t="s">
        <v>140</v>
      </c>
      <c r="R57" s="192" t="s">
        <v>15</v>
      </c>
      <c r="S57" s="95"/>
      <c r="U57" s="89"/>
      <c r="V57" s="204"/>
      <c r="W57" s="98"/>
      <c r="X57" s="94"/>
      <c r="Y57" s="94"/>
      <c r="Z57" s="94"/>
      <c r="AA57" s="94"/>
      <c r="AB57" s="94"/>
      <c r="AC57" s="94"/>
      <c r="AD57" s="100"/>
      <c r="AE57" s="94"/>
      <c r="AF57" s="94"/>
      <c r="AG57" s="100"/>
      <c r="AH57" s="94"/>
      <c r="AI57" s="94"/>
      <c r="AJ57" s="95"/>
    </row>
    <row r="58" spans="2:36" x14ac:dyDescent="0.25">
      <c r="B58" s="89"/>
      <c r="C58" s="139"/>
      <c r="D58" s="168"/>
      <c r="E58" s="169"/>
      <c r="F58" s="122" t="str">
        <f>'[1]MKT DATA EUR'!H28</f>
        <v>6Y</v>
      </c>
      <c r="G58" s="311">
        <f>'[1]MKT DATA EUR'!M28</f>
        <v>1.4599999999999999E-3</v>
      </c>
      <c r="H58" s="162"/>
      <c r="I58" s="139"/>
      <c r="J58" s="168"/>
      <c r="K58" s="162"/>
      <c r="L58" s="122" t="str">
        <f>'[1]MKT DATA EUR'!H46</f>
        <v>6Y</v>
      </c>
      <c r="M58" s="311">
        <f>'[1]MKT DATA EUR'!M46</f>
        <v>-3.0299999999999997E-3</v>
      </c>
      <c r="N58" s="163"/>
      <c r="P58" s="89"/>
      <c r="Q58" s="94"/>
      <c r="R58" s="94"/>
      <c r="S58" s="95"/>
      <c r="U58" s="89"/>
      <c r="V58" s="204"/>
      <c r="W58" s="98"/>
      <c r="X58" s="94"/>
      <c r="Y58" s="94"/>
      <c r="Z58" s="94"/>
      <c r="AA58" s="94"/>
      <c r="AB58" s="94"/>
      <c r="AC58" s="94"/>
      <c r="AD58" s="100"/>
      <c r="AE58" s="94"/>
      <c r="AF58" s="94"/>
      <c r="AG58" s="100"/>
      <c r="AH58" s="94"/>
      <c r="AI58" s="94"/>
      <c r="AJ58" s="95"/>
    </row>
    <row r="59" spans="2:36" x14ac:dyDescent="0.25">
      <c r="B59" s="89"/>
      <c r="C59" s="185"/>
      <c r="D59" s="186"/>
      <c r="E59" s="169"/>
      <c r="F59" s="122" t="str">
        <f>'[1]MKT DATA EUR'!H29</f>
        <v>7Y</v>
      </c>
      <c r="G59" s="311">
        <f>'[1]MKT DATA EUR'!M29</f>
        <v>1.4499999999999999E-3</v>
      </c>
      <c r="H59" s="162"/>
      <c r="I59" s="185"/>
      <c r="J59" s="186"/>
      <c r="K59" s="162"/>
      <c r="L59" s="122" t="str">
        <f>'[1]MKT DATA EUR'!H47</f>
        <v>7Y</v>
      </c>
      <c r="M59" s="311">
        <f>'[1]MKT DATA EUR'!M47</f>
        <v>-2.66E-3</v>
      </c>
      <c r="N59" s="163"/>
      <c r="P59" s="89"/>
      <c r="Q59" s="94"/>
      <c r="R59" s="94"/>
      <c r="S59" s="95"/>
      <c r="U59" s="89"/>
      <c r="V59" s="204"/>
      <c r="W59" s="98"/>
      <c r="X59" s="94"/>
      <c r="Y59" s="94"/>
      <c r="Z59" s="94"/>
      <c r="AA59" s="94"/>
      <c r="AB59" s="94"/>
      <c r="AC59" s="94"/>
      <c r="AD59" s="100"/>
      <c r="AE59" s="94"/>
      <c r="AF59" s="94"/>
      <c r="AG59" s="100"/>
      <c r="AH59" s="94"/>
      <c r="AI59" s="94"/>
      <c r="AJ59" s="95"/>
    </row>
    <row r="60" spans="2:36" x14ac:dyDescent="0.25">
      <c r="B60" s="89"/>
      <c r="C60" s="129"/>
      <c r="D60" s="168"/>
      <c r="E60" s="169"/>
      <c r="F60" s="122" t="str">
        <f>'[1]MKT DATA EUR'!H30</f>
        <v>8Y</v>
      </c>
      <c r="G60" s="311">
        <f>'[1]MKT DATA EUR'!M30</f>
        <v>1.4400000000000001E-3</v>
      </c>
      <c r="H60" s="162"/>
      <c r="I60" s="129"/>
      <c r="J60" s="168"/>
      <c r="K60" s="162"/>
      <c r="L60" s="122" t="str">
        <f>'[1]MKT DATA EUR'!H48</f>
        <v>8Y</v>
      </c>
      <c r="M60" s="311">
        <f>'[1]MKT DATA EUR'!M48</f>
        <v>-2.2400000000000002E-3</v>
      </c>
      <c r="N60" s="163"/>
      <c r="P60" s="89"/>
      <c r="Q60" s="94"/>
      <c r="R60" s="94"/>
      <c r="S60" s="95"/>
      <c r="U60" s="89"/>
      <c r="V60" s="204"/>
      <c r="W60" s="98"/>
      <c r="X60" s="94"/>
      <c r="Y60" s="94"/>
      <c r="Z60" s="94"/>
      <c r="AA60" s="94"/>
      <c r="AB60" s="94"/>
      <c r="AC60" s="94"/>
      <c r="AD60" s="100"/>
      <c r="AE60" s="94"/>
      <c r="AF60" s="94"/>
      <c r="AG60" s="100"/>
      <c r="AH60" s="94"/>
      <c r="AI60" s="94"/>
      <c r="AJ60" s="95"/>
    </row>
    <row r="61" spans="2:36" x14ac:dyDescent="0.25">
      <c r="B61" s="89"/>
      <c r="C61" s="129"/>
      <c r="D61" s="168"/>
      <c r="E61" s="169"/>
      <c r="F61" s="122" t="str">
        <f>'[1]MKT DATA EUR'!H31</f>
        <v>9Y</v>
      </c>
      <c r="G61" s="311">
        <f>'[1]MKT DATA EUR'!M31</f>
        <v>1.4300000000000001E-3</v>
      </c>
      <c r="H61" s="162"/>
      <c r="I61" s="129"/>
      <c r="J61" s="168"/>
      <c r="K61" s="162"/>
      <c r="L61" s="122" t="str">
        <f>'[1]MKT DATA EUR'!H49</f>
        <v>9Y</v>
      </c>
      <c r="M61" s="311">
        <f>'[1]MKT DATA EUR'!M49</f>
        <v>-1.83E-3</v>
      </c>
      <c r="N61" s="163"/>
      <c r="P61" s="89"/>
      <c r="Q61" s="205"/>
      <c r="R61" s="94"/>
      <c r="S61" s="95"/>
      <c r="U61" s="89"/>
      <c r="V61" s="204"/>
      <c r="W61" s="98"/>
      <c r="X61" s="94"/>
      <c r="Y61" s="94"/>
      <c r="Z61" s="94"/>
      <c r="AA61" s="94"/>
      <c r="AB61" s="94"/>
      <c r="AC61" s="94"/>
      <c r="AD61" s="100"/>
      <c r="AE61" s="94"/>
      <c r="AF61" s="94"/>
      <c r="AG61" s="100"/>
      <c r="AH61" s="94"/>
      <c r="AI61" s="94"/>
      <c r="AJ61" s="95"/>
    </row>
    <row r="62" spans="2:36" x14ac:dyDescent="0.25">
      <c r="B62" s="89"/>
      <c r="C62" s="129"/>
      <c r="D62" s="168"/>
      <c r="E62" s="169"/>
      <c r="F62" s="122" t="str">
        <f>'[1]MKT DATA EUR'!H32</f>
        <v>10Y</v>
      </c>
      <c r="G62" s="311">
        <f>'[1]MKT DATA EUR'!M32</f>
        <v>1.4199999999999998E-3</v>
      </c>
      <c r="H62" s="162"/>
      <c r="I62" s="129"/>
      <c r="J62" s="168"/>
      <c r="K62" s="162"/>
      <c r="L62" s="122" t="str">
        <f>'[1]MKT DATA EUR'!H50</f>
        <v>10Y</v>
      </c>
      <c r="M62" s="311">
        <f>'[1]MKT DATA EUR'!M50</f>
        <v>-1.4199999999999998E-3</v>
      </c>
      <c r="N62" s="163"/>
      <c r="P62" s="89"/>
      <c r="Q62" s="205"/>
      <c r="R62" s="207"/>
      <c r="S62" s="95"/>
      <c r="U62" s="89"/>
      <c r="V62" s="204"/>
      <c r="W62" s="98"/>
      <c r="X62" s="94"/>
      <c r="Y62" s="94"/>
      <c r="Z62" s="94"/>
      <c r="AA62" s="94"/>
      <c r="AB62" s="94"/>
      <c r="AC62" s="94"/>
      <c r="AD62" s="100"/>
      <c r="AE62" s="94"/>
      <c r="AF62" s="94"/>
      <c r="AG62" s="100"/>
      <c r="AH62" s="94"/>
      <c r="AI62" s="94"/>
      <c r="AJ62" s="95"/>
    </row>
    <row r="63" spans="2:36" x14ac:dyDescent="0.25">
      <c r="B63" s="89"/>
      <c r="C63" s="129"/>
      <c r="D63" s="168"/>
      <c r="E63" s="169"/>
      <c r="F63" s="122" t="str">
        <f>'[1]MKT DATA EUR'!H33</f>
        <v>11Y</v>
      </c>
      <c r="G63" s="311">
        <f>'[1]MKT DATA EUR'!M33</f>
        <v>1.41E-3</v>
      </c>
      <c r="H63" s="162"/>
      <c r="I63" s="129"/>
      <c r="J63" s="189"/>
      <c r="K63" s="162"/>
      <c r="L63" s="122" t="str">
        <f>'[1]MKT DATA EUR'!H51</f>
        <v>11Y</v>
      </c>
      <c r="M63" s="311">
        <f>'[1]MKT DATA EUR'!M51</f>
        <v>-1E-3</v>
      </c>
      <c r="N63" s="163"/>
      <c r="P63" s="89"/>
      <c r="Q63" s="205"/>
      <c r="R63" s="94"/>
      <c r="S63" s="95"/>
      <c r="U63" s="89"/>
      <c r="V63" s="204"/>
      <c r="W63" s="98"/>
      <c r="X63" s="94"/>
      <c r="Y63" s="94"/>
      <c r="Z63" s="94"/>
      <c r="AA63" s="94"/>
      <c r="AB63" s="94"/>
      <c r="AC63" s="94"/>
      <c r="AD63" s="100"/>
      <c r="AE63" s="94"/>
      <c r="AF63" s="94"/>
      <c r="AG63" s="100"/>
      <c r="AH63" s="94"/>
      <c r="AI63" s="94"/>
      <c r="AJ63" s="95"/>
    </row>
    <row r="64" spans="2:36" x14ac:dyDescent="0.25">
      <c r="B64" s="89"/>
      <c r="C64" s="129"/>
      <c r="D64" s="168"/>
      <c r="E64" s="169"/>
      <c r="F64" s="122" t="str">
        <f>'[1]MKT DATA EUR'!H34</f>
        <v>12Y</v>
      </c>
      <c r="G64" s="311">
        <f>'[1]MKT DATA EUR'!M34</f>
        <v>1.41E-3</v>
      </c>
      <c r="H64" s="162"/>
      <c r="I64" s="129"/>
      <c r="J64" s="189"/>
      <c r="K64" s="162"/>
      <c r="L64" s="122" t="str">
        <f>'[1]MKT DATA EUR'!H52</f>
        <v>12Y</v>
      </c>
      <c r="M64" s="311">
        <f>'[1]MKT DATA EUR'!M52</f>
        <v>-6.2E-4</v>
      </c>
      <c r="N64" s="163"/>
      <c r="P64" s="89"/>
      <c r="Q64" s="205"/>
      <c r="R64" s="94"/>
      <c r="S64" s="95"/>
      <c r="U64" s="89"/>
      <c r="V64" s="204"/>
      <c r="W64" s="98"/>
      <c r="X64" s="94"/>
      <c r="Y64" s="94"/>
      <c r="Z64" s="94"/>
      <c r="AA64" s="94"/>
      <c r="AB64" s="94"/>
      <c r="AC64" s="94"/>
      <c r="AD64" s="100"/>
      <c r="AE64" s="94"/>
      <c r="AF64" s="94"/>
      <c r="AG64" s="100"/>
      <c r="AH64" s="94"/>
      <c r="AI64" s="94"/>
      <c r="AJ64" s="95"/>
    </row>
    <row r="65" spans="2:36" x14ac:dyDescent="0.25">
      <c r="B65" s="89"/>
      <c r="C65" s="139"/>
      <c r="D65" s="168"/>
      <c r="E65" s="169"/>
      <c r="F65" s="122" t="str">
        <f>'[1]MKT DATA EUR'!H35</f>
        <v>15Y</v>
      </c>
      <c r="G65" s="311">
        <f>'[1]MKT DATA EUR'!M35</f>
        <v>1.39E-3</v>
      </c>
      <c r="H65" s="162"/>
      <c r="I65" s="139"/>
      <c r="J65" s="189"/>
      <c r="K65" s="162"/>
      <c r="L65" s="122" t="str">
        <f>'[1]MKT DATA EUR'!H53</f>
        <v>15Y</v>
      </c>
      <c r="M65" s="311">
        <f>'[1]MKT DATA EUR'!M53</f>
        <v>3.4000000000000002E-4</v>
      </c>
      <c r="N65" s="163"/>
      <c r="P65" s="89"/>
      <c r="Q65" s="205"/>
      <c r="R65" s="94"/>
      <c r="S65" s="95"/>
      <c r="U65" s="89"/>
      <c r="V65" s="204"/>
      <c r="W65" s="98"/>
      <c r="X65" s="94"/>
      <c r="Y65" s="94"/>
      <c r="Z65" s="94"/>
      <c r="AA65" s="94"/>
      <c r="AB65" s="94"/>
      <c r="AC65" s="94"/>
      <c r="AD65" s="100"/>
      <c r="AE65" s="94"/>
      <c r="AF65" s="94"/>
      <c r="AG65" s="100"/>
      <c r="AH65" s="94"/>
      <c r="AI65" s="94"/>
      <c r="AJ65" s="95"/>
    </row>
    <row r="66" spans="2:36" x14ac:dyDescent="0.25">
      <c r="B66" s="89"/>
      <c r="C66" s="185"/>
      <c r="D66" s="312"/>
      <c r="E66" s="169"/>
      <c r="F66" s="122" t="str">
        <f>'[1]MKT DATA EUR'!H36</f>
        <v>20Y</v>
      </c>
      <c r="G66" s="311">
        <f>'[1]MKT DATA EUR'!M36</f>
        <v>1.3699999999999999E-3</v>
      </c>
      <c r="H66" s="162"/>
      <c r="I66" s="210"/>
      <c r="J66" s="211"/>
      <c r="K66" s="162"/>
      <c r="L66" s="122" t="str">
        <f>'[1]MKT DATA EUR'!H54</f>
        <v>20Y</v>
      </c>
      <c r="M66" s="311">
        <f>'[1]MKT DATA EUR'!M54</f>
        <v>9.2000000000000003E-4</v>
      </c>
      <c r="N66" s="163"/>
      <c r="P66" s="89"/>
      <c r="Q66" s="205"/>
      <c r="R66" s="94"/>
      <c r="S66" s="95"/>
      <c r="U66" s="89"/>
      <c r="V66" s="204"/>
      <c r="W66" s="98"/>
      <c r="X66" s="94"/>
      <c r="Y66" s="94"/>
      <c r="Z66" s="94"/>
      <c r="AA66" s="94"/>
      <c r="AB66" s="94"/>
      <c r="AC66" s="94"/>
      <c r="AD66" s="100"/>
      <c r="AE66" s="94"/>
      <c r="AF66" s="94"/>
      <c r="AG66" s="100"/>
      <c r="AH66" s="94"/>
      <c r="AI66" s="94"/>
      <c r="AJ66" s="95"/>
    </row>
    <row r="67" spans="2:36" x14ac:dyDescent="0.25">
      <c r="B67" s="89"/>
      <c r="C67" s="185"/>
      <c r="D67" s="286"/>
      <c r="E67" s="169"/>
      <c r="F67" s="122" t="str">
        <f>'[1]MKT DATA EUR'!H37</f>
        <v>25Y</v>
      </c>
      <c r="G67" s="311">
        <f>'[1]MKT DATA EUR'!M37</f>
        <v>1.34E-3</v>
      </c>
      <c r="H67" s="162"/>
      <c r="I67" s="210"/>
      <c r="J67" s="212"/>
      <c r="K67" s="162"/>
      <c r="L67" s="122" t="str">
        <f>'[1]MKT DATA EUR'!H55</f>
        <v>25Y</v>
      </c>
      <c r="M67" s="311">
        <f>'[1]MKT DATA EUR'!M55</f>
        <v>6.9000000000000008E-4</v>
      </c>
      <c r="N67" s="163"/>
      <c r="P67" s="89"/>
      <c r="Q67" s="205"/>
      <c r="R67" s="94"/>
      <c r="S67" s="95"/>
      <c r="U67" s="89"/>
      <c r="V67" s="204"/>
      <c r="W67" s="98"/>
      <c r="X67" s="94"/>
      <c r="Y67" s="94"/>
      <c r="Z67" s="94"/>
      <c r="AA67" s="94"/>
      <c r="AB67" s="94"/>
      <c r="AC67" s="94"/>
      <c r="AD67" s="100"/>
      <c r="AE67" s="94"/>
      <c r="AF67" s="94"/>
      <c r="AG67" s="100"/>
      <c r="AH67" s="94"/>
      <c r="AI67" s="94"/>
      <c r="AJ67" s="95"/>
    </row>
    <row r="68" spans="2:36" x14ac:dyDescent="0.25">
      <c r="B68" s="89"/>
      <c r="C68" s="185"/>
      <c r="D68" s="312"/>
      <c r="E68" s="169"/>
      <c r="F68" s="122" t="str">
        <f>'[1]MKT DATA EUR'!H38</f>
        <v>30Y</v>
      </c>
      <c r="G68" s="311">
        <f>'[1]MKT DATA EUR'!M38</f>
        <v>1.32E-3</v>
      </c>
      <c r="H68" s="162"/>
      <c r="I68" s="210"/>
      <c r="J68" s="211"/>
      <c r="K68" s="162"/>
      <c r="L68" s="122" t="str">
        <f>'[1]MKT DATA EUR'!H56</f>
        <v>30Y</v>
      </c>
      <c r="M68" s="311">
        <f>'[1]MKT DATA EUR'!M56</f>
        <v>1.6000000000000001E-4</v>
      </c>
      <c r="N68" s="163"/>
      <c r="P68" s="89"/>
      <c r="Q68" s="205"/>
      <c r="R68" s="94"/>
      <c r="S68" s="95"/>
      <c r="U68" s="89"/>
      <c r="V68" s="204"/>
      <c r="W68" s="98"/>
      <c r="X68" s="94"/>
      <c r="Y68" s="94"/>
      <c r="Z68" s="94"/>
      <c r="AA68" s="94"/>
      <c r="AB68" s="94"/>
      <c r="AC68" s="94"/>
      <c r="AD68" s="100"/>
      <c r="AE68" s="94"/>
      <c r="AF68" s="94"/>
      <c r="AG68" s="100"/>
      <c r="AH68" s="94"/>
      <c r="AI68" s="94"/>
      <c r="AJ68" s="95"/>
    </row>
    <row r="69" spans="2:36" x14ac:dyDescent="0.25">
      <c r="B69" s="89"/>
      <c r="C69" s="139"/>
      <c r="D69" s="168"/>
      <c r="E69" s="169"/>
      <c r="F69" s="122" t="str">
        <f>'[1]MKT DATA EUR'!H39</f>
        <v>40Y</v>
      </c>
      <c r="G69" s="311">
        <f>'[1]MKT DATA EUR'!M39</f>
        <v>1.2699999999999999E-3</v>
      </c>
      <c r="H69" s="162"/>
      <c r="I69" s="155"/>
      <c r="J69" s="189"/>
      <c r="K69" s="162"/>
      <c r="L69" s="122" t="str">
        <f>'[1]MKT DATA EUR'!H57</f>
        <v>40Y</v>
      </c>
      <c r="M69" s="311">
        <f>'[1]MKT DATA EUR'!M57</f>
        <v>-6.3000000000000003E-4</v>
      </c>
      <c r="N69" s="163"/>
      <c r="P69" s="89"/>
      <c r="Q69" s="205"/>
      <c r="R69" s="94"/>
      <c r="S69" s="95"/>
      <c r="U69" s="89"/>
      <c r="V69" s="204"/>
      <c r="W69" s="98"/>
      <c r="X69" s="94"/>
      <c r="Y69" s="94"/>
      <c r="Z69" s="94"/>
      <c r="AA69" s="94"/>
      <c r="AB69" s="94"/>
      <c r="AC69" s="94"/>
      <c r="AD69" s="94"/>
      <c r="AE69" s="94"/>
      <c r="AF69" s="94"/>
      <c r="AG69" s="94"/>
      <c r="AH69" s="94"/>
      <c r="AI69" s="94"/>
      <c r="AJ69" s="95"/>
    </row>
    <row r="70" spans="2:36" x14ac:dyDescent="0.25">
      <c r="B70" s="89"/>
      <c r="C70" s="139"/>
      <c r="D70" s="313"/>
      <c r="E70" s="169"/>
      <c r="F70" s="122" t="str">
        <f>'[1]MKT DATA EUR'!H40</f>
        <v>50Y</v>
      </c>
      <c r="G70" s="311">
        <f>'[1]MKT DATA EUR'!M40</f>
        <v>1.2099999999999999E-3</v>
      </c>
      <c r="H70" s="162"/>
      <c r="I70" s="155"/>
      <c r="J70" s="193"/>
      <c r="K70" s="162"/>
      <c r="L70" s="122" t="str">
        <f>'[1]MKT DATA EUR'!H58</f>
        <v>50Y</v>
      </c>
      <c r="M70" s="311">
        <f>'[1]MKT DATA EUR'!M58</f>
        <v>-1.32E-3</v>
      </c>
      <c r="N70" s="163"/>
      <c r="P70" s="89"/>
      <c r="Q70" s="205"/>
      <c r="R70" s="94"/>
      <c r="S70" s="95"/>
      <c r="U70" s="89"/>
      <c r="V70" s="204"/>
      <c r="W70" s="98"/>
      <c r="X70" s="94"/>
      <c r="Y70" s="94"/>
      <c r="Z70" s="94"/>
      <c r="AA70" s="94"/>
      <c r="AB70" s="94"/>
      <c r="AC70" s="94"/>
      <c r="AD70" s="94"/>
      <c r="AE70" s="94"/>
      <c r="AF70" s="94"/>
      <c r="AG70" s="94"/>
      <c r="AH70" s="94"/>
      <c r="AI70" s="94"/>
      <c r="AJ70" s="95"/>
    </row>
    <row r="71" spans="2:36" x14ac:dyDescent="0.25">
      <c r="B71" s="89"/>
      <c r="C71" s="139"/>
      <c r="D71" s="313"/>
      <c r="E71" s="169"/>
      <c r="F71" s="190"/>
      <c r="G71" s="213"/>
      <c r="H71" s="162"/>
      <c r="I71" s="155"/>
      <c r="J71" s="193"/>
      <c r="K71" s="162"/>
      <c r="L71" s="190"/>
      <c r="M71" s="213"/>
      <c r="N71" s="163"/>
      <c r="P71" s="89"/>
      <c r="Q71" s="207"/>
      <c r="R71" s="94"/>
      <c r="S71" s="95"/>
      <c r="U71" s="89"/>
      <c r="V71" s="204"/>
      <c r="W71" s="98"/>
      <c r="X71" s="94"/>
      <c r="Y71" s="94"/>
      <c r="Z71" s="94"/>
      <c r="AA71" s="94"/>
      <c r="AB71" s="94"/>
      <c r="AC71" s="94"/>
      <c r="AD71" s="94"/>
      <c r="AE71" s="94"/>
      <c r="AF71" s="94"/>
      <c r="AG71" s="94"/>
      <c r="AH71" s="94"/>
      <c r="AI71" s="94"/>
      <c r="AJ71" s="95"/>
    </row>
    <row r="72" spans="2:36" x14ac:dyDescent="0.25">
      <c r="B72" s="89"/>
      <c r="C72" s="139"/>
      <c r="D72" s="313"/>
      <c r="E72" s="169"/>
      <c r="F72" s="190"/>
      <c r="G72" s="213"/>
      <c r="H72" s="162"/>
      <c r="I72" s="155"/>
      <c r="J72" s="193"/>
      <c r="K72" s="162"/>
      <c r="L72" s="190"/>
      <c r="M72" s="213"/>
      <c r="N72" s="163"/>
      <c r="P72" s="89"/>
      <c r="Q72" s="207"/>
      <c r="R72" s="94"/>
      <c r="S72" s="95"/>
      <c r="U72" s="89"/>
      <c r="V72" s="204"/>
      <c r="W72" s="98"/>
      <c r="X72" s="94"/>
      <c r="Y72" s="94"/>
      <c r="Z72" s="94"/>
      <c r="AA72" s="94"/>
      <c r="AB72" s="94"/>
      <c r="AC72" s="94"/>
      <c r="AD72" s="94"/>
      <c r="AE72" s="94"/>
      <c r="AF72" s="94"/>
      <c r="AG72" s="94"/>
      <c r="AH72" s="94"/>
      <c r="AI72" s="94"/>
      <c r="AJ72" s="95"/>
    </row>
    <row r="73" spans="2:36" x14ac:dyDescent="0.25">
      <c r="B73" s="89"/>
      <c r="C73" s="139"/>
      <c r="D73" s="313"/>
      <c r="E73" s="169"/>
      <c r="F73" s="190"/>
      <c r="G73" s="213"/>
      <c r="H73" s="162"/>
      <c r="I73" s="155"/>
      <c r="J73" s="193"/>
      <c r="K73" s="162"/>
      <c r="L73" s="195"/>
      <c r="M73" s="174"/>
      <c r="N73" s="163"/>
      <c r="P73" s="89"/>
      <c r="Q73" s="94"/>
      <c r="R73" s="94"/>
      <c r="S73" s="95"/>
      <c r="U73" s="89"/>
      <c r="V73" s="204"/>
      <c r="W73" s="98"/>
      <c r="X73" s="94"/>
      <c r="Y73" s="94"/>
      <c r="Z73" s="94"/>
      <c r="AA73" s="94"/>
      <c r="AB73" s="94"/>
      <c r="AC73" s="94"/>
      <c r="AD73" s="94"/>
      <c r="AE73" s="94"/>
      <c r="AF73" s="94"/>
      <c r="AG73" s="94"/>
      <c r="AH73" s="94"/>
      <c r="AI73" s="94"/>
      <c r="AJ73" s="95"/>
    </row>
    <row r="74" spans="2:36" x14ac:dyDescent="0.25">
      <c r="B74" s="89"/>
      <c r="C74" s="139"/>
      <c r="D74" s="313"/>
      <c r="E74" s="169"/>
      <c r="F74" s="190"/>
      <c r="G74" s="213"/>
      <c r="H74" s="162"/>
      <c r="I74" s="155"/>
      <c r="J74" s="193"/>
      <c r="K74" s="162"/>
      <c r="L74" s="195"/>
      <c r="M74" s="174"/>
      <c r="N74" s="163"/>
      <c r="P74" s="89"/>
      <c r="Q74" s="94"/>
      <c r="R74" s="94"/>
      <c r="S74" s="95"/>
      <c r="U74" s="89"/>
      <c r="V74" s="204"/>
      <c r="W74" s="98"/>
      <c r="X74" s="94"/>
      <c r="Y74" s="94"/>
      <c r="Z74" s="94"/>
      <c r="AA74" s="94"/>
      <c r="AB74" s="94"/>
      <c r="AC74" s="94"/>
      <c r="AD74" s="94"/>
      <c r="AE74" s="94"/>
      <c r="AF74" s="94"/>
      <c r="AG74" s="94"/>
      <c r="AH74" s="94"/>
      <c r="AI74" s="94"/>
      <c r="AJ74" s="95"/>
    </row>
    <row r="75" spans="2:36" x14ac:dyDescent="0.25">
      <c r="B75" s="89"/>
      <c r="C75" s="139"/>
      <c r="D75" s="313"/>
      <c r="E75" s="169"/>
      <c r="F75" s="190"/>
      <c r="G75" s="213"/>
      <c r="H75" s="162"/>
      <c r="I75" s="155"/>
      <c r="J75" s="193"/>
      <c r="K75" s="162"/>
      <c r="L75" s="195"/>
      <c r="M75" s="174"/>
      <c r="N75" s="163"/>
      <c r="P75" s="89"/>
      <c r="Q75" s="94"/>
      <c r="R75" s="94"/>
      <c r="S75" s="95"/>
      <c r="U75" s="89"/>
      <c r="V75" s="204"/>
      <c r="W75" s="98"/>
      <c r="X75" s="94"/>
      <c r="Y75" s="94"/>
      <c r="Z75" s="94"/>
      <c r="AA75" s="94"/>
      <c r="AB75" s="94"/>
      <c r="AC75" s="94"/>
      <c r="AD75" s="94"/>
      <c r="AE75" s="94"/>
      <c r="AF75" s="94"/>
      <c r="AG75" s="94"/>
      <c r="AH75" s="94"/>
      <c r="AI75" s="94"/>
      <c r="AJ75" s="95"/>
    </row>
    <row r="76" spans="2:36" x14ac:dyDescent="0.25">
      <c r="B76" s="89"/>
      <c r="C76" s="139"/>
      <c r="D76" s="313"/>
      <c r="E76" s="169"/>
      <c r="F76" s="190"/>
      <c r="G76" s="213"/>
      <c r="H76" s="162"/>
      <c r="I76" s="155"/>
      <c r="J76" s="193"/>
      <c r="K76" s="162"/>
      <c r="L76" s="195"/>
      <c r="M76" s="174"/>
      <c r="N76" s="163"/>
      <c r="P76" s="89"/>
      <c r="Q76" s="94"/>
      <c r="R76" s="94"/>
      <c r="S76" s="95"/>
      <c r="U76" s="89"/>
      <c r="V76" s="204"/>
      <c r="W76" s="98"/>
      <c r="X76" s="94"/>
      <c r="Y76" s="94"/>
      <c r="Z76" s="94"/>
      <c r="AA76" s="94"/>
      <c r="AB76" s="94"/>
      <c r="AC76" s="94"/>
      <c r="AD76" s="94"/>
      <c r="AE76" s="94"/>
      <c r="AF76" s="94"/>
      <c r="AG76" s="94"/>
      <c r="AH76" s="94"/>
      <c r="AI76" s="94"/>
      <c r="AJ76" s="95"/>
    </row>
    <row r="77" spans="2:36" x14ac:dyDescent="0.25">
      <c r="B77" s="89"/>
      <c r="C77" s="139"/>
      <c r="D77" s="313"/>
      <c r="E77" s="169"/>
      <c r="F77" s="190"/>
      <c r="G77" s="213"/>
      <c r="H77" s="162"/>
      <c r="I77" s="155"/>
      <c r="J77" s="193"/>
      <c r="K77" s="162"/>
      <c r="L77" s="195"/>
      <c r="M77" s="174"/>
      <c r="N77" s="163"/>
      <c r="P77" s="89"/>
      <c r="Q77" s="94"/>
      <c r="R77" s="94"/>
      <c r="S77" s="95"/>
      <c r="U77" s="89"/>
      <c r="V77" s="204"/>
      <c r="W77" s="98"/>
      <c r="X77" s="94"/>
      <c r="Y77" s="94"/>
      <c r="Z77" s="94"/>
      <c r="AA77" s="94"/>
      <c r="AB77" s="94"/>
      <c r="AC77" s="94"/>
      <c r="AD77" s="94"/>
      <c r="AE77" s="94"/>
      <c r="AF77" s="94"/>
      <c r="AG77" s="94"/>
      <c r="AH77" s="94"/>
      <c r="AI77" s="94"/>
      <c r="AJ77" s="95"/>
    </row>
    <row r="78" spans="2:36" x14ac:dyDescent="0.25">
      <c r="B78" s="89"/>
      <c r="C78" s="149"/>
      <c r="D78" s="314"/>
      <c r="E78" s="169"/>
      <c r="F78" s="250"/>
      <c r="G78" s="315"/>
      <c r="H78" s="162"/>
      <c r="I78" s="159"/>
      <c r="J78" s="198"/>
      <c r="K78" s="162"/>
      <c r="L78" s="199"/>
      <c r="M78" s="203"/>
      <c r="N78" s="163"/>
      <c r="P78" s="89"/>
      <c r="Q78" s="94"/>
      <c r="R78" s="94"/>
      <c r="S78" s="95"/>
      <c r="U78" s="89"/>
      <c r="V78" s="204"/>
      <c r="W78" s="98"/>
      <c r="X78" s="94"/>
      <c r="Y78" s="94"/>
      <c r="Z78" s="94"/>
      <c r="AA78" s="94"/>
      <c r="AB78" s="94"/>
      <c r="AC78" s="94"/>
      <c r="AD78" s="94"/>
      <c r="AE78" s="94"/>
      <c r="AF78" s="94"/>
      <c r="AG78" s="94"/>
      <c r="AH78" s="94"/>
      <c r="AI78" s="94"/>
      <c r="AJ78" s="95"/>
    </row>
    <row r="79" spans="2:36" x14ac:dyDescent="0.25">
      <c r="B79" s="135"/>
      <c r="C79" s="136"/>
      <c r="D79" s="136"/>
      <c r="E79" s="136"/>
      <c r="F79" s="136"/>
      <c r="G79" s="136"/>
      <c r="H79" s="136"/>
      <c r="I79" s="136"/>
      <c r="J79" s="136"/>
      <c r="K79" s="136"/>
      <c r="L79" s="136"/>
      <c r="M79" s="136"/>
      <c r="N79" s="137"/>
      <c r="P79" s="89"/>
      <c r="Q79" s="94"/>
      <c r="R79" s="94"/>
      <c r="S79" s="95"/>
      <c r="U79" s="89"/>
      <c r="V79" s="204"/>
      <c r="W79" s="98"/>
      <c r="X79" s="94"/>
      <c r="Y79" s="94"/>
      <c r="Z79" s="94"/>
      <c r="AA79" s="94"/>
      <c r="AB79" s="94"/>
      <c r="AC79" s="94"/>
      <c r="AD79" s="94"/>
      <c r="AE79" s="94"/>
      <c r="AF79" s="94"/>
      <c r="AG79" s="94"/>
      <c r="AH79" s="94"/>
      <c r="AI79" s="94"/>
      <c r="AJ79" s="95"/>
    </row>
    <row r="80" spans="2:36" x14ac:dyDescent="0.25">
      <c r="P80" s="89"/>
      <c r="Q80" s="94"/>
      <c r="R80" s="94"/>
      <c r="S80" s="95"/>
      <c r="U80" s="89"/>
      <c r="V80" s="204"/>
      <c r="W80" s="98"/>
      <c r="X80" s="94"/>
      <c r="Y80" s="94"/>
      <c r="Z80" s="94"/>
      <c r="AA80" s="94"/>
      <c r="AB80" s="94"/>
      <c r="AC80" s="94"/>
      <c r="AD80" s="94"/>
      <c r="AE80" s="94"/>
      <c r="AF80" s="94"/>
      <c r="AG80" s="94"/>
      <c r="AH80" s="94"/>
      <c r="AI80" s="94"/>
      <c r="AJ80" s="95"/>
    </row>
    <row r="81" spans="16:36" x14ac:dyDescent="0.25">
      <c r="P81" s="89"/>
      <c r="Q81" s="94"/>
      <c r="R81" s="94"/>
      <c r="S81" s="95"/>
      <c r="U81" s="89"/>
      <c r="V81" s="204"/>
      <c r="W81" s="98"/>
      <c r="X81" s="94"/>
      <c r="Y81" s="94"/>
      <c r="Z81" s="94"/>
      <c r="AA81" s="94"/>
      <c r="AB81" s="94"/>
      <c r="AC81" s="94"/>
      <c r="AD81" s="94"/>
      <c r="AE81" s="94"/>
      <c r="AF81" s="94"/>
      <c r="AG81" s="94"/>
      <c r="AH81" s="94"/>
      <c r="AI81" s="94"/>
      <c r="AJ81" s="95"/>
    </row>
    <row r="82" spans="16:36" x14ac:dyDescent="0.25">
      <c r="P82" s="89"/>
      <c r="Q82" s="94"/>
      <c r="R82" s="94"/>
      <c r="S82" s="95"/>
      <c r="U82" s="89"/>
      <c r="V82" s="204"/>
      <c r="W82" s="98"/>
      <c r="X82" s="94"/>
      <c r="Y82" s="94"/>
      <c r="Z82" s="94"/>
      <c r="AA82" s="94"/>
      <c r="AB82" s="94"/>
      <c r="AC82" s="94"/>
      <c r="AD82" s="94"/>
      <c r="AE82" s="94"/>
      <c r="AF82" s="94"/>
      <c r="AG82" s="94"/>
      <c r="AH82" s="94"/>
      <c r="AI82" s="94"/>
      <c r="AJ82" s="95"/>
    </row>
    <row r="83" spans="16:36" x14ac:dyDescent="0.25">
      <c r="P83" s="89"/>
      <c r="Q83" s="94"/>
      <c r="R83" s="94"/>
      <c r="S83" s="95"/>
      <c r="U83" s="89"/>
      <c r="V83" s="204"/>
      <c r="W83" s="98"/>
      <c r="X83" s="94"/>
      <c r="Y83" s="94"/>
      <c r="Z83" s="94"/>
      <c r="AA83" s="94"/>
      <c r="AB83" s="94"/>
      <c r="AC83" s="94"/>
      <c r="AD83" s="94"/>
      <c r="AE83" s="94"/>
      <c r="AF83" s="94"/>
      <c r="AG83" s="94"/>
      <c r="AH83" s="94"/>
      <c r="AI83" s="94"/>
      <c r="AJ83" s="95"/>
    </row>
    <row r="84" spans="16:36" x14ac:dyDescent="0.25">
      <c r="P84" s="89"/>
      <c r="Q84" s="94"/>
      <c r="R84" s="94"/>
      <c r="S84" s="95"/>
      <c r="U84" s="89"/>
      <c r="V84" s="204"/>
      <c r="W84" s="98"/>
      <c r="X84" s="94"/>
      <c r="Y84" s="94"/>
      <c r="Z84" s="94"/>
      <c r="AA84" s="94"/>
      <c r="AB84" s="94"/>
      <c r="AC84" s="94"/>
      <c r="AD84" s="94"/>
      <c r="AE84" s="94"/>
      <c r="AF84" s="94"/>
      <c r="AG84" s="94"/>
      <c r="AH84" s="94"/>
      <c r="AI84" s="94"/>
      <c r="AJ84" s="95"/>
    </row>
    <row r="85" spans="16:36" x14ac:dyDescent="0.25">
      <c r="P85" s="89"/>
      <c r="Q85" s="94"/>
      <c r="R85" s="94"/>
      <c r="S85" s="95"/>
      <c r="U85" s="89"/>
      <c r="V85" s="204"/>
      <c r="W85" s="98"/>
      <c r="X85" s="94"/>
      <c r="Y85" s="94"/>
      <c r="Z85" s="94"/>
      <c r="AA85" s="94"/>
      <c r="AB85" s="94"/>
      <c r="AC85" s="94"/>
      <c r="AD85" s="94"/>
      <c r="AE85" s="94"/>
      <c r="AF85" s="94"/>
      <c r="AG85" s="94"/>
      <c r="AH85" s="94"/>
      <c r="AI85" s="94"/>
      <c r="AJ85" s="95"/>
    </row>
    <row r="86" spans="16:36" x14ac:dyDescent="0.25">
      <c r="P86" s="89"/>
      <c r="Q86" s="94"/>
      <c r="R86" s="94"/>
      <c r="S86" s="95"/>
      <c r="U86" s="89"/>
      <c r="V86" s="204"/>
      <c r="W86" s="98"/>
      <c r="X86" s="94"/>
      <c r="Y86" s="94"/>
      <c r="Z86" s="94"/>
      <c r="AA86" s="94"/>
      <c r="AB86" s="94"/>
      <c r="AC86" s="94"/>
      <c r="AD86" s="94"/>
      <c r="AE86" s="94"/>
      <c r="AF86" s="94"/>
      <c r="AG86" s="94"/>
      <c r="AH86" s="94"/>
      <c r="AI86" s="94"/>
      <c r="AJ86" s="95"/>
    </row>
    <row r="87" spans="16:36" x14ac:dyDescent="0.25">
      <c r="P87" s="135"/>
      <c r="Q87" s="136"/>
      <c r="R87" s="136"/>
      <c r="S87" s="137"/>
      <c r="U87" s="135"/>
      <c r="V87" s="136"/>
      <c r="W87" s="136"/>
      <c r="X87" s="136"/>
      <c r="Y87" s="136"/>
      <c r="Z87" s="136"/>
      <c r="AA87" s="136"/>
      <c r="AB87" s="136"/>
      <c r="AC87" s="136"/>
      <c r="AD87" s="136"/>
      <c r="AE87" s="136"/>
      <c r="AF87" s="136"/>
      <c r="AG87" s="136"/>
      <c r="AH87" s="136"/>
      <c r="AI87" s="136"/>
      <c r="AJ87" s="137"/>
    </row>
  </sheetData>
  <dataValidations count="2">
    <dataValidation type="list" allowBlank="1" showInputMessage="1" showErrorMessage="1" sqref="R5 D4">
      <formula1>"TRUE,FALSE"</formula1>
    </dataValidation>
    <dataValidation type="list" allowBlank="1" showInputMessage="1" showErrorMessage="1" sqref="D19:D20">
      <formula1>"fn_StepInterpolation,fn_LinearInterpolation,fn_MonotoneConvexInterpolation,fn_SplineInterpolation,fn_ConstrainedSplineInterpolation"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>
    <tabColor theme="1" tint="0.499984740745262"/>
  </sheetPr>
  <dimension ref="B3:AI109"/>
  <sheetViews>
    <sheetView showGridLines="0" workbookViewId="0"/>
  </sheetViews>
  <sheetFormatPr defaultRowHeight="15" x14ac:dyDescent="0.25"/>
  <cols>
    <col min="1" max="1" width="2.7109375" customWidth="1"/>
    <col min="2" max="2" width="2.7109375" hidden="1" customWidth="1"/>
    <col min="3" max="3" width="22.42578125" hidden="1" customWidth="1"/>
    <col min="4" max="4" width="31.5703125" hidden="1" customWidth="1"/>
    <col min="5" max="5" width="9.140625" hidden="1" customWidth="1"/>
    <col min="6" max="7" width="18.7109375" hidden="1" customWidth="1"/>
    <col min="8" max="8" width="12.7109375" hidden="1" customWidth="1"/>
    <col min="9" max="11" width="18.7109375" hidden="1" customWidth="1"/>
    <col min="12" max="14" width="2.7109375" hidden="1" customWidth="1"/>
    <col min="15" max="16" width="40.7109375" hidden="1" customWidth="1"/>
    <col min="17" max="17" width="2.7109375" hidden="1" customWidth="1"/>
    <col min="19" max="19" width="2.7109375" customWidth="1"/>
    <col min="20" max="20" width="30.7109375" customWidth="1"/>
    <col min="21" max="21" width="41.5703125" bestFit="1" customWidth="1"/>
    <col min="22" max="22" width="2.7109375" customWidth="1"/>
    <col min="23" max="24" width="10.7109375" customWidth="1"/>
    <col min="25" max="25" width="2.7109375" customWidth="1"/>
    <col min="26" max="30" width="12.7109375" customWidth="1"/>
    <col min="31" max="31" width="2.7109375" customWidth="1"/>
    <col min="32" max="34" width="12.7109375" customWidth="1"/>
    <col min="35" max="35" width="2.7109375" customWidth="1"/>
  </cols>
  <sheetData>
    <row r="3" spans="2:35" x14ac:dyDescent="0.25">
      <c r="B3" s="84"/>
      <c r="C3" s="85"/>
      <c r="D3" s="86"/>
      <c r="E3" s="87"/>
      <c r="F3" s="87"/>
      <c r="G3" s="87"/>
      <c r="H3" s="87"/>
      <c r="I3" s="87"/>
      <c r="J3" s="87"/>
      <c r="K3" s="87"/>
      <c r="L3" s="88"/>
      <c r="N3" s="84"/>
      <c r="O3" s="87"/>
      <c r="P3" s="87"/>
      <c r="Q3" s="88"/>
      <c r="S3" s="214"/>
      <c r="T3" s="215"/>
      <c r="U3" s="215"/>
      <c r="V3" s="215"/>
      <c r="W3" s="215"/>
      <c r="X3" s="215"/>
      <c r="Y3" s="215"/>
      <c r="Z3" s="215"/>
      <c r="AA3" s="215"/>
      <c r="AB3" s="215"/>
      <c r="AC3" s="215"/>
      <c r="AD3" s="215"/>
      <c r="AE3" s="215"/>
      <c r="AF3" s="215"/>
      <c r="AG3" s="215"/>
      <c r="AH3" s="215"/>
      <c r="AI3" s="216"/>
    </row>
    <row r="4" spans="2:35" x14ac:dyDescent="0.25">
      <c r="B4" s="89"/>
      <c r="C4" s="217" t="s">
        <v>77</v>
      </c>
      <c r="D4" s="218" t="b">
        <v>0</v>
      </c>
      <c r="E4" s="219"/>
      <c r="F4" s="220"/>
      <c r="G4" s="94"/>
      <c r="H4" s="94"/>
      <c r="I4" s="94"/>
      <c r="J4" s="94"/>
      <c r="K4" s="94"/>
      <c r="L4" s="95"/>
      <c r="N4" s="89"/>
      <c r="O4" s="96" t="s">
        <v>79</v>
      </c>
      <c r="P4" s="94"/>
      <c r="Q4" s="95"/>
      <c r="S4" s="221"/>
      <c r="T4" s="99" t="s">
        <v>18</v>
      </c>
      <c r="U4" s="100"/>
      <c r="V4" s="94"/>
      <c r="W4" s="99" t="s">
        <v>173</v>
      </c>
      <c r="X4" s="100"/>
      <c r="Y4" s="94"/>
      <c r="Z4" s="99" t="s">
        <v>174</v>
      </c>
      <c r="AA4" s="222"/>
      <c r="AB4" s="100"/>
      <c r="AC4" s="100"/>
      <c r="AD4" s="100"/>
      <c r="AE4" s="94"/>
      <c r="AF4" s="99" t="s">
        <v>82</v>
      </c>
      <c r="AG4" s="94"/>
      <c r="AH4" s="94"/>
      <c r="AI4" s="223"/>
    </row>
    <row r="5" spans="2:35" x14ac:dyDescent="0.25">
      <c r="B5" s="89"/>
      <c r="C5" s="101" t="s">
        <v>175</v>
      </c>
      <c r="D5" s="102" t="str">
        <f>IF(D4,IF(AND(isEUROISLoaded),_xll.meCurveCalibrateSwap(STDCurve.CollectionName,STDCurve.StaticDataTable,STDCurve.IndexName,STDCurve.Buildproperties,MoneyMarket.Conventions,Libor.Conventions,Libor.MarketData,Swap.Conventions,Swap.MarketData,FRA.Conventions,FRA.MarketDataX3,FRA.MarketDataX6,Futures.Conventions,Futures.MarketData),"Please load curve dependencies"),"Disabled")</f>
        <v>Disabled</v>
      </c>
      <c r="E5" s="103"/>
      <c r="F5" s="104"/>
      <c r="G5" s="94"/>
      <c r="H5" s="94"/>
      <c r="I5" s="94"/>
      <c r="J5" s="94"/>
      <c r="K5" s="94"/>
      <c r="L5" s="95"/>
      <c r="N5" s="89"/>
      <c r="O5" s="90" t="s">
        <v>77</v>
      </c>
      <c r="P5" s="105" t="b">
        <v>0</v>
      </c>
      <c r="Q5" s="95"/>
      <c r="S5" s="221"/>
      <c r="T5" s="224" t="s">
        <v>2</v>
      </c>
      <c r="U5" s="225" t="s">
        <v>239</v>
      </c>
      <c r="V5" s="94" t="s">
        <v>78</v>
      </c>
      <c r="W5" s="98" t="s">
        <v>24</v>
      </c>
      <c r="X5" s="98" t="s">
        <v>84</v>
      </c>
      <c r="Y5" s="204"/>
      <c r="Z5" s="226" t="s">
        <v>24</v>
      </c>
      <c r="AA5" s="226" t="s">
        <v>85</v>
      </c>
      <c r="AB5" s="226" t="s">
        <v>86</v>
      </c>
      <c r="AC5" s="226" t="s">
        <v>84</v>
      </c>
      <c r="AD5" s="226" t="s">
        <v>176</v>
      </c>
      <c r="AE5" s="204"/>
      <c r="AF5" s="227" t="s">
        <v>24</v>
      </c>
      <c r="AG5" s="98" t="s">
        <v>84</v>
      </c>
      <c r="AH5" s="98" t="s">
        <v>87</v>
      </c>
      <c r="AI5" s="223"/>
    </row>
    <row r="6" spans="2:35" x14ac:dyDescent="0.25">
      <c r="B6" s="89"/>
      <c r="C6" s="94"/>
      <c r="D6" s="107"/>
      <c r="E6" s="94"/>
      <c r="F6" s="94"/>
      <c r="G6" s="94"/>
      <c r="H6" s="94"/>
      <c r="I6" s="94"/>
      <c r="J6" s="94"/>
      <c r="K6" s="94"/>
      <c r="L6" s="95"/>
      <c r="N6" s="89"/>
      <c r="O6" s="108" t="s">
        <v>88</v>
      </c>
      <c r="P6" s="109" t="s">
        <v>254</v>
      </c>
      <c r="Q6" s="95"/>
      <c r="S6" s="221"/>
      <c r="T6" s="228" t="s">
        <v>5</v>
      </c>
      <c r="U6" s="229" t="s">
        <v>178</v>
      </c>
      <c r="V6" s="94" t="s">
        <v>78</v>
      </c>
      <c r="W6" s="230" t="s">
        <v>30</v>
      </c>
      <c r="X6" s="231">
        <v>-3.5956999999999999E-3</v>
      </c>
      <c r="Y6" s="94"/>
      <c r="Z6" s="316" t="s">
        <v>255</v>
      </c>
      <c r="AA6" s="233">
        <v>43999</v>
      </c>
      <c r="AB6" s="233">
        <v>44090</v>
      </c>
      <c r="AC6" s="234">
        <v>100.255</v>
      </c>
      <c r="AD6" s="235">
        <v>5.0000000000000001E-3</v>
      </c>
      <c r="AE6" s="94"/>
      <c r="AF6" s="232" t="s">
        <v>41</v>
      </c>
      <c r="AG6" s="236">
        <v>-3.7599999999999999E-3</v>
      </c>
      <c r="AH6" s="237" t="b">
        <v>1</v>
      </c>
      <c r="AI6" s="223"/>
    </row>
    <row r="7" spans="2:35" x14ac:dyDescent="0.25">
      <c r="B7" s="89"/>
      <c r="C7" s="97"/>
      <c r="D7" s="107"/>
      <c r="E7" s="94"/>
      <c r="F7" s="94"/>
      <c r="G7" s="94"/>
      <c r="H7" s="94"/>
      <c r="I7" s="94"/>
      <c r="J7" s="94"/>
      <c r="K7" s="94"/>
      <c r="L7" s="95"/>
      <c r="N7" s="89"/>
      <c r="O7" s="108" t="s">
        <v>92</v>
      </c>
      <c r="P7" s="119" t="str">
        <f>IF(P5,_xll.meLWOCurveGeneratorCreate("EUR_SWAP_3M",O11,O12:P25,O28,O29:P31,O36,O37:P41,O44,O45:P50,O56,O57:P63,O72,O73:P85),"Disabled")</f>
        <v>Disabled</v>
      </c>
      <c r="Q7" s="95"/>
      <c r="S7" s="221"/>
      <c r="T7" s="228" t="s">
        <v>95</v>
      </c>
      <c r="U7" s="229" t="s">
        <v>162</v>
      </c>
      <c r="V7" s="94" t="s">
        <v>78</v>
      </c>
      <c r="W7" s="195" t="s">
        <v>32</v>
      </c>
      <c r="X7" s="238">
        <v>-1.9256999999999998E-3</v>
      </c>
      <c r="Y7" s="94"/>
      <c r="Z7" s="239" t="s">
        <v>256</v>
      </c>
      <c r="AA7" s="240">
        <v>44090</v>
      </c>
      <c r="AB7" s="240">
        <v>44181</v>
      </c>
      <c r="AC7" s="241">
        <v>100.33</v>
      </c>
      <c r="AD7" s="242">
        <v>5.0000000000000001E-3</v>
      </c>
      <c r="AE7" s="94"/>
      <c r="AF7" s="239" t="s">
        <v>42</v>
      </c>
      <c r="AG7" s="243">
        <v>-3.62E-3</v>
      </c>
      <c r="AH7" s="244" t="b">
        <v>1</v>
      </c>
      <c r="AI7" s="223"/>
    </row>
    <row r="8" spans="2:35" x14ac:dyDescent="0.25">
      <c r="B8" s="89"/>
      <c r="C8" s="117" t="s">
        <v>91</v>
      </c>
      <c r="D8" s="118"/>
      <c r="E8" s="94"/>
      <c r="F8" s="94"/>
      <c r="G8" s="94"/>
      <c r="H8" s="94"/>
      <c r="I8" s="94"/>
      <c r="J8" s="94"/>
      <c r="K8" s="94"/>
      <c r="L8" s="95"/>
      <c r="N8" s="89"/>
      <c r="O8" s="127" t="s">
        <v>94</v>
      </c>
      <c r="P8" s="128" t="str">
        <f>IF(P5,_xll.meLWOSave(P7,"CURVE_GENERATOR",P6),"Disabled")</f>
        <v>Disabled</v>
      </c>
      <c r="Q8" s="95" t="s">
        <v>78</v>
      </c>
      <c r="S8" s="221"/>
      <c r="T8" s="228" t="s">
        <v>19</v>
      </c>
      <c r="U8" s="245">
        <f ca="1">TODAY()</f>
        <v>43937</v>
      </c>
      <c r="V8" s="94" t="s">
        <v>78</v>
      </c>
      <c r="W8" s="195" t="s">
        <v>35</v>
      </c>
      <c r="X8" s="238">
        <v>-1.1942999999999999E-3</v>
      </c>
      <c r="Y8" s="94"/>
      <c r="Z8" s="239" t="s">
        <v>257</v>
      </c>
      <c r="AA8" s="246">
        <v>44181</v>
      </c>
      <c r="AB8" s="246">
        <v>44272</v>
      </c>
      <c r="AC8" s="241">
        <v>100.38500000000001</v>
      </c>
      <c r="AD8" s="247">
        <v>5.0000000000000001E-3</v>
      </c>
      <c r="AE8" s="94"/>
      <c r="AF8" s="239" t="s">
        <v>43</v>
      </c>
      <c r="AG8" s="243">
        <v>-3.3600000000000001E-3</v>
      </c>
      <c r="AH8" s="244" t="b">
        <v>1</v>
      </c>
      <c r="AI8" s="223"/>
    </row>
    <row r="9" spans="2:35" x14ac:dyDescent="0.25">
      <c r="B9" s="89"/>
      <c r="C9" s="125" t="s">
        <v>93</v>
      </c>
      <c r="D9" s="126" t="s">
        <v>55</v>
      </c>
      <c r="E9" s="94"/>
      <c r="F9" s="94"/>
      <c r="G9" s="94"/>
      <c r="H9" s="94"/>
      <c r="I9" s="94"/>
      <c r="J9" s="94"/>
      <c r="K9" s="94"/>
      <c r="L9" s="95"/>
      <c r="N9" s="89"/>
      <c r="O9" s="94"/>
      <c r="P9" s="94"/>
      <c r="Q9" s="95"/>
      <c r="S9" s="221"/>
      <c r="T9" s="108"/>
      <c r="U9" s="248"/>
      <c r="V9" s="94" t="s">
        <v>78</v>
      </c>
      <c r="W9" s="195" t="s">
        <v>182</v>
      </c>
      <c r="X9" s="238">
        <v>-1.4860000000000001E-4</v>
      </c>
      <c r="Y9" s="94"/>
      <c r="Z9" s="239" t="s">
        <v>258</v>
      </c>
      <c r="AA9" s="246">
        <v>44272</v>
      </c>
      <c r="AB9" s="246">
        <v>44363</v>
      </c>
      <c r="AC9" s="241">
        <v>100.41500000000001</v>
      </c>
      <c r="AD9" s="247">
        <v>5.0000000000000001E-3</v>
      </c>
      <c r="AE9" s="94"/>
      <c r="AF9" s="239" t="s">
        <v>44</v>
      </c>
      <c r="AG9" s="243">
        <v>-3.0299999999999997E-3</v>
      </c>
      <c r="AH9" s="244" t="b">
        <v>1</v>
      </c>
      <c r="AI9" s="223"/>
    </row>
    <row r="10" spans="2:35" x14ac:dyDescent="0.25">
      <c r="B10" s="89"/>
      <c r="C10" s="129" t="s">
        <v>97</v>
      </c>
      <c r="D10" s="130" t="s">
        <v>184</v>
      </c>
      <c r="E10" s="94"/>
      <c r="F10" s="94"/>
      <c r="G10" s="94"/>
      <c r="H10" s="94"/>
      <c r="I10" s="94"/>
      <c r="J10" s="94"/>
      <c r="K10" s="94"/>
      <c r="L10" s="95"/>
      <c r="N10" s="89"/>
      <c r="O10" s="94"/>
      <c r="P10" s="94"/>
      <c r="Q10" s="95"/>
      <c r="S10" s="221"/>
      <c r="T10" s="127"/>
      <c r="U10" s="249"/>
      <c r="V10" s="94" t="s">
        <v>78</v>
      </c>
      <c r="W10" s="250"/>
      <c r="X10" s="251"/>
      <c r="Y10" s="94"/>
      <c r="Z10" s="239"/>
      <c r="AA10" s="246"/>
      <c r="AB10" s="246"/>
      <c r="AC10" s="241"/>
      <c r="AD10" s="247"/>
      <c r="AE10" s="94"/>
      <c r="AF10" s="239" t="s">
        <v>45</v>
      </c>
      <c r="AG10" s="243">
        <v>-2.66E-3</v>
      </c>
      <c r="AH10" s="244" t="b">
        <v>1</v>
      </c>
      <c r="AI10" s="223"/>
    </row>
    <row r="11" spans="2:35" x14ac:dyDescent="0.25">
      <c r="B11" s="89"/>
      <c r="C11" s="133" t="s">
        <v>98</v>
      </c>
      <c r="D11" s="150" t="s">
        <v>259</v>
      </c>
      <c r="E11" s="94"/>
      <c r="F11" s="94"/>
      <c r="G11" s="94"/>
      <c r="H11" s="94" t="s">
        <v>78</v>
      </c>
      <c r="I11" s="94" t="s">
        <v>78</v>
      </c>
      <c r="J11" s="94" t="s">
        <v>78</v>
      </c>
      <c r="K11" s="94"/>
      <c r="L11" s="95" t="s">
        <v>78</v>
      </c>
      <c r="N11" s="89"/>
      <c r="O11" s="99" t="s">
        <v>0</v>
      </c>
      <c r="P11" s="100"/>
      <c r="Q11" s="95"/>
      <c r="S11" s="221"/>
      <c r="T11" s="94"/>
      <c r="U11" s="94"/>
      <c r="V11" s="94" t="s">
        <v>78</v>
      </c>
      <c r="W11" s="94"/>
      <c r="X11" s="94"/>
      <c r="Y11" s="94"/>
      <c r="Z11" s="239"/>
      <c r="AA11" s="246"/>
      <c r="AB11" s="246"/>
      <c r="AC11" s="241"/>
      <c r="AD11" s="247"/>
      <c r="AE11" s="94"/>
      <c r="AF11" s="239" t="s">
        <v>46</v>
      </c>
      <c r="AG11" s="243">
        <v>-2.2400000000000002E-3</v>
      </c>
      <c r="AH11" s="244" t="b">
        <v>1</v>
      </c>
      <c r="AI11" s="223"/>
    </row>
    <row r="12" spans="2:35" x14ac:dyDescent="0.25">
      <c r="B12" s="135"/>
      <c r="C12" s="136"/>
      <c r="D12" s="136"/>
      <c r="E12" s="136"/>
      <c r="F12" s="136"/>
      <c r="G12" s="136"/>
      <c r="H12" s="136"/>
      <c r="I12" s="136"/>
      <c r="J12" s="136"/>
      <c r="K12" s="136"/>
      <c r="L12" s="137"/>
      <c r="N12" s="89"/>
      <c r="O12" s="224" t="s">
        <v>5</v>
      </c>
      <c r="P12" s="126" t="s">
        <v>178</v>
      </c>
      <c r="Q12" s="95"/>
      <c r="S12" s="221"/>
      <c r="T12" s="141" t="s">
        <v>100</v>
      </c>
      <c r="U12" s="98"/>
      <c r="V12" s="94" t="s">
        <v>78</v>
      </c>
      <c r="W12" s="94"/>
      <c r="X12" s="94"/>
      <c r="Y12" s="94"/>
      <c r="Z12" s="239"/>
      <c r="AA12" s="246"/>
      <c r="AB12" s="246"/>
      <c r="AC12" s="241"/>
      <c r="AD12" s="247"/>
      <c r="AE12" s="94"/>
      <c r="AF12" s="239" t="s">
        <v>47</v>
      </c>
      <c r="AG12" s="243">
        <v>-1.83E-3</v>
      </c>
      <c r="AH12" s="244" t="b">
        <v>1</v>
      </c>
      <c r="AI12" s="223"/>
    </row>
    <row r="13" spans="2:35" x14ac:dyDescent="0.25">
      <c r="N13" s="89"/>
      <c r="O13" s="228" t="s">
        <v>95</v>
      </c>
      <c r="P13" s="140" t="s">
        <v>162</v>
      </c>
      <c r="Q13" s="95"/>
      <c r="S13" s="221"/>
      <c r="T13" s="90" t="s">
        <v>101</v>
      </c>
      <c r="U13" s="142" t="s">
        <v>260</v>
      </c>
      <c r="V13" s="94" t="s">
        <v>78</v>
      </c>
      <c r="W13" s="94"/>
      <c r="X13" s="94"/>
      <c r="Y13" s="94"/>
      <c r="Z13" s="239"/>
      <c r="AA13" s="246"/>
      <c r="AB13" s="246"/>
      <c r="AC13" s="241"/>
      <c r="AD13" s="247"/>
      <c r="AE13" s="94"/>
      <c r="AF13" s="239" t="s">
        <v>48</v>
      </c>
      <c r="AG13" s="243">
        <v>-1.4199999999999998E-3</v>
      </c>
      <c r="AH13" s="244" t="b">
        <v>1</v>
      </c>
      <c r="AI13" s="223"/>
    </row>
    <row r="14" spans="2:35" x14ac:dyDescent="0.25">
      <c r="N14" s="89"/>
      <c r="O14" s="228" t="s">
        <v>97</v>
      </c>
      <c r="P14" s="140" t="s">
        <v>184</v>
      </c>
      <c r="Q14" s="95" t="s">
        <v>78</v>
      </c>
      <c r="S14" s="221"/>
      <c r="T14" s="127" t="s">
        <v>106</v>
      </c>
      <c r="U14" s="144" t="str">
        <f ca="1">_xll.meLWOCurveMarketDataPulse(U13,Settings.PulseFrequency,T4,T5:U10,W4,W6:X10,Z4,Z6:AD31,AF4,AF6:AH31)</f>
        <v>EUR_SWAP_3M_CURVE_MARKETDATA@1:1</v>
      </c>
      <c r="V14" s="94" t="s">
        <v>78</v>
      </c>
      <c r="W14" s="94"/>
      <c r="X14" s="94"/>
      <c r="Y14" s="94"/>
      <c r="Z14" s="239"/>
      <c r="AA14" s="246"/>
      <c r="AB14" s="246"/>
      <c r="AC14" s="241"/>
      <c r="AD14" s="247"/>
      <c r="AE14" s="94"/>
      <c r="AF14" s="239" t="s">
        <v>246</v>
      </c>
      <c r="AG14" s="243">
        <v>-1E-3</v>
      </c>
      <c r="AH14" s="244" t="b">
        <v>1</v>
      </c>
      <c r="AI14" s="223"/>
    </row>
    <row r="15" spans="2:35" x14ac:dyDescent="0.25">
      <c r="B15" s="143" t="s">
        <v>104</v>
      </c>
      <c r="N15" s="89"/>
      <c r="O15" s="228" t="s">
        <v>105</v>
      </c>
      <c r="P15" s="140" t="s">
        <v>259</v>
      </c>
      <c r="Q15" s="95"/>
      <c r="S15" s="221"/>
      <c r="T15" s="94"/>
      <c r="U15" s="94"/>
      <c r="V15" s="94" t="s">
        <v>78</v>
      </c>
      <c r="W15" s="94"/>
      <c r="X15" s="94"/>
      <c r="Y15" s="94"/>
      <c r="Z15" s="239"/>
      <c r="AA15" s="246"/>
      <c r="AB15" s="246"/>
      <c r="AC15" s="241"/>
      <c r="AD15" s="247"/>
      <c r="AE15" s="94"/>
      <c r="AF15" s="239" t="s">
        <v>103</v>
      </c>
      <c r="AG15" s="243">
        <v>-6.2E-4</v>
      </c>
      <c r="AH15" s="244" t="b">
        <v>1</v>
      </c>
      <c r="AI15" s="223"/>
    </row>
    <row r="16" spans="2:35" x14ac:dyDescent="0.25">
      <c r="B16" s="84"/>
      <c r="C16" s="85"/>
      <c r="D16" s="86"/>
      <c r="E16" s="87"/>
      <c r="F16" s="87"/>
      <c r="G16" s="87"/>
      <c r="H16" s="145"/>
      <c r="I16" s="87"/>
      <c r="J16" s="87"/>
      <c r="K16" s="87"/>
      <c r="L16" s="88"/>
      <c r="N16" s="89"/>
      <c r="O16" s="228" t="s">
        <v>2</v>
      </c>
      <c r="P16" s="130" t="s">
        <v>239</v>
      </c>
      <c r="Q16" s="95"/>
      <c r="S16" s="221"/>
      <c r="T16" s="94"/>
      <c r="U16" s="94"/>
      <c r="V16" s="94" t="s">
        <v>78</v>
      </c>
      <c r="W16" s="94"/>
      <c r="X16" s="94"/>
      <c r="Y16" s="94"/>
      <c r="Z16" s="239"/>
      <c r="AA16" s="246"/>
      <c r="AB16" s="246"/>
      <c r="AC16" s="241"/>
      <c r="AD16" s="247"/>
      <c r="AE16" s="94"/>
      <c r="AF16" s="239" t="s">
        <v>107</v>
      </c>
      <c r="AG16" s="243">
        <v>3.4000000000000002E-4</v>
      </c>
      <c r="AH16" s="244" t="b">
        <v>1</v>
      </c>
      <c r="AI16" s="223"/>
    </row>
    <row r="17" spans="2:35" x14ac:dyDescent="0.25">
      <c r="B17" s="89"/>
      <c r="C17" s="117" t="s">
        <v>104</v>
      </c>
      <c r="D17" s="146"/>
      <c r="E17" s="94"/>
      <c r="F17" s="94"/>
      <c r="G17" s="94"/>
      <c r="H17" s="94"/>
      <c r="I17" s="94"/>
      <c r="J17" s="94"/>
      <c r="K17" s="94"/>
      <c r="L17" s="95"/>
      <c r="N17" s="89"/>
      <c r="O17" s="228" t="s">
        <v>109</v>
      </c>
      <c r="P17" s="130" t="s">
        <v>191</v>
      </c>
      <c r="Q17" s="95"/>
      <c r="S17" s="221"/>
      <c r="T17" s="94"/>
      <c r="U17" s="94"/>
      <c r="V17" s="94" t="s">
        <v>78</v>
      </c>
      <c r="W17" s="94"/>
      <c r="X17" s="94"/>
      <c r="Y17" s="94"/>
      <c r="Z17" s="239"/>
      <c r="AA17" s="246"/>
      <c r="AB17" s="246"/>
      <c r="AC17" s="241"/>
      <c r="AD17" s="247"/>
      <c r="AE17" s="94"/>
      <c r="AF17" s="239" t="s">
        <v>108</v>
      </c>
      <c r="AG17" s="243">
        <v>9.2000000000000003E-4</v>
      </c>
      <c r="AH17" s="244" t="b">
        <v>1</v>
      </c>
      <c r="AI17" s="223"/>
    </row>
    <row r="18" spans="2:35" x14ac:dyDescent="0.25">
      <c r="B18" s="89"/>
      <c r="C18" s="125" t="s">
        <v>19</v>
      </c>
      <c r="D18" s="148">
        <f>Settings.COB</f>
        <v>43937</v>
      </c>
      <c r="E18" s="94"/>
      <c r="F18" s="94"/>
      <c r="G18" s="94"/>
      <c r="H18" s="94"/>
      <c r="I18" s="94"/>
      <c r="J18" s="94"/>
      <c r="K18" s="94"/>
      <c r="L18" s="95"/>
      <c r="N18" s="89"/>
      <c r="O18" s="228" t="s">
        <v>112</v>
      </c>
      <c r="P18" s="130" t="s">
        <v>191</v>
      </c>
      <c r="Q18" s="95"/>
      <c r="S18" s="221"/>
      <c r="T18" s="94"/>
      <c r="U18" s="94"/>
      <c r="V18" s="94"/>
      <c r="W18" s="94"/>
      <c r="X18" s="94"/>
      <c r="Y18" s="94"/>
      <c r="Z18" s="239"/>
      <c r="AA18" s="246"/>
      <c r="AB18" s="246"/>
      <c r="AC18" s="241"/>
      <c r="AD18" s="247"/>
      <c r="AE18" s="94"/>
      <c r="AF18" s="239" t="s">
        <v>111</v>
      </c>
      <c r="AG18" s="243">
        <v>6.9000000000000008E-4</v>
      </c>
      <c r="AH18" s="244" t="b">
        <v>1</v>
      </c>
      <c r="AI18" s="223"/>
    </row>
    <row r="19" spans="2:35" x14ac:dyDescent="0.25">
      <c r="B19" s="89"/>
      <c r="C19" s="129" t="s">
        <v>2</v>
      </c>
      <c r="D19" s="130" t="s">
        <v>239</v>
      </c>
      <c r="E19" s="94"/>
      <c r="F19" s="94"/>
      <c r="G19" s="94"/>
      <c r="H19" s="94"/>
      <c r="I19" s="94"/>
      <c r="J19" s="94"/>
      <c r="K19" s="94"/>
      <c r="L19" s="95"/>
      <c r="N19" s="89"/>
      <c r="O19" s="228" t="s">
        <v>193</v>
      </c>
      <c r="P19" s="130" t="s">
        <v>261</v>
      </c>
      <c r="Q19" s="95"/>
      <c r="S19" s="221"/>
      <c r="T19" s="94"/>
      <c r="U19" s="94"/>
      <c r="V19" s="94" t="s">
        <v>78</v>
      </c>
      <c r="W19" s="94"/>
      <c r="X19" s="94"/>
      <c r="Y19" s="94"/>
      <c r="Z19" s="239"/>
      <c r="AA19" s="246"/>
      <c r="AB19" s="246"/>
      <c r="AC19" s="241"/>
      <c r="AD19" s="247"/>
      <c r="AE19" s="94"/>
      <c r="AF19" s="239" t="s">
        <v>113</v>
      </c>
      <c r="AG19" s="243">
        <v>1.6000000000000001E-4</v>
      </c>
      <c r="AH19" s="244" t="b">
        <v>1</v>
      </c>
      <c r="AI19" s="223"/>
    </row>
    <row r="20" spans="2:35" x14ac:dyDescent="0.25">
      <c r="B20" s="89"/>
      <c r="C20" s="139" t="s">
        <v>109</v>
      </c>
      <c r="D20" s="130" t="s">
        <v>262</v>
      </c>
      <c r="E20" s="94"/>
      <c r="F20" s="94"/>
      <c r="G20" s="94"/>
      <c r="H20" s="94"/>
      <c r="I20" s="94"/>
      <c r="J20" s="94"/>
      <c r="K20" s="94"/>
      <c r="L20" s="95"/>
      <c r="N20" s="89"/>
      <c r="O20" s="120" t="s">
        <v>194</v>
      </c>
      <c r="P20" s="130" t="s">
        <v>263</v>
      </c>
      <c r="Q20" s="95"/>
      <c r="S20" s="221"/>
      <c r="T20" s="151" t="s">
        <v>116</v>
      </c>
      <c r="U20" s="252"/>
      <c r="V20" s="94" t="s">
        <v>78</v>
      </c>
      <c r="W20" s="94"/>
      <c r="X20" s="94"/>
      <c r="Y20" s="94"/>
      <c r="Z20" s="239"/>
      <c r="AA20" s="246"/>
      <c r="AB20" s="246"/>
      <c r="AC20" s="241"/>
      <c r="AD20" s="247"/>
      <c r="AE20" s="94"/>
      <c r="AF20" s="239" t="s">
        <v>114</v>
      </c>
      <c r="AG20" s="243">
        <v>-6.3000000000000003E-4</v>
      </c>
      <c r="AH20" s="244" t="b">
        <v>1</v>
      </c>
      <c r="AI20" s="223"/>
    </row>
    <row r="21" spans="2:35" x14ac:dyDescent="0.25">
      <c r="B21" s="89"/>
      <c r="C21" s="139" t="s">
        <v>112</v>
      </c>
      <c r="D21" s="130" t="s">
        <v>262</v>
      </c>
      <c r="E21" s="94"/>
      <c r="F21" s="94"/>
      <c r="G21" s="94"/>
      <c r="H21" s="94"/>
      <c r="I21" s="94"/>
      <c r="J21" s="94"/>
      <c r="K21" s="94"/>
      <c r="L21" s="95"/>
      <c r="N21" s="89"/>
      <c r="O21" s="120" t="s">
        <v>192</v>
      </c>
      <c r="P21" s="130" t="s">
        <v>191</v>
      </c>
      <c r="Q21" s="95"/>
      <c r="S21" s="221"/>
      <c r="T21" s="152" t="s">
        <v>101</v>
      </c>
      <c r="U21" s="153" t="s">
        <v>264</v>
      </c>
      <c r="V21" s="94" t="s">
        <v>78</v>
      </c>
      <c r="W21" s="94"/>
      <c r="X21" s="94"/>
      <c r="Y21" s="94"/>
      <c r="Z21" s="239"/>
      <c r="AA21" s="246"/>
      <c r="AB21" s="246"/>
      <c r="AC21" s="241"/>
      <c r="AD21" s="247"/>
      <c r="AE21" s="94"/>
      <c r="AF21" s="239" t="s">
        <v>117</v>
      </c>
      <c r="AG21" s="243">
        <v>-1.32E-3</v>
      </c>
      <c r="AH21" s="244" t="b">
        <v>1</v>
      </c>
      <c r="AI21" s="223"/>
    </row>
    <row r="22" spans="2:35" x14ac:dyDescent="0.25">
      <c r="B22" s="89"/>
      <c r="C22" s="139" t="s">
        <v>192</v>
      </c>
      <c r="D22" s="130" t="s">
        <v>262</v>
      </c>
      <c r="E22" s="94"/>
      <c r="F22" s="94"/>
      <c r="G22" s="94"/>
      <c r="H22" s="94"/>
      <c r="I22" s="94"/>
      <c r="J22" s="94"/>
      <c r="K22" s="94"/>
      <c r="L22" s="95"/>
      <c r="N22" s="89"/>
      <c r="O22" s="120" t="s">
        <v>198</v>
      </c>
      <c r="P22" s="130" t="s">
        <v>80</v>
      </c>
      <c r="Q22" s="95"/>
      <c r="S22" s="221"/>
      <c r="T22" s="155" t="s">
        <v>119</v>
      </c>
      <c r="U22" s="8" t="s">
        <v>265</v>
      </c>
      <c r="V22" s="94" t="s">
        <v>78</v>
      </c>
      <c r="W22" s="94"/>
      <c r="X22" s="94"/>
      <c r="Y22" s="94"/>
      <c r="Z22" s="239"/>
      <c r="AA22" s="246"/>
      <c r="AB22" s="246"/>
      <c r="AC22" s="241"/>
      <c r="AD22" s="247"/>
      <c r="AE22" s="94"/>
      <c r="AF22" s="404" t="s">
        <v>251</v>
      </c>
      <c r="AG22" s="405">
        <v>-1.32E-3</v>
      </c>
      <c r="AH22" s="244" t="b">
        <v>1</v>
      </c>
      <c r="AI22" s="406" t="s">
        <v>115</v>
      </c>
    </row>
    <row r="23" spans="2:35" x14ac:dyDescent="0.25">
      <c r="B23" s="89"/>
      <c r="C23" s="139" t="s">
        <v>193</v>
      </c>
      <c r="D23" s="130" t="b">
        <v>0</v>
      </c>
      <c r="E23" s="94"/>
      <c r="F23" s="94"/>
      <c r="G23" s="94"/>
      <c r="H23" s="94"/>
      <c r="I23" s="94"/>
      <c r="J23" s="94"/>
      <c r="K23" s="94"/>
      <c r="L23" s="95"/>
      <c r="N23" s="89"/>
      <c r="O23" s="120" t="s">
        <v>161</v>
      </c>
      <c r="P23" s="130" t="s">
        <v>196</v>
      </c>
      <c r="Q23" s="95"/>
      <c r="S23" s="221"/>
      <c r="T23" s="155" t="s">
        <v>123</v>
      </c>
      <c r="U23" s="156" t="s">
        <v>55</v>
      </c>
      <c r="V23" s="94" t="s">
        <v>78</v>
      </c>
      <c r="W23" s="94"/>
      <c r="X23" s="94"/>
      <c r="Y23" s="94"/>
      <c r="Z23" s="239"/>
      <c r="AA23" s="246"/>
      <c r="AB23" s="246"/>
      <c r="AC23" s="241"/>
      <c r="AD23" s="247"/>
      <c r="AE23" s="94"/>
      <c r="AF23" s="239"/>
      <c r="AG23" s="243"/>
      <c r="AH23" s="244"/>
      <c r="AI23" s="223"/>
    </row>
    <row r="24" spans="2:35" x14ac:dyDescent="0.25">
      <c r="B24" s="89"/>
      <c r="C24" s="139" t="s">
        <v>194</v>
      </c>
      <c r="D24" s="130" t="b">
        <v>1</v>
      </c>
      <c r="E24" s="94"/>
      <c r="F24" s="94"/>
      <c r="G24" s="94"/>
      <c r="H24" s="94"/>
      <c r="I24" s="94"/>
      <c r="J24" s="94"/>
      <c r="K24" s="94"/>
      <c r="L24" s="95"/>
      <c r="N24" s="89"/>
      <c r="O24" s="120" t="s">
        <v>199</v>
      </c>
      <c r="P24" s="130" t="b">
        <v>1</v>
      </c>
      <c r="Q24" s="95"/>
      <c r="S24" s="221"/>
      <c r="T24" s="159" t="s">
        <v>126</v>
      </c>
      <c r="U24" s="160"/>
      <c r="V24" s="94" t="s">
        <v>78</v>
      </c>
      <c r="W24" s="94"/>
      <c r="X24" s="94"/>
      <c r="Y24" s="94"/>
      <c r="Z24" s="239"/>
      <c r="AA24" s="246"/>
      <c r="AB24" s="246"/>
      <c r="AC24" s="241"/>
      <c r="AD24" s="247"/>
      <c r="AE24" s="94"/>
      <c r="AF24" s="239"/>
      <c r="AG24" s="243"/>
      <c r="AH24" s="244"/>
      <c r="AI24" s="223"/>
    </row>
    <row r="25" spans="2:35" x14ac:dyDescent="0.25">
      <c r="B25" s="89"/>
      <c r="C25" s="139" t="s">
        <v>161</v>
      </c>
      <c r="D25" s="130" t="s">
        <v>196</v>
      </c>
      <c r="E25" s="94"/>
      <c r="F25" s="94"/>
      <c r="G25" s="94"/>
      <c r="H25" s="94"/>
      <c r="I25" s="94"/>
      <c r="J25" s="94"/>
      <c r="K25" s="94"/>
      <c r="L25" s="95"/>
      <c r="N25" s="89"/>
      <c r="O25" s="120" t="s">
        <v>200</v>
      </c>
      <c r="P25" s="130" t="b">
        <v>1</v>
      </c>
      <c r="Q25" s="95"/>
      <c r="S25" s="221"/>
      <c r="T25" s="94"/>
      <c r="U25" s="94"/>
      <c r="V25" s="94" t="s">
        <v>78</v>
      </c>
      <c r="W25" s="94"/>
      <c r="X25" s="94"/>
      <c r="Y25" s="94"/>
      <c r="Z25" s="239"/>
      <c r="AA25" s="246"/>
      <c r="AB25" s="246"/>
      <c r="AC25" s="241"/>
      <c r="AD25" s="247"/>
      <c r="AE25" s="94"/>
      <c r="AF25" s="239"/>
      <c r="AG25" s="243"/>
      <c r="AH25" s="244"/>
      <c r="AI25" s="223"/>
    </row>
    <row r="26" spans="2:35" x14ac:dyDescent="0.25">
      <c r="B26" s="89"/>
      <c r="C26" s="139" t="s">
        <v>198</v>
      </c>
      <c r="D26" s="130" t="s">
        <v>80</v>
      </c>
      <c r="E26" s="94"/>
      <c r="F26" s="94"/>
      <c r="G26" s="94"/>
      <c r="H26" s="94"/>
      <c r="I26" s="94"/>
      <c r="J26" s="94"/>
      <c r="K26" s="94"/>
      <c r="L26" s="95"/>
      <c r="N26" s="89"/>
      <c r="O26" s="131"/>
      <c r="P26" s="150"/>
      <c r="Q26" s="95"/>
      <c r="S26" s="221"/>
      <c r="T26" s="94"/>
      <c r="U26" s="94"/>
      <c r="V26" s="94" t="s">
        <v>78</v>
      </c>
      <c r="W26" s="94"/>
      <c r="X26" s="94"/>
      <c r="Y26" s="94"/>
      <c r="Z26" s="239"/>
      <c r="AA26" s="246"/>
      <c r="AB26" s="246"/>
      <c r="AC26" s="241"/>
      <c r="AD26" s="247"/>
      <c r="AE26" s="94"/>
      <c r="AF26" s="239"/>
      <c r="AG26" s="243"/>
      <c r="AH26" s="244"/>
      <c r="AI26" s="223"/>
    </row>
    <row r="27" spans="2:35" x14ac:dyDescent="0.25">
      <c r="B27" s="89"/>
      <c r="C27" s="149" t="s">
        <v>200</v>
      </c>
      <c r="D27" s="150" t="b">
        <v>1</v>
      </c>
      <c r="E27" s="94"/>
      <c r="F27" s="94"/>
      <c r="G27" s="94"/>
      <c r="H27" s="94"/>
      <c r="I27" s="94"/>
      <c r="J27" s="94"/>
      <c r="K27" s="94"/>
      <c r="L27" s="95"/>
      <c r="N27" s="89"/>
      <c r="O27" s="94"/>
      <c r="P27" s="94"/>
      <c r="Q27" s="95"/>
      <c r="S27" s="221"/>
      <c r="T27" s="151" t="s">
        <v>138</v>
      </c>
      <c r="U27" s="94"/>
      <c r="V27" s="94" t="s">
        <v>78</v>
      </c>
      <c r="W27" s="94"/>
      <c r="X27" s="94"/>
      <c r="Y27" s="94"/>
      <c r="Z27" s="239"/>
      <c r="AA27" s="246"/>
      <c r="AB27" s="246"/>
      <c r="AC27" s="241"/>
      <c r="AD27" s="247"/>
      <c r="AE27" s="94"/>
      <c r="AF27" s="239"/>
      <c r="AG27" s="243"/>
      <c r="AH27" s="244"/>
      <c r="AI27" s="223"/>
    </row>
    <row r="28" spans="2:35" x14ac:dyDescent="0.25">
      <c r="B28" s="135"/>
      <c r="C28" s="136"/>
      <c r="D28" s="136"/>
      <c r="E28" s="136"/>
      <c r="F28" s="136"/>
      <c r="G28" s="136"/>
      <c r="H28" s="136"/>
      <c r="I28" s="136"/>
      <c r="J28" s="136"/>
      <c r="K28" s="136"/>
      <c r="L28" s="137"/>
      <c r="N28" s="89"/>
      <c r="O28" s="99" t="s">
        <v>201</v>
      </c>
      <c r="P28" s="100"/>
      <c r="Q28" s="95"/>
      <c r="S28" s="221"/>
      <c r="T28" s="7" t="s">
        <v>101</v>
      </c>
      <c r="U28" s="165" t="str">
        <f t="array" aca="1" ref="U28:U31" ca="1">IF(isEUROISLoaded,_xll.meLWOCurveCalibrate(U21,U22,U14,U23,U24),"LOAD EUROIS")</f>
        <v>EUR_SWAP_3M_CURVE@9:1</v>
      </c>
      <c r="V28" s="94" t="s">
        <v>78</v>
      </c>
      <c r="W28" s="94"/>
      <c r="X28" s="94"/>
      <c r="Y28" s="94"/>
      <c r="Z28" s="239"/>
      <c r="AA28" s="246"/>
      <c r="AB28" s="246"/>
      <c r="AC28" s="241"/>
      <c r="AD28" s="247"/>
      <c r="AE28" s="94"/>
      <c r="AF28" s="239"/>
      <c r="AG28" s="243"/>
      <c r="AH28" s="244"/>
      <c r="AI28" s="223"/>
    </row>
    <row r="29" spans="2:35" x14ac:dyDescent="0.25">
      <c r="N29" s="89"/>
      <c r="O29" s="125" t="s">
        <v>10</v>
      </c>
      <c r="P29" s="164" t="s">
        <v>249</v>
      </c>
      <c r="Q29" s="95"/>
      <c r="S29" s="221"/>
      <c r="T29" s="8" t="s">
        <v>141</v>
      </c>
      <c r="U29" s="166" t="str">
        <f ca="1"/>
        <v>EURYC</v>
      </c>
      <c r="V29" s="94" t="s">
        <v>78</v>
      </c>
      <c r="W29" s="94"/>
      <c r="X29" s="94"/>
      <c r="Y29" s="94"/>
      <c r="Z29" s="239"/>
      <c r="AA29" s="246"/>
      <c r="AB29" s="246"/>
      <c r="AC29" s="241"/>
      <c r="AD29" s="247"/>
      <c r="AE29" s="94"/>
      <c r="AF29" s="239"/>
      <c r="AG29" s="243"/>
      <c r="AH29" s="244"/>
      <c r="AI29" s="223"/>
    </row>
    <row r="30" spans="2:35" x14ac:dyDescent="0.25">
      <c r="N30" s="89"/>
      <c r="O30" s="129" t="s">
        <v>225</v>
      </c>
      <c r="P30" s="168" t="s">
        <v>125</v>
      </c>
      <c r="Q30" s="95"/>
      <c r="S30" s="221"/>
      <c r="T30" s="8" t="s">
        <v>142</v>
      </c>
      <c r="U30" s="166" t="str">
        <f ca="1"/>
        <v>STD:EUR3ML</v>
      </c>
      <c r="V30" s="94" t="s">
        <v>78</v>
      </c>
      <c r="W30" s="94"/>
      <c r="X30" s="94"/>
      <c r="Y30" s="94"/>
      <c r="Z30" s="239"/>
      <c r="AA30" s="246"/>
      <c r="AB30" s="246"/>
      <c r="AC30" s="241"/>
      <c r="AD30" s="247"/>
      <c r="AE30" s="94"/>
      <c r="AF30" s="239"/>
      <c r="AG30" s="243"/>
      <c r="AH30" s="244"/>
      <c r="AI30" s="223"/>
    </row>
    <row r="31" spans="2:35" x14ac:dyDescent="0.25">
      <c r="B31" s="143" t="s">
        <v>203</v>
      </c>
      <c r="N31" s="89"/>
      <c r="O31" s="129" t="s">
        <v>266</v>
      </c>
      <c r="P31" s="168" t="s">
        <v>204</v>
      </c>
      <c r="Q31" s="95"/>
      <c r="S31" s="221"/>
      <c r="T31" s="9" t="s">
        <v>145</v>
      </c>
      <c r="U31" s="167" t="str">
        <f ca="1"/>
        <v>0.00900 sec</v>
      </c>
      <c r="V31" s="94" t="s">
        <v>78</v>
      </c>
      <c r="W31" s="94"/>
      <c r="X31" s="94"/>
      <c r="Y31" s="94"/>
      <c r="Z31" s="254"/>
      <c r="AA31" s="255"/>
      <c r="AB31" s="255"/>
      <c r="AC31" s="256"/>
      <c r="AD31" s="257"/>
      <c r="AE31" s="94"/>
      <c r="AF31" s="254"/>
      <c r="AG31" s="258"/>
      <c r="AH31" s="317"/>
      <c r="AI31" s="223"/>
    </row>
    <row r="32" spans="2:35" x14ac:dyDescent="0.25">
      <c r="B32" s="84"/>
      <c r="C32" s="87"/>
      <c r="D32" s="87"/>
      <c r="E32" s="87"/>
      <c r="F32" s="87"/>
      <c r="G32" s="87"/>
      <c r="H32" s="87"/>
      <c r="I32" s="87"/>
      <c r="J32" s="87"/>
      <c r="K32" s="87"/>
      <c r="L32" s="88"/>
      <c r="N32" s="89"/>
      <c r="O32" s="129"/>
      <c r="P32" s="168"/>
      <c r="Q32" s="95"/>
      <c r="S32" s="221"/>
      <c r="T32" s="183" t="s">
        <v>148</v>
      </c>
      <c r="U32" s="184" t="b">
        <f ca="1">_xll.meLWOExists(U28,"CURVE")</f>
        <v>1</v>
      </c>
      <c r="V32" s="94"/>
      <c r="W32" s="94"/>
      <c r="X32" s="94"/>
      <c r="Y32" s="94"/>
      <c r="Z32" s="94"/>
      <c r="AA32" s="94"/>
      <c r="AB32" s="94"/>
      <c r="AC32" s="94"/>
      <c r="AD32" s="94"/>
      <c r="AE32" s="94"/>
      <c r="AF32" s="94"/>
      <c r="AG32" s="94"/>
      <c r="AH32" s="94"/>
      <c r="AI32" s="223"/>
    </row>
    <row r="33" spans="2:35" x14ac:dyDescent="0.25">
      <c r="B33" s="89"/>
      <c r="C33" s="96" t="s">
        <v>205</v>
      </c>
      <c r="D33" s="162"/>
      <c r="E33" s="162"/>
      <c r="F33" s="96" t="s">
        <v>206</v>
      </c>
      <c r="G33" s="162"/>
      <c r="H33" s="162"/>
      <c r="I33" s="96" t="s">
        <v>207</v>
      </c>
      <c r="J33" s="162"/>
      <c r="K33" s="162"/>
      <c r="L33" s="163"/>
      <c r="N33" s="89"/>
      <c r="O33" s="129"/>
      <c r="P33" s="189"/>
      <c r="Q33" s="95"/>
      <c r="S33" s="221"/>
      <c r="T33" s="94"/>
      <c r="U33" s="94"/>
      <c r="V33" s="94"/>
      <c r="W33" s="94"/>
      <c r="X33" s="94"/>
      <c r="Y33" s="94"/>
      <c r="Z33" s="94"/>
      <c r="AA33" s="94"/>
      <c r="AB33" s="94"/>
      <c r="AC33" s="94"/>
      <c r="AD33" s="94"/>
      <c r="AE33" s="94"/>
      <c r="AF33" s="94"/>
      <c r="AG33" s="94"/>
      <c r="AH33" s="94"/>
      <c r="AI33" s="223"/>
    </row>
    <row r="34" spans="2:35" x14ac:dyDescent="0.25">
      <c r="B34" s="89"/>
      <c r="C34" s="125" t="s">
        <v>10</v>
      </c>
      <c r="D34" s="164" t="s">
        <v>249</v>
      </c>
      <c r="E34" s="94"/>
      <c r="F34" s="125" t="s">
        <v>10</v>
      </c>
      <c r="G34" s="164" t="s">
        <v>249</v>
      </c>
      <c r="H34" s="162"/>
      <c r="I34" s="227" t="s">
        <v>24</v>
      </c>
      <c r="J34" s="227" t="s">
        <v>84</v>
      </c>
      <c r="K34" s="227"/>
      <c r="L34" s="163"/>
      <c r="N34" s="89"/>
      <c r="O34" s="159"/>
      <c r="P34" s="198"/>
      <c r="Q34" s="95"/>
      <c r="S34" s="221"/>
      <c r="T34" s="94"/>
      <c r="U34" s="94"/>
      <c r="V34" s="94"/>
      <c r="W34" s="94"/>
      <c r="X34" s="94"/>
      <c r="Y34" s="94"/>
      <c r="Z34" s="94"/>
      <c r="AA34" s="94"/>
      <c r="AB34" s="94"/>
      <c r="AC34" s="94"/>
      <c r="AD34" s="94"/>
      <c r="AE34" s="94"/>
      <c r="AF34" s="94"/>
      <c r="AG34" s="94"/>
      <c r="AH34" s="94"/>
      <c r="AI34" s="223"/>
    </row>
    <row r="35" spans="2:35" x14ac:dyDescent="0.25">
      <c r="B35" s="89"/>
      <c r="C35" s="129" t="s">
        <v>225</v>
      </c>
      <c r="D35" s="168" t="s">
        <v>125</v>
      </c>
      <c r="E35" s="169"/>
      <c r="F35" s="185" t="s">
        <v>160</v>
      </c>
      <c r="G35" s="260" t="s">
        <v>125</v>
      </c>
      <c r="H35" s="162"/>
      <c r="I35" s="112" t="str">
        <f>'[1]MKT DATA EUR'!P7</f>
        <v>1M</v>
      </c>
      <c r="J35" s="116">
        <f>'[1]MKT DATA EUR'!R7</f>
        <v>-3.5956999999999999E-3</v>
      </c>
      <c r="K35" s="227"/>
      <c r="L35" s="163"/>
      <c r="N35" s="89"/>
      <c r="O35" s="94"/>
      <c r="P35" s="94"/>
      <c r="Q35" s="95"/>
      <c r="S35" s="221"/>
      <c r="T35" s="94"/>
      <c r="U35" s="94"/>
      <c r="V35" s="94"/>
      <c r="W35" s="94"/>
      <c r="X35" s="94"/>
      <c r="Y35" s="94"/>
      <c r="Z35" s="94"/>
      <c r="AA35" s="94"/>
      <c r="AB35" s="94"/>
      <c r="AC35" s="94"/>
      <c r="AD35" s="94"/>
      <c r="AE35" s="94"/>
      <c r="AF35" s="94"/>
      <c r="AG35" s="94"/>
      <c r="AH35" s="94"/>
      <c r="AI35" s="223"/>
    </row>
    <row r="36" spans="2:35" x14ac:dyDescent="0.25">
      <c r="B36" s="89"/>
      <c r="C36" s="129" t="s">
        <v>266</v>
      </c>
      <c r="D36" s="168" t="s">
        <v>204</v>
      </c>
      <c r="E36" s="169"/>
      <c r="F36" s="139" t="s">
        <v>161</v>
      </c>
      <c r="G36" s="168" t="s">
        <v>267</v>
      </c>
      <c r="H36" s="162"/>
      <c r="I36" s="122" t="str">
        <f>'[1]MKT DATA EUR'!P8</f>
        <v>3M</v>
      </c>
      <c r="J36" s="124">
        <f>'[1]MKT DATA EUR'!R8</f>
        <v>-1.9256999999999998E-3</v>
      </c>
      <c r="K36" s="227"/>
      <c r="L36" s="163"/>
      <c r="N36" s="89"/>
      <c r="O36" s="99" t="s">
        <v>173</v>
      </c>
      <c r="P36" s="100"/>
      <c r="Q36" s="95"/>
      <c r="S36" s="221"/>
      <c r="T36" s="94"/>
      <c r="U36" s="94"/>
      <c r="V36" s="94" t="s">
        <v>78</v>
      </c>
      <c r="W36" s="94"/>
      <c r="X36" s="94"/>
      <c r="Y36" s="94"/>
      <c r="Z36" s="94"/>
      <c r="AA36" s="94"/>
      <c r="AB36" s="94"/>
      <c r="AC36" s="94"/>
      <c r="AD36" s="94"/>
      <c r="AE36" s="94"/>
      <c r="AF36" s="94"/>
      <c r="AG36" s="94"/>
      <c r="AH36" s="94"/>
      <c r="AI36" s="223"/>
    </row>
    <row r="37" spans="2:35" x14ac:dyDescent="0.25">
      <c r="B37" s="89"/>
      <c r="C37" s="129"/>
      <c r="D37" s="168"/>
      <c r="E37" s="169"/>
      <c r="F37" s="139" t="s">
        <v>233</v>
      </c>
      <c r="G37" s="260">
        <v>2</v>
      </c>
      <c r="H37" s="162"/>
      <c r="I37" s="122" t="str">
        <f>'[1]MKT DATA EUR'!P9</f>
        <v>6M</v>
      </c>
      <c r="J37" s="124">
        <f>'[1]MKT DATA EUR'!R9</f>
        <v>-1.1942999999999999E-3</v>
      </c>
      <c r="K37" s="227"/>
      <c r="L37" s="163"/>
      <c r="N37" s="89"/>
      <c r="O37" s="125" t="s">
        <v>10</v>
      </c>
      <c r="P37" s="164" t="s">
        <v>249</v>
      </c>
      <c r="Q37" s="95"/>
      <c r="S37" s="221"/>
      <c r="T37" s="94"/>
      <c r="U37" s="94"/>
      <c r="V37" s="94" t="s">
        <v>78</v>
      </c>
      <c r="W37" s="94"/>
      <c r="X37" s="94"/>
      <c r="Y37" s="94"/>
      <c r="Z37" s="94"/>
      <c r="AA37" s="94"/>
      <c r="AB37" s="94"/>
      <c r="AC37" s="94"/>
      <c r="AD37" s="94"/>
      <c r="AE37" s="94"/>
      <c r="AF37" s="94"/>
      <c r="AG37" s="94"/>
      <c r="AH37" s="94"/>
      <c r="AI37" s="223"/>
    </row>
    <row r="38" spans="2:35" x14ac:dyDescent="0.25">
      <c r="B38" s="89"/>
      <c r="C38" s="129"/>
      <c r="D38" s="168"/>
      <c r="E38" s="169"/>
      <c r="F38" s="139" t="s">
        <v>14</v>
      </c>
      <c r="G38" s="260" t="s">
        <v>15</v>
      </c>
      <c r="H38" s="162"/>
      <c r="I38" s="122" t="str">
        <f>'[1]MKT DATA EUR'!P10</f>
        <v>12M</v>
      </c>
      <c r="J38" s="124">
        <f>'[1]MKT DATA EUR'!R10</f>
        <v>-1.4860000000000001E-4</v>
      </c>
      <c r="K38" s="227"/>
      <c r="L38" s="163"/>
      <c r="N38" s="89"/>
      <c r="O38" s="185" t="s">
        <v>160</v>
      </c>
      <c r="P38" s="260" t="s">
        <v>125</v>
      </c>
      <c r="Q38" s="95"/>
      <c r="S38" s="221"/>
      <c r="T38" s="94"/>
      <c r="U38" s="94"/>
      <c r="V38" s="94" t="s">
        <v>78</v>
      </c>
      <c r="W38" s="94"/>
      <c r="X38" s="94"/>
      <c r="Y38" s="94"/>
      <c r="Z38" s="94"/>
      <c r="AA38" s="94"/>
      <c r="AB38" s="94"/>
      <c r="AC38" s="94"/>
      <c r="AD38" s="94"/>
      <c r="AE38" s="94"/>
      <c r="AF38" s="94"/>
      <c r="AG38" s="94"/>
      <c r="AH38" s="94"/>
      <c r="AI38" s="223"/>
    </row>
    <row r="39" spans="2:35" x14ac:dyDescent="0.25">
      <c r="B39" s="89"/>
      <c r="C39" s="149"/>
      <c r="D39" s="314"/>
      <c r="E39" s="169"/>
      <c r="F39" s="149"/>
      <c r="G39" s="318"/>
      <c r="H39" s="162"/>
      <c r="I39" s="250"/>
      <c r="J39" s="297"/>
      <c r="K39" s="227"/>
      <c r="L39" s="163"/>
      <c r="N39" s="89"/>
      <c r="O39" s="139" t="s">
        <v>161</v>
      </c>
      <c r="P39" s="168" t="s">
        <v>267</v>
      </c>
      <c r="Q39" s="95"/>
      <c r="S39" s="221"/>
      <c r="T39" s="94"/>
      <c r="U39" s="94"/>
      <c r="V39" s="94" t="s">
        <v>78</v>
      </c>
      <c r="W39" s="94"/>
      <c r="X39" s="94"/>
      <c r="Y39" s="94"/>
      <c r="Z39" s="94"/>
      <c r="AA39" s="94"/>
      <c r="AB39" s="94"/>
      <c r="AC39" s="94"/>
      <c r="AD39" s="94"/>
      <c r="AE39" s="94"/>
      <c r="AF39" s="94"/>
      <c r="AG39" s="94"/>
      <c r="AH39" s="94"/>
      <c r="AI39" s="223"/>
    </row>
    <row r="40" spans="2:35" x14ac:dyDescent="0.25">
      <c r="B40" s="89"/>
      <c r="C40" s="169"/>
      <c r="D40" s="169"/>
      <c r="E40" s="169"/>
      <c r="F40" s="162"/>
      <c r="G40" s="162"/>
      <c r="H40" s="162"/>
      <c r="I40" s="162" t="s">
        <v>210</v>
      </c>
      <c r="J40" s="162"/>
      <c r="K40" s="162"/>
      <c r="L40" s="163"/>
      <c r="N40" s="89"/>
      <c r="O40" s="139" t="s">
        <v>233</v>
      </c>
      <c r="P40" s="260">
        <v>2</v>
      </c>
      <c r="Q40" s="95"/>
      <c r="S40" s="221"/>
      <c r="T40" s="94"/>
      <c r="U40" s="94"/>
      <c r="V40" s="94"/>
      <c r="W40" s="94"/>
      <c r="X40" s="94"/>
      <c r="Y40" s="94"/>
      <c r="Z40" s="94"/>
      <c r="AA40" s="94"/>
      <c r="AB40" s="94"/>
      <c r="AC40" s="94"/>
      <c r="AD40" s="94"/>
      <c r="AE40" s="94"/>
      <c r="AF40" s="94"/>
      <c r="AG40" s="94"/>
      <c r="AH40" s="94"/>
      <c r="AI40" s="223"/>
    </row>
    <row r="41" spans="2:35" x14ac:dyDescent="0.25">
      <c r="B41" s="135"/>
      <c r="C41" s="136"/>
      <c r="D41" s="136"/>
      <c r="E41" s="136"/>
      <c r="F41" s="136"/>
      <c r="G41" s="136"/>
      <c r="H41" s="136"/>
      <c r="I41" s="136"/>
      <c r="J41" s="136"/>
      <c r="K41" s="136"/>
      <c r="L41" s="137"/>
      <c r="N41" s="89"/>
      <c r="O41" s="139" t="s">
        <v>14</v>
      </c>
      <c r="P41" s="168" t="s">
        <v>15</v>
      </c>
      <c r="Q41" s="95"/>
      <c r="S41" s="221"/>
      <c r="T41" s="94"/>
      <c r="U41" s="94"/>
      <c r="V41" s="94"/>
      <c r="W41" s="94"/>
      <c r="X41" s="94"/>
      <c r="Y41" s="94"/>
      <c r="Z41" s="94"/>
      <c r="AA41" s="94"/>
      <c r="AB41" s="94"/>
      <c r="AC41" s="94"/>
      <c r="AD41" s="94"/>
      <c r="AE41" s="94"/>
      <c r="AF41" s="94"/>
      <c r="AG41" s="94"/>
      <c r="AH41" s="94"/>
      <c r="AI41" s="223"/>
    </row>
    <row r="42" spans="2:35" x14ac:dyDescent="0.25">
      <c r="N42" s="89"/>
      <c r="O42" s="149"/>
      <c r="P42" s="261"/>
      <c r="Q42" s="95"/>
      <c r="S42" s="221"/>
      <c r="T42" s="94"/>
      <c r="U42" s="94"/>
      <c r="V42" s="94"/>
      <c r="W42" s="94"/>
      <c r="X42" s="94"/>
      <c r="Y42" s="94"/>
      <c r="Z42" s="94"/>
      <c r="AA42" s="94"/>
      <c r="AB42" s="94"/>
      <c r="AC42" s="94"/>
      <c r="AD42" s="94"/>
      <c r="AE42" s="94"/>
      <c r="AF42" s="94"/>
      <c r="AG42" s="94"/>
      <c r="AH42" s="94"/>
      <c r="AI42" s="223"/>
    </row>
    <row r="43" spans="2:35" x14ac:dyDescent="0.25">
      <c r="N43" s="89"/>
      <c r="O43" s="94"/>
      <c r="P43" s="94"/>
      <c r="Q43" s="95"/>
      <c r="S43" s="221"/>
      <c r="T43" s="94"/>
      <c r="U43" s="94"/>
      <c r="V43" s="94"/>
      <c r="W43" s="94"/>
      <c r="X43" s="94"/>
      <c r="Y43" s="94"/>
      <c r="Z43" s="94"/>
      <c r="AA43" s="94"/>
      <c r="AB43" s="94"/>
      <c r="AC43" s="94"/>
      <c r="AD43" s="94"/>
      <c r="AE43" s="94"/>
      <c r="AF43" s="94"/>
      <c r="AG43" s="94"/>
      <c r="AH43" s="94"/>
      <c r="AI43" s="223"/>
    </row>
    <row r="44" spans="2:35" x14ac:dyDescent="0.25">
      <c r="B44" s="143" t="s">
        <v>211</v>
      </c>
      <c r="N44" s="89"/>
      <c r="O44" s="99" t="s">
        <v>212</v>
      </c>
      <c r="P44" s="100"/>
      <c r="Q44" s="95"/>
      <c r="S44" s="221"/>
      <c r="T44" s="94"/>
      <c r="U44" s="94"/>
      <c r="V44" s="94"/>
      <c r="W44" s="94"/>
      <c r="X44" s="94"/>
      <c r="Y44" s="94"/>
      <c r="Z44" s="94"/>
      <c r="AA44" s="94"/>
      <c r="AB44" s="94"/>
      <c r="AC44" s="94"/>
      <c r="AD44" s="94"/>
      <c r="AE44" s="94"/>
      <c r="AF44" s="94"/>
      <c r="AG44" s="94"/>
      <c r="AH44" s="94"/>
      <c r="AI44" s="223"/>
    </row>
    <row r="45" spans="2:35" x14ac:dyDescent="0.25">
      <c r="B45" s="84"/>
      <c r="C45" s="87"/>
      <c r="D45" s="87"/>
      <c r="E45" s="87"/>
      <c r="F45" s="87"/>
      <c r="G45" s="87"/>
      <c r="H45" s="87"/>
      <c r="I45" s="87"/>
      <c r="J45" s="87"/>
      <c r="K45" s="87"/>
      <c r="L45" s="88"/>
      <c r="N45" s="89"/>
      <c r="O45" s="90" t="s">
        <v>10</v>
      </c>
      <c r="P45" s="2" t="s">
        <v>249</v>
      </c>
      <c r="Q45" s="95"/>
      <c r="S45" s="221"/>
      <c r="T45" s="94"/>
      <c r="U45" s="94"/>
      <c r="V45" s="94"/>
      <c r="W45" s="94"/>
      <c r="X45" s="94"/>
      <c r="Y45" s="94"/>
      <c r="Z45" s="94"/>
      <c r="AA45" s="94"/>
      <c r="AB45" s="94"/>
      <c r="AC45" s="94"/>
      <c r="AD45" s="94"/>
      <c r="AE45" s="94"/>
      <c r="AF45" s="94"/>
      <c r="AG45" s="94"/>
      <c r="AH45" s="94"/>
      <c r="AI45" s="223"/>
    </row>
    <row r="46" spans="2:35" x14ac:dyDescent="0.25">
      <c r="B46" s="89"/>
      <c r="C46" s="96" t="s">
        <v>213</v>
      </c>
      <c r="D46" s="162"/>
      <c r="E46" s="162"/>
      <c r="F46" s="96" t="s">
        <v>214</v>
      </c>
      <c r="G46" s="162"/>
      <c r="H46" s="162"/>
      <c r="I46" s="96" t="s">
        <v>215</v>
      </c>
      <c r="J46" s="162"/>
      <c r="K46" s="162"/>
      <c r="L46" s="163"/>
      <c r="N46" s="89"/>
      <c r="O46" s="108" t="s">
        <v>225</v>
      </c>
      <c r="P46" s="3" t="s">
        <v>125</v>
      </c>
      <c r="Q46" s="95"/>
      <c r="S46" s="221"/>
      <c r="T46" s="94"/>
      <c r="U46" s="94"/>
      <c r="V46" s="94"/>
      <c r="W46" s="94"/>
      <c r="X46" s="94"/>
      <c r="Y46" s="94"/>
      <c r="Z46" s="94"/>
      <c r="AA46" s="94"/>
      <c r="AB46" s="94"/>
      <c r="AC46" s="94"/>
      <c r="AD46" s="94"/>
      <c r="AE46" s="94"/>
      <c r="AF46" s="94"/>
      <c r="AG46" s="94"/>
      <c r="AH46" s="94"/>
      <c r="AI46" s="223"/>
    </row>
    <row r="47" spans="2:35" x14ac:dyDescent="0.25">
      <c r="B47" s="89"/>
      <c r="C47" s="125" t="s">
        <v>10</v>
      </c>
      <c r="D47" s="164" t="s">
        <v>249</v>
      </c>
      <c r="E47" s="94"/>
      <c r="F47" s="227" t="s">
        <v>24</v>
      </c>
      <c r="G47" s="227" t="s">
        <v>84</v>
      </c>
      <c r="H47" s="162"/>
      <c r="I47" s="227" t="s">
        <v>24</v>
      </c>
      <c r="J47" s="227" t="s">
        <v>84</v>
      </c>
      <c r="K47" s="227"/>
      <c r="L47" s="163"/>
      <c r="N47" s="89"/>
      <c r="O47" s="108" t="s">
        <v>12</v>
      </c>
      <c r="P47" s="3">
        <v>2</v>
      </c>
      <c r="Q47" s="95"/>
      <c r="S47" s="221"/>
      <c r="T47" s="94"/>
      <c r="U47" s="94"/>
      <c r="V47" s="94"/>
      <c r="W47" s="94"/>
      <c r="X47" s="94"/>
      <c r="Y47" s="94"/>
      <c r="Z47" s="94"/>
      <c r="AA47" s="94"/>
      <c r="AB47" s="94"/>
      <c r="AC47" s="94"/>
      <c r="AD47" s="94"/>
      <c r="AE47" s="94"/>
      <c r="AF47" s="94"/>
      <c r="AG47" s="94"/>
      <c r="AH47" s="94"/>
      <c r="AI47" s="223"/>
    </row>
    <row r="48" spans="2:35" x14ac:dyDescent="0.25">
      <c r="B48" s="89"/>
      <c r="C48" s="129" t="s">
        <v>225</v>
      </c>
      <c r="D48" s="168" t="s">
        <v>125</v>
      </c>
      <c r="E48" s="169"/>
      <c r="F48" s="263"/>
      <c r="G48" s="264"/>
      <c r="H48" s="162"/>
      <c r="I48" s="112"/>
      <c r="J48" s="116"/>
      <c r="K48" s="227"/>
      <c r="L48" s="163"/>
      <c r="N48" s="89"/>
      <c r="O48" s="108" t="s">
        <v>14</v>
      </c>
      <c r="P48" s="3" t="s">
        <v>15</v>
      </c>
      <c r="Q48" s="95"/>
      <c r="S48" s="221"/>
      <c r="T48" s="94"/>
      <c r="U48" s="94"/>
      <c r="V48" s="94"/>
      <c r="W48" s="94"/>
      <c r="X48" s="94"/>
      <c r="Y48" s="94"/>
      <c r="Z48" s="94"/>
      <c r="AA48" s="94"/>
      <c r="AB48" s="94"/>
      <c r="AC48" s="94"/>
      <c r="AD48" s="94"/>
      <c r="AE48" s="94"/>
      <c r="AF48" s="94"/>
      <c r="AG48" s="94"/>
      <c r="AH48" s="94"/>
      <c r="AI48" s="223"/>
    </row>
    <row r="49" spans="2:35" x14ac:dyDescent="0.25">
      <c r="B49" s="89"/>
      <c r="C49" s="129" t="s">
        <v>12</v>
      </c>
      <c r="D49" s="168">
        <v>2</v>
      </c>
      <c r="E49" s="169"/>
      <c r="F49" s="190"/>
      <c r="G49" s="265"/>
      <c r="H49" s="162"/>
      <c r="I49" s="122"/>
      <c r="J49" s="124"/>
      <c r="K49" s="227"/>
      <c r="L49" s="163"/>
      <c r="N49" s="89"/>
      <c r="O49" s="120" t="s">
        <v>217</v>
      </c>
      <c r="P49" s="3" t="b">
        <v>1</v>
      </c>
      <c r="Q49" s="95"/>
      <c r="S49" s="221"/>
      <c r="T49" s="94"/>
      <c r="U49" s="94"/>
      <c r="V49" s="94"/>
      <c r="W49" s="94"/>
      <c r="X49" s="94"/>
      <c r="Y49" s="94"/>
      <c r="Z49" s="94"/>
      <c r="AA49" s="94"/>
      <c r="AB49" s="94"/>
      <c r="AC49" s="94"/>
      <c r="AD49" s="94"/>
      <c r="AE49" s="94"/>
      <c r="AF49" s="94"/>
      <c r="AG49" s="94"/>
      <c r="AH49" s="94"/>
      <c r="AI49" s="223"/>
    </row>
    <row r="50" spans="2:35" x14ac:dyDescent="0.25">
      <c r="B50" s="89"/>
      <c r="C50" s="129" t="s">
        <v>14</v>
      </c>
      <c r="D50" s="168" t="s">
        <v>15</v>
      </c>
      <c r="E50" s="169"/>
      <c r="F50" s="190"/>
      <c r="G50" s="265"/>
      <c r="H50" s="162"/>
      <c r="I50" s="122"/>
      <c r="J50" s="124"/>
      <c r="K50" s="227"/>
      <c r="L50" s="163"/>
      <c r="N50" s="89"/>
      <c r="O50" s="120" t="s">
        <v>218</v>
      </c>
      <c r="P50" s="3">
        <v>2</v>
      </c>
      <c r="Q50" s="95"/>
      <c r="S50" s="221"/>
      <c r="T50" s="94"/>
      <c r="U50" s="94"/>
      <c r="V50" s="94"/>
      <c r="W50" s="94"/>
      <c r="X50" s="94"/>
      <c r="Y50" s="94"/>
      <c r="Z50" s="94"/>
      <c r="AA50" s="94"/>
      <c r="AB50" s="94"/>
      <c r="AC50" s="94"/>
      <c r="AD50" s="94"/>
      <c r="AE50" s="94"/>
      <c r="AF50" s="94"/>
      <c r="AG50" s="94"/>
      <c r="AH50" s="94"/>
      <c r="AI50" s="223"/>
    </row>
    <row r="51" spans="2:35" x14ac:dyDescent="0.25">
      <c r="B51" s="89"/>
      <c r="C51" s="129" t="s">
        <v>230</v>
      </c>
      <c r="D51" s="168" t="b">
        <v>0</v>
      </c>
      <c r="E51" s="169"/>
      <c r="F51" s="190"/>
      <c r="G51" s="265"/>
      <c r="H51" s="162"/>
      <c r="I51" s="122"/>
      <c r="J51" s="124"/>
      <c r="K51" s="227"/>
      <c r="L51" s="163"/>
      <c r="N51" s="89"/>
      <c r="O51" s="120"/>
      <c r="P51" s="3"/>
      <c r="Q51" s="95"/>
      <c r="S51" s="221"/>
      <c r="T51" s="94"/>
      <c r="U51" s="94"/>
      <c r="V51" s="94"/>
      <c r="W51" s="94"/>
      <c r="X51" s="94"/>
      <c r="Y51" s="94"/>
      <c r="Z51" s="94"/>
      <c r="AA51" s="94"/>
      <c r="AB51" s="94"/>
      <c r="AC51" s="94"/>
      <c r="AD51" s="94"/>
      <c r="AE51" s="94"/>
      <c r="AF51" s="94"/>
      <c r="AG51" s="94"/>
      <c r="AH51" s="94"/>
      <c r="AI51" s="223"/>
    </row>
    <row r="52" spans="2:35" x14ac:dyDescent="0.25">
      <c r="B52" s="89"/>
      <c r="C52" s="129" t="s">
        <v>217</v>
      </c>
      <c r="D52" s="168" t="b">
        <v>1</v>
      </c>
      <c r="E52" s="169"/>
      <c r="F52" s="190"/>
      <c r="G52" s="265"/>
      <c r="H52" s="162"/>
      <c r="I52" s="122"/>
      <c r="J52" s="124"/>
      <c r="K52" s="227"/>
      <c r="L52" s="163"/>
      <c r="N52" s="89"/>
      <c r="O52" s="120"/>
      <c r="P52" s="3"/>
      <c r="Q52" s="95"/>
      <c r="S52" s="221"/>
      <c r="T52" s="94"/>
      <c r="U52" s="94"/>
      <c r="V52" s="94"/>
      <c r="W52" s="94"/>
      <c r="X52" s="94"/>
      <c r="Y52" s="94"/>
      <c r="Z52" s="94"/>
      <c r="AA52" s="94"/>
      <c r="AB52" s="94"/>
      <c r="AC52" s="94"/>
      <c r="AD52" s="94"/>
      <c r="AE52" s="94"/>
      <c r="AF52" s="94"/>
      <c r="AG52" s="94"/>
      <c r="AH52" s="94"/>
      <c r="AI52" s="223"/>
    </row>
    <row r="53" spans="2:35" x14ac:dyDescent="0.25">
      <c r="B53" s="89"/>
      <c r="C53" s="129" t="s">
        <v>218</v>
      </c>
      <c r="D53" s="168">
        <v>2</v>
      </c>
      <c r="E53" s="169"/>
      <c r="F53" s="190"/>
      <c r="G53" s="265"/>
      <c r="H53" s="162"/>
      <c r="I53" s="122"/>
      <c r="J53" s="124"/>
      <c r="K53" s="227"/>
      <c r="L53" s="163"/>
      <c r="N53" s="89"/>
      <c r="O53" s="120"/>
      <c r="P53" s="3"/>
      <c r="Q53" s="95"/>
      <c r="S53" s="221"/>
      <c r="T53" s="94"/>
      <c r="U53" s="94"/>
      <c r="V53" s="94"/>
      <c r="W53" s="94"/>
      <c r="X53" s="94"/>
      <c r="Y53" s="94"/>
      <c r="Z53" s="94"/>
      <c r="AA53" s="94"/>
      <c r="AB53" s="94"/>
      <c r="AC53" s="94"/>
      <c r="AD53" s="94"/>
      <c r="AE53" s="94"/>
      <c r="AF53" s="94"/>
      <c r="AG53" s="94"/>
      <c r="AH53" s="94"/>
      <c r="AI53" s="223"/>
    </row>
    <row r="54" spans="2:35" x14ac:dyDescent="0.25">
      <c r="B54" s="89"/>
      <c r="C54" s="129"/>
      <c r="D54" s="168"/>
      <c r="E54" s="169"/>
      <c r="F54" s="190"/>
      <c r="G54" s="265"/>
      <c r="H54" s="162"/>
      <c r="I54" s="122"/>
      <c r="J54" s="124"/>
      <c r="K54" s="227"/>
      <c r="L54" s="163"/>
      <c r="N54" s="89"/>
      <c r="O54" s="131"/>
      <c r="P54" s="4"/>
      <c r="Q54" s="95"/>
      <c r="S54" s="221"/>
      <c r="T54" s="94"/>
      <c r="U54" s="94"/>
      <c r="V54" s="94"/>
      <c r="W54" s="94"/>
      <c r="X54" s="94"/>
      <c r="Y54" s="94"/>
      <c r="Z54" s="94"/>
      <c r="AA54" s="94"/>
      <c r="AB54" s="94"/>
      <c r="AC54" s="94"/>
      <c r="AD54" s="94"/>
      <c r="AE54" s="94"/>
      <c r="AF54" s="94"/>
      <c r="AG54" s="94"/>
      <c r="AH54" s="94"/>
      <c r="AI54" s="223"/>
    </row>
    <row r="55" spans="2:35" x14ac:dyDescent="0.25">
      <c r="B55" s="89"/>
      <c r="C55" s="129"/>
      <c r="D55" s="168"/>
      <c r="E55" s="169"/>
      <c r="F55" s="190"/>
      <c r="G55" s="265"/>
      <c r="H55" s="162"/>
      <c r="I55" s="122"/>
      <c r="J55" s="124"/>
      <c r="K55" s="227"/>
      <c r="L55" s="163"/>
      <c r="N55" s="89"/>
      <c r="O55" s="94"/>
      <c r="P55" s="94"/>
      <c r="Q55" s="95"/>
      <c r="S55" s="221"/>
      <c r="T55" s="94"/>
      <c r="U55" s="94"/>
      <c r="V55" s="94"/>
      <c r="W55" s="94"/>
      <c r="X55" s="94"/>
      <c r="Y55" s="94"/>
      <c r="Z55" s="94"/>
      <c r="AA55" s="94"/>
      <c r="AB55" s="94"/>
      <c r="AC55" s="94"/>
      <c r="AD55" s="94"/>
      <c r="AE55" s="94"/>
      <c r="AF55" s="94"/>
      <c r="AG55" s="94"/>
      <c r="AH55" s="94"/>
      <c r="AI55" s="223"/>
    </row>
    <row r="56" spans="2:35" x14ac:dyDescent="0.25">
      <c r="B56" s="89"/>
      <c r="C56" s="129"/>
      <c r="D56" s="168"/>
      <c r="E56" s="169"/>
      <c r="F56" s="190"/>
      <c r="G56" s="265"/>
      <c r="H56" s="162"/>
      <c r="I56" s="122"/>
      <c r="J56" s="124"/>
      <c r="K56" s="227"/>
      <c r="L56" s="163"/>
      <c r="N56" s="89"/>
      <c r="O56" s="99" t="s">
        <v>174</v>
      </c>
      <c r="P56" s="100"/>
      <c r="Q56" s="95"/>
      <c r="S56" s="221"/>
      <c r="T56" s="94"/>
      <c r="U56" s="94"/>
      <c r="V56" s="94"/>
      <c r="W56" s="94"/>
      <c r="X56" s="94"/>
      <c r="Y56" s="94"/>
      <c r="Z56" s="94"/>
      <c r="AA56" s="94"/>
      <c r="AB56" s="94"/>
      <c r="AC56" s="94"/>
      <c r="AD56" s="94"/>
      <c r="AE56" s="94"/>
      <c r="AF56" s="94"/>
      <c r="AG56" s="94"/>
      <c r="AH56" s="94"/>
      <c r="AI56" s="223"/>
    </row>
    <row r="57" spans="2:35" x14ac:dyDescent="0.25">
      <c r="B57" s="89"/>
      <c r="C57" s="129"/>
      <c r="D57" s="168"/>
      <c r="E57" s="169"/>
      <c r="F57" s="190"/>
      <c r="G57" s="265"/>
      <c r="H57" s="162"/>
      <c r="I57" s="122"/>
      <c r="J57" s="124"/>
      <c r="K57" s="227"/>
      <c r="L57" s="163"/>
      <c r="N57" s="89"/>
      <c r="O57" s="125" t="s">
        <v>121</v>
      </c>
      <c r="P57" s="164" t="s">
        <v>249</v>
      </c>
      <c r="Q57" s="95"/>
      <c r="S57" s="221"/>
      <c r="T57" s="94"/>
      <c r="U57" s="94"/>
      <c r="V57" s="94"/>
      <c r="W57" s="94"/>
      <c r="X57" s="94"/>
      <c r="Y57" s="94"/>
      <c r="Z57" s="94"/>
      <c r="AA57" s="94"/>
      <c r="AB57" s="94"/>
      <c r="AC57" s="94"/>
      <c r="AD57" s="94"/>
      <c r="AE57" s="94"/>
      <c r="AF57" s="94"/>
      <c r="AG57" s="94"/>
      <c r="AH57" s="94"/>
      <c r="AI57" s="223"/>
    </row>
    <row r="58" spans="2:35" x14ac:dyDescent="0.25">
      <c r="B58" s="89"/>
      <c r="C58" s="129"/>
      <c r="D58" s="168"/>
      <c r="E58" s="169"/>
      <c r="F58" s="190"/>
      <c r="G58" s="265"/>
      <c r="H58" s="162"/>
      <c r="I58" s="122"/>
      <c r="J58" s="124"/>
      <c r="K58" s="227"/>
      <c r="L58" s="163"/>
      <c r="N58" s="89"/>
      <c r="O58" s="129" t="s">
        <v>124</v>
      </c>
      <c r="P58" s="168" t="s">
        <v>125</v>
      </c>
      <c r="Q58" s="95"/>
      <c r="S58" s="221"/>
      <c r="T58" s="94"/>
      <c r="U58" s="94"/>
      <c r="V58" s="94"/>
      <c r="W58" s="94"/>
      <c r="X58" s="94"/>
      <c r="Y58" s="94"/>
      <c r="Z58" s="94"/>
      <c r="AA58" s="94"/>
      <c r="AB58" s="94"/>
      <c r="AC58" s="94"/>
      <c r="AD58" s="94"/>
      <c r="AE58" s="94"/>
      <c r="AF58" s="94"/>
      <c r="AG58" s="94"/>
      <c r="AH58" s="94"/>
      <c r="AI58" s="223"/>
    </row>
    <row r="59" spans="2:35" x14ac:dyDescent="0.25">
      <c r="B59" s="89"/>
      <c r="C59" s="129"/>
      <c r="D59" s="168"/>
      <c r="E59" s="169"/>
      <c r="F59" s="190"/>
      <c r="G59" s="265"/>
      <c r="H59" s="162"/>
      <c r="I59" s="190"/>
      <c r="J59" s="294"/>
      <c r="K59" s="227"/>
      <c r="L59" s="163"/>
      <c r="N59" s="89"/>
      <c r="O59" s="129" t="s">
        <v>132</v>
      </c>
      <c r="P59" s="168" t="s">
        <v>209</v>
      </c>
      <c r="Q59" s="95"/>
      <c r="S59" s="221"/>
      <c r="T59" s="94"/>
      <c r="U59" s="94"/>
      <c r="V59" s="94"/>
      <c r="W59" s="94"/>
      <c r="X59" s="94"/>
      <c r="Y59" s="94"/>
      <c r="Z59" s="94"/>
      <c r="AA59" s="94"/>
      <c r="AB59" s="94"/>
      <c r="AC59" s="94"/>
      <c r="AD59" s="94"/>
      <c r="AE59" s="94"/>
      <c r="AF59" s="94"/>
      <c r="AG59" s="94"/>
      <c r="AH59" s="94"/>
      <c r="AI59" s="223"/>
    </row>
    <row r="60" spans="2:35" x14ac:dyDescent="0.25">
      <c r="B60" s="89"/>
      <c r="C60" s="149"/>
      <c r="D60" s="314"/>
      <c r="E60" s="169"/>
      <c r="F60" s="250"/>
      <c r="G60" s="251"/>
      <c r="H60" s="162"/>
      <c r="I60" s="250"/>
      <c r="J60" s="297"/>
      <c r="K60" s="227"/>
      <c r="L60" s="163"/>
      <c r="N60" s="89"/>
      <c r="O60" s="129" t="s">
        <v>140</v>
      </c>
      <c r="P60" s="168" t="s">
        <v>15</v>
      </c>
      <c r="Q60" s="95"/>
      <c r="S60" s="221"/>
      <c r="T60" s="94"/>
      <c r="U60" s="94"/>
      <c r="V60" s="94"/>
      <c r="W60" s="94"/>
      <c r="X60" s="94"/>
      <c r="Y60" s="94"/>
      <c r="Z60" s="94"/>
      <c r="AA60" s="94"/>
      <c r="AB60" s="94"/>
      <c r="AC60" s="94"/>
      <c r="AD60" s="94"/>
      <c r="AE60" s="94"/>
      <c r="AF60" s="94"/>
      <c r="AG60" s="94"/>
      <c r="AH60" s="94"/>
      <c r="AI60" s="223"/>
    </row>
    <row r="61" spans="2:35" x14ac:dyDescent="0.25">
      <c r="B61" s="89"/>
      <c r="C61" s="169"/>
      <c r="D61" s="169"/>
      <c r="E61" s="169"/>
      <c r="F61" s="162"/>
      <c r="G61" s="162"/>
      <c r="H61" s="162"/>
      <c r="I61" s="162"/>
      <c r="J61" s="162"/>
      <c r="K61" s="227"/>
      <c r="L61" s="163"/>
      <c r="N61" s="89"/>
      <c r="O61" s="129" t="s">
        <v>216</v>
      </c>
      <c r="P61" s="266">
        <v>0.03</v>
      </c>
      <c r="Q61" s="95"/>
      <c r="S61" s="221"/>
      <c r="T61" s="94"/>
      <c r="U61" s="94"/>
      <c r="V61" s="94"/>
      <c r="W61" s="94"/>
      <c r="X61" s="94"/>
      <c r="Y61" s="94"/>
      <c r="Z61" s="94"/>
      <c r="AA61" s="94"/>
      <c r="AB61" s="94"/>
      <c r="AC61" s="94"/>
      <c r="AD61" s="94"/>
      <c r="AE61" s="94"/>
      <c r="AF61" s="94"/>
      <c r="AG61" s="94"/>
      <c r="AH61" s="94"/>
      <c r="AI61" s="223"/>
    </row>
    <row r="62" spans="2:35" x14ac:dyDescent="0.25">
      <c r="B62" s="135"/>
      <c r="C62" s="136"/>
      <c r="D62" s="136"/>
      <c r="E62" s="136"/>
      <c r="F62" s="136"/>
      <c r="G62" s="136"/>
      <c r="H62" s="136"/>
      <c r="I62" s="136"/>
      <c r="J62" s="136"/>
      <c r="K62" s="136"/>
      <c r="L62" s="137"/>
      <c r="N62" s="89"/>
      <c r="O62" s="129" t="s">
        <v>217</v>
      </c>
      <c r="P62" s="168" t="b">
        <v>0</v>
      </c>
      <c r="Q62" s="95"/>
      <c r="S62" s="221"/>
      <c r="T62" s="94"/>
      <c r="U62" s="94"/>
      <c r="V62" s="94"/>
      <c r="W62" s="94"/>
      <c r="X62" s="94"/>
      <c r="Y62" s="94"/>
      <c r="Z62" s="94"/>
      <c r="AA62" s="94"/>
      <c r="AB62" s="94"/>
      <c r="AC62" s="94"/>
      <c r="AD62" s="94"/>
      <c r="AE62" s="94"/>
      <c r="AF62" s="94"/>
      <c r="AG62" s="94"/>
      <c r="AH62" s="94"/>
      <c r="AI62" s="223"/>
    </row>
    <row r="63" spans="2:35" x14ac:dyDescent="0.25">
      <c r="N63" s="89"/>
      <c r="O63" s="129" t="s">
        <v>218</v>
      </c>
      <c r="P63" s="168">
        <v>2</v>
      </c>
      <c r="Q63" s="95"/>
      <c r="S63" s="221"/>
      <c r="T63" s="94"/>
      <c r="U63" s="94"/>
      <c r="V63" s="94"/>
      <c r="W63" s="94"/>
      <c r="X63" s="94"/>
      <c r="Y63" s="94"/>
      <c r="Z63" s="94"/>
      <c r="AA63" s="94"/>
      <c r="AB63" s="94"/>
      <c r="AC63" s="94"/>
      <c r="AD63" s="94"/>
      <c r="AE63" s="94"/>
      <c r="AF63" s="94"/>
      <c r="AG63" s="94"/>
      <c r="AH63" s="94"/>
      <c r="AI63" s="223"/>
    </row>
    <row r="64" spans="2:35" x14ac:dyDescent="0.25">
      <c r="N64" s="89"/>
      <c r="O64" s="129"/>
      <c r="P64" s="168"/>
      <c r="Q64" s="95"/>
      <c r="S64" s="221"/>
      <c r="T64" s="94"/>
      <c r="U64" s="94"/>
      <c r="V64" s="94"/>
      <c r="W64" s="94"/>
      <c r="X64" s="94"/>
      <c r="Y64" s="94"/>
      <c r="Z64" s="94"/>
      <c r="AA64" s="94"/>
      <c r="AB64" s="94"/>
      <c r="AC64" s="94"/>
      <c r="AD64" s="94"/>
      <c r="AE64" s="94"/>
      <c r="AF64" s="94"/>
      <c r="AG64" s="94"/>
      <c r="AH64" s="94"/>
      <c r="AI64" s="223"/>
    </row>
    <row r="65" spans="2:35" x14ac:dyDescent="0.25">
      <c r="B65" s="143" t="s">
        <v>219</v>
      </c>
      <c r="N65" s="89"/>
      <c r="O65" s="129"/>
      <c r="P65" s="168"/>
      <c r="Q65" s="95"/>
      <c r="S65" s="221"/>
      <c r="T65" s="94"/>
      <c r="U65" s="94"/>
      <c r="V65" s="94"/>
      <c r="W65" s="94"/>
      <c r="X65" s="94"/>
      <c r="Y65" s="94"/>
      <c r="Z65" s="94"/>
      <c r="AA65" s="94"/>
      <c r="AB65" s="94"/>
      <c r="AC65" s="94"/>
      <c r="AD65" s="94"/>
      <c r="AE65" s="94"/>
      <c r="AF65" s="94"/>
      <c r="AG65" s="94"/>
      <c r="AH65" s="94"/>
      <c r="AI65" s="223"/>
    </row>
    <row r="66" spans="2:35" x14ac:dyDescent="0.25">
      <c r="B66" s="84"/>
      <c r="C66" s="87"/>
      <c r="D66" s="87"/>
      <c r="E66" s="87"/>
      <c r="F66" s="87"/>
      <c r="G66" s="87"/>
      <c r="H66" s="87"/>
      <c r="I66" s="87"/>
      <c r="J66" s="87"/>
      <c r="K66" s="87"/>
      <c r="L66" s="88"/>
      <c r="N66" s="89"/>
      <c r="O66" s="129"/>
      <c r="P66" s="189"/>
      <c r="Q66" s="95"/>
      <c r="S66" s="221"/>
      <c r="T66" s="94"/>
      <c r="U66" s="94"/>
      <c r="V66" s="94"/>
      <c r="W66" s="94"/>
      <c r="X66" s="94"/>
      <c r="Y66" s="94"/>
      <c r="Z66" s="94"/>
      <c r="AA66" s="94"/>
      <c r="AB66" s="94"/>
      <c r="AC66" s="94"/>
      <c r="AD66" s="94"/>
      <c r="AE66" s="94"/>
      <c r="AF66" s="94"/>
      <c r="AG66" s="94"/>
      <c r="AH66" s="94"/>
      <c r="AI66" s="223"/>
    </row>
    <row r="67" spans="2:35" x14ac:dyDescent="0.25">
      <c r="B67" s="89"/>
      <c r="C67" s="96" t="s">
        <v>220</v>
      </c>
      <c r="D67" s="162"/>
      <c r="E67" s="162"/>
      <c r="F67" s="96" t="s">
        <v>221</v>
      </c>
      <c r="G67" s="162"/>
      <c r="H67" s="162"/>
      <c r="I67" s="162"/>
      <c r="J67" s="162"/>
      <c r="K67" s="162"/>
      <c r="L67" s="163"/>
      <c r="N67" s="89"/>
      <c r="O67" s="129"/>
      <c r="P67" s="189"/>
      <c r="Q67" s="95"/>
      <c r="S67" s="221"/>
      <c r="T67" s="94"/>
      <c r="U67" s="94"/>
      <c r="V67" s="94"/>
      <c r="W67" s="94"/>
      <c r="X67" s="94"/>
      <c r="Y67" s="94"/>
      <c r="Z67" s="94"/>
      <c r="AA67" s="94"/>
      <c r="AB67" s="94"/>
      <c r="AC67" s="94"/>
      <c r="AD67" s="94"/>
      <c r="AE67" s="94"/>
      <c r="AF67" s="94"/>
      <c r="AG67" s="94"/>
      <c r="AH67" s="94"/>
      <c r="AI67" s="223"/>
    </row>
    <row r="68" spans="2:35" x14ac:dyDescent="0.25">
      <c r="B68" s="89"/>
      <c r="C68" s="125" t="s">
        <v>121</v>
      </c>
      <c r="D68" s="164" t="s">
        <v>249</v>
      </c>
      <c r="E68" s="94"/>
      <c r="F68" s="226" t="s">
        <v>222</v>
      </c>
      <c r="G68" s="226" t="s">
        <v>85</v>
      </c>
      <c r="H68" s="226" t="s">
        <v>86</v>
      </c>
      <c r="I68" s="226" t="s">
        <v>84</v>
      </c>
      <c r="J68" s="226" t="s">
        <v>176</v>
      </c>
      <c r="K68" s="227" t="s">
        <v>84</v>
      </c>
      <c r="L68" s="163"/>
      <c r="N68" s="89"/>
      <c r="O68" s="129"/>
      <c r="P68" s="189"/>
      <c r="Q68" s="95"/>
      <c r="S68" s="221"/>
      <c r="T68" s="94"/>
      <c r="U68" s="94"/>
      <c r="V68" s="94"/>
      <c r="W68" s="94"/>
      <c r="X68" s="94"/>
      <c r="Y68" s="94"/>
      <c r="Z68" s="94"/>
      <c r="AA68" s="94"/>
      <c r="AB68" s="94"/>
      <c r="AC68" s="94"/>
      <c r="AD68" s="94"/>
      <c r="AE68" s="94"/>
      <c r="AF68" s="94"/>
      <c r="AG68" s="94"/>
      <c r="AH68" s="94"/>
      <c r="AI68" s="223"/>
    </row>
    <row r="69" spans="2:35" x14ac:dyDescent="0.25">
      <c r="B69" s="89"/>
      <c r="C69" s="129" t="s">
        <v>124</v>
      </c>
      <c r="D69" s="168" t="s">
        <v>125</v>
      </c>
      <c r="E69" s="269" t="str">
        <f>'[1]MKT DATA EUR'!V11</f>
        <v>ER1</v>
      </c>
      <c r="F69" s="319" t="str">
        <f>'[1]MKT DATA EUR'!T11</f>
        <v>ER1 Comdty</v>
      </c>
      <c r="G69" s="271">
        <f>'[1]MKT DATA EUR'!W11</f>
        <v>43999</v>
      </c>
      <c r="H69" s="271">
        <f>'[1]MKT DATA EUR'!X11</f>
        <v>44090</v>
      </c>
      <c r="I69" s="320">
        <f>'[1]MKT DATA EUR'!Z11</f>
        <v>100.255</v>
      </c>
      <c r="J69" s="273">
        <v>8.9999999999999993E-3</v>
      </c>
      <c r="K69" s="274">
        <f t="shared" ref="K69:K76" si="0">100-I69</f>
        <v>-0.25499999999999545</v>
      </c>
      <c r="L69" s="163"/>
      <c r="N69" s="89"/>
      <c r="O69" s="129"/>
      <c r="P69" s="189"/>
      <c r="Q69" s="95"/>
      <c r="S69" s="221"/>
      <c r="T69" s="94"/>
      <c r="U69" s="94"/>
      <c r="V69" s="94"/>
      <c r="W69" s="94"/>
      <c r="X69" s="94"/>
      <c r="Y69" s="94"/>
      <c r="Z69" s="94"/>
      <c r="AA69" s="94"/>
      <c r="AB69" s="94"/>
      <c r="AC69" s="94"/>
      <c r="AD69" s="94"/>
      <c r="AE69" s="94"/>
      <c r="AF69" s="94"/>
      <c r="AG69" s="94"/>
      <c r="AH69" s="94"/>
      <c r="AI69" s="223"/>
    </row>
    <row r="70" spans="2:35" x14ac:dyDescent="0.25">
      <c r="B70" s="89"/>
      <c r="C70" s="129" t="s">
        <v>132</v>
      </c>
      <c r="D70" s="168" t="s">
        <v>209</v>
      </c>
      <c r="E70" s="275" t="str">
        <f>'[1]MKT DATA EUR'!V12</f>
        <v>ER2</v>
      </c>
      <c r="F70" s="270" t="str">
        <f>'[1]MKT DATA EUR'!T12</f>
        <v>ER2 Comdty</v>
      </c>
      <c r="G70" s="271">
        <f>'[1]MKT DATA EUR'!W12</f>
        <v>44090</v>
      </c>
      <c r="H70" s="271">
        <f>'[1]MKT DATA EUR'!X12</f>
        <v>44181</v>
      </c>
      <c r="I70" s="320">
        <f>'[1]MKT DATA EUR'!Z12</f>
        <v>100.33</v>
      </c>
      <c r="J70" s="273">
        <v>8.9999999999999993E-3</v>
      </c>
      <c r="K70" s="274">
        <f t="shared" si="0"/>
        <v>-0.32999999999999829</v>
      </c>
      <c r="L70" s="163"/>
      <c r="N70" s="89"/>
      <c r="O70" s="159"/>
      <c r="P70" s="198"/>
      <c r="Q70" s="95"/>
      <c r="S70" s="221"/>
      <c r="T70" s="94"/>
      <c r="U70" s="94"/>
      <c r="V70" s="94"/>
      <c r="W70" s="94"/>
      <c r="X70" s="94"/>
      <c r="Y70" s="94"/>
      <c r="Z70" s="94"/>
      <c r="AA70" s="94"/>
      <c r="AB70" s="94"/>
      <c r="AC70" s="94"/>
      <c r="AD70" s="94"/>
      <c r="AE70" s="94"/>
      <c r="AF70" s="94"/>
      <c r="AG70" s="94"/>
      <c r="AH70" s="94"/>
      <c r="AI70" s="223"/>
    </row>
    <row r="71" spans="2:35" x14ac:dyDescent="0.25">
      <c r="B71" s="89"/>
      <c r="C71" s="129" t="s">
        <v>140</v>
      </c>
      <c r="D71" s="168" t="s">
        <v>15</v>
      </c>
      <c r="E71" s="275" t="str">
        <f>'[1]MKT DATA EUR'!V13</f>
        <v>ER3</v>
      </c>
      <c r="F71" s="276" t="str">
        <f>'[1]MKT DATA EUR'!T13</f>
        <v>ER3 Comdty</v>
      </c>
      <c r="G71" s="277">
        <f>'[1]MKT DATA EUR'!W13</f>
        <v>44181</v>
      </c>
      <c r="H71" s="277">
        <f>'[1]MKT DATA EUR'!X13</f>
        <v>44272</v>
      </c>
      <c r="I71" s="321">
        <f>'[1]MKT DATA EUR'!Z13</f>
        <v>100.38500000000001</v>
      </c>
      <c r="J71" s="282">
        <v>8.9999999999999993E-3</v>
      </c>
      <c r="K71" s="274">
        <f t="shared" si="0"/>
        <v>-0.38500000000000512</v>
      </c>
      <c r="L71" s="163"/>
      <c r="N71" s="89"/>
      <c r="O71" s="94"/>
      <c r="P71" s="94"/>
      <c r="Q71" s="95"/>
      <c r="S71" s="221"/>
      <c r="T71" s="94"/>
      <c r="U71" s="94"/>
      <c r="V71" s="94"/>
      <c r="W71" s="94"/>
      <c r="X71" s="94"/>
      <c r="Y71" s="94"/>
      <c r="Z71" s="94"/>
      <c r="AA71" s="94"/>
      <c r="AB71" s="94"/>
      <c r="AC71" s="94"/>
      <c r="AD71" s="94"/>
      <c r="AE71" s="94"/>
      <c r="AF71" s="94"/>
      <c r="AG71" s="94"/>
      <c r="AH71" s="94"/>
      <c r="AI71" s="223"/>
    </row>
    <row r="72" spans="2:35" x14ac:dyDescent="0.25">
      <c r="B72" s="89"/>
      <c r="C72" s="129" t="s">
        <v>216</v>
      </c>
      <c r="D72" s="266">
        <v>0.03</v>
      </c>
      <c r="E72" s="275" t="str">
        <f>'[1]MKT DATA EUR'!V14</f>
        <v>ER4</v>
      </c>
      <c r="F72" s="276" t="str">
        <f>'[1]MKT DATA EUR'!T14</f>
        <v>ER4 Comdty</v>
      </c>
      <c r="G72" s="277">
        <f>'[1]MKT DATA EUR'!W14</f>
        <v>44272</v>
      </c>
      <c r="H72" s="277">
        <f>'[1]MKT DATA EUR'!X14</f>
        <v>44363</v>
      </c>
      <c r="I72" s="321">
        <f>'[1]MKT DATA EUR'!Z14</f>
        <v>100.41500000000001</v>
      </c>
      <c r="J72" s="282">
        <v>8.9999999999999993E-3</v>
      </c>
      <c r="K72" s="274">
        <f t="shared" si="0"/>
        <v>-0.41500000000000625</v>
      </c>
      <c r="L72" s="163"/>
      <c r="N72" s="89"/>
      <c r="O72" s="99" t="s">
        <v>82</v>
      </c>
      <c r="P72" s="100"/>
      <c r="Q72" s="95"/>
      <c r="S72" s="221"/>
      <c r="T72" s="94"/>
      <c r="U72" s="94"/>
      <c r="V72" s="94"/>
      <c r="W72" s="94"/>
      <c r="X72" s="94"/>
      <c r="Y72" s="94"/>
      <c r="Z72" s="94"/>
      <c r="AA72" s="94"/>
      <c r="AB72" s="94"/>
      <c r="AC72" s="94"/>
      <c r="AD72" s="94"/>
      <c r="AE72" s="94"/>
      <c r="AF72" s="94"/>
      <c r="AG72" s="94"/>
      <c r="AH72" s="94"/>
      <c r="AI72" s="223"/>
    </row>
    <row r="73" spans="2:35" x14ac:dyDescent="0.25">
      <c r="B73" s="89"/>
      <c r="C73" s="129" t="s">
        <v>217</v>
      </c>
      <c r="D73" s="168" t="b">
        <v>0</v>
      </c>
      <c r="E73" s="275" t="str">
        <f>'[1]MKT DATA EUR'!V15</f>
        <v>ER5</v>
      </c>
      <c r="F73" s="276" t="str">
        <f>'[1]MKT DATA EUR'!T15</f>
        <v>ER5 Comdty</v>
      </c>
      <c r="G73" s="277">
        <f>'[1]MKT DATA EUR'!W15</f>
        <v>44363</v>
      </c>
      <c r="H73" s="277">
        <f>'[1]MKT DATA EUR'!X15</f>
        <v>44454</v>
      </c>
      <c r="I73" s="321">
        <f>'[1]MKT DATA EUR'!Z15</f>
        <v>100.425</v>
      </c>
      <c r="J73" s="282">
        <v>8.9999999999999993E-3</v>
      </c>
      <c r="K73" s="274">
        <f t="shared" si="0"/>
        <v>-0.42499999999999716</v>
      </c>
      <c r="L73" s="163"/>
      <c r="N73" s="89"/>
      <c r="O73" s="125" t="s">
        <v>10</v>
      </c>
      <c r="P73" s="164" t="s">
        <v>249</v>
      </c>
      <c r="Q73" s="95"/>
      <c r="S73" s="221"/>
      <c r="T73" s="94"/>
      <c r="U73" s="94"/>
      <c r="V73" s="94"/>
      <c r="W73" s="94"/>
      <c r="X73" s="94"/>
      <c r="Y73" s="94"/>
      <c r="Z73" s="94"/>
      <c r="AA73" s="94"/>
      <c r="AB73" s="94"/>
      <c r="AC73" s="94"/>
      <c r="AD73" s="94"/>
      <c r="AE73" s="94"/>
      <c r="AF73" s="94"/>
      <c r="AG73" s="94"/>
      <c r="AH73" s="94"/>
      <c r="AI73" s="223"/>
    </row>
    <row r="74" spans="2:35" x14ac:dyDescent="0.25">
      <c r="B74" s="89"/>
      <c r="C74" s="129" t="s">
        <v>218</v>
      </c>
      <c r="D74" s="168">
        <v>2</v>
      </c>
      <c r="E74" s="275" t="str">
        <f>'[1]MKT DATA EUR'!V16</f>
        <v>ER6</v>
      </c>
      <c r="F74" s="276" t="str">
        <f>'[1]MKT DATA EUR'!T16</f>
        <v>ER6 Comdty</v>
      </c>
      <c r="G74" s="277">
        <f>'[1]MKT DATA EUR'!W16</f>
        <v>44454</v>
      </c>
      <c r="H74" s="277">
        <f>'[1]MKT DATA EUR'!X16</f>
        <v>44545</v>
      </c>
      <c r="I74" s="321">
        <f>'[1]MKT DATA EUR'!Z16</f>
        <v>100.41500000000001</v>
      </c>
      <c r="J74" s="282">
        <v>8.9999999999999993E-3</v>
      </c>
      <c r="K74" s="274">
        <f t="shared" si="0"/>
        <v>-0.41500000000000625</v>
      </c>
      <c r="L74" s="163"/>
      <c r="N74" s="89"/>
      <c r="O74" s="129" t="s">
        <v>225</v>
      </c>
      <c r="P74" s="168" t="s">
        <v>165</v>
      </c>
      <c r="Q74" s="95"/>
      <c r="S74" s="221"/>
      <c r="T74" s="94"/>
      <c r="U74" s="94"/>
      <c r="V74" s="94"/>
      <c r="W74" s="94"/>
      <c r="X74" s="94"/>
      <c r="Y74" s="94"/>
      <c r="Z74" s="94"/>
      <c r="AA74" s="94"/>
      <c r="AB74" s="94"/>
      <c r="AC74" s="94"/>
      <c r="AD74" s="94"/>
      <c r="AE74" s="94"/>
      <c r="AF74" s="94"/>
      <c r="AG74" s="94"/>
      <c r="AH74" s="94"/>
      <c r="AI74" s="223"/>
    </row>
    <row r="75" spans="2:35" x14ac:dyDescent="0.25">
      <c r="B75" s="89"/>
      <c r="C75" s="129"/>
      <c r="D75" s="189"/>
      <c r="E75" s="275" t="str">
        <f>'[1]MKT DATA EUR'!V17</f>
        <v>ER7</v>
      </c>
      <c r="F75" s="276" t="str">
        <f>'[1]MKT DATA EUR'!T17</f>
        <v>ER7 Comdty</v>
      </c>
      <c r="G75" s="277">
        <f>'[1]MKT DATA EUR'!W17</f>
        <v>44545</v>
      </c>
      <c r="H75" s="277">
        <f>'[1]MKT DATA EUR'!X17</f>
        <v>44636</v>
      </c>
      <c r="I75" s="321">
        <f>'[1]MKT DATA EUR'!Z17</f>
        <v>100.41</v>
      </c>
      <c r="J75" s="282">
        <v>8.9999999999999993E-3</v>
      </c>
      <c r="K75" s="274">
        <f t="shared" si="0"/>
        <v>-0.40999999999999659</v>
      </c>
      <c r="L75" s="163"/>
      <c r="N75" s="89"/>
      <c r="O75" s="129" t="s">
        <v>226</v>
      </c>
      <c r="P75" s="168" t="s">
        <v>125</v>
      </c>
      <c r="Q75" s="95"/>
      <c r="S75" s="221"/>
      <c r="T75" s="94"/>
      <c r="U75" s="94"/>
      <c r="V75" s="94"/>
      <c r="W75" s="94"/>
      <c r="X75" s="94"/>
      <c r="Y75" s="94"/>
      <c r="Z75" s="94"/>
      <c r="AA75" s="94"/>
      <c r="AB75" s="94"/>
      <c r="AC75" s="94"/>
      <c r="AD75" s="94"/>
      <c r="AE75" s="94"/>
      <c r="AF75" s="94"/>
      <c r="AG75" s="94"/>
      <c r="AH75" s="94"/>
      <c r="AI75" s="223"/>
    </row>
    <row r="76" spans="2:35" x14ac:dyDescent="0.25">
      <c r="B76" s="89"/>
      <c r="C76" s="129"/>
      <c r="D76" s="189"/>
      <c r="E76" s="275" t="str">
        <f>'[1]MKT DATA EUR'!V18</f>
        <v>ER8</v>
      </c>
      <c r="F76" s="276" t="str">
        <f>'[1]MKT DATA EUR'!T18</f>
        <v>ER8 Comdty</v>
      </c>
      <c r="G76" s="277">
        <f>'[1]MKT DATA EUR'!W18</f>
        <v>44636</v>
      </c>
      <c r="H76" s="277">
        <f>'[1]MKT DATA EUR'!X18</f>
        <v>44727</v>
      </c>
      <c r="I76" s="321">
        <f>'[1]MKT DATA EUR'!Z18</f>
        <v>100.405</v>
      </c>
      <c r="J76" s="282">
        <v>8.9999999999999993E-3</v>
      </c>
      <c r="K76" s="274">
        <f t="shared" si="0"/>
        <v>-0.40500000000000114</v>
      </c>
      <c r="L76" s="163"/>
      <c r="N76" s="89"/>
      <c r="O76" s="129" t="s">
        <v>161</v>
      </c>
      <c r="P76" s="168" t="s">
        <v>268</v>
      </c>
      <c r="Q76" s="95"/>
      <c r="S76" s="221"/>
      <c r="T76" s="94"/>
      <c r="U76" s="94"/>
      <c r="V76" s="94"/>
      <c r="W76" s="94"/>
      <c r="X76" s="94"/>
      <c r="Y76" s="94"/>
      <c r="Z76" s="94"/>
      <c r="AA76" s="94"/>
      <c r="AB76" s="94"/>
      <c r="AC76" s="94"/>
      <c r="AD76" s="94"/>
      <c r="AE76" s="94"/>
      <c r="AF76" s="94"/>
      <c r="AG76" s="94"/>
      <c r="AH76" s="94"/>
      <c r="AI76" s="223"/>
    </row>
    <row r="77" spans="2:35" x14ac:dyDescent="0.25">
      <c r="B77" s="89"/>
      <c r="C77" s="129"/>
      <c r="D77" s="189"/>
      <c r="E77" s="169"/>
      <c r="F77" s="322"/>
      <c r="G77" s="323"/>
      <c r="H77" s="323"/>
      <c r="I77" s="324"/>
      <c r="J77" s="325"/>
      <c r="K77" s="162"/>
      <c r="L77" s="163"/>
      <c r="N77" s="89"/>
      <c r="O77" s="129" t="s">
        <v>228</v>
      </c>
      <c r="P77" s="168" t="s">
        <v>229</v>
      </c>
      <c r="Q77" s="95"/>
      <c r="S77" s="221"/>
      <c r="T77" s="94"/>
      <c r="U77" s="94"/>
      <c r="V77" s="94"/>
      <c r="W77" s="94"/>
      <c r="X77" s="94"/>
      <c r="Y77" s="94"/>
      <c r="Z77" s="94"/>
      <c r="AA77" s="94"/>
      <c r="AB77" s="94"/>
      <c r="AC77" s="94"/>
      <c r="AD77" s="94"/>
      <c r="AE77" s="94"/>
      <c r="AF77" s="94"/>
      <c r="AG77" s="94"/>
      <c r="AH77" s="94"/>
      <c r="AI77" s="223"/>
    </row>
    <row r="78" spans="2:35" x14ac:dyDescent="0.25">
      <c r="B78" s="89"/>
      <c r="C78" s="129"/>
      <c r="D78" s="189"/>
      <c r="E78" s="169"/>
      <c r="F78" s="326"/>
      <c r="G78" s="323"/>
      <c r="H78" s="323"/>
      <c r="I78" s="327"/>
      <c r="J78" s="325"/>
      <c r="K78" s="162"/>
      <c r="L78" s="163"/>
      <c r="N78" s="89"/>
      <c r="O78" s="129" t="s">
        <v>7</v>
      </c>
      <c r="P78" s="130" t="s">
        <v>262</v>
      </c>
      <c r="Q78" s="95"/>
      <c r="S78" s="221"/>
      <c r="T78" s="94"/>
      <c r="U78" s="94"/>
      <c r="V78" s="94"/>
      <c r="W78" s="94"/>
      <c r="X78" s="94"/>
      <c r="Y78" s="94"/>
      <c r="Z78" s="94"/>
      <c r="AA78" s="94"/>
      <c r="AB78" s="94"/>
      <c r="AC78" s="94"/>
      <c r="AD78" s="94"/>
      <c r="AE78" s="94"/>
      <c r="AF78" s="94"/>
      <c r="AG78" s="94"/>
      <c r="AH78" s="94"/>
      <c r="AI78" s="223"/>
    </row>
    <row r="79" spans="2:35" x14ac:dyDescent="0.25">
      <c r="B79" s="89"/>
      <c r="C79" s="129"/>
      <c r="D79" s="189"/>
      <c r="E79" s="169"/>
      <c r="F79" s="328"/>
      <c r="G79" s="329"/>
      <c r="H79" s="329"/>
      <c r="I79" s="327"/>
      <c r="J79" s="330"/>
      <c r="K79" s="162"/>
      <c r="L79" s="163"/>
      <c r="N79" s="89"/>
      <c r="O79" s="129" t="s">
        <v>230</v>
      </c>
      <c r="P79" s="168" t="b">
        <v>1</v>
      </c>
      <c r="Q79" s="95"/>
      <c r="S79" s="221"/>
      <c r="T79" s="94"/>
      <c r="U79" s="94"/>
      <c r="V79" s="94"/>
      <c r="W79" s="94"/>
      <c r="X79" s="94"/>
      <c r="Y79" s="94"/>
      <c r="Z79" s="94"/>
      <c r="AA79" s="94"/>
      <c r="AB79" s="94"/>
      <c r="AC79" s="94"/>
      <c r="AD79" s="94"/>
      <c r="AE79" s="94"/>
      <c r="AF79" s="94"/>
      <c r="AG79" s="94"/>
      <c r="AH79" s="94"/>
      <c r="AI79" s="223"/>
    </row>
    <row r="80" spans="2:35" x14ac:dyDescent="0.25">
      <c r="B80" s="89"/>
      <c r="C80" s="129"/>
      <c r="D80" s="189"/>
      <c r="E80" s="169"/>
      <c r="F80" s="328"/>
      <c r="G80" s="329"/>
      <c r="H80" s="329"/>
      <c r="I80" s="327"/>
      <c r="J80" s="330"/>
      <c r="K80" s="162"/>
      <c r="L80" s="163"/>
      <c r="N80" s="89"/>
      <c r="O80" s="129" t="s">
        <v>231</v>
      </c>
      <c r="P80" s="168">
        <v>31</v>
      </c>
      <c r="Q80" s="95"/>
      <c r="S80" s="221"/>
      <c r="T80" s="94"/>
      <c r="U80" s="94"/>
      <c r="V80" s="94"/>
      <c r="W80" s="94"/>
      <c r="X80" s="94"/>
      <c r="Y80" s="94"/>
      <c r="Z80" s="94"/>
      <c r="AA80" s="94"/>
      <c r="AB80" s="94"/>
      <c r="AC80" s="94"/>
      <c r="AD80" s="94"/>
      <c r="AE80" s="94"/>
      <c r="AF80" s="94"/>
      <c r="AG80" s="94"/>
      <c r="AH80" s="94"/>
      <c r="AI80" s="223"/>
    </row>
    <row r="81" spans="2:35" x14ac:dyDescent="0.25">
      <c r="B81" s="89"/>
      <c r="C81" s="159"/>
      <c r="D81" s="198"/>
      <c r="E81" s="169"/>
      <c r="F81" s="331"/>
      <c r="G81" s="332"/>
      <c r="H81" s="332"/>
      <c r="I81" s="333"/>
      <c r="J81" s="334"/>
      <c r="K81" s="162"/>
      <c r="L81" s="163"/>
      <c r="N81" s="89"/>
      <c r="O81" s="129" t="s">
        <v>233</v>
      </c>
      <c r="P81" s="168">
        <v>2</v>
      </c>
      <c r="Q81" s="95"/>
      <c r="S81" s="221"/>
      <c r="T81" s="94"/>
      <c r="U81" s="94"/>
      <c r="V81" s="94"/>
      <c r="W81" s="94"/>
      <c r="X81" s="94"/>
      <c r="Y81" s="94"/>
      <c r="Z81" s="94"/>
      <c r="AA81" s="94"/>
      <c r="AB81" s="94"/>
      <c r="AC81" s="94"/>
      <c r="AD81" s="94"/>
      <c r="AE81" s="94"/>
      <c r="AF81" s="94"/>
      <c r="AG81" s="94"/>
      <c r="AH81" s="94"/>
      <c r="AI81" s="223"/>
    </row>
    <row r="82" spans="2:35" x14ac:dyDescent="0.25">
      <c r="B82" s="89"/>
      <c r="C82" s="169"/>
      <c r="D82" s="169"/>
      <c r="E82" s="169"/>
      <c r="F82" s="162"/>
      <c r="G82" s="162"/>
      <c r="H82" s="162"/>
      <c r="I82" s="162"/>
      <c r="J82" s="162"/>
      <c r="K82" s="162"/>
      <c r="L82" s="163"/>
      <c r="N82" s="89"/>
      <c r="O82" s="129" t="s">
        <v>14</v>
      </c>
      <c r="P82" s="168" t="s">
        <v>15</v>
      </c>
      <c r="Q82" s="95"/>
      <c r="S82" s="221"/>
      <c r="T82" s="94"/>
      <c r="U82" s="94"/>
      <c r="V82" s="94"/>
      <c r="W82" s="94"/>
      <c r="X82" s="94"/>
      <c r="Y82" s="94"/>
      <c r="Z82" s="94"/>
      <c r="AA82" s="94"/>
      <c r="AB82" s="94"/>
      <c r="AC82" s="94"/>
      <c r="AD82" s="94"/>
      <c r="AE82" s="94"/>
      <c r="AF82" s="94"/>
      <c r="AG82" s="94"/>
      <c r="AH82" s="94"/>
      <c r="AI82" s="223"/>
    </row>
    <row r="83" spans="2:35" x14ac:dyDescent="0.25">
      <c r="B83" s="135"/>
      <c r="C83" s="136"/>
      <c r="D83" s="136"/>
      <c r="E83" s="136"/>
      <c r="F83" s="136"/>
      <c r="G83" s="136"/>
      <c r="H83" s="136"/>
      <c r="I83" s="136"/>
      <c r="J83" s="136"/>
      <c r="K83" s="136"/>
      <c r="L83" s="137"/>
      <c r="N83" s="89"/>
      <c r="O83" s="129" t="s">
        <v>232</v>
      </c>
      <c r="P83" s="168" t="b">
        <v>1</v>
      </c>
      <c r="Q83" s="95"/>
      <c r="S83" s="221"/>
      <c r="T83" s="94"/>
      <c r="U83" s="94"/>
      <c r="V83" s="94"/>
      <c r="W83" s="94"/>
      <c r="X83" s="94"/>
      <c r="Y83" s="94"/>
      <c r="Z83" s="94"/>
      <c r="AA83" s="94"/>
      <c r="AB83" s="94"/>
      <c r="AC83" s="94"/>
      <c r="AD83" s="94"/>
      <c r="AE83" s="94"/>
      <c r="AF83" s="94"/>
      <c r="AG83" s="94"/>
      <c r="AH83" s="94"/>
      <c r="AI83" s="223"/>
    </row>
    <row r="84" spans="2:35" x14ac:dyDescent="0.25">
      <c r="N84" s="89"/>
      <c r="O84" s="129" t="s">
        <v>234</v>
      </c>
      <c r="P84" s="168" t="b">
        <v>1</v>
      </c>
      <c r="Q84" s="95"/>
      <c r="S84" s="221"/>
      <c r="T84" s="94"/>
      <c r="U84" s="94"/>
      <c r="V84" s="94"/>
      <c r="W84" s="94"/>
      <c r="X84" s="94"/>
      <c r="Y84" s="94"/>
      <c r="Z84" s="94"/>
      <c r="AA84" s="94"/>
      <c r="AB84" s="94"/>
      <c r="AC84" s="94"/>
      <c r="AD84" s="94"/>
      <c r="AE84" s="94"/>
      <c r="AF84" s="94"/>
      <c r="AG84" s="94"/>
      <c r="AH84" s="94"/>
      <c r="AI84" s="223"/>
    </row>
    <row r="85" spans="2:35" x14ac:dyDescent="0.25">
      <c r="N85" s="89"/>
      <c r="O85" s="129" t="s">
        <v>152</v>
      </c>
      <c r="P85" s="286">
        <v>1.0000000000000001E-9</v>
      </c>
      <c r="Q85" s="95"/>
      <c r="S85" s="221"/>
      <c r="T85" s="94"/>
      <c r="U85" s="94"/>
      <c r="V85" s="94"/>
      <c r="W85" s="94"/>
      <c r="X85" s="94"/>
      <c r="Y85" s="94"/>
      <c r="Z85" s="94"/>
      <c r="AA85" s="94"/>
      <c r="AB85" s="94"/>
      <c r="AC85" s="94"/>
      <c r="AD85" s="94"/>
      <c r="AE85" s="94"/>
      <c r="AF85" s="94"/>
      <c r="AG85" s="94"/>
      <c r="AH85" s="94"/>
      <c r="AI85" s="223"/>
    </row>
    <row r="86" spans="2:35" x14ac:dyDescent="0.25">
      <c r="B86" s="143" t="s">
        <v>235</v>
      </c>
      <c r="N86" s="89"/>
      <c r="O86" s="129" t="s">
        <v>153</v>
      </c>
      <c r="P86" s="188">
        <v>1000</v>
      </c>
      <c r="Q86" s="95"/>
      <c r="S86" s="221"/>
      <c r="T86" s="94"/>
      <c r="U86" s="94"/>
      <c r="V86" s="94"/>
      <c r="W86" s="94"/>
      <c r="X86" s="94"/>
      <c r="Y86" s="94"/>
      <c r="Z86" s="94"/>
      <c r="AA86" s="94"/>
      <c r="AB86" s="94"/>
      <c r="AC86" s="94"/>
      <c r="AD86" s="94"/>
      <c r="AE86" s="94"/>
      <c r="AF86" s="94"/>
      <c r="AG86" s="94"/>
      <c r="AH86" s="94"/>
      <c r="AI86" s="223"/>
    </row>
    <row r="87" spans="2:35" x14ac:dyDescent="0.25">
      <c r="B87" s="84"/>
      <c r="C87" s="87"/>
      <c r="D87" s="87"/>
      <c r="E87" s="87"/>
      <c r="F87" s="87"/>
      <c r="G87" s="87"/>
      <c r="H87" s="87"/>
      <c r="I87" s="87"/>
      <c r="J87" s="87"/>
      <c r="K87" s="87"/>
      <c r="L87" s="88"/>
      <c r="N87" s="89"/>
      <c r="O87" s="129"/>
      <c r="P87" s="188"/>
      <c r="Q87" s="95"/>
      <c r="S87" s="221"/>
      <c r="T87" s="94"/>
      <c r="U87" s="94"/>
      <c r="V87" s="94"/>
      <c r="W87" s="94"/>
      <c r="X87" s="94"/>
      <c r="Y87" s="94"/>
      <c r="Z87" s="94"/>
      <c r="AA87" s="94"/>
      <c r="AB87" s="94"/>
      <c r="AC87" s="94"/>
      <c r="AD87" s="94"/>
      <c r="AE87" s="94"/>
      <c r="AF87" s="94"/>
      <c r="AG87" s="94"/>
      <c r="AH87" s="94"/>
      <c r="AI87" s="223"/>
    </row>
    <row r="88" spans="2:35" x14ac:dyDescent="0.25">
      <c r="B88" s="89"/>
      <c r="C88" s="96" t="s">
        <v>236</v>
      </c>
      <c r="D88" s="162"/>
      <c r="E88" s="162"/>
      <c r="F88" s="96" t="s">
        <v>237</v>
      </c>
      <c r="G88" s="162"/>
      <c r="H88" s="162"/>
      <c r="I88" s="162"/>
      <c r="J88" s="162"/>
      <c r="K88" s="162"/>
      <c r="L88" s="163"/>
      <c r="N88" s="89"/>
      <c r="O88" s="129"/>
      <c r="P88" s="168"/>
      <c r="Q88" s="95"/>
      <c r="S88" s="221"/>
      <c r="T88" s="94"/>
      <c r="U88" s="94"/>
      <c r="V88" s="94"/>
      <c r="W88" s="94"/>
      <c r="X88" s="94"/>
      <c r="Y88" s="94"/>
      <c r="Z88" s="94"/>
      <c r="AA88" s="94"/>
      <c r="AB88" s="94"/>
      <c r="AC88" s="94"/>
      <c r="AD88" s="94"/>
      <c r="AE88" s="94"/>
      <c r="AF88" s="94"/>
      <c r="AG88" s="94"/>
      <c r="AH88" s="94"/>
      <c r="AI88" s="223"/>
    </row>
    <row r="89" spans="2:35" x14ac:dyDescent="0.25">
      <c r="B89" s="89"/>
      <c r="C89" s="125" t="s">
        <v>10</v>
      </c>
      <c r="D89" s="164" t="s">
        <v>249</v>
      </c>
      <c r="E89" s="94"/>
      <c r="F89" s="227" t="s">
        <v>24</v>
      </c>
      <c r="G89" s="227" t="s">
        <v>84</v>
      </c>
      <c r="H89" s="227" t="s">
        <v>87</v>
      </c>
      <c r="I89" s="162"/>
      <c r="J89" s="162"/>
      <c r="K89" s="162"/>
      <c r="L89" s="163"/>
      <c r="N89" s="89"/>
      <c r="O89" s="291"/>
      <c r="P89" s="189"/>
      <c r="Q89" s="95"/>
      <c r="S89" s="221"/>
      <c r="T89" s="94"/>
      <c r="U89" s="94"/>
      <c r="V89" s="94"/>
      <c r="W89" s="94"/>
      <c r="X89" s="94"/>
      <c r="Y89" s="94"/>
      <c r="Z89" s="94"/>
      <c r="AA89" s="94"/>
      <c r="AB89" s="94"/>
      <c r="AC89" s="94"/>
      <c r="AD89" s="94"/>
      <c r="AE89" s="94"/>
      <c r="AF89" s="94"/>
      <c r="AG89" s="94"/>
      <c r="AH89" s="94"/>
      <c r="AI89" s="223"/>
    </row>
    <row r="90" spans="2:35" x14ac:dyDescent="0.25">
      <c r="B90" s="89"/>
      <c r="C90" s="129" t="s">
        <v>225</v>
      </c>
      <c r="D90" s="168" t="s">
        <v>165</v>
      </c>
      <c r="E90" s="169"/>
      <c r="F90" s="112" t="str">
        <f>'[1]MKT DATA EUR'!U19</f>
        <v>3Y</v>
      </c>
      <c r="G90" s="113">
        <f>'[1]MKT DATA EUR'!Z19</f>
        <v>-3.7599999999999999E-3</v>
      </c>
      <c r="H90" s="116" t="b">
        <v>1</v>
      </c>
      <c r="I90" s="162"/>
      <c r="J90" s="162"/>
      <c r="K90" s="162"/>
      <c r="L90" s="163"/>
      <c r="N90" s="89"/>
      <c r="O90" s="291"/>
      <c r="P90" s="189"/>
      <c r="Q90" s="95"/>
      <c r="S90" s="221"/>
      <c r="T90" s="94"/>
      <c r="U90" s="94"/>
      <c r="V90" s="94"/>
      <c r="W90" s="94"/>
      <c r="X90" s="94"/>
      <c r="Y90" s="94"/>
      <c r="Z90" s="94"/>
      <c r="AA90" s="94"/>
      <c r="AB90" s="94"/>
      <c r="AC90" s="94"/>
      <c r="AD90" s="94"/>
      <c r="AE90" s="94"/>
      <c r="AF90" s="94"/>
      <c r="AG90" s="94"/>
      <c r="AH90" s="94"/>
      <c r="AI90" s="223"/>
    </row>
    <row r="91" spans="2:35" x14ac:dyDescent="0.25">
      <c r="B91" s="89"/>
      <c r="C91" s="129" t="s">
        <v>226</v>
      </c>
      <c r="D91" s="168" t="s">
        <v>125</v>
      </c>
      <c r="E91" s="169"/>
      <c r="F91" s="122" t="str">
        <f>'[1]MKT DATA EUR'!U20</f>
        <v>4Y</v>
      </c>
      <c r="G91" s="123">
        <f>'[1]MKT DATA EUR'!Z20</f>
        <v>-3.62E-3</v>
      </c>
      <c r="H91" s="124" t="b">
        <v>1</v>
      </c>
      <c r="I91" s="162"/>
      <c r="J91" s="162"/>
      <c r="K91" s="162"/>
      <c r="L91" s="163"/>
      <c r="N91" s="89"/>
      <c r="O91" s="292"/>
      <c r="P91" s="198"/>
      <c r="Q91" s="95"/>
      <c r="S91" s="221"/>
      <c r="T91" s="94"/>
      <c r="U91" s="94"/>
      <c r="V91" s="94"/>
      <c r="W91" s="94"/>
      <c r="X91" s="94"/>
      <c r="Y91" s="94"/>
      <c r="Z91" s="94"/>
      <c r="AA91" s="94"/>
      <c r="AB91" s="94"/>
      <c r="AC91" s="94"/>
      <c r="AD91" s="94"/>
      <c r="AE91" s="94"/>
      <c r="AF91" s="94"/>
      <c r="AG91" s="94"/>
      <c r="AH91" s="94"/>
      <c r="AI91" s="223"/>
    </row>
    <row r="92" spans="2:35" x14ac:dyDescent="0.25">
      <c r="B92" s="89"/>
      <c r="C92" s="129" t="s">
        <v>161</v>
      </c>
      <c r="D92" s="168" t="s">
        <v>268</v>
      </c>
      <c r="E92" s="169"/>
      <c r="F92" s="122" t="str">
        <f>'[1]MKT DATA EUR'!U21</f>
        <v>5Y</v>
      </c>
      <c r="G92" s="123">
        <f>'[1]MKT DATA EUR'!Z21</f>
        <v>-3.3600000000000001E-3</v>
      </c>
      <c r="H92" s="124" t="b">
        <v>1</v>
      </c>
      <c r="I92" s="162"/>
      <c r="J92" s="162"/>
      <c r="K92" s="162"/>
      <c r="L92" s="163"/>
      <c r="N92" s="89"/>
      <c r="O92" s="94"/>
      <c r="P92" s="94"/>
      <c r="Q92" s="95"/>
      <c r="S92" s="221"/>
      <c r="T92" s="94"/>
      <c r="U92" s="94"/>
      <c r="V92" s="94"/>
      <c r="W92" s="94"/>
      <c r="X92" s="94"/>
      <c r="Y92" s="94"/>
      <c r="Z92" s="94"/>
      <c r="AA92" s="94"/>
      <c r="AB92" s="94"/>
      <c r="AC92" s="94"/>
      <c r="AD92" s="94"/>
      <c r="AE92" s="94"/>
      <c r="AF92" s="94"/>
      <c r="AG92" s="94"/>
      <c r="AH92" s="94"/>
      <c r="AI92" s="223"/>
    </row>
    <row r="93" spans="2:35" x14ac:dyDescent="0.25">
      <c r="B93" s="89"/>
      <c r="C93" s="129" t="s">
        <v>228</v>
      </c>
      <c r="D93" s="168" t="s">
        <v>229</v>
      </c>
      <c r="E93" s="169"/>
      <c r="F93" s="122" t="str">
        <f>'[1]MKT DATA EUR'!U22</f>
        <v>6Y</v>
      </c>
      <c r="G93" s="123">
        <f>'[1]MKT DATA EUR'!Z22</f>
        <v>-3.0299999999999997E-3</v>
      </c>
      <c r="H93" s="124" t="b">
        <v>1</v>
      </c>
      <c r="I93" s="162"/>
      <c r="J93" s="162"/>
      <c r="K93" s="162"/>
      <c r="L93" s="163"/>
      <c r="N93" s="89"/>
      <c r="O93" s="94"/>
      <c r="P93" s="94"/>
      <c r="Q93" s="95"/>
      <c r="S93" s="221"/>
      <c r="T93" s="94"/>
      <c r="U93" s="94"/>
      <c r="V93" s="94"/>
      <c r="W93" s="94"/>
      <c r="X93" s="94"/>
      <c r="Y93" s="94"/>
      <c r="Z93" s="94"/>
      <c r="AA93" s="94"/>
      <c r="AB93" s="94"/>
      <c r="AC93" s="94"/>
      <c r="AD93" s="94"/>
      <c r="AE93" s="94"/>
      <c r="AF93" s="94"/>
      <c r="AG93" s="94"/>
      <c r="AH93" s="94"/>
      <c r="AI93" s="223"/>
    </row>
    <row r="94" spans="2:35" x14ac:dyDescent="0.25">
      <c r="B94" s="89"/>
      <c r="C94" s="129" t="s">
        <v>7</v>
      </c>
      <c r="D94" s="130" t="s">
        <v>262</v>
      </c>
      <c r="E94" s="169"/>
      <c r="F94" s="122" t="str">
        <f>'[1]MKT DATA EUR'!U23</f>
        <v>7Y</v>
      </c>
      <c r="G94" s="123">
        <f>'[1]MKT DATA EUR'!Z23</f>
        <v>-2.66E-3</v>
      </c>
      <c r="H94" s="124" t="b">
        <v>1</v>
      </c>
      <c r="I94" s="162"/>
      <c r="J94" s="162"/>
      <c r="K94" s="162"/>
      <c r="L94" s="163"/>
      <c r="N94" s="89"/>
      <c r="O94" s="94"/>
      <c r="P94" s="94"/>
      <c r="Q94" s="95"/>
      <c r="S94" s="221"/>
      <c r="T94" s="94"/>
      <c r="U94" s="94"/>
      <c r="V94" s="94"/>
      <c r="W94" s="94"/>
      <c r="X94" s="94"/>
      <c r="Y94" s="94"/>
      <c r="Z94" s="94"/>
      <c r="AA94" s="94"/>
      <c r="AB94" s="94"/>
      <c r="AC94" s="94"/>
      <c r="AD94" s="94"/>
      <c r="AE94" s="94"/>
      <c r="AF94" s="94"/>
      <c r="AG94" s="94"/>
      <c r="AH94" s="94"/>
      <c r="AI94" s="223"/>
    </row>
    <row r="95" spans="2:35" x14ac:dyDescent="0.25">
      <c r="B95" s="89"/>
      <c r="C95" s="129" t="s">
        <v>230</v>
      </c>
      <c r="D95" s="168" t="b">
        <v>1</v>
      </c>
      <c r="E95" s="169"/>
      <c r="F95" s="122" t="str">
        <f>'[1]MKT DATA EUR'!U24</f>
        <v>8Y</v>
      </c>
      <c r="G95" s="123">
        <f>'[1]MKT DATA EUR'!Z24</f>
        <v>-2.2400000000000002E-3</v>
      </c>
      <c r="H95" s="124" t="b">
        <v>1</v>
      </c>
      <c r="I95" s="162"/>
      <c r="J95" s="162"/>
      <c r="K95" s="162"/>
      <c r="L95" s="163"/>
      <c r="N95" s="89"/>
      <c r="O95" s="94"/>
      <c r="P95" s="94"/>
      <c r="Q95" s="95"/>
      <c r="S95" s="221"/>
      <c r="T95" s="94"/>
      <c r="U95" s="94"/>
      <c r="V95" s="94"/>
      <c r="W95" s="94"/>
      <c r="X95" s="94"/>
      <c r="Y95" s="94"/>
      <c r="Z95" s="94"/>
      <c r="AA95" s="94"/>
      <c r="AB95" s="94"/>
      <c r="AC95" s="94"/>
      <c r="AD95" s="94"/>
      <c r="AE95" s="94"/>
      <c r="AF95" s="94"/>
      <c r="AG95" s="94"/>
      <c r="AH95" s="94"/>
      <c r="AI95" s="223"/>
    </row>
    <row r="96" spans="2:35" x14ac:dyDescent="0.25">
      <c r="B96" s="89"/>
      <c r="C96" s="129" t="s">
        <v>231</v>
      </c>
      <c r="D96" s="168">
        <v>31</v>
      </c>
      <c r="E96" s="169"/>
      <c r="F96" s="122" t="str">
        <f>'[1]MKT DATA EUR'!U25</f>
        <v>9Y</v>
      </c>
      <c r="G96" s="123">
        <f>'[1]MKT DATA EUR'!Z25</f>
        <v>-1.83E-3</v>
      </c>
      <c r="H96" s="124" t="b">
        <v>1</v>
      </c>
      <c r="I96" s="162"/>
      <c r="J96" s="162"/>
      <c r="K96" s="162"/>
      <c r="L96" s="163"/>
      <c r="N96" s="89"/>
      <c r="O96" s="94"/>
      <c r="P96" s="94"/>
      <c r="Q96" s="95"/>
      <c r="S96" s="221"/>
      <c r="T96" s="94"/>
      <c r="U96" s="94"/>
      <c r="V96" s="94"/>
      <c r="W96" s="94"/>
      <c r="X96" s="94"/>
      <c r="Y96" s="94"/>
      <c r="Z96" s="94"/>
      <c r="AA96" s="94"/>
      <c r="AB96" s="94"/>
      <c r="AC96" s="94"/>
      <c r="AD96" s="94"/>
      <c r="AE96" s="94"/>
      <c r="AF96" s="94"/>
      <c r="AG96" s="94"/>
      <c r="AH96" s="94"/>
      <c r="AI96" s="223"/>
    </row>
    <row r="97" spans="2:35" x14ac:dyDescent="0.25">
      <c r="B97" s="89"/>
      <c r="C97" s="129" t="s">
        <v>233</v>
      </c>
      <c r="D97" s="168">
        <v>2</v>
      </c>
      <c r="E97" s="169"/>
      <c r="F97" s="122" t="str">
        <f>'[1]MKT DATA EUR'!U26</f>
        <v>10Y</v>
      </c>
      <c r="G97" s="123">
        <f>'[1]MKT DATA EUR'!Z26</f>
        <v>-1.4199999999999998E-3</v>
      </c>
      <c r="H97" s="124" t="b">
        <v>1</v>
      </c>
      <c r="I97" s="162"/>
      <c r="J97" s="162"/>
      <c r="K97" s="162"/>
      <c r="L97" s="163"/>
      <c r="N97" s="89"/>
      <c r="O97" s="94"/>
      <c r="P97" s="94"/>
      <c r="Q97" s="95"/>
      <c r="S97" s="221"/>
      <c r="T97" s="94"/>
      <c r="U97" s="94"/>
      <c r="V97" s="94"/>
      <c r="W97" s="94"/>
      <c r="X97" s="94"/>
      <c r="Y97" s="94"/>
      <c r="Z97" s="94"/>
      <c r="AA97" s="94"/>
      <c r="AB97" s="94"/>
      <c r="AC97" s="94"/>
      <c r="AD97" s="94"/>
      <c r="AE97" s="94"/>
      <c r="AF97" s="94"/>
      <c r="AG97" s="94"/>
      <c r="AH97" s="94"/>
      <c r="AI97" s="223"/>
    </row>
    <row r="98" spans="2:35" x14ac:dyDescent="0.25">
      <c r="B98" s="89"/>
      <c r="C98" s="129" t="s">
        <v>14</v>
      </c>
      <c r="D98" s="168" t="s">
        <v>15</v>
      </c>
      <c r="E98" s="169"/>
      <c r="F98" s="122" t="str">
        <f>'[1]MKT DATA EUR'!U27</f>
        <v>11Y</v>
      </c>
      <c r="G98" s="123">
        <f>'[1]MKT DATA EUR'!Z27</f>
        <v>-1E-3</v>
      </c>
      <c r="H98" s="124" t="b">
        <v>1</v>
      </c>
      <c r="I98" s="162"/>
      <c r="J98" s="162"/>
      <c r="K98" s="162"/>
      <c r="L98" s="163"/>
      <c r="N98" s="89"/>
      <c r="O98" s="94"/>
      <c r="P98" s="94"/>
      <c r="Q98" s="95"/>
      <c r="S98" s="221"/>
      <c r="T98" s="94"/>
      <c r="U98" s="94"/>
      <c r="V98" s="94"/>
      <c r="W98" s="94"/>
      <c r="X98" s="94"/>
      <c r="Y98" s="94"/>
      <c r="Z98" s="94"/>
      <c r="AA98" s="94"/>
      <c r="AB98" s="94"/>
      <c r="AC98" s="94"/>
      <c r="AD98" s="94"/>
      <c r="AE98" s="94"/>
      <c r="AF98" s="94"/>
      <c r="AG98" s="94"/>
      <c r="AH98" s="94"/>
      <c r="AI98" s="223"/>
    </row>
    <row r="99" spans="2:35" x14ac:dyDescent="0.25">
      <c r="B99" s="89"/>
      <c r="C99" s="129" t="s">
        <v>232</v>
      </c>
      <c r="D99" s="168" t="b">
        <v>1</v>
      </c>
      <c r="E99" s="169"/>
      <c r="F99" s="122" t="str">
        <f>'[1]MKT DATA EUR'!U28</f>
        <v>12Y</v>
      </c>
      <c r="G99" s="123">
        <f>'[1]MKT DATA EUR'!Z28</f>
        <v>-6.2E-4</v>
      </c>
      <c r="H99" s="124" t="b">
        <v>1</v>
      </c>
      <c r="I99" s="162"/>
      <c r="J99" s="162"/>
      <c r="K99" s="162"/>
      <c r="L99" s="163"/>
      <c r="N99" s="89"/>
      <c r="O99" s="94"/>
      <c r="P99" s="94"/>
      <c r="Q99" s="95"/>
      <c r="S99" s="221"/>
      <c r="T99" s="94"/>
      <c r="U99" s="94"/>
      <c r="V99" s="94"/>
      <c r="W99" s="94"/>
      <c r="X99" s="94"/>
      <c r="Y99" s="94"/>
      <c r="Z99" s="94"/>
      <c r="AA99" s="94"/>
      <c r="AB99" s="94"/>
      <c r="AC99" s="94"/>
      <c r="AD99" s="94"/>
      <c r="AE99" s="94"/>
      <c r="AF99" s="94"/>
      <c r="AG99" s="94"/>
      <c r="AH99" s="94"/>
      <c r="AI99" s="223"/>
    </row>
    <row r="100" spans="2:35" x14ac:dyDescent="0.25">
      <c r="B100" s="89"/>
      <c r="C100" s="129" t="s">
        <v>234</v>
      </c>
      <c r="D100" s="168" t="b">
        <v>1</v>
      </c>
      <c r="E100" s="169"/>
      <c r="F100" s="122" t="str">
        <f>'[1]MKT DATA EUR'!U29</f>
        <v>15Y</v>
      </c>
      <c r="G100" s="123">
        <f>'[1]MKT DATA EUR'!Z29</f>
        <v>3.4000000000000002E-4</v>
      </c>
      <c r="H100" s="124" t="b">
        <v>1</v>
      </c>
      <c r="I100" s="162"/>
      <c r="J100" s="162"/>
      <c r="K100" s="162"/>
      <c r="L100" s="163"/>
      <c r="N100" s="89"/>
      <c r="O100" s="94"/>
      <c r="P100" s="94"/>
      <c r="Q100" s="95"/>
      <c r="S100" s="221"/>
      <c r="T100" s="94"/>
      <c r="U100" s="94"/>
      <c r="V100" s="94"/>
      <c r="W100" s="94"/>
      <c r="X100" s="94"/>
      <c r="Y100" s="94"/>
      <c r="Z100" s="94"/>
      <c r="AA100" s="94"/>
      <c r="AB100" s="94"/>
      <c r="AC100" s="94"/>
      <c r="AD100" s="94"/>
      <c r="AE100" s="94"/>
      <c r="AF100" s="94"/>
      <c r="AG100" s="94"/>
      <c r="AH100" s="94"/>
      <c r="AI100" s="223"/>
    </row>
    <row r="101" spans="2:35" x14ac:dyDescent="0.25">
      <c r="B101" s="89"/>
      <c r="C101" s="129" t="s">
        <v>152</v>
      </c>
      <c r="D101" s="286">
        <v>1.0000000000000001E-9</v>
      </c>
      <c r="E101" s="169"/>
      <c r="F101" s="122" t="str">
        <f>'[1]MKT DATA EUR'!U30</f>
        <v>20Y</v>
      </c>
      <c r="G101" s="123">
        <f>'[1]MKT DATA EUR'!Z30</f>
        <v>9.2000000000000003E-4</v>
      </c>
      <c r="H101" s="124" t="b">
        <v>1</v>
      </c>
      <c r="I101" s="162"/>
      <c r="J101" s="162"/>
      <c r="K101" s="162"/>
      <c r="L101" s="163"/>
      <c r="N101" s="89"/>
      <c r="O101" s="94"/>
      <c r="P101" s="94"/>
      <c r="Q101" s="95"/>
      <c r="S101" s="221"/>
      <c r="T101" s="94"/>
      <c r="U101" s="94"/>
      <c r="V101" s="94"/>
      <c r="W101" s="94"/>
      <c r="X101" s="94"/>
      <c r="Y101" s="94"/>
      <c r="Z101" s="94"/>
      <c r="AA101" s="94"/>
      <c r="AB101" s="94"/>
      <c r="AC101" s="94"/>
      <c r="AD101" s="94"/>
      <c r="AE101" s="94"/>
      <c r="AF101" s="94"/>
      <c r="AG101" s="94"/>
      <c r="AH101" s="94"/>
      <c r="AI101" s="223"/>
    </row>
    <row r="102" spans="2:35" x14ac:dyDescent="0.25">
      <c r="B102" s="89"/>
      <c r="C102" s="129" t="s">
        <v>153</v>
      </c>
      <c r="D102" s="188">
        <v>1000</v>
      </c>
      <c r="E102" s="169"/>
      <c r="F102" s="122" t="str">
        <f>'[1]MKT DATA EUR'!U31</f>
        <v>25Y</v>
      </c>
      <c r="G102" s="123">
        <f>'[1]MKT DATA EUR'!Z31</f>
        <v>6.9000000000000008E-4</v>
      </c>
      <c r="H102" s="124" t="b">
        <v>1</v>
      </c>
      <c r="I102" s="162"/>
      <c r="J102" s="162"/>
      <c r="K102" s="162"/>
      <c r="L102" s="163"/>
      <c r="N102" s="89"/>
      <c r="O102" s="94"/>
      <c r="P102" s="94"/>
      <c r="Q102" s="95"/>
      <c r="S102" s="221"/>
      <c r="T102" s="94"/>
      <c r="U102" s="94"/>
      <c r="V102" s="94"/>
      <c r="W102" s="94"/>
      <c r="X102" s="94"/>
      <c r="Y102" s="94"/>
      <c r="Z102" s="94"/>
      <c r="AA102" s="94"/>
      <c r="AB102" s="94"/>
      <c r="AC102" s="94"/>
      <c r="AD102" s="94"/>
      <c r="AE102" s="94"/>
      <c r="AF102" s="94"/>
      <c r="AG102" s="94"/>
      <c r="AH102" s="94"/>
      <c r="AI102" s="223"/>
    </row>
    <row r="103" spans="2:35" x14ac:dyDescent="0.25">
      <c r="B103" s="89"/>
      <c r="C103" s="129"/>
      <c r="D103" s="168"/>
      <c r="E103" s="169"/>
      <c r="F103" s="122" t="str">
        <f>'[1]MKT DATA EUR'!U32</f>
        <v>30Y</v>
      </c>
      <c r="G103" s="123">
        <f>'[1]MKT DATA EUR'!Z32</f>
        <v>1.6000000000000001E-4</v>
      </c>
      <c r="H103" s="124" t="b">
        <v>1</v>
      </c>
      <c r="I103" s="162"/>
      <c r="J103" s="162"/>
      <c r="K103" s="162"/>
      <c r="L103" s="163"/>
      <c r="N103" s="89"/>
      <c r="O103" s="94"/>
      <c r="P103" s="94"/>
      <c r="Q103" s="95"/>
      <c r="S103" s="221"/>
      <c r="T103" s="94"/>
      <c r="U103" s="94"/>
      <c r="V103" s="94"/>
      <c r="W103" s="94"/>
      <c r="X103" s="94"/>
      <c r="Y103" s="94"/>
      <c r="Z103" s="94"/>
      <c r="AA103" s="94"/>
      <c r="AB103" s="94"/>
      <c r="AC103" s="94"/>
      <c r="AD103" s="94"/>
      <c r="AE103" s="94"/>
      <c r="AF103" s="94"/>
      <c r="AG103" s="94"/>
      <c r="AH103" s="94"/>
      <c r="AI103" s="223"/>
    </row>
    <row r="104" spans="2:35" x14ac:dyDescent="0.25">
      <c r="B104" s="89"/>
      <c r="C104" s="129"/>
      <c r="D104" s="168"/>
      <c r="E104" s="169"/>
      <c r="F104" s="122" t="str">
        <f>'[1]MKT DATA EUR'!U33</f>
        <v>40Y</v>
      </c>
      <c r="G104" s="123">
        <f>'[1]MKT DATA EUR'!Z33</f>
        <v>-6.3000000000000003E-4</v>
      </c>
      <c r="H104" s="124" t="b">
        <v>1</v>
      </c>
      <c r="I104" s="162"/>
      <c r="J104" s="162"/>
      <c r="K104" s="162"/>
      <c r="L104" s="163"/>
      <c r="N104" s="89"/>
      <c r="O104" s="94"/>
      <c r="P104" s="94"/>
      <c r="Q104" s="95"/>
      <c r="S104" s="221"/>
      <c r="T104" s="94"/>
      <c r="U104" s="94"/>
      <c r="V104" s="94"/>
      <c r="W104" s="94"/>
      <c r="X104" s="94"/>
      <c r="Y104" s="94"/>
      <c r="Z104" s="94"/>
      <c r="AA104" s="94"/>
      <c r="AB104" s="94"/>
      <c r="AC104" s="94"/>
      <c r="AD104" s="94"/>
      <c r="AE104" s="94"/>
      <c r="AF104" s="94"/>
      <c r="AG104" s="94"/>
      <c r="AH104" s="94"/>
      <c r="AI104" s="223"/>
    </row>
    <row r="105" spans="2:35" x14ac:dyDescent="0.25">
      <c r="B105" s="89"/>
      <c r="C105" s="129"/>
      <c r="D105" s="168"/>
      <c r="E105" s="169"/>
      <c r="F105" s="122" t="str">
        <f>'[1]MKT DATA EUR'!U34</f>
        <v>50Y</v>
      </c>
      <c r="G105" s="123">
        <f>'[1]MKT DATA EUR'!Z34</f>
        <v>-1.32E-3</v>
      </c>
      <c r="H105" s="124" t="b">
        <v>1</v>
      </c>
      <c r="I105" s="162"/>
      <c r="J105" s="162"/>
      <c r="K105" s="162"/>
      <c r="L105" s="163"/>
      <c r="N105" s="89"/>
      <c r="O105" s="94"/>
      <c r="P105" s="94"/>
      <c r="Q105" s="95"/>
      <c r="S105" s="221"/>
      <c r="T105" s="94"/>
      <c r="U105" s="94"/>
      <c r="V105" s="94"/>
      <c r="W105" s="94"/>
      <c r="X105" s="94"/>
      <c r="Y105" s="94"/>
      <c r="Z105" s="94"/>
      <c r="AA105" s="94"/>
      <c r="AB105" s="94"/>
      <c r="AC105" s="94"/>
      <c r="AD105" s="94"/>
      <c r="AE105" s="94"/>
      <c r="AF105" s="94"/>
      <c r="AG105" s="94"/>
      <c r="AH105" s="94"/>
      <c r="AI105" s="223"/>
    </row>
    <row r="106" spans="2:35" x14ac:dyDescent="0.25">
      <c r="B106" s="89"/>
      <c r="C106" s="129"/>
      <c r="D106" s="168"/>
      <c r="E106" s="169"/>
      <c r="F106" s="122"/>
      <c r="G106" s="123"/>
      <c r="H106" s="124"/>
      <c r="I106" s="162"/>
      <c r="J106" s="162"/>
      <c r="K106" s="162"/>
      <c r="L106" s="163"/>
      <c r="N106" s="89"/>
      <c r="O106" s="94"/>
      <c r="P106" s="94"/>
      <c r="Q106" s="95"/>
      <c r="S106" s="221"/>
      <c r="T106" s="94"/>
      <c r="U106" s="94"/>
      <c r="V106" s="94"/>
      <c r="W106" s="94"/>
      <c r="X106" s="94"/>
      <c r="Y106" s="94"/>
      <c r="Z106" s="94"/>
      <c r="AA106" s="94"/>
      <c r="AB106" s="94"/>
      <c r="AC106" s="94"/>
      <c r="AD106" s="94"/>
      <c r="AE106" s="94"/>
      <c r="AF106" s="94"/>
      <c r="AG106" s="94"/>
      <c r="AH106" s="94"/>
      <c r="AI106" s="223"/>
    </row>
    <row r="107" spans="2:35" x14ac:dyDescent="0.25">
      <c r="B107" s="89"/>
      <c r="C107" s="149"/>
      <c r="D107" s="314"/>
      <c r="E107" s="169"/>
      <c r="F107" s="250"/>
      <c r="G107" s="335"/>
      <c r="H107" s="297"/>
      <c r="I107" s="162"/>
      <c r="J107" s="162"/>
      <c r="K107" s="162"/>
      <c r="L107" s="163"/>
      <c r="N107" s="89"/>
      <c r="O107" s="94"/>
      <c r="P107" s="94"/>
      <c r="Q107" s="95"/>
      <c r="S107" s="221"/>
      <c r="T107" s="94"/>
      <c r="U107" s="94"/>
      <c r="V107" s="94"/>
      <c r="W107" s="94"/>
      <c r="X107" s="94"/>
      <c r="Y107" s="94"/>
      <c r="Z107" s="94"/>
      <c r="AA107" s="94"/>
      <c r="AB107" s="94"/>
      <c r="AC107" s="94"/>
      <c r="AD107" s="94"/>
      <c r="AE107" s="94"/>
      <c r="AF107" s="94"/>
      <c r="AG107" s="94"/>
      <c r="AH107" s="94"/>
      <c r="AI107" s="223"/>
    </row>
    <row r="108" spans="2:35" x14ac:dyDescent="0.25">
      <c r="B108" s="89"/>
      <c r="C108" s="169"/>
      <c r="D108" s="169"/>
      <c r="E108" s="169"/>
      <c r="F108" s="162"/>
      <c r="G108" s="162"/>
      <c r="H108" s="162"/>
      <c r="I108" s="162"/>
      <c r="J108" s="162"/>
      <c r="K108" s="162"/>
      <c r="L108" s="163"/>
      <c r="N108" s="89"/>
      <c r="O108" s="94"/>
      <c r="P108" s="94"/>
      <c r="Q108" s="95"/>
      <c r="S108" s="221"/>
      <c r="T108" s="94"/>
      <c r="U108" s="94"/>
      <c r="V108" s="94"/>
      <c r="W108" s="94"/>
      <c r="X108" s="94"/>
      <c r="Y108" s="94"/>
      <c r="Z108" s="94"/>
      <c r="AA108" s="94"/>
      <c r="AB108" s="94"/>
      <c r="AC108" s="94"/>
      <c r="AD108" s="94"/>
      <c r="AE108" s="94"/>
      <c r="AF108" s="94"/>
      <c r="AG108" s="94"/>
      <c r="AH108" s="94"/>
      <c r="AI108" s="223"/>
    </row>
    <row r="109" spans="2:35" x14ac:dyDescent="0.25">
      <c r="B109" s="135"/>
      <c r="C109" s="136"/>
      <c r="D109" s="136"/>
      <c r="E109" s="136"/>
      <c r="F109" s="136"/>
      <c r="G109" s="136"/>
      <c r="H109" s="136"/>
      <c r="I109" s="136"/>
      <c r="J109" s="136"/>
      <c r="K109" s="136"/>
      <c r="L109" s="137"/>
      <c r="N109" s="135"/>
      <c r="O109" s="136"/>
      <c r="P109" s="136"/>
      <c r="Q109" s="137"/>
      <c r="S109" s="298"/>
      <c r="T109" s="299"/>
      <c r="U109" s="299"/>
      <c r="V109" s="299"/>
      <c r="W109" s="299"/>
      <c r="X109" s="299"/>
      <c r="Y109" s="299"/>
      <c r="Z109" s="299"/>
      <c r="AA109" s="299"/>
      <c r="AB109" s="299"/>
      <c r="AC109" s="299"/>
      <c r="AD109" s="299"/>
      <c r="AE109" s="299"/>
      <c r="AF109" s="299"/>
      <c r="AG109" s="299"/>
      <c r="AH109" s="299"/>
      <c r="AI109" s="300"/>
    </row>
  </sheetData>
  <dataValidations count="3">
    <dataValidation type="list" allowBlank="1" showInputMessage="1" showErrorMessage="1" sqref="P5 D4">
      <formula1>"TRUE,FALSE"</formula1>
    </dataValidation>
    <dataValidation type="list" allowBlank="1" showInputMessage="1" showErrorMessage="1" sqref="D20:D22 D94 P78">
      <formula1>$F$18:$F$23</formula1>
    </dataValidation>
    <dataValidation type="list" allowBlank="1" showInputMessage="1" showErrorMessage="1" sqref="D50 D98 D71 P31 P41 P60 P82">
      <formula1>"FOLLOWING,MOD_FOLLOWING,PRECEDING,MOD_PRECEEDING,NO_CHANGE"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0">
    <tabColor theme="1" tint="0.499984740745262"/>
  </sheetPr>
  <dimension ref="A1:U103"/>
  <sheetViews>
    <sheetView showGridLines="0" topLeftCell="A13" workbookViewId="0">
      <selection activeCell="M20" sqref="M20:M23"/>
    </sheetView>
  </sheetViews>
  <sheetFormatPr defaultRowHeight="15" x14ac:dyDescent="0.25"/>
  <cols>
    <col min="1" max="1" width="4.7109375" customWidth="1"/>
    <col min="2" max="2" width="2.7109375" hidden="1" customWidth="1"/>
    <col min="3" max="3" width="11" hidden="1" customWidth="1"/>
    <col min="4" max="4" width="30.7109375" hidden="1" customWidth="1"/>
    <col min="5" max="5" width="35.7109375" hidden="1" customWidth="1"/>
    <col min="6" max="6" width="4.7109375" hidden="1" customWidth="1"/>
    <col min="7" max="9" width="20.7109375" hidden="1" customWidth="1"/>
    <col min="10" max="11" width="4.7109375" hidden="1" customWidth="1"/>
    <col min="12" max="12" width="21.85546875" customWidth="1"/>
    <col min="13" max="13" width="34.7109375" bestFit="1" customWidth="1"/>
    <col min="19" max="20" width="10.7109375" customWidth="1"/>
  </cols>
  <sheetData>
    <row r="1" spans="1:20" x14ac:dyDescent="0.25">
      <c r="A1" s="336"/>
    </row>
    <row r="2" spans="1:20" x14ac:dyDescent="0.25">
      <c r="L2" s="1" t="s">
        <v>18</v>
      </c>
      <c r="M2" s="337"/>
      <c r="O2" s="338" t="s">
        <v>21</v>
      </c>
      <c r="S2" s="338" t="s">
        <v>269</v>
      </c>
      <c r="T2" s="339"/>
    </row>
    <row r="3" spans="1:20" x14ac:dyDescent="0.25">
      <c r="B3" s="143" t="s">
        <v>270</v>
      </c>
      <c r="C3" s="143"/>
      <c r="L3" s="7" t="s">
        <v>2</v>
      </c>
      <c r="M3" s="340" t="s">
        <v>239</v>
      </c>
      <c r="O3" s="341" t="s">
        <v>350</v>
      </c>
      <c r="P3" s="342" t="s">
        <v>349</v>
      </c>
      <c r="Q3" s="343" t="s">
        <v>84</v>
      </c>
      <c r="R3" s="392"/>
      <c r="S3" s="344" t="s">
        <v>24</v>
      </c>
      <c r="T3" s="345" t="s">
        <v>84</v>
      </c>
    </row>
    <row r="4" spans="1:20" x14ac:dyDescent="0.25">
      <c r="B4" s="84"/>
      <c r="C4" s="87"/>
      <c r="D4" s="85"/>
      <c r="E4" s="86"/>
      <c r="F4" s="87"/>
      <c r="G4" s="87"/>
      <c r="H4" s="87"/>
      <c r="I4" s="87"/>
      <c r="J4" s="88"/>
      <c r="L4" s="8" t="s">
        <v>5</v>
      </c>
      <c r="M4" s="346" t="s">
        <v>273</v>
      </c>
      <c r="O4" s="393" t="s">
        <v>239</v>
      </c>
      <c r="P4" s="394" t="s">
        <v>90</v>
      </c>
      <c r="Q4" s="395">
        <v>1.0850500000000001</v>
      </c>
      <c r="R4" s="392"/>
      <c r="S4" s="396" t="s">
        <v>37</v>
      </c>
      <c r="T4" s="397">
        <v>-1E-3</v>
      </c>
    </row>
    <row r="5" spans="1:20" x14ac:dyDescent="0.25">
      <c r="B5" s="89"/>
      <c r="C5" s="94"/>
      <c r="D5" s="347" t="s">
        <v>270</v>
      </c>
      <c r="E5" s="348" t="s">
        <v>274</v>
      </c>
      <c r="F5" s="349"/>
      <c r="G5" s="350"/>
      <c r="H5" s="94" t="s">
        <v>78</v>
      </c>
      <c r="I5" s="94"/>
      <c r="J5" s="95"/>
      <c r="L5" s="8" t="s">
        <v>95</v>
      </c>
      <c r="M5" s="346" t="s">
        <v>162</v>
      </c>
      <c r="O5" s="392"/>
      <c r="P5" s="392"/>
      <c r="Q5" s="392"/>
      <c r="R5" s="392"/>
      <c r="S5" s="396" t="s">
        <v>40</v>
      </c>
      <c r="T5" s="397">
        <v>-1.5874999999999999E-3</v>
      </c>
    </row>
    <row r="6" spans="1:20" x14ac:dyDescent="0.25">
      <c r="B6" s="89"/>
      <c r="C6" s="94"/>
      <c r="D6" s="204" t="s">
        <v>148</v>
      </c>
      <c r="E6" s="204" t="b">
        <f>LEFT(E5,5)=CurveCollection</f>
        <v>0</v>
      </c>
      <c r="F6" s="94"/>
      <c r="G6" s="94"/>
      <c r="H6" s="94"/>
      <c r="I6" s="94"/>
      <c r="J6" s="95"/>
      <c r="L6" s="9" t="s">
        <v>19</v>
      </c>
      <c r="M6" s="351">
        <f ca="1">TODAY()</f>
        <v>43937</v>
      </c>
      <c r="O6" s="392"/>
      <c r="P6" s="392"/>
      <c r="Q6" s="392"/>
      <c r="R6" s="392"/>
      <c r="S6" s="396" t="s">
        <v>41</v>
      </c>
      <c r="T6" s="397">
        <v>-1.8E-3</v>
      </c>
    </row>
    <row r="7" spans="1:20" x14ac:dyDescent="0.25">
      <c r="B7" s="89"/>
      <c r="C7" s="94"/>
      <c r="D7" s="97"/>
      <c r="E7" s="107"/>
      <c r="F7" s="94"/>
      <c r="G7" s="94"/>
      <c r="H7" s="94"/>
      <c r="I7" s="94"/>
      <c r="J7" s="95"/>
      <c r="M7" s="337"/>
      <c r="O7" s="398" t="s">
        <v>9</v>
      </c>
      <c r="P7" s="392"/>
      <c r="Q7" s="392"/>
      <c r="R7" s="392"/>
      <c r="S7" s="396" t="s">
        <v>42</v>
      </c>
      <c r="T7" s="397">
        <v>-1.9124999999999999E-3</v>
      </c>
    </row>
    <row r="8" spans="1:20" x14ac:dyDescent="0.25">
      <c r="B8" s="89"/>
      <c r="C8" s="94"/>
      <c r="D8" s="117" t="s">
        <v>91</v>
      </c>
      <c r="E8" s="118"/>
      <c r="F8" s="94"/>
      <c r="G8" s="94"/>
      <c r="H8" s="94"/>
      <c r="I8" s="94"/>
      <c r="J8" s="95"/>
      <c r="L8" s="5" t="s">
        <v>275</v>
      </c>
      <c r="M8" s="337"/>
      <c r="O8" s="344" t="s">
        <v>24</v>
      </c>
      <c r="P8" s="352" t="s">
        <v>84</v>
      </c>
      <c r="Q8" s="345"/>
      <c r="R8" s="392"/>
      <c r="S8" s="396" t="s">
        <v>43</v>
      </c>
      <c r="T8" s="397">
        <v>-2.0249999999999999E-3</v>
      </c>
    </row>
    <row r="9" spans="1:20" x14ac:dyDescent="0.25">
      <c r="B9" s="89"/>
      <c r="C9" s="94"/>
      <c r="D9" s="125" t="s">
        <v>93</v>
      </c>
      <c r="E9" s="126" t="s">
        <v>55</v>
      </c>
      <c r="F9" s="94"/>
      <c r="G9" s="94"/>
      <c r="H9" s="94"/>
      <c r="I9" s="94"/>
      <c r="J9" s="95"/>
      <c r="L9" s="7" t="s">
        <v>101</v>
      </c>
      <c r="M9" s="340" t="s">
        <v>276</v>
      </c>
      <c r="O9" s="396" t="s">
        <v>25</v>
      </c>
      <c r="P9" s="71">
        <v>0.185</v>
      </c>
      <c r="Q9" s="399"/>
      <c r="R9" s="392"/>
      <c r="S9" s="396" t="s">
        <v>44</v>
      </c>
      <c r="T9" s="397">
        <v>-2.1375000000000001E-3</v>
      </c>
    </row>
    <row r="10" spans="1:20" x14ac:dyDescent="0.25">
      <c r="B10" s="89"/>
      <c r="C10" s="94"/>
      <c r="D10" s="129" t="s">
        <v>97</v>
      </c>
      <c r="E10" s="130" t="s">
        <v>277</v>
      </c>
      <c r="F10" s="94"/>
      <c r="G10" s="94"/>
      <c r="H10" s="94"/>
      <c r="I10" s="94"/>
      <c r="J10" s="95"/>
      <c r="L10" s="8" t="s">
        <v>106</v>
      </c>
      <c r="M10" s="353" t="str">
        <f ca="1">_xll.meLWOCurveMarketDataPulse(M9,Settings.PulseFrequency,L2,L3:M6,O2,O4:Q4,O7,O9:P23,S2,S4:T23)</f>
        <v>EUR_XCCYBASIS_MARKETDATA@4:2</v>
      </c>
      <c r="O10" s="396" t="s">
        <v>26</v>
      </c>
      <c r="P10" s="71">
        <v>0.58899999999999997</v>
      </c>
      <c r="Q10" s="399"/>
      <c r="R10" s="392"/>
      <c r="S10" s="396" t="s">
        <v>45</v>
      </c>
      <c r="T10" s="397">
        <v>-2.2125000000000001E-3</v>
      </c>
    </row>
    <row r="11" spans="1:20" x14ac:dyDescent="0.25">
      <c r="B11" s="89"/>
      <c r="C11" s="94"/>
      <c r="D11" s="133" t="s">
        <v>98</v>
      </c>
      <c r="E11" s="150" t="s">
        <v>278</v>
      </c>
      <c r="F11" s="94"/>
      <c r="G11" s="94"/>
      <c r="H11" s="94"/>
      <c r="I11" s="94" t="s">
        <v>78</v>
      </c>
      <c r="J11" s="95" t="s">
        <v>78</v>
      </c>
      <c r="L11" s="9"/>
      <c r="M11" s="354"/>
      <c r="O11" s="396" t="s">
        <v>27</v>
      </c>
      <c r="P11" s="71">
        <v>1.56</v>
      </c>
      <c r="Q11" s="399"/>
      <c r="R11" s="392"/>
      <c r="S11" s="396" t="s">
        <v>46</v>
      </c>
      <c r="T11" s="397">
        <v>-2.2374999999999999E-3</v>
      </c>
    </row>
    <row r="12" spans="1:20" x14ac:dyDescent="0.25">
      <c r="B12" s="135"/>
      <c r="C12" s="136"/>
      <c r="D12" s="136"/>
      <c r="E12" s="136"/>
      <c r="F12" s="136"/>
      <c r="G12" s="136"/>
      <c r="H12" s="136"/>
      <c r="I12" s="136"/>
      <c r="J12" s="137"/>
      <c r="M12" s="337"/>
      <c r="O12" s="396" t="s">
        <v>28</v>
      </c>
      <c r="P12" s="71">
        <v>3.57</v>
      </c>
      <c r="Q12" s="399"/>
      <c r="R12" s="392"/>
      <c r="S12" s="396" t="s">
        <v>47</v>
      </c>
      <c r="T12" s="397">
        <v>-2.225E-3</v>
      </c>
    </row>
    <row r="13" spans="1:20" x14ac:dyDescent="0.25">
      <c r="I13" s="303"/>
      <c r="J13" s="303"/>
      <c r="L13" s="5" t="s">
        <v>279</v>
      </c>
      <c r="M13" s="337"/>
      <c r="O13" s="396" t="s">
        <v>29</v>
      </c>
      <c r="P13" s="71">
        <v>5.5</v>
      </c>
      <c r="Q13" s="399"/>
      <c r="R13" s="392"/>
      <c r="S13" s="396" t="s">
        <v>48</v>
      </c>
      <c r="T13" s="397">
        <v>-2.2125000000000001E-3</v>
      </c>
    </row>
    <row r="14" spans="1:20" x14ac:dyDescent="0.25">
      <c r="I14" s="303"/>
      <c r="J14" s="303"/>
      <c r="L14" s="7" t="s">
        <v>280</v>
      </c>
      <c r="M14" s="340" t="s">
        <v>281</v>
      </c>
      <c r="O14" s="396" t="s">
        <v>30</v>
      </c>
      <c r="P14" s="71">
        <v>8.1</v>
      </c>
      <c r="Q14" s="399"/>
      <c r="R14" s="392"/>
      <c r="S14" s="396" t="s">
        <v>103</v>
      </c>
      <c r="T14" s="397">
        <v>-2.2000000000000001E-3</v>
      </c>
    </row>
    <row r="15" spans="1:20" x14ac:dyDescent="0.25">
      <c r="B15" s="143" t="s">
        <v>104</v>
      </c>
      <c r="C15" s="143"/>
      <c r="I15" s="303"/>
      <c r="J15" s="303"/>
      <c r="L15" s="8" t="s">
        <v>282</v>
      </c>
      <c r="M15" s="346" t="s">
        <v>283</v>
      </c>
      <c r="O15" s="396" t="s">
        <v>31</v>
      </c>
      <c r="P15" s="71">
        <v>17.399999999999999</v>
      </c>
      <c r="Q15" s="399"/>
      <c r="R15" s="392"/>
      <c r="S15" s="396" t="s">
        <v>107</v>
      </c>
      <c r="T15" s="397">
        <v>-1.9875000000000001E-3</v>
      </c>
    </row>
    <row r="16" spans="1:20" x14ac:dyDescent="0.25">
      <c r="B16" s="84"/>
      <c r="C16" s="87"/>
      <c r="D16" s="85"/>
      <c r="E16" s="86"/>
      <c r="F16" s="87"/>
      <c r="G16" s="87"/>
      <c r="H16" s="87"/>
      <c r="I16" s="87"/>
      <c r="J16" s="88"/>
      <c r="L16" s="8" t="s">
        <v>284</v>
      </c>
      <c r="M16" s="346" t="s">
        <v>55</v>
      </c>
      <c r="O16" s="396" t="s">
        <v>32</v>
      </c>
      <c r="P16" s="71">
        <v>25.53</v>
      </c>
      <c r="Q16" s="399"/>
      <c r="R16" s="392"/>
      <c r="S16" s="396" t="s">
        <v>108</v>
      </c>
      <c r="T16" s="397">
        <v>-1.4375E-3</v>
      </c>
    </row>
    <row r="17" spans="2:21" x14ac:dyDescent="0.25">
      <c r="B17" s="89"/>
      <c r="C17" s="94"/>
      <c r="D17" s="117" t="s">
        <v>104</v>
      </c>
      <c r="E17" s="146"/>
      <c r="F17" s="94"/>
      <c r="G17" s="94"/>
      <c r="H17" s="94"/>
      <c r="I17" s="94"/>
      <c r="J17" s="95"/>
      <c r="L17" s="9" t="s">
        <v>285</v>
      </c>
      <c r="M17" s="354" t="s">
        <v>56</v>
      </c>
      <c r="O17" s="396" t="s">
        <v>33</v>
      </c>
      <c r="P17" s="71">
        <v>33.94</v>
      </c>
      <c r="Q17" s="399"/>
      <c r="R17" s="392"/>
      <c r="S17" s="396" t="s">
        <v>111</v>
      </c>
      <c r="T17" s="397">
        <v>-8.8750000000000005E-4</v>
      </c>
    </row>
    <row r="18" spans="2:21" x14ac:dyDescent="0.25">
      <c r="B18" s="89"/>
      <c r="C18" s="94"/>
      <c r="D18" s="125" t="s">
        <v>19</v>
      </c>
      <c r="E18" s="148">
        <f>Settings.COB</f>
        <v>43937</v>
      </c>
      <c r="F18" s="94"/>
      <c r="G18" s="94"/>
      <c r="H18" s="94"/>
      <c r="I18" s="94"/>
      <c r="J18" s="95"/>
      <c r="M18" s="337"/>
      <c r="O18" s="396" t="s">
        <v>34</v>
      </c>
      <c r="P18" s="71">
        <v>42.5</v>
      </c>
      <c r="Q18" s="399"/>
      <c r="R18" s="392"/>
      <c r="S18" s="396" t="s">
        <v>113</v>
      </c>
      <c r="T18" s="397">
        <v>-5.1250000000000004E-4</v>
      </c>
    </row>
    <row r="19" spans="2:21" x14ac:dyDescent="0.25">
      <c r="B19" s="89"/>
      <c r="C19" s="94"/>
      <c r="D19" s="129" t="s">
        <v>2</v>
      </c>
      <c r="E19" s="130" t="s">
        <v>239</v>
      </c>
      <c r="F19" s="94"/>
      <c r="G19" s="94"/>
      <c r="H19" s="94"/>
      <c r="I19" s="94"/>
      <c r="J19" s="95"/>
      <c r="L19" s="5" t="s">
        <v>286</v>
      </c>
      <c r="M19" s="337"/>
      <c r="O19" s="396" t="s">
        <v>35</v>
      </c>
      <c r="P19" s="71">
        <v>50.9</v>
      </c>
      <c r="Q19" s="399"/>
      <c r="R19" s="392"/>
      <c r="S19" s="356" t="s">
        <v>114</v>
      </c>
      <c r="T19" s="357">
        <v>-5.1250000000000004E-4</v>
      </c>
      <c r="U19" s="400" t="s">
        <v>287</v>
      </c>
    </row>
    <row r="20" spans="2:21" x14ac:dyDescent="0.25">
      <c r="B20" s="89"/>
      <c r="C20" s="94"/>
      <c r="D20" s="147" t="s">
        <v>109</v>
      </c>
      <c r="E20" s="130" t="s">
        <v>110</v>
      </c>
      <c r="F20" s="94"/>
      <c r="G20" s="94"/>
      <c r="H20" s="94"/>
      <c r="I20" s="94"/>
      <c r="J20" s="95"/>
      <c r="L20" s="7" t="s">
        <v>101</v>
      </c>
      <c r="M20" s="355" t="str">
        <f t="array" aca="1" ref="M20:M23" ca="1">IF(AND(isEUR3MLLoaded,isUSD3MLLoaded),_xll.meLWOCurveCalibrate($M$14,$M$15,$M$10,$M$16,$M$17),"LOAD USD3ML &amp; EUR3ML")</f>
        <v>EUR_XCCY_CURVE@17:1</v>
      </c>
      <c r="N20" t="s">
        <v>78</v>
      </c>
      <c r="O20" s="396" t="s">
        <v>36</v>
      </c>
      <c r="P20" s="71">
        <v>80.569999999999993</v>
      </c>
      <c r="Q20" s="399"/>
      <c r="R20" s="392"/>
      <c r="S20" s="356" t="s">
        <v>117</v>
      </c>
      <c r="T20" s="357">
        <v>-5.1250000000000004E-4</v>
      </c>
      <c r="U20" s="400" t="s">
        <v>287</v>
      </c>
    </row>
    <row r="21" spans="2:21" x14ac:dyDescent="0.25">
      <c r="B21" s="89"/>
      <c r="C21" s="94"/>
      <c r="D21" s="147" t="s">
        <v>112</v>
      </c>
      <c r="E21" s="130" t="s">
        <v>110</v>
      </c>
      <c r="F21" s="94"/>
      <c r="G21" s="94"/>
      <c r="H21" s="94"/>
      <c r="I21" s="94"/>
      <c r="J21" s="95"/>
      <c r="L21" s="8" t="s">
        <v>141</v>
      </c>
      <c r="M21" s="353" t="str">
        <f ca="1"/>
        <v>EURYC</v>
      </c>
      <c r="N21" t="s">
        <v>78</v>
      </c>
      <c r="O21" s="396"/>
      <c r="P21" s="71"/>
      <c r="Q21" s="399"/>
      <c r="R21" s="392"/>
      <c r="S21" s="356" t="s">
        <v>251</v>
      </c>
      <c r="T21" s="357">
        <v>-5.1250000000000004E-4</v>
      </c>
      <c r="U21" s="400" t="s">
        <v>287</v>
      </c>
    </row>
    <row r="22" spans="2:21" x14ac:dyDescent="0.25">
      <c r="B22" s="89"/>
      <c r="C22" s="94"/>
      <c r="D22" s="147" t="s">
        <v>288</v>
      </c>
      <c r="E22" s="130" t="s">
        <v>110</v>
      </c>
      <c r="F22" s="94"/>
      <c r="G22" s="94"/>
      <c r="H22" s="94"/>
      <c r="I22" s="94"/>
      <c r="J22" s="95"/>
      <c r="L22" s="8" t="s">
        <v>142</v>
      </c>
      <c r="M22" s="353" t="str">
        <f ca="1"/>
        <v>XccyBasis:EURDF_USDCSA</v>
      </c>
      <c r="N22" t="s">
        <v>78</v>
      </c>
      <c r="O22" s="396"/>
      <c r="P22" s="71"/>
      <c r="Q22" s="399"/>
      <c r="R22" s="392"/>
      <c r="S22" s="356"/>
      <c r="T22" s="357"/>
    </row>
    <row r="23" spans="2:21" x14ac:dyDescent="0.25">
      <c r="B23" s="89"/>
      <c r="C23" s="94"/>
      <c r="D23" s="129" t="s">
        <v>289</v>
      </c>
      <c r="E23" s="130" t="b">
        <v>1</v>
      </c>
      <c r="F23" s="94"/>
      <c r="G23" s="94"/>
      <c r="H23" s="94"/>
      <c r="I23" s="94"/>
      <c r="J23" s="95"/>
      <c r="L23" s="9" t="s">
        <v>145</v>
      </c>
      <c r="M23" s="408" t="str">
        <f ca="1"/>
        <v>0.04800 sec</v>
      </c>
      <c r="N23" s="358" t="s">
        <v>78</v>
      </c>
      <c r="O23" s="359"/>
      <c r="P23" s="360"/>
      <c r="Q23" s="361"/>
      <c r="R23" s="392"/>
      <c r="S23" s="359"/>
      <c r="T23" s="362"/>
    </row>
    <row r="24" spans="2:21" x14ac:dyDescent="0.25">
      <c r="B24" s="89"/>
      <c r="C24" s="94"/>
      <c r="D24" s="363" t="s">
        <v>290</v>
      </c>
      <c r="E24" s="3" t="b">
        <v>0</v>
      </c>
      <c r="F24" s="94"/>
      <c r="G24" s="94"/>
      <c r="H24" s="94"/>
      <c r="I24" s="94"/>
      <c r="J24" s="95"/>
      <c r="L24" s="358" t="s">
        <v>291</v>
      </c>
      <c r="M24" s="364" t="b">
        <f ca="1">_xll.meLWOExists(M20,"CURVE")</f>
        <v>1</v>
      </c>
      <c r="S24" s="365"/>
      <c r="T24" s="365"/>
    </row>
    <row r="25" spans="2:21" x14ac:dyDescent="0.25">
      <c r="B25" s="89"/>
      <c r="C25" s="94"/>
      <c r="D25" s="149"/>
      <c r="E25" s="154"/>
      <c r="F25" s="94"/>
      <c r="G25" s="94"/>
      <c r="H25" s="94"/>
      <c r="I25" s="94"/>
      <c r="J25" s="95"/>
    </row>
    <row r="26" spans="2:21" x14ac:dyDescent="0.25">
      <c r="B26" s="135"/>
      <c r="C26" s="136"/>
      <c r="D26" s="136"/>
      <c r="E26" s="136"/>
      <c r="F26" s="136"/>
      <c r="G26" s="136"/>
      <c r="H26" s="136"/>
      <c r="I26" s="136"/>
      <c r="J26" s="137"/>
    </row>
    <row r="29" spans="2:21" x14ac:dyDescent="0.25">
      <c r="B29" s="143" t="s">
        <v>292</v>
      </c>
      <c r="C29" s="143"/>
    </row>
    <row r="30" spans="2:21" x14ac:dyDescent="0.25">
      <c r="B30" s="84"/>
      <c r="C30" s="87"/>
      <c r="D30" s="87"/>
      <c r="E30" s="87"/>
      <c r="F30" s="87"/>
      <c r="G30" s="87"/>
      <c r="H30" s="87"/>
      <c r="I30" s="87"/>
      <c r="J30" s="88"/>
    </row>
    <row r="31" spans="2:21" x14ac:dyDescent="0.25">
      <c r="B31" s="89"/>
      <c r="C31" s="94"/>
      <c r="D31" s="366" t="s">
        <v>293</v>
      </c>
      <c r="E31" s="146"/>
      <c r="F31" s="94"/>
      <c r="G31" s="162" t="s">
        <v>294</v>
      </c>
      <c r="H31" s="162"/>
      <c r="I31" s="162"/>
      <c r="J31" s="163"/>
    </row>
    <row r="32" spans="2:21" x14ac:dyDescent="0.25">
      <c r="B32" s="89"/>
      <c r="C32" s="94"/>
      <c r="D32" s="367" t="s">
        <v>121</v>
      </c>
      <c r="E32" s="126" t="s">
        <v>295</v>
      </c>
      <c r="F32" s="94"/>
      <c r="G32" s="368" t="s">
        <v>271</v>
      </c>
      <c r="H32" s="368" t="s">
        <v>272</v>
      </c>
      <c r="I32" s="368" t="s">
        <v>84</v>
      </c>
      <c r="J32" s="163"/>
    </row>
    <row r="33" spans="2:10" ht="15" customHeight="1" x14ac:dyDescent="0.25">
      <c r="B33" s="89"/>
      <c r="C33" s="94"/>
      <c r="D33" s="147" t="s">
        <v>132</v>
      </c>
      <c r="E33" s="130">
        <v>2</v>
      </c>
      <c r="F33" s="94"/>
      <c r="G33" s="112" t="s">
        <v>239</v>
      </c>
      <c r="H33" s="369" t="s">
        <v>90</v>
      </c>
      <c r="I33" s="370">
        <f>'[1]MKT DATA EUR'!AO7</f>
        <v>1.0850500000000001</v>
      </c>
      <c r="J33" s="163"/>
    </row>
    <row r="34" spans="2:10" x14ac:dyDescent="0.25">
      <c r="B34" s="89"/>
      <c r="C34" s="94"/>
      <c r="D34" s="147" t="s">
        <v>140</v>
      </c>
      <c r="E34" s="130" t="s">
        <v>296</v>
      </c>
      <c r="F34" s="94"/>
      <c r="G34" s="178"/>
      <c r="H34" s="371"/>
      <c r="I34" s="372"/>
      <c r="J34" s="163"/>
    </row>
    <row r="35" spans="2:10" x14ac:dyDescent="0.25">
      <c r="B35" s="89"/>
      <c r="C35" s="94"/>
      <c r="D35" s="147" t="s">
        <v>16</v>
      </c>
      <c r="E35" s="130" t="b">
        <v>1</v>
      </c>
      <c r="F35" s="94"/>
      <c r="G35" s="94"/>
      <c r="H35" s="94"/>
      <c r="I35" s="94"/>
      <c r="J35" s="163"/>
    </row>
    <row r="36" spans="2:10" x14ac:dyDescent="0.25">
      <c r="B36" s="89"/>
      <c r="C36" s="94"/>
      <c r="D36" s="147" t="s">
        <v>17</v>
      </c>
      <c r="E36" s="130">
        <v>31</v>
      </c>
      <c r="F36" s="94"/>
      <c r="G36" s="94"/>
      <c r="H36" s="94"/>
      <c r="I36" s="94"/>
      <c r="J36" s="163"/>
    </row>
    <row r="37" spans="2:10" x14ac:dyDescent="0.25">
      <c r="B37" s="89"/>
      <c r="C37" s="94"/>
      <c r="D37" s="147" t="s">
        <v>297</v>
      </c>
      <c r="E37" s="187">
        <v>10000</v>
      </c>
      <c r="F37" s="94"/>
      <c r="G37" s="373" t="s">
        <v>298</v>
      </c>
      <c r="H37" s="227"/>
      <c r="I37" s="94"/>
      <c r="J37" s="163"/>
    </row>
    <row r="38" spans="2:10" x14ac:dyDescent="0.25">
      <c r="B38" s="89"/>
      <c r="C38" s="94"/>
      <c r="D38" s="147" t="s">
        <v>299</v>
      </c>
      <c r="E38" s="130" t="b">
        <v>0</v>
      </c>
      <c r="F38" s="94"/>
      <c r="G38" s="368" t="s">
        <v>24</v>
      </c>
      <c r="H38" s="368" t="s">
        <v>84</v>
      </c>
      <c r="I38" s="94"/>
      <c r="J38" s="163"/>
    </row>
    <row r="39" spans="2:10" x14ac:dyDescent="0.25">
      <c r="B39" s="89"/>
      <c r="C39" s="94"/>
      <c r="D39" s="363" t="s">
        <v>127</v>
      </c>
      <c r="E39" s="130" t="s">
        <v>208</v>
      </c>
      <c r="F39" s="94"/>
      <c r="G39" s="112" t="str">
        <f>'[1]MKT DATA EUR'!AM8</f>
        <v>ON</v>
      </c>
      <c r="H39" s="374">
        <f>'[1]MKT DATA EUR'!AO8</f>
        <v>0.185</v>
      </c>
      <c r="I39" s="94"/>
      <c r="J39" s="163"/>
    </row>
    <row r="40" spans="2:10" x14ac:dyDescent="0.25">
      <c r="B40" s="89"/>
      <c r="C40" s="94"/>
      <c r="D40" s="363" t="s">
        <v>300</v>
      </c>
      <c r="E40" s="3" t="b">
        <v>0</v>
      </c>
      <c r="F40" s="94"/>
      <c r="G40" s="122" t="str">
        <f>'[1]MKT DATA EUR'!AM9</f>
        <v>TN</v>
      </c>
      <c r="H40" s="375">
        <f>'[1]MKT DATA EUR'!AO9</f>
        <v>0.58899999999999997</v>
      </c>
      <c r="I40" s="94"/>
      <c r="J40" s="163"/>
    </row>
    <row r="41" spans="2:10" x14ac:dyDescent="0.25">
      <c r="B41" s="89"/>
      <c r="C41" s="94"/>
      <c r="D41" s="363"/>
      <c r="E41" s="376"/>
      <c r="F41" s="94"/>
      <c r="G41" s="122" t="str">
        <f>'[1]MKT DATA EUR'!AM10</f>
        <v>1W</v>
      </c>
      <c r="H41" s="375">
        <f>'[1]MKT DATA EUR'!AO10</f>
        <v>1.56</v>
      </c>
      <c r="I41" s="94"/>
      <c r="J41" s="163"/>
    </row>
    <row r="42" spans="2:10" x14ac:dyDescent="0.25">
      <c r="B42" s="89"/>
      <c r="C42" s="94"/>
      <c r="D42" s="363"/>
      <c r="E42" s="376"/>
      <c r="F42" s="94"/>
      <c r="G42" s="122" t="str">
        <f>'[1]MKT DATA EUR'!AM11</f>
        <v>2W</v>
      </c>
      <c r="H42" s="375">
        <f>'[1]MKT DATA EUR'!AO11</f>
        <v>3.57</v>
      </c>
      <c r="I42" s="94"/>
      <c r="J42" s="163"/>
    </row>
    <row r="43" spans="2:10" x14ac:dyDescent="0.25">
      <c r="B43" s="89"/>
      <c r="C43" s="94"/>
      <c r="D43" s="363"/>
      <c r="E43" s="376"/>
      <c r="F43" s="94"/>
      <c r="G43" s="122" t="str">
        <f>'[1]MKT DATA EUR'!AM12</f>
        <v>3W</v>
      </c>
      <c r="H43" s="375">
        <f>'[1]MKT DATA EUR'!AO12</f>
        <v>5.5</v>
      </c>
      <c r="I43" s="94"/>
      <c r="J43" s="163"/>
    </row>
    <row r="44" spans="2:10" x14ac:dyDescent="0.25">
      <c r="B44" s="89"/>
      <c r="C44" s="94"/>
      <c r="D44" s="363"/>
      <c r="E44" s="376"/>
      <c r="F44" s="94"/>
      <c r="G44" s="122" t="str">
        <f>'[1]MKT DATA EUR'!AM13</f>
        <v>1M</v>
      </c>
      <c r="H44" s="375">
        <f>'[1]MKT DATA EUR'!AO13</f>
        <v>8.1</v>
      </c>
      <c r="I44" s="94"/>
      <c r="J44" s="163"/>
    </row>
    <row r="45" spans="2:10" x14ac:dyDescent="0.25">
      <c r="B45" s="89"/>
      <c r="C45" s="94"/>
      <c r="D45" s="363"/>
      <c r="E45" s="376"/>
      <c r="F45" s="94"/>
      <c r="G45" s="122" t="str">
        <f>'[1]MKT DATA EUR'!AM14</f>
        <v>2M</v>
      </c>
      <c r="H45" s="375">
        <f>'[1]MKT DATA EUR'!AO14</f>
        <v>17.399999999999999</v>
      </c>
      <c r="I45" s="94"/>
      <c r="J45" s="163"/>
    </row>
    <row r="46" spans="2:10" x14ac:dyDescent="0.25">
      <c r="B46" s="89"/>
      <c r="C46" s="94"/>
      <c r="D46" s="363"/>
      <c r="E46" s="376"/>
      <c r="F46" s="94"/>
      <c r="G46" s="122" t="str">
        <f>'[1]MKT DATA EUR'!AM15</f>
        <v>3M</v>
      </c>
      <c r="H46" s="375">
        <f>'[1]MKT DATA EUR'!AO15</f>
        <v>25.53</v>
      </c>
      <c r="I46" s="94"/>
      <c r="J46" s="163"/>
    </row>
    <row r="47" spans="2:10" x14ac:dyDescent="0.25">
      <c r="B47" s="89"/>
      <c r="C47" s="94"/>
      <c r="D47" s="363"/>
      <c r="E47" s="376"/>
      <c r="F47" s="94"/>
      <c r="G47" s="122" t="str">
        <f>'[1]MKT DATA EUR'!AM16</f>
        <v>4M</v>
      </c>
      <c r="H47" s="375">
        <f>'[1]MKT DATA EUR'!AO16</f>
        <v>33.94</v>
      </c>
      <c r="I47" s="94"/>
      <c r="J47" s="163"/>
    </row>
    <row r="48" spans="2:10" x14ac:dyDescent="0.25">
      <c r="B48" s="89"/>
      <c r="C48" s="94"/>
      <c r="D48" s="363"/>
      <c r="E48" s="376"/>
      <c r="F48" s="94"/>
      <c r="G48" s="122" t="str">
        <f>'[1]MKT DATA EUR'!AM17</f>
        <v>5M</v>
      </c>
      <c r="H48" s="375">
        <f>'[1]MKT DATA EUR'!AO17</f>
        <v>42.5</v>
      </c>
      <c r="I48" s="94"/>
      <c r="J48" s="163"/>
    </row>
    <row r="49" spans="2:10" ht="15" customHeight="1" x14ac:dyDescent="0.25">
      <c r="B49" s="89"/>
      <c r="C49" s="94"/>
      <c r="D49" s="363"/>
      <c r="E49" s="376"/>
      <c r="F49" s="94"/>
      <c r="G49" s="122" t="str">
        <f>'[1]MKT DATA EUR'!AM18</f>
        <v>6M</v>
      </c>
      <c r="H49" s="375">
        <f>'[1]MKT DATA EUR'!AO18</f>
        <v>50.9</v>
      </c>
      <c r="I49" s="94"/>
      <c r="J49" s="163"/>
    </row>
    <row r="50" spans="2:10" x14ac:dyDescent="0.25">
      <c r="B50" s="89"/>
      <c r="C50" s="94"/>
      <c r="D50" s="363"/>
      <c r="E50" s="376"/>
      <c r="F50" s="94"/>
      <c r="G50" s="122" t="str">
        <f>'[1]MKT DATA EUR'!AM19</f>
        <v>9M</v>
      </c>
      <c r="H50" s="375">
        <f>'[1]MKT DATA EUR'!AO19</f>
        <v>80.569999999999993</v>
      </c>
      <c r="I50" s="94"/>
      <c r="J50" s="163"/>
    </row>
    <row r="51" spans="2:10" x14ac:dyDescent="0.25">
      <c r="B51" s="89"/>
      <c r="C51" s="94"/>
      <c r="D51" s="363"/>
      <c r="E51" s="376"/>
      <c r="F51" s="94"/>
      <c r="G51" s="122" t="s">
        <v>252</v>
      </c>
      <c r="H51" s="377" t="s">
        <v>252</v>
      </c>
      <c r="I51" s="94"/>
      <c r="J51" s="163"/>
    </row>
    <row r="52" spans="2:10" x14ac:dyDescent="0.25">
      <c r="B52" s="89"/>
      <c r="C52" s="94"/>
      <c r="D52" s="134"/>
      <c r="E52" s="150"/>
      <c r="F52" s="94"/>
      <c r="G52" s="178" t="s">
        <v>252</v>
      </c>
      <c r="H52" s="378" t="s">
        <v>252</v>
      </c>
      <c r="I52" s="94"/>
      <c r="J52" s="163"/>
    </row>
    <row r="53" spans="2:10" x14ac:dyDescent="0.25">
      <c r="B53" s="89"/>
      <c r="C53" s="94"/>
      <c r="D53" s="94"/>
      <c r="E53" s="94"/>
      <c r="F53" s="94"/>
      <c r="G53" s="94"/>
      <c r="H53" s="94"/>
      <c r="I53" s="94"/>
      <c r="J53" s="163"/>
    </row>
    <row r="54" spans="2:10" x14ac:dyDescent="0.25">
      <c r="B54" s="135"/>
      <c r="C54" s="136"/>
      <c r="D54" s="136"/>
      <c r="E54" s="136"/>
      <c r="F54" s="136"/>
      <c r="G54" s="136"/>
      <c r="H54" s="136"/>
      <c r="I54" s="136"/>
      <c r="J54" s="137"/>
    </row>
    <row r="56" spans="2:10" x14ac:dyDescent="0.25">
      <c r="B56" s="143" t="s">
        <v>301</v>
      </c>
      <c r="C56" s="143"/>
    </row>
    <row r="57" spans="2:10" x14ac:dyDescent="0.25">
      <c r="B57" s="84"/>
      <c r="C57" s="87"/>
      <c r="D57" s="87"/>
      <c r="E57" s="87"/>
      <c r="F57" s="87"/>
      <c r="G57" s="87"/>
      <c r="H57" s="87"/>
      <c r="I57" s="87"/>
      <c r="J57" s="88"/>
    </row>
    <row r="58" spans="2:10" x14ac:dyDescent="0.25">
      <c r="B58" s="89"/>
      <c r="C58" s="94"/>
      <c r="D58" s="96" t="s">
        <v>302</v>
      </c>
      <c r="E58" s="162"/>
      <c r="F58" s="162"/>
      <c r="G58" s="96" t="s">
        <v>303</v>
      </c>
      <c r="H58" s="162"/>
      <c r="I58" s="162"/>
      <c r="J58" s="163"/>
    </row>
    <row r="59" spans="2:10" x14ac:dyDescent="0.25">
      <c r="B59" s="89"/>
      <c r="C59" s="379"/>
      <c r="D59" s="380" t="s">
        <v>304</v>
      </c>
      <c r="E59" s="381" t="s">
        <v>273</v>
      </c>
      <c r="F59" s="94"/>
      <c r="G59" s="227" t="s">
        <v>24</v>
      </c>
      <c r="H59" s="227" t="s">
        <v>84</v>
      </c>
      <c r="I59" s="162"/>
      <c r="J59" s="163"/>
    </row>
    <row r="60" spans="2:10" x14ac:dyDescent="0.25">
      <c r="B60" s="89"/>
      <c r="C60" s="382" t="s">
        <v>305</v>
      </c>
      <c r="D60" s="383" t="s">
        <v>306</v>
      </c>
      <c r="E60" s="130" t="s">
        <v>247</v>
      </c>
      <c r="F60" s="169"/>
      <c r="G60" s="112" t="str">
        <f>'[1]MKT DATA EUR'!AM23</f>
        <v>1Y</v>
      </c>
      <c r="H60" s="116">
        <f>'[1]MKT DATA EUR'!AO23</f>
        <v>-1E-3</v>
      </c>
      <c r="I60" s="162"/>
      <c r="J60" s="163"/>
    </row>
    <row r="61" spans="2:10" x14ac:dyDescent="0.25">
      <c r="B61" s="89"/>
      <c r="C61" s="384"/>
      <c r="D61" s="139" t="s">
        <v>307</v>
      </c>
      <c r="E61" s="140" t="b">
        <v>1</v>
      </c>
      <c r="F61" s="169"/>
      <c r="G61" s="122" t="str">
        <f>'[1]MKT DATA EUR'!AM24</f>
        <v>2Y</v>
      </c>
      <c r="H61" s="124">
        <f>'[1]MKT DATA EUR'!AO24</f>
        <v>-1.5874999999999999E-3</v>
      </c>
      <c r="I61" s="162"/>
      <c r="J61" s="163"/>
    </row>
    <row r="62" spans="2:10" x14ac:dyDescent="0.25">
      <c r="B62" s="89"/>
      <c r="C62" s="384"/>
      <c r="D62" s="139" t="s">
        <v>308</v>
      </c>
      <c r="E62" s="130" t="s">
        <v>309</v>
      </c>
      <c r="F62" s="169"/>
      <c r="G62" s="122" t="str">
        <f>'[1]MKT DATA EUR'!AM25</f>
        <v>3Y</v>
      </c>
      <c r="H62" s="124">
        <f>'[1]MKT DATA EUR'!AO25</f>
        <v>-1.8E-3</v>
      </c>
      <c r="I62" s="162"/>
      <c r="J62" s="163"/>
    </row>
    <row r="63" spans="2:10" x14ac:dyDescent="0.25">
      <c r="B63" s="89"/>
      <c r="C63" s="384"/>
      <c r="D63" s="139" t="s">
        <v>310</v>
      </c>
      <c r="E63" s="130" t="s">
        <v>202</v>
      </c>
      <c r="F63" s="169"/>
      <c r="G63" s="122" t="str">
        <f>'[1]MKT DATA EUR'!AM26</f>
        <v>4Y</v>
      </c>
      <c r="H63" s="124">
        <f>'[1]MKT DATA EUR'!AO26</f>
        <v>-1.9124999999999999E-3</v>
      </c>
      <c r="I63" s="162"/>
      <c r="J63" s="163"/>
    </row>
    <row r="64" spans="2:10" x14ac:dyDescent="0.25">
      <c r="B64" s="89"/>
      <c r="C64" s="384"/>
      <c r="D64" s="139" t="s">
        <v>311</v>
      </c>
      <c r="E64" s="130" t="s">
        <v>229</v>
      </c>
      <c r="F64" s="169"/>
      <c r="G64" s="122" t="str">
        <f>'[1]MKT DATA EUR'!AM27</f>
        <v>5Y</v>
      </c>
      <c r="H64" s="124">
        <f>'[1]MKT DATA EUR'!AO27</f>
        <v>-2.0249999999999999E-3</v>
      </c>
      <c r="I64" s="162"/>
      <c r="J64" s="163"/>
    </row>
    <row r="65" spans="2:10" x14ac:dyDescent="0.25">
      <c r="B65" s="89"/>
      <c r="C65" s="384"/>
      <c r="D65" s="139" t="s">
        <v>312</v>
      </c>
      <c r="E65" s="168" t="s">
        <v>15</v>
      </c>
      <c r="F65" s="169"/>
      <c r="G65" s="122" t="str">
        <f>'[1]MKT DATA EUR'!AM28</f>
        <v>6Y</v>
      </c>
      <c r="H65" s="124">
        <f>'[1]MKT DATA EUR'!AO28</f>
        <v>-2.1375000000000001E-3</v>
      </c>
      <c r="I65" s="162"/>
      <c r="J65" s="163"/>
    </row>
    <row r="66" spans="2:10" x14ac:dyDescent="0.25">
      <c r="B66" s="89"/>
      <c r="C66" s="384"/>
      <c r="D66" s="139" t="s">
        <v>313</v>
      </c>
      <c r="E66" s="130" t="s">
        <v>13</v>
      </c>
      <c r="F66" s="169"/>
      <c r="G66" s="122" t="str">
        <f>'[1]MKT DATA EUR'!AM29</f>
        <v>7Y</v>
      </c>
      <c r="H66" s="124">
        <f>'[1]MKT DATA EUR'!AO29</f>
        <v>-2.2125000000000001E-3</v>
      </c>
      <c r="I66" s="162"/>
      <c r="J66" s="163"/>
    </row>
    <row r="67" spans="2:10" x14ac:dyDescent="0.25">
      <c r="B67" s="89"/>
      <c r="C67" s="384"/>
      <c r="D67" s="139" t="s">
        <v>314</v>
      </c>
      <c r="E67" s="130" t="s">
        <v>80</v>
      </c>
      <c r="F67" s="169"/>
      <c r="G67" s="122" t="str">
        <f>'[1]MKT DATA EUR'!AM30</f>
        <v>8Y</v>
      </c>
      <c r="H67" s="124">
        <f>'[1]MKT DATA EUR'!AO30</f>
        <v>-2.2374999999999999E-3</v>
      </c>
      <c r="I67" s="162"/>
      <c r="J67" s="163"/>
    </row>
    <row r="68" spans="2:10" x14ac:dyDescent="0.25">
      <c r="B68" s="89"/>
      <c r="C68" s="384"/>
      <c r="D68" s="139" t="s">
        <v>315</v>
      </c>
      <c r="E68" s="130" t="s">
        <v>316</v>
      </c>
      <c r="F68" s="169"/>
      <c r="G68" s="122" t="str">
        <f>'[1]MKT DATA EUR'!AM31</f>
        <v>9Y</v>
      </c>
      <c r="H68" s="124">
        <f>'[1]MKT DATA EUR'!AO31</f>
        <v>-2.225E-3</v>
      </c>
      <c r="I68" s="162"/>
      <c r="J68" s="163"/>
    </row>
    <row r="69" spans="2:10" x14ac:dyDescent="0.25">
      <c r="B69" s="89"/>
      <c r="C69" s="384"/>
      <c r="D69" s="139" t="s">
        <v>317</v>
      </c>
      <c r="E69" s="130" t="s">
        <v>32</v>
      </c>
      <c r="F69" s="169"/>
      <c r="G69" s="122" t="str">
        <f>'[1]MKT DATA EUR'!AM32</f>
        <v>10Y</v>
      </c>
      <c r="H69" s="124">
        <f>'[1]MKT DATA EUR'!AO32</f>
        <v>-2.2125000000000001E-3</v>
      </c>
      <c r="I69" s="162"/>
      <c r="J69" s="163"/>
    </row>
    <row r="70" spans="2:10" x14ac:dyDescent="0.25">
      <c r="B70" s="89"/>
      <c r="C70" s="384"/>
      <c r="D70" s="139" t="s">
        <v>318</v>
      </c>
      <c r="E70" s="130" t="s">
        <v>202</v>
      </c>
      <c r="F70" s="169"/>
      <c r="G70" s="122" t="str">
        <f>'[1]MKT DATA EUR'!AM33</f>
        <v>12Y</v>
      </c>
      <c r="H70" s="124">
        <f>'[1]MKT DATA EUR'!AO33</f>
        <v>-2.2000000000000001E-3</v>
      </c>
      <c r="I70" s="162"/>
      <c r="J70" s="163"/>
    </row>
    <row r="71" spans="2:10" x14ac:dyDescent="0.25">
      <c r="B71" s="89"/>
      <c r="C71" s="384"/>
      <c r="D71" s="139" t="s">
        <v>319</v>
      </c>
      <c r="E71" s="130" t="s">
        <v>309</v>
      </c>
      <c r="F71" s="169"/>
      <c r="G71" s="122" t="str">
        <f>'[1]MKT DATA EUR'!AM34</f>
        <v>15Y</v>
      </c>
      <c r="H71" s="124">
        <f>'[1]MKT DATA EUR'!AO34</f>
        <v>-1.9875000000000001E-3</v>
      </c>
      <c r="I71" s="162"/>
      <c r="J71" s="163"/>
    </row>
    <row r="72" spans="2:10" x14ac:dyDescent="0.25">
      <c r="B72" s="89"/>
      <c r="C72" s="384"/>
      <c r="D72" s="139" t="s">
        <v>320</v>
      </c>
      <c r="E72" s="130" t="s">
        <v>267</v>
      </c>
      <c r="F72" s="169"/>
      <c r="G72" s="122" t="str">
        <f>'[1]MKT DATA EUR'!AM35</f>
        <v>20Y</v>
      </c>
      <c r="H72" s="124">
        <f>'[1]MKT DATA EUR'!AO35</f>
        <v>-1.4375E-3</v>
      </c>
      <c r="I72" s="162"/>
      <c r="J72" s="163"/>
    </row>
    <row r="73" spans="2:10" x14ac:dyDescent="0.25">
      <c r="B73" s="89"/>
      <c r="C73" s="384"/>
      <c r="D73" s="139" t="s">
        <v>321</v>
      </c>
      <c r="E73" s="130" t="s">
        <v>309</v>
      </c>
      <c r="F73" s="169"/>
      <c r="G73" s="122" t="str">
        <f>'[1]MKT DATA EUR'!AM36</f>
        <v>25Y</v>
      </c>
      <c r="H73" s="124">
        <f>'[1]MKT DATA EUR'!AO36</f>
        <v>-8.8750000000000005E-4</v>
      </c>
      <c r="I73" s="162"/>
      <c r="J73" s="163"/>
    </row>
    <row r="74" spans="2:10" x14ac:dyDescent="0.25">
      <c r="B74" s="89"/>
      <c r="C74" s="384"/>
      <c r="D74" s="139" t="s">
        <v>322</v>
      </c>
      <c r="E74" s="130">
        <v>0</v>
      </c>
      <c r="F74" s="169"/>
      <c r="G74" s="122" t="str">
        <f>'[1]MKT DATA EUR'!AM37</f>
        <v>30Y</v>
      </c>
      <c r="H74" s="124">
        <f>'[1]MKT DATA EUR'!AO37</f>
        <v>-5.1250000000000004E-4</v>
      </c>
      <c r="I74" s="162"/>
      <c r="J74" s="163"/>
    </row>
    <row r="75" spans="2:10" x14ac:dyDescent="0.25">
      <c r="B75" s="89"/>
      <c r="C75" s="385"/>
      <c r="D75" s="139" t="s">
        <v>323</v>
      </c>
      <c r="E75" s="168" t="s">
        <v>15</v>
      </c>
      <c r="F75" s="169"/>
      <c r="G75" s="122"/>
      <c r="H75" s="124"/>
      <c r="I75" s="162"/>
      <c r="J75" s="163"/>
    </row>
    <row r="76" spans="2:10" x14ac:dyDescent="0.25">
      <c r="B76" s="89"/>
      <c r="C76" s="386" t="s">
        <v>324</v>
      </c>
      <c r="D76" s="383" t="s">
        <v>325</v>
      </c>
      <c r="E76" s="387" t="s">
        <v>309</v>
      </c>
      <c r="F76" s="169"/>
      <c r="G76" s="122"/>
      <c r="H76" s="124"/>
      <c r="I76" s="162"/>
      <c r="J76" s="163"/>
    </row>
    <row r="77" spans="2:10" x14ac:dyDescent="0.25">
      <c r="B77" s="89"/>
      <c r="C77" s="388"/>
      <c r="D77" s="139" t="s">
        <v>326</v>
      </c>
      <c r="E77" s="130" t="s">
        <v>202</v>
      </c>
      <c r="F77" s="169"/>
      <c r="G77" s="122"/>
      <c r="H77" s="124"/>
      <c r="I77" s="162"/>
      <c r="J77" s="163"/>
    </row>
    <row r="78" spans="2:10" x14ac:dyDescent="0.25">
      <c r="B78" s="89"/>
      <c r="C78" s="388"/>
      <c r="D78" s="139" t="s">
        <v>327</v>
      </c>
      <c r="E78" s="130" t="s">
        <v>229</v>
      </c>
      <c r="F78" s="169"/>
      <c r="G78" s="190"/>
      <c r="H78" s="294"/>
      <c r="I78" s="162"/>
      <c r="J78" s="163"/>
    </row>
    <row r="79" spans="2:10" x14ac:dyDescent="0.25">
      <c r="B79" s="89"/>
      <c r="C79" s="388"/>
      <c r="D79" s="139" t="s">
        <v>328</v>
      </c>
      <c r="E79" s="168" t="s">
        <v>15</v>
      </c>
      <c r="F79" s="169"/>
      <c r="G79" s="190"/>
      <c r="H79" s="294"/>
      <c r="I79" s="162"/>
      <c r="J79" s="163"/>
    </row>
    <row r="80" spans="2:10" x14ac:dyDescent="0.25">
      <c r="B80" s="89"/>
      <c r="C80" s="388"/>
      <c r="D80" s="139" t="s">
        <v>329</v>
      </c>
      <c r="E80" s="130" t="s">
        <v>13</v>
      </c>
      <c r="F80" s="169"/>
      <c r="G80" s="190"/>
      <c r="H80" s="294"/>
      <c r="I80" s="162"/>
      <c r="J80" s="163"/>
    </row>
    <row r="81" spans="2:10" x14ac:dyDescent="0.25">
      <c r="B81" s="89"/>
      <c r="C81" s="388"/>
      <c r="D81" s="139" t="s">
        <v>330</v>
      </c>
      <c r="E81" s="130" t="s">
        <v>331</v>
      </c>
      <c r="F81" s="169"/>
      <c r="G81" s="190"/>
      <c r="H81" s="294"/>
      <c r="I81" s="162"/>
      <c r="J81" s="163"/>
    </row>
    <row r="82" spans="2:10" x14ac:dyDescent="0.25">
      <c r="B82" s="89"/>
      <c r="C82" s="388"/>
      <c r="D82" s="139" t="s">
        <v>332</v>
      </c>
      <c r="E82" s="130" t="s">
        <v>333</v>
      </c>
      <c r="F82" s="169"/>
      <c r="G82" s="190"/>
      <c r="H82" s="294"/>
      <c r="I82" s="162"/>
      <c r="J82" s="163"/>
    </row>
    <row r="83" spans="2:10" x14ac:dyDescent="0.25">
      <c r="B83" s="89"/>
      <c r="C83" s="388"/>
      <c r="D83" s="139" t="s">
        <v>334</v>
      </c>
      <c r="E83" s="130" t="s">
        <v>32</v>
      </c>
      <c r="F83" s="169"/>
      <c r="G83" s="190"/>
      <c r="H83" s="294"/>
      <c r="I83" s="162"/>
      <c r="J83" s="163"/>
    </row>
    <row r="84" spans="2:10" x14ac:dyDescent="0.25">
      <c r="B84" s="89"/>
      <c r="C84" s="388"/>
      <c r="D84" s="139" t="s">
        <v>335</v>
      </c>
      <c r="E84" s="130" t="s">
        <v>202</v>
      </c>
      <c r="F84" s="169"/>
      <c r="G84" s="190"/>
      <c r="H84" s="294"/>
      <c r="I84" s="162"/>
      <c r="J84" s="163"/>
    </row>
    <row r="85" spans="2:10" x14ac:dyDescent="0.25">
      <c r="B85" s="89"/>
      <c r="C85" s="388"/>
      <c r="D85" s="139" t="s">
        <v>336</v>
      </c>
      <c r="E85" s="130" t="s">
        <v>309</v>
      </c>
      <c r="F85" s="169"/>
      <c r="G85" s="190"/>
      <c r="H85" s="294"/>
      <c r="I85" s="162"/>
      <c r="J85" s="163"/>
    </row>
    <row r="86" spans="2:10" x14ac:dyDescent="0.25">
      <c r="B86" s="89"/>
      <c r="C86" s="388"/>
      <c r="D86" s="139" t="s">
        <v>337</v>
      </c>
      <c r="E86" s="130" t="s">
        <v>267</v>
      </c>
      <c r="F86" s="169"/>
      <c r="G86" s="190"/>
      <c r="H86" s="294"/>
      <c r="I86" s="162"/>
      <c r="J86" s="163"/>
    </row>
    <row r="87" spans="2:10" x14ac:dyDescent="0.25">
      <c r="B87" s="89"/>
      <c r="C87" s="388"/>
      <c r="D87" s="139" t="s">
        <v>338</v>
      </c>
      <c r="E87" s="130" t="s">
        <v>309</v>
      </c>
      <c r="F87" s="169"/>
      <c r="G87" s="190"/>
      <c r="H87" s="294"/>
      <c r="I87" s="162"/>
      <c r="J87" s="163"/>
    </row>
    <row r="88" spans="2:10" x14ac:dyDescent="0.25">
      <c r="B88" s="89"/>
      <c r="C88" s="388"/>
      <c r="D88" s="139" t="s">
        <v>339</v>
      </c>
      <c r="E88" s="130">
        <v>0</v>
      </c>
      <c r="F88" s="169"/>
      <c r="G88" s="190"/>
      <c r="H88" s="294"/>
      <c r="I88" s="162"/>
      <c r="J88" s="163"/>
    </row>
    <row r="89" spans="2:10" x14ac:dyDescent="0.25">
      <c r="B89" s="89"/>
      <c r="C89" s="389"/>
      <c r="D89" s="139" t="s">
        <v>340</v>
      </c>
      <c r="E89" s="168" t="s">
        <v>15</v>
      </c>
      <c r="F89" s="169"/>
      <c r="G89" s="190"/>
      <c r="H89" s="294"/>
      <c r="I89" s="162"/>
      <c r="J89" s="163"/>
    </row>
    <row r="90" spans="2:10" x14ac:dyDescent="0.25">
      <c r="B90" s="89"/>
      <c r="C90" s="386" t="str">
        <f>"Solving For : "&amp;CHAR(32)&amp;$E$90</f>
        <v>Solving For :  Leg1Discount</v>
      </c>
      <c r="D90" s="383" t="s">
        <v>341</v>
      </c>
      <c r="E90" s="387" t="s">
        <v>342</v>
      </c>
      <c r="F90" s="169"/>
      <c r="G90" s="190"/>
      <c r="H90" s="294"/>
      <c r="I90" s="162"/>
      <c r="J90" s="163"/>
    </row>
    <row r="91" spans="2:10" x14ac:dyDescent="0.25">
      <c r="B91" s="89"/>
      <c r="C91" s="390"/>
      <c r="D91" s="139" t="s">
        <v>234</v>
      </c>
      <c r="E91" s="130" t="b">
        <v>1</v>
      </c>
      <c r="F91" s="169"/>
      <c r="G91" s="190"/>
      <c r="H91" s="294"/>
      <c r="I91" s="162"/>
      <c r="J91" s="163"/>
    </row>
    <row r="92" spans="2:10" x14ac:dyDescent="0.25">
      <c r="B92" s="89"/>
      <c r="C92" s="390"/>
      <c r="D92" s="139" t="s">
        <v>343</v>
      </c>
      <c r="E92" s="130" t="b">
        <v>0</v>
      </c>
      <c r="F92" s="169"/>
      <c r="G92" s="190"/>
      <c r="H92" s="294"/>
      <c r="I92" s="162"/>
      <c r="J92" s="163"/>
    </row>
    <row r="93" spans="2:10" x14ac:dyDescent="0.25">
      <c r="B93" s="89"/>
      <c r="C93" s="390"/>
      <c r="D93" s="139" t="s">
        <v>344</v>
      </c>
      <c r="E93" s="130" t="s">
        <v>191</v>
      </c>
      <c r="F93" s="169"/>
      <c r="G93" s="190"/>
      <c r="H93" s="294"/>
      <c r="I93" s="162"/>
      <c r="J93" s="163"/>
    </row>
    <row r="94" spans="2:10" x14ac:dyDescent="0.25">
      <c r="B94" s="89"/>
      <c r="C94" s="390"/>
      <c r="D94" s="139" t="s">
        <v>345</v>
      </c>
      <c r="E94" s="130" t="s">
        <v>261</v>
      </c>
      <c r="F94" s="169"/>
      <c r="G94" s="190"/>
      <c r="H94" s="294"/>
      <c r="I94" s="162"/>
      <c r="J94" s="163"/>
    </row>
    <row r="95" spans="2:10" x14ac:dyDescent="0.25">
      <c r="B95" s="89"/>
      <c r="C95" s="390"/>
      <c r="D95" s="139" t="s">
        <v>346</v>
      </c>
      <c r="E95" s="130" t="s">
        <v>32</v>
      </c>
      <c r="F95" s="169"/>
      <c r="G95" s="190"/>
      <c r="H95" s="294"/>
      <c r="I95" s="162"/>
      <c r="J95" s="163"/>
    </row>
    <row r="96" spans="2:10" x14ac:dyDescent="0.25">
      <c r="B96" s="89"/>
      <c r="C96" s="390"/>
      <c r="D96" s="129" t="s">
        <v>152</v>
      </c>
      <c r="E96" s="286">
        <v>1.0000000000000001E-9</v>
      </c>
      <c r="F96" s="169"/>
      <c r="G96" s="190"/>
      <c r="H96" s="294"/>
      <c r="I96" s="162"/>
      <c r="J96" s="163"/>
    </row>
    <row r="97" spans="2:10" x14ac:dyDescent="0.25">
      <c r="B97" s="89"/>
      <c r="C97" s="390"/>
      <c r="D97" s="129" t="s">
        <v>153</v>
      </c>
      <c r="E97" s="188">
        <v>1000</v>
      </c>
      <c r="F97" s="169"/>
      <c r="G97" s="190"/>
      <c r="H97" s="294"/>
      <c r="I97" s="162"/>
      <c r="J97" s="163"/>
    </row>
    <row r="98" spans="2:10" x14ac:dyDescent="0.25">
      <c r="B98" s="89"/>
      <c r="C98" s="390"/>
      <c r="D98" s="129" t="s">
        <v>347</v>
      </c>
      <c r="E98" s="168" t="b">
        <v>1</v>
      </c>
      <c r="F98" s="169"/>
      <c r="G98" s="190"/>
      <c r="H98" s="294"/>
      <c r="I98" s="162"/>
      <c r="J98" s="163"/>
    </row>
    <row r="99" spans="2:10" x14ac:dyDescent="0.25">
      <c r="B99" s="89"/>
      <c r="C99" s="390"/>
      <c r="D99" s="129"/>
      <c r="E99" s="168"/>
      <c r="F99" s="169"/>
      <c r="G99" s="190"/>
      <c r="H99" s="294"/>
      <c r="I99" s="162"/>
      <c r="J99" s="163"/>
    </row>
    <row r="100" spans="2:10" x14ac:dyDescent="0.25">
      <c r="B100" s="89"/>
      <c r="C100" s="390"/>
      <c r="D100" s="129"/>
      <c r="E100" s="189"/>
      <c r="F100" s="169"/>
      <c r="G100" s="190"/>
      <c r="H100" s="294"/>
      <c r="I100" s="162"/>
      <c r="J100" s="163"/>
    </row>
    <row r="101" spans="2:10" x14ac:dyDescent="0.25">
      <c r="B101" s="89"/>
      <c r="C101" s="391"/>
      <c r="D101" s="159"/>
      <c r="E101" s="198"/>
      <c r="F101" s="169"/>
      <c r="G101" s="250"/>
      <c r="H101" s="297"/>
      <c r="I101" s="162"/>
      <c r="J101" s="163"/>
    </row>
    <row r="102" spans="2:10" x14ac:dyDescent="0.25">
      <c r="B102" s="89"/>
      <c r="C102" s="94"/>
      <c r="D102" s="169"/>
      <c r="E102" s="169"/>
      <c r="F102" s="169"/>
      <c r="G102" s="162"/>
      <c r="H102" s="162"/>
      <c r="I102" s="162"/>
      <c r="J102" s="163"/>
    </row>
    <row r="103" spans="2:10" x14ac:dyDescent="0.25">
      <c r="B103" s="135"/>
      <c r="C103" s="136"/>
      <c r="D103" s="136"/>
      <c r="E103" s="136"/>
      <c r="F103" s="136"/>
      <c r="G103" s="136"/>
      <c r="H103" s="136"/>
      <c r="I103" s="136"/>
      <c r="J103" s="137"/>
    </row>
  </sheetData>
  <mergeCells count="3">
    <mergeCell ref="C60:C75"/>
    <mergeCell ref="C76:C89"/>
    <mergeCell ref="C90:C101"/>
  </mergeCells>
  <dataValidations count="2">
    <dataValidation type="list" allowBlank="1" showInputMessage="1" showErrorMessage="1" sqref="E65 E75 E79 E89">
      <formula1>"FOLLOWING,MOD_FOLLOWING,PRECEDING,MOD_PRECEEDING,NO_CHANGE"</formula1>
    </dataValidation>
    <dataValidation type="list" allowBlank="1" showInputMessage="1" showErrorMessage="1" sqref="E60">
      <formula1>$G$19:$G$26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theme="7" tint="0.59999389629810485"/>
  </sheetPr>
  <dimension ref="B3:Q47"/>
  <sheetViews>
    <sheetView showGridLines="0" workbookViewId="0"/>
  </sheetViews>
  <sheetFormatPr defaultRowHeight="15" x14ac:dyDescent="0.25"/>
  <cols>
    <col min="2" max="2" width="17.85546875" bestFit="1" customWidth="1"/>
    <col min="3" max="3" width="21.5703125" bestFit="1" customWidth="1"/>
    <col min="6" max="6" width="15.7109375" customWidth="1"/>
    <col min="7" max="10" width="12.7109375" customWidth="1"/>
    <col min="12" max="17" width="15.7109375" customWidth="1"/>
  </cols>
  <sheetData>
    <row r="3" spans="2:17" x14ac:dyDescent="0.25">
      <c r="B3" s="6" t="s">
        <v>70</v>
      </c>
      <c r="E3" s="6" t="s">
        <v>72</v>
      </c>
      <c r="L3" s="1" t="s">
        <v>69</v>
      </c>
    </row>
    <row r="4" spans="2:17" x14ac:dyDescent="0.25">
      <c r="B4" s="59" t="str">
        <f>_xll.meLWOCurveGeneratorCreate($B$3&amp;"_"&amp;$C$8,B7,B8:C11,B14,B15:C20)</f>
        <v>CURVEGEN_DISCFACTORS_EURUSD@12:1</v>
      </c>
      <c r="C4" s="60"/>
      <c r="E4" s="59" t="str">
        <f ca="1">_xll.meLWOFXCurveCreate($E$3&amp;"_"&amp;$C$8,B4,B24)</f>
        <v>CURVE_DISCFACTORS_EURUSD@13:2</v>
      </c>
      <c r="F4" s="61"/>
      <c r="G4" s="60"/>
      <c r="L4" s="36" t="s">
        <v>67</v>
      </c>
      <c r="M4" s="22" t="s">
        <v>73</v>
      </c>
      <c r="N4" s="22" t="s">
        <v>74</v>
      </c>
      <c r="O4" s="22" t="s">
        <v>75</v>
      </c>
      <c r="P4" s="22" t="s">
        <v>76</v>
      </c>
    </row>
    <row r="5" spans="2:17" x14ac:dyDescent="0.25">
      <c r="L5" s="68">
        <f t="shared" ref="L5:L11" ca="1" si="0">TODAY()</f>
        <v>43937</v>
      </c>
      <c r="M5" s="41">
        <f t="array" aca="1" ref="M5:P5" ca="1">_xll.meLWOFXForwardsFromDiscountCurves($E$4,$L5,$G$8,$G$9,FALSE)</f>
        <v>1.2567907024818581</v>
      </c>
      <c r="N5" s="41">
        <f ca="1"/>
        <v>1.2568951738622935</v>
      </c>
      <c r="O5" s="41">
        <f ca="1"/>
        <v>1.2028743209297519</v>
      </c>
      <c r="P5" s="42">
        <f ca="1"/>
        <v>1.2029743104826138</v>
      </c>
    </row>
    <row r="6" spans="2:17" x14ac:dyDescent="0.25">
      <c r="L6" s="70">
        <f t="shared" ca="1" si="0"/>
        <v>43937</v>
      </c>
      <c r="M6" s="41">
        <f t="array" aca="1" ref="M6:P6" ca="1">_xll.meLWOFXForwardsFromDiscountCurves($E$4,$L6,$G$8,$G$9,FALSE)</f>
        <v>1.2567907024818581</v>
      </c>
      <c r="N6" s="41">
        <f ca="1"/>
        <v>1.2568951738622935</v>
      </c>
      <c r="O6" s="41">
        <f ca="1"/>
        <v>1.2028743209297519</v>
      </c>
      <c r="P6" s="42">
        <f ca="1"/>
        <v>1.2029743104826138</v>
      </c>
    </row>
    <row r="7" spans="2:17" x14ac:dyDescent="0.25">
      <c r="B7" s="1" t="s">
        <v>0</v>
      </c>
      <c r="C7" s="32" t="s">
        <v>57</v>
      </c>
      <c r="E7" t="s">
        <v>59</v>
      </c>
      <c r="I7" s="58"/>
      <c r="L7" s="70">
        <f t="shared" ca="1" si="0"/>
        <v>43937</v>
      </c>
      <c r="M7" s="41">
        <f t="array" aca="1" ref="M7:P7" ca="1">_xll.meLWOFXForwardsFromDiscountCurves($E$4,$L7,$G$8,$G$9,FALSE)</f>
        <v>1.2567907024818581</v>
      </c>
      <c r="N7" s="41">
        <f ca="1"/>
        <v>1.2568951738622935</v>
      </c>
      <c r="O7" s="41">
        <f ca="1"/>
        <v>1.2028743209297519</v>
      </c>
      <c r="P7" s="42">
        <f ca="1"/>
        <v>1.2029743104826138</v>
      </c>
    </row>
    <row r="8" spans="2:17" x14ac:dyDescent="0.25">
      <c r="B8" s="2" t="s">
        <v>2</v>
      </c>
      <c r="C8" s="2" t="s">
        <v>1</v>
      </c>
      <c r="E8" s="13" t="s">
        <v>54</v>
      </c>
      <c r="F8" s="14"/>
      <c r="G8" s="56" t="s">
        <v>55</v>
      </c>
      <c r="L8" s="70">
        <f t="shared" ca="1" si="0"/>
        <v>43937</v>
      </c>
      <c r="M8" s="41">
        <f t="array" aca="1" ref="M8:P8" ca="1">_xll.meLWOFXForwardsFromDiscountCurves($E$4,$L8,$G$8,$G$9,FALSE)</f>
        <v>1.2567907024818581</v>
      </c>
      <c r="N8" s="41">
        <f ca="1"/>
        <v>1.2568951738622935</v>
      </c>
      <c r="O8" s="41">
        <f ca="1"/>
        <v>1.2028743209297519</v>
      </c>
      <c r="P8" s="42">
        <f ca="1"/>
        <v>1.2029743104826138</v>
      </c>
    </row>
    <row r="9" spans="2:17" x14ac:dyDescent="0.25">
      <c r="B9" s="3" t="s">
        <v>3</v>
      </c>
      <c r="C9" s="3" t="s">
        <v>4</v>
      </c>
      <c r="E9" s="15" t="s">
        <v>53</v>
      </c>
      <c r="F9" s="16"/>
      <c r="G9" s="57" t="s">
        <v>56</v>
      </c>
      <c r="L9" s="70">
        <f t="shared" ca="1" si="0"/>
        <v>43937</v>
      </c>
      <c r="M9" s="41">
        <f t="array" aca="1" ref="M9:P9" ca="1">_xll.meLWOFXForwardsFromDiscountCurves($E$4,$L9,$G$8,$G$9,FALSE)</f>
        <v>1.2567907024818581</v>
      </c>
      <c r="N9" s="41">
        <f ca="1"/>
        <v>1.2568951738622935</v>
      </c>
      <c r="O9" s="41">
        <f ca="1"/>
        <v>1.2028743209297519</v>
      </c>
      <c r="P9" s="42">
        <f ca="1"/>
        <v>1.2029743104826138</v>
      </c>
    </row>
    <row r="10" spans="2:17" x14ac:dyDescent="0.25">
      <c r="B10" s="3" t="s">
        <v>5</v>
      </c>
      <c r="C10" s="3" t="s">
        <v>6</v>
      </c>
      <c r="L10" s="70">
        <f t="shared" ca="1" si="0"/>
        <v>43937</v>
      </c>
      <c r="M10" s="41">
        <f t="array" aca="1" ref="M10:P10" ca="1">_xll.meLWOFXForwardsFromDiscountCurves($E$4,$L10,$G$8,$G$9,FALSE)</f>
        <v>1.2567907024818581</v>
      </c>
      <c r="N10" s="41">
        <f ca="1"/>
        <v>1.2568951738622935</v>
      </c>
      <c r="O10" s="41">
        <f ca="1"/>
        <v>1.2028743209297519</v>
      </c>
      <c r="P10" s="42">
        <f ca="1"/>
        <v>1.2029743104826138</v>
      </c>
    </row>
    <row r="11" spans="2:17" x14ac:dyDescent="0.25">
      <c r="B11" s="4" t="s">
        <v>7</v>
      </c>
      <c r="C11" s="4" t="s">
        <v>8</v>
      </c>
      <c r="L11" s="72">
        <f t="shared" ca="1" si="0"/>
        <v>43937</v>
      </c>
      <c r="M11" s="41">
        <f t="array" aca="1" ref="M11:P11" ca="1">_xll.meLWOFXForwardsFromDiscountCurves($E$4,$L11,$G$8,$G$9,FALSE)</f>
        <v>1.2567907024818581</v>
      </c>
      <c r="N11" s="41">
        <f ca="1"/>
        <v>1.2568951738622935</v>
      </c>
      <c r="O11" s="41">
        <f ca="1"/>
        <v>1.2028743209297519</v>
      </c>
      <c r="P11" s="42">
        <f ca="1"/>
        <v>1.2029743104826138</v>
      </c>
    </row>
    <row r="13" spans="2:17" x14ac:dyDescent="0.25">
      <c r="G13" s="58"/>
    </row>
    <row r="14" spans="2:17" x14ac:dyDescent="0.25">
      <c r="B14" s="1" t="s">
        <v>9</v>
      </c>
      <c r="E14" s="1" t="s">
        <v>58</v>
      </c>
      <c r="L14" s="1" t="s">
        <v>66</v>
      </c>
    </row>
    <row r="15" spans="2:17" x14ac:dyDescent="0.25">
      <c r="B15" s="7" t="s">
        <v>10</v>
      </c>
      <c r="C15" s="10" t="s">
        <v>11</v>
      </c>
      <c r="E15" s="35" t="s">
        <v>49</v>
      </c>
      <c r="F15" s="36" t="s">
        <v>50</v>
      </c>
      <c r="G15" s="36" t="str">
        <f t="array" aca="1" ref="G15:J47" ca="1">_xll.meLWOFXForwardsFromDiscountCurves($E$4,$F$16:$F$47,$G$8,$G$9,TRUE)</f>
        <v>BidPoints</v>
      </c>
      <c r="H15" s="36" t="str">
        <f ca="1"/>
        <v>AskPoints</v>
      </c>
      <c r="I15" s="36" t="str">
        <f ca="1"/>
        <v>BidOutright</v>
      </c>
      <c r="J15" s="36" t="str">
        <f ca="1"/>
        <v>AskOutright</v>
      </c>
      <c r="L15" s="22" t="s">
        <v>61</v>
      </c>
      <c r="M15" s="22" t="s">
        <v>68</v>
      </c>
      <c r="N15" s="22" t="s">
        <v>73</v>
      </c>
      <c r="O15" s="22" t="s">
        <v>74</v>
      </c>
      <c r="P15" s="22" t="s">
        <v>75</v>
      </c>
      <c r="Q15" s="22" t="s">
        <v>76</v>
      </c>
    </row>
    <row r="16" spans="2:17" x14ac:dyDescent="0.25">
      <c r="B16" s="8" t="s">
        <v>12</v>
      </c>
      <c r="C16" s="11" t="s">
        <v>13</v>
      </c>
      <c r="E16" s="49" t="s">
        <v>25</v>
      </c>
      <c r="F16" s="407">
        <f ca="1">TODAY()</f>
        <v>43937</v>
      </c>
      <c r="G16" s="37">
        <f ca="1"/>
        <v>1.2567907024818581</v>
      </c>
      <c r="H16" s="38">
        <f ca="1"/>
        <v>1.2568951738622935</v>
      </c>
      <c r="I16" s="38">
        <f ca="1"/>
        <v>1.2028743209297519</v>
      </c>
      <c r="J16" s="39">
        <f ca="1"/>
        <v>1.2029743104826138</v>
      </c>
      <c r="L16" s="75">
        <f t="shared" ref="L16:L47" ca="1" si="1">TODAY()</f>
        <v>43937</v>
      </c>
      <c r="M16" s="76">
        <f ca="1">_xll.meDateFromTenor(L16,"1Y1M1D","F","TGT:NYB")</f>
        <v>44334</v>
      </c>
      <c r="N16" s="74">
        <f t="array" aca="1" ref="N16:Q16" ca="1">_xll.meLWOFXSwapFromDiscountCurves($E$4,L16,M16,$G$8,$G$9)</f>
        <v>124.5116472658725</v>
      </c>
      <c r="O16" s="69">
        <f ca="1"/>
        <v>124.52220631268497</v>
      </c>
      <c r="P16" s="38">
        <f ca="1"/>
        <v>1.2153254856563391</v>
      </c>
      <c r="Q16" s="39">
        <f ca="1"/>
        <v>1.2154265311138823</v>
      </c>
    </row>
    <row r="17" spans="2:17" x14ac:dyDescent="0.25">
      <c r="B17" s="8" t="s">
        <v>14</v>
      </c>
      <c r="C17" s="11" t="s">
        <v>15</v>
      </c>
      <c r="E17" s="50" t="s">
        <v>26</v>
      </c>
      <c r="F17" s="51">
        <f ca="1">_xll.meDateFromTenor(F16,"1D","F","TGT:NYB")</f>
        <v>43938</v>
      </c>
      <c r="G17" s="40">
        <f ca="1"/>
        <v>0.94275558236267543</v>
      </c>
      <c r="H17" s="41">
        <f ca="1"/>
        <v>0.94283394940886112</v>
      </c>
      <c r="I17" s="41">
        <f ca="1"/>
        <v>1.2029057244417638</v>
      </c>
      <c r="J17" s="42">
        <f ca="1"/>
        <v>1.2030057166050592</v>
      </c>
      <c r="L17" s="77">
        <f t="shared" ca="1" si="1"/>
        <v>43937</v>
      </c>
      <c r="M17" s="78">
        <f ca="1">_xll.meDateFromTenor(L17,"1Y1M1D","F","TGT:NYB")</f>
        <v>44334</v>
      </c>
      <c r="N17" s="71">
        <f t="array" aca="1" ref="N17:Q17" ca="1">_xll.meLWOFXSwapFromDiscountCurves($E$4,L17,M17,$G$8,$G$9)</f>
        <v>124.5116472658725</v>
      </c>
      <c r="O17" s="71">
        <f ca="1"/>
        <v>124.52220631268497</v>
      </c>
      <c r="P17" s="41">
        <f ca="1"/>
        <v>1.2153254856563391</v>
      </c>
      <c r="Q17" s="42">
        <f ca="1"/>
        <v>1.2154265311138823</v>
      </c>
    </row>
    <row r="18" spans="2:17" x14ac:dyDescent="0.25">
      <c r="B18" s="8" t="s">
        <v>16</v>
      </c>
      <c r="C18" s="11"/>
      <c r="E18" s="52" t="s">
        <v>51</v>
      </c>
      <c r="F18" s="53">
        <f ca="1">F17+1</f>
        <v>43939</v>
      </c>
      <c r="G18" s="43">
        <f ca="1"/>
        <v>0.62871685662768684</v>
      </c>
      <c r="H18" s="44">
        <f ca="1"/>
        <v>0.62876911904208299</v>
      </c>
      <c r="I18" s="44">
        <f ca="1"/>
        <v>1.2029371283143373</v>
      </c>
      <c r="J18" s="45">
        <f ca="1"/>
        <v>1.2030371230880958</v>
      </c>
      <c r="L18" s="77">
        <f t="shared" ca="1" si="1"/>
        <v>43937</v>
      </c>
      <c r="M18" s="78">
        <f ca="1">_xll.meDateFromTenor(L18,"1Y1M1D","F","TGT:NYB")</f>
        <v>44334</v>
      </c>
      <c r="N18" s="71">
        <f t="array" aca="1" ref="N18:Q18" ca="1">_xll.meLWOFXSwapFromDiscountCurves($E$4,L18,M18,$G$8,$G$9)</f>
        <v>124.5116472658725</v>
      </c>
      <c r="O18" s="71">
        <f ca="1"/>
        <v>124.52220631268497</v>
      </c>
      <c r="P18" s="41">
        <f ca="1"/>
        <v>1.2153254856563391</v>
      </c>
      <c r="Q18" s="42">
        <f ca="1"/>
        <v>1.2154265311138823</v>
      </c>
    </row>
    <row r="19" spans="2:17" x14ac:dyDescent="0.25">
      <c r="B19" s="8" t="s">
        <v>17</v>
      </c>
      <c r="C19" s="11"/>
      <c r="E19" s="50" t="s">
        <v>52</v>
      </c>
      <c r="F19" s="51">
        <f ca="1">_xll.meDateFromTenor(F18,"1D","F","TGT:NYB")</f>
        <v>43941</v>
      </c>
      <c r="G19" s="40">
        <f ca="1"/>
        <v>0</v>
      </c>
      <c r="H19" s="41">
        <f ca="1"/>
        <v>0</v>
      </c>
      <c r="I19" s="41">
        <f ca="1"/>
        <v>1.2030000000000001</v>
      </c>
      <c r="J19" s="42">
        <f ca="1"/>
        <v>1.2031000000000001</v>
      </c>
      <c r="L19" s="77">
        <f t="shared" ca="1" si="1"/>
        <v>43937</v>
      </c>
      <c r="M19" s="78">
        <f ca="1">_xll.meDateFromTenor(L19,"1Y1M1D","F","TGT:NYB")</f>
        <v>44334</v>
      </c>
      <c r="N19" s="71">
        <f t="array" aca="1" ref="N19:Q19" ca="1">_xll.meLWOFXSwapFromDiscountCurves($E$4,L19,M19,$G$8,$G$9)</f>
        <v>124.5116472658725</v>
      </c>
      <c r="O19" s="71">
        <f ca="1"/>
        <v>124.52220631268497</v>
      </c>
      <c r="P19" s="41">
        <f ca="1"/>
        <v>1.2153254856563391</v>
      </c>
      <c r="Q19" s="42">
        <f ca="1"/>
        <v>1.2154265311138823</v>
      </c>
    </row>
    <row r="20" spans="2:17" x14ac:dyDescent="0.25">
      <c r="B20" s="9" t="s">
        <v>348</v>
      </c>
      <c r="C20" s="12" t="b">
        <v>0</v>
      </c>
      <c r="E20" s="50" t="s">
        <v>27</v>
      </c>
      <c r="F20" s="51">
        <f ca="1">_xll.meDateFromTenor($F$18,E20,"F","TGT:NYB")</f>
        <v>43948</v>
      </c>
      <c r="G20" s="40">
        <f ca="1"/>
        <v>2.2196286191755732</v>
      </c>
      <c r="H20" s="41">
        <f ca="1"/>
        <v>2.2198131269557386</v>
      </c>
      <c r="I20" s="41">
        <f ca="1"/>
        <v>1.2032219628619176</v>
      </c>
      <c r="J20" s="42">
        <f ca="1"/>
        <v>1.2033219813126956</v>
      </c>
      <c r="L20" s="77">
        <f t="shared" ca="1" si="1"/>
        <v>43937</v>
      </c>
      <c r="M20" s="78">
        <f ca="1">_xll.meDateFromTenor(L20,"1Y1M1D","F","TGT:NYB")</f>
        <v>44334</v>
      </c>
      <c r="N20" s="71">
        <f t="array" aca="1" ref="N20:Q20" ca="1">_xll.meLWOFXSwapFromDiscountCurves($E$4,L20,M20,$G$8,$G$9)</f>
        <v>124.5116472658725</v>
      </c>
      <c r="O20" s="71">
        <f ca="1"/>
        <v>124.52220631268497</v>
      </c>
      <c r="P20" s="41">
        <f ca="1"/>
        <v>1.2153254856563391</v>
      </c>
      <c r="Q20" s="42">
        <f ca="1"/>
        <v>1.2154265311138823</v>
      </c>
    </row>
    <row r="21" spans="2:17" x14ac:dyDescent="0.25">
      <c r="E21" s="50" t="s">
        <v>28</v>
      </c>
      <c r="F21" s="51">
        <f ca="1">_xll.meDateFromTenor($F$18,E21,"F","TGT:NYB")</f>
        <v>43955</v>
      </c>
      <c r="G21" s="40">
        <f ca="1"/>
        <v>4.4880853732798265</v>
      </c>
      <c r="H21" s="41">
        <f ca="1"/>
        <v>4.4884584477067335</v>
      </c>
      <c r="I21" s="41">
        <f ca="1"/>
        <v>1.2034488085373281</v>
      </c>
      <c r="J21" s="42">
        <f ca="1"/>
        <v>1.2035488458447707</v>
      </c>
      <c r="L21" s="77">
        <f t="shared" ca="1" si="1"/>
        <v>43937</v>
      </c>
      <c r="M21" s="78">
        <f ca="1">_xll.meDateFromTenor(L21,"1Y1M1D","F","TGT:NYB")</f>
        <v>44334</v>
      </c>
      <c r="N21" s="71">
        <f t="array" aca="1" ref="N21:Q21" ca="1">_xll.meLWOFXSwapFromDiscountCurves($E$4,L21,M21,$G$8,$G$9)</f>
        <v>124.5116472658725</v>
      </c>
      <c r="O21" s="71">
        <f ca="1"/>
        <v>124.52220631268497</v>
      </c>
      <c r="P21" s="41">
        <f ca="1"/>
        <v>1.2153254856563391</v>
      </c>
      <c r="Q21" s="42">
        <f ca="1"/>
        <v>1.2154265311138823</v>
      </c>
    </row>
    <row r="22" spans="2:17" x14ac:dyDescent="0.25">
      <c r="E22" s="50" t="s">
        <v>29</v>
      </c>
      <c r="F22" s="51">
        <f ca="1">_xll.meDateFromTenor($F$18,E22,"F","TGT:NYB")</f>
        <v>43962</v>
      </c>
      <c r="G22" s="40">
        <f ca="1"/>
        <v>6.8181302529124466</v>
      </c>
      <c r="H22" s="41">
        <f ca="1"/>
        <v>6.8186970135308833</v>
      </c>
      <c r="I22" s="41">
        <f ca="1"/>
        <v>1.2036818130252913</v>
      </c>
      <c r="J22" s="42">
        <f ca="1"/>
        <v>1.2037818697013531</v>
      </c>
      <c r="L22" s="77">
        <f t="shared" ca="1" si="1"/>
        <v>43937</v>
      </c>
      <c r="M22" s="78">
        <f ca="1">_xll.meDateFromTenor(L22,"1Y1M1D","F","TGT:NYB")</f>
        <v>44334</v>
      </c>
      <c r="N22" s="71">
        <f t="array" aca="1" ref="N22:Q22" ca="1">_xll.meLWOFXSwapFromDiscountCurves($E$4,L22,M22,$G$8,$G$9)</f>
        <v>124.5116472658725</v>
      </c>
      <c r="O22" s="71">
        <f ca="1"/>
        <v>124.52220631268497</v>
      </c>
      <c r="P22" s="41">
        <f ca="1"/>
        <v>1.2153254856563391</v>
      </c>
      <c r="Q22" s="42">
        <f ca="1"/>
        <v>1.2154265311138823</v>
      </c>
    </row>
    <row r="23" spans="2:17" x14ac:dyDescent="0.25">
      <c r="B23" s="6" t="s">
        <v>71</v>
      </c>
      <c r="E23" s="50" t="s">
        <v>30</v>
      </c>
      <c r="F23" s="51">
        <f ca="1">_xll.meDateFromTenor($F$18,E23,"F","TGT:NYB")</f>
        <v>43969</v>
      </c>
      <c r="G23" s="40">
        <f ca="1"/>
        <v>9.1629578878960061</v>
      </c>
      <c r="H23" s="41">
        <f ca="1"/>
        <v>9.163719563529682</v>
      </c>
      <c r="I23" s="41">
        <f ca="1"/>
        <v>1.2039162957887897</v>
      </c>
      <c r="J23" s="42">
        <f ca="1"/>
        <v>1.204016371956353</v>
      </c>
      <c r="L23" s="77">
        <f t="shared" ca="1" si="1"/>
        <v>43937</v>
      </c>
      <c r="M23" s="78">
        <f ca="1">_xll.meDateFromTenor(L23,"1Y1M1D","F","TGT:NYB")</f>
        <v>44334</v>
      </c>
      <c r="N23" s="71">
        <f t="array" aca="1" ref="N23:Q23" ca="1">_xll.meLWOFXSwapFromDiscountCurves($E$4,L23,M23,$G$8,$G$9)</f>
        <v>124.5116472658725</v>
      </c>
      <c r="O23" s="71">
        <f ca="1"/>
        <v>124.52220631268497</v>
      </c>
      <c r="P23" s="41">
        <f ca="1"/>
        <v>1.2153254856563391</v>
      </c>
      <c r="Q23" s="42">
        <f ca="1"/>
        <v>1.2154265311138823</v>
      </c>
    </row>
    <row r="24" spans="2:17" x14ac:dyDescent="0.25">
      <c r="B24" s="59" t="str">
        <f ca="1">_xll.meLWOCurveMarketDataCreate($B$23&amp;"_"&amp;$C$28,B27,B28:C31,B34,B36:C36)</f>
        <v>MKTDATA_DISCFACTORS_EURUSD@11:2</v>
      </c>
      <c r="C24" s="60"/>
      <c r="E24" s="50" t="s">
        <v>31</v>
      </c>
      <c r="F24" s="51">
        <f ca="1">_xll.meDateFromTenor($F$18,E24,"F","TGT:NYB")</f>
        <v>44000</v>
      </c>
      <c r="G24" s="40">
        <f ca="1"/>
        <v>19.442557938946781</v>
      </c>
      <c r="H24" s="41">
        <f ca="1"/>
        <v>19.444174111677981</v>
      </c>
      <c r="I24" s="41">
        <f ca="1"/>
        <v>1.2049442557938947</v>
      </c>
      <c r="J24" s="42">
        <f ca="1"/>
        <v>1.2050444174111679</v>
      </c>
      <c r="L24" s="77">
        <f t="shared" ca="1" si="1"/>
        <v>43937</v>
      </c>
      <c r="M24" s="78">
        <f ca="1">_xll.meDateFromTenor(L24,"1Y1M1D","F","TGT:NYB")</f>
        <v>44334</v>
      </c>
      <c r="N24" s="71">
        <f t="array" aca="1" ref="N24:Q24" ca="1">_xll.meLWOFXSwapFromDiscountCurves($E$4,L24,M24,$G$8,$G$9)</f>
        <v>124.5116472658725</v>
      </c>
      <c r="O24" s="71">
        <f ca="1"/>
        <v>124.52220631268497</v>
      </c>
      <c r="P24" s="41">
        <f ca="1"/>
        <v>1.2153254856563391</v>
      </c>
      <c r="Q24" s="42">
        <f ca="1"/>
        <v>1.2154265311138823</v>
      </c>
    </row>
    <row r="25" spans="2:17" x14ac:dyDescent="0.25">
      <c r="E25" s="50" t="s">
        <v>32</v>
      </c>
      <c r="F25" s="51">
        <f ca="1">_xll.meDateFromTenor($F$18,E25,"F","TGT:NYB")</f>
        <v>44032</v>
      </c>
      <c r="G25" s="40">
        <f ca="1"/>
        <v>29.995857315907593</v>
      </c>
      <c r="H25" s="41">
        <f ca="1"/>
        <v>29.998350737130419</v>
      </c>
      <c r="I25" s="41">
        <f ca="1"/>
        <v>1.2059995857315908</v>
      </c>
      <c r="J25" s="42">
        <f ca="1"/>
        <v>1.2060998350737131</v>
      </c>
      <c r="L25" s="77">
        <f t="shared" ca="1" si="1"/>
        <v>43937</v>
      </c>
      <c r="M25" s="78">
        <f ca="1">_xll.meDateFromTenor(L25,"1Y1M1D","F","TGT:NYB")</f>
        <v>44334</v>
      </c>
      <c r="N25" s="71">
        <f t="array" aca="1" ref="N25:Q25" ca="1">_xll.meLWOFXSwapFromDiscountCurves($E$4,L25,M25,$G$8,$G$9)</f>
        <v>124.5116472658725</v>
      </c>
      <c r="O25" s="71">
        <f ca="1"/>
        <v>124.52220631268497</v>
      </c>
      <c r="P25" s="41">
        <f ca="1"/>
        <v>1.2153254856563391</v>
      </c>
      <c r="Q25" s="42">
        <f ca="1"/>
        <v>1.2154265311138823</v>
      </c>
    </row>
    <row r="26" spans="2:17" x14ac:dyDescent="0.25">
      <c r="E26" s="50" t="s">
        <v>33</v>
      </c>
      <c r="F26" s="51">
        <f ca="1">_xll.meDateFromTenor($F$18,E26,"F","TGT:NYB")</f>
        <v>44061</v>
      </c>
      <c r="G26" s="40">
        <f ca="1"/>
        <v>39.349338582261865</v>
      </c>
      <c r="H26" s="41">
        <f ca="1"/>
        <v>39.352609516474232</v>
      </c>
      <c r="I26" s="41">
        <f ca="1"/>
        <v>1.2069349338582263</v>
      </c>
      <c r="J26" s="42">
        <f ca="1"/>
        <v>1.2070352609516475</v>
      </c>
      <c r="L26" s="77">
        <f t="shared" ca="1" si="1"/>
        <v>43937</v>
      </c>
      <c r="M26" s="78">
        <f ca="1">_xll.meDateFromTenor(L26,"1Y1M1D","F","TGT:NYB")</f>
        <v>44334</v>
      </c>
      <c r="N26" s="71">
        <f t="array" aca="1" ref="N26:Q26" ca="1">_xll.meLWOFXSwapFromDiscountCurves($E$4,L26,M26,$G$8,$G$9)</f>
        <v>124.5116472658725</v>
      </c>
      <c r="O26" s="71">
        <f ca="1"/>
        <v>124.52220631268497</v>
      </c>
      <c r="P26" s="41">
        <f ca="1"/>
        <v>1.2153254856563391</v>
      </c>
      <c r="Q26" s="42">
        <f ca="1"/>
        <v>1.2154265311138823</v>
      </c>
    </row>
    <row r="27" spans="2:17" x14ac:dyDescent="0.25">
      <c r="B27" s="1" t="s">
        <v>18</v>
      </c>
      <c r="E27" s="50" t="s">
        <v>34</v>
      </c>
      <c r="F27" s="51">
        <f ca="1">_xll.meDateFromTenor($F$18,E27,"F","TGT:NYB")</f>
        <v>44092</v>
      </c>
      <c r="G27" s="40">
        <f ca="1"/>
        <v>49.258600401742569</v>
      </c>
      <c r="H27" s="41">
        <f ca="1"/>
        <v>49.262695048490897</v>
      </c>
      <c r="I27" s="41">
        <f ca="1"/>
        <v>1.2079258600401743</v>
      </c>
      <c r="J27" s="42">
        <f ca="1"/>
        <v>1.2080262695048491</v>
      </c>
      <c r="L27" s="77">
        <f t="shared" ca="1" si="1"/>
        <v>43937</v>
      </c>
      <c r="M27" s="78">
        <f ca="1">_xll.meDateFromTenor(L27,"1Y1M1D","F","TGT:NYB")</f>
        <v>44334</v>
      </c>
      <c r="N27" s="71">
        <f t="array" aca="1" ref="N27:Q27" ca="1">_xll.meLWOFXSwapFromDiscountCurves($E$4,L27,M27,$G$8,$G$9)</f>
        <v>124.5116472658725</v>
      </c>
      <c r="O27" s="71">
        <f ca="1"/>
        <v>124.52220631268497</v>
      </c>
      <c r="P27" s="41">
        <f ca="1"/>
        <v>1.2153254856563391</v>
      </c>
      <c r="Q27" s="42">
        <f ca="1"/>
        <v>1.2154265311138823</v>
      </c>
    </row>
    <row r="28" spans="2:17" x14ac:dyDescent="0.25">
      <c r="B28" s="7" t="s">
        <v>2</v>
      </c>
      <c r="C28" s="10" t="s">
        <v>1</v>
      </c>
      <c r="E28" s="50" t="s">
        <v>35</v>
      </c>
      <c r="F28" s="51">
        <f ca="1">_xll.meDateFromTenor($F$18,E28,"F","TGT:NYB")</f>
        <v>44123</v>
      </c>
      <c r="G28" s="40">
        <f ca="1"/>
        <v>59.410088519047392</v>
      </c>
      <c r="H28" s="41">
        <f ca="1"/>
        <v>59.415027013520749</v>
      </c>
      <c r="I28" s="41">
        <f ca="1"/>
        <v>1.2089410088519048</v>
      </c>
      <c r="J28" s="42">
        <f ca="1"/>
        <v>1.2090415027013521</v>
      </c>
      <c r="L28" s="77">
        <f t="shared" ca="1" si="1"/>
        <v>43937</v>
      </c>
      <c r="M28" s="78">
        <f ca="1">_xll.meDateFromTenor(L28,"1Y1M1D","F","TGT:NYB")</f>
        <v>44334</v>
      </c>
      <c r="N28" s="71">
        <f t="array" aca="1" ref="N28:Q28" ca="1">_xll.meLWOFXSwapFromDiscountCurves($E$4,L28,M28,$G$8,$G$9)</f>
        <v>124.5116472658725</v>
      </c>
      <c r="O28" s="71">
        <f ca="1"/>
        <v>124.52220631268497</v>
      </c>
      <c r="P28" s="41">
        <f ca="1"/>
        <v>1.2153254856563391</v>
      </c>
      <c r="Q28" s="42">
        <f ca="1"/>
        <v>1.2154265311138823</v>
      </c>
    </row>
    <row r="29" spans="2:17" x14ac:dyDescent="0.25">
      <c r="B29" s="8" t="s">
        <v>5</v>
      </c>
      <c r="C29" s="11" t="s">
        <v>6</v>
      </c>
      <c r="E29" s="50" t="s">
        <v>36</v>
      </c>
      <c r="F29" s="51">
        <f ca="1">_xll.meDateFromTenor($F$18,E29,"F","TGT:NYB")</f>
        <v>44215</v>
      </c>
      <c r="G29" s="40">
        <f ca="1"/>
        <v>88.998664144495081</v>
      </c>
      <c r="H29" s="41">
        <f ca="1"/>
        <v>89.006062204688433</v>
      </c>
      <c r="I29" s="41">
        <f ca="1"/>
        <v>1.2118998664144496</v>
      </c>
      <c r="J29" s="42">
        <f ca="1"/>
        <v>1.2120006062204689</v>
      </c>
      <c r="L29" s="77">
        <f t="shared" ca="1" si="1"/>
        <v>43937</v>
      </c>
      <c r="M29" s="78">
        <f ca="1">_xll.meDateFromTenor(L29,"1Y1M1D","F","TGT:NYB")</f>
        <v>44334</v>
      </c>
      <c r="N29" s="71">
        <f t="array" aca="1" ref="N29:Q29" ca="1">_xll.meLWOFXSwapFromDiscountCurves($E$4,L29,M29,$G$8,$G$9)</f>
        <v>124.5116472658725</v>
      </c>
      <c r="O29" s="71">
        <f ca="1"/>
        <v>124.52220631268497</v>
      </c>
      <c r="P29" s="41">
        <f ca="1"/>
        <v>1.2153254856563391</v>
      </c>
      <c r="Q29" s="42">
        <f ca="1"/>
        <v>1.2154265311138823</v>
      </c>
    </row>
    <row r="30" spans="2:17" x14ac:dyDescent="0.25">
      <c r="B30" s="8" t="s">
        <v>19</v>
      </c>
      <c r="C30" s="82">
        <f ca="1">TODAY()</f>
        <v>43937</v>
      </c>
      <c r="E30" s="50" t="s">
        <v>37</v>
      </c>
      <c r="F30" s="51">
        <f ca="1">_xll.meDateFromTenor($F$18,E30,"F","TGT:NYB")</f>
        <v>44305</v>
      </c>
      <c r="G30" s="40">
        <f ca="1"/>
        <v>116.94228422093333</v>
      </c>
      <c r="H30" s="41">
        <f ca="1"/>
        <v>116.95200510906557</v>
      </c>
      <c r="I30" s="41">
        <f ca="1"/>
        <v>1.2146942284220934</v>
      </c>
      <c r="J30" s="42">
        <f ca="1"/>
        <v>1.2147952005109066</v>
      </c>
      <c r="L30" s="77">
        <f t="shared" ca="1" si="1"/>
        <v>43937</v>
      </c>
      <c r="M30" s="78">
        <f ca="1">_xll.meDateFromTenor(L30,"1Y1M1D","F","TGT:NYB")</f>
        <v>44334</v>
      </c>
      <c r="N30" s="71">
        <f t="array" aca="1" ref="N30:Q30" ca="1">_xll.meLWOFXSwapFromDiscountCurves($E$4,L30,M30,$G$8,$G$9)</f>
        <v>124.5116472658725</v>
      </c>
      <c r="O30" s="71">
        <f ca="1"/>
        <v>124.52220631268497</v>
      </c>
      <c r="P30" s="41">
        <f ca="1"/>
        <v>1.2153254856563391</v>
      </c>
      <c r="Q30" s="42">
        <f ca="1"/>
        <v>1.2154265311138823</v>
      </c>
    </row>
    <row r="31" spans="2:17" x14ac:dyDescent="0.25">
      <c r="B31" s="9" t="s">
        <v>20</v>
      </c>
      <c r="C31" s="12">
        <v>1E-4</v>
      </c>
      <c r="E31" s="50" t="s">
        <v>38</v>
      </c>
      <c r="F31" s="51">
        <f ca="1">_xll.meDateFromTenor($F$18,E31,"F","TGT:NYB")</f>
        <v>44396</v>
      </c>
      <c r="G31" s="40">
        <f ca="1"/>
        <v>144.41484317085474</v>
      </c>
      <c r="H31" s="41">
        <f ca="1"/>
        <v>144.42684772972393</v>
      </c>
      <c r="I31" s="41">
        <f ca="1"/>
        <v>1.2174414843170855</v>
      </c>
      <c r="J31" s="42">
        <f ca="1"/>
        <v>1.2175426847729724</v>
      </c>
      <c r="L31" s="77">
        <f t="shared" ca="1" si="1"/>
        <v>43937</v>
      </c>
      <c r="M31" s="78">
        <f ca="1">_xll.meDateFromTenor(L31,"1Y1M1D","F","TGT:NYB")</f>
        <v>44334</v>
      </c>
      <c r="N31" s="71">
        <f t="array" aca="1" ref="N31:Q31" ca="1">_xll.meLWOFXSwapFromDiscountCurves($E$4,L31,M31,$G$8,$G$9)</f>
        <v>124.5116472658725</v>
      </c>
      <c r="O31" s="71">
        <f ca="1"/>
        <v>124.52220631268497</v>
      </c>
      <c r="P31" s="41">
        <f ca="1"/>
        <v>1.2153254856563391</v>
      </c>
      <c r="Q31" s="42">
        <f ca="1"/>
        <v>1.2154265311138823</v>
      </c>
    </row>
    <row r="32" spans="2:17" x14ac:dyDescent="0.25">
      <c r="E32" s="50" t="s">
        <v>39</v>
      </c>
      <c r="F32" s="51">
        <f ca="1">_xll.meDateFromTenor($F$18,E32,"F","TGT:NYB")</f>
        <v>44487</v>
      </c>
      <c r="G32" s="40">
        <f ca="1"/>
        <v>171.48099608066181</v>
      </c>
      <c r="H32" s="41">
        <f ca="1"/>
        <v>171.49525052755132</v>
      </c>
      <c r="I32" s="41">
        <f ca="1"/>
        <v>1.2201480996080662</v>
      </c>
      <c r="J32" s="42">
        <f ca="1"/>
        <v>1.2202495250527552</v>
      </c>
      <c r="L32" s="77">
        <f t="shared" ca="1" si="1"/>
        <v>43937</v>
      </c>
      <c r="M32" s="78">
        <f ca="1">_xll.meDateFromTenor(L32,"1Y1M1D","F","TGT:NYB")</f>
        <v>44334</v>
      </c>
      <c r="N32" s="71">
        <f t="array" aca="1" ref="N32:Q32" ca="1">_xll.meLWOFXSwapFromDiscountCurves($E$4,L32,M32,$G$8,$G$9)</f>
        <v>124.5116472658725</v>
      </c>
      <c r="O32" s="71">
        <f ca="1"/>
        <v>124.52220631268497</v>
      </c>
      <c r="P32" s="41">
        <f ca="1"/>
        <v>1.2153254856563391</v>
      </c>
      <c r="Q32" s="42">
        <f ca="1"/>
        <v>1.2154265311138823</v>
      </c>
    </row>
    <row r="33" spans="2:17" x14ac:dyDescent="0.25">
      <c r="E33" s="50" t="s">
        <v>40</v>
      </c>
      <c r="F33" s="51">
        <f ca="1">_xll.meDateFromTenor($F$18,E33,"F","TGT:NYB")</f>
        <v>44670</v>
      </c>
      <c r="G33" s="40">
        <f ca="1"/>
        <v>226.78852372592706</v>
      </c>
      <c r="H33" s="41">
        <f ca="1"/>
        <v>226.80737563978815</v>
      </c>
      <c r="I33" s="41">
        <f ca="1"/>
        <v>1.2256788523725928</v>
      </c>
      <c r="J33" s="42">
        <f ca="1"/>
        <v>1.2257807375639789</v>
      </c>
      <c r="L33" s="77">
        <f t="shared" ca="1" si="1"/>
        <v>43937</v>
      </c>
      <c r="M33" s="78">
        <f ca="1">_xll.meDateFromTenor(L33,"1Y1M1D","F","TGT:NYB")</f>
        <v>44334</v>
      </c>
      <c r="N33" s="71">
        <f t="array" aca="1" ref="N33:Q33" ca="1">_xll.meLWOFXSwapFromDiscountCurves($E$4,L33,M33,$G$8,$G$9)</f>
        <v>124.5116472658725</v>
      </c>
      <c r="O33" s="71">
        <f ca="1"/>
        <v>124.52220631268497</v>
      </c>
      <c r="P33" s="41">
        <f ca="1"/>
        <v>1.2153254856563391</v>
      </c>
      <c r="Q33" s="42">
        <f ca="1"/>
        <v>1.2154265311138823</v>
      </c>
    </row>
    <row r="34" spans="2:17" x14ac:dyDescent="0.25">
      <c r="B34" s="1" t="s">
        <v>21</v>
      </c>
      <c r="E34" s="50" t="s">
        <v>41</v>
      </c>
      <c r="F34" s="51">
        <f ca="1">_xll.meDateFromTenor($F$18,E34,"F","TGT:NYB")</f>
        <v>45034</v>
      </c>
      <c r="G34" s="40">
        <f ca="1"/>
        <v>347.4903762202519</v>
      </c>
      <c r="H34" s="41">
        <f ca="1"/>
        <v>347.51926153830715</v>
      </c>
      <c r="I34" s="41">
        <f ca="1"/>
        <v>1.2377490376220253</v>
      </c>
      <c r="J34" s="42">
        <f ca="1"/>
        <v>1.2378519261538308</v>
      </c>
      <c r="L34" s="77">
        <f t="shared" ca="1" si="1"/>
        <v>43937</v>
      </c>
      <c r="M34" s="78">
        <f ca="1">_xll.meDateFromTenor(L34,"1Y1M1D","F","TGT:NYB")</f>
        <v>44334</v>
      </c>
      <c r="N34" s="71">
        <f t="array" aca="1" ref="N34:Q34" ca="1">_xll.meLWOFXSwapFromDiscountCurves($E$4,L34,M34,$G$8,$G$9)</f>
        <v>124.5116472658725</v>
      </c>
      <c r="O34" s="71">
        <f ca="1"/>
        <v>124.52220631268497</v>
      </c>
      <c r="P34" s="41">
        <f ca="1"/>
        <v>1.2153254856563391</v>
      </c>
      <c r="Q34" s="42">
        <f ca="1"/>
        <v>1.2154265311138823</v>
      </c>
    </row>
    <row r="35" spans="2:17" x14ac:dyDescent="0.25">
      <c r="B35" s="17" t="s">
        <v>22</v>
      </c>
      <c r="C35" s="18" t="s">
        <v>23</v>
      </c>
      <c r="E35" s="50" t="s">
        <v>42</v>
      </c>
      <c r="F35" s="51">
        <f ca="1">_xll.meDateFromTenor($F$18,E35,"F","TGT:NYB")</f>
        <v>45400</v>
      </c>
      <c r="G35" s="40">
        <f ca="1"/>
        <v>476.79756690799604</v>
      </c>
      <c r="H35" s="41">
        <f ca="1"/>
        <v>476.83720095345717</v>
      </c>
      <c r="I35" s="41">
        <f ca="1"/>
        <v>1.2506797566907997</v>
      </c>
      <c r="J35" s="42">
        <f ca="1"/>
        <v>1.2507837200953458</v>
      </c>
      <c r="L35" s="77">
        <f t="shared" ca="1" si="1"/>
        <v>43937</v>
      </c>
      <c r="M35" s="78">
        <f ca="1">_xll.meDateFromTenor(L35,"1Y1M1D","F","TGT:NYB")</f>
        <v>44334</v>
      </c>
      <c r="N35" s="71">
        <f t="array" aca="1" ref="N35:Q35" ca="1">_xll.meLWOFXSwapFromDiscountCurves($E$4,L35,M35,$G$8,$G$9)</f>
        <v>124.5116472658725</v>
      </c>
      <c r="O35" s="71">
        <f ca="1"/>
        <v>124.52220631268497</v>
      </c>
      <c r="P35" s="41">
        <f ca="1"/>
        <v>1.2153254856563391</v>
      </c>
      <c r="Q35" s="42">
        <f ca="1"/>
        <v>1.2154265311138823</v>
      </c>
    </row>
    <row r="36" spans="2:17" x14ac:dyDescent="0.25">
      <c r="B36" s="33">
        <v>1.2030000000000001</v>
      </c>
      <c r="C36" s="34">
        <v>1.2031000000000001</v>
      </c>
      <c r="E36" s="50" t="s">
        <v>43</v>
      </c>
      <c r="F36" s="51">
        <f ca="1">_xll.meDateFromTenor($F$18,E36,"F","TGT:NYB")</f>
        <v>45769</v>
      </c>
      <c r="G36" s="40">
        <f ca="1"/>
        <v>618.43423464056139</v>
      </c>
      <c r="H36" s="41">
        <f ca="1"/>
        <v>618.48564230761349</v>
      </c>
      <c r="I36" s="41">
        <f ca="1"/>
        <v>1.2648434234640562</v>
      </c>
      <c r="J36" s="42">
        <f ca="1"/>
        <v>1.2649485642307614</v>
      </c>
      <c r="L36" s="77">
        <f t="shared" ca="1" si="1"/>
        <v>43937</v>
      </c>
      <c r="M36" s="78">
        <f ca="1">_xll.meDateFromTenor(L36,"1Y1M1D","F","TGT:NYB")</f>
        <v>44334</v>
      </c>
      <c r="N36" s="71">
        <f t="array" aca="1" ref="N36:Q36" ca="1">_xll.meLWOFXSwapFromDiscountCurves($E$4,L36,M36,$G$8,$G$9)</f>
        <v>124.5116472658725</v>
      </c>
      <c r="O36" s="71">
        <f ca="1"/>
        <v>124.52220631268497</v>
      </c>
      <c r="P36" s="41">
        <f ca="1"/>
        <v>1.2153254856563391</v>
      </c>
      <c r="Q36" s="42">
        <f ca="1"/>
        <v>1.2154265311138823</v>
      </c>
    </row>
    <row r="37" spans="2:17" x14ac:dyDescent="0.25">
      <c r="E37" s="50" t="s">
        <v>44</v>
      </c>
      <c r="F37" s="51">
        <f ca="1">_xll.meDateFromTenor($F$18,E37,"F","TGT:NYB")</f>
        <v>46132</v>
      </c>
      <c r="G37" s="40">
        <f ca="1"/>
        <v>768.68286221695837</v>
      </c>
      <c r="H37" s="41">
        <f ca="1"/>
        <v>768.74675937923746</v>
      </c>
      <c r="I37" s="41">
        <f ca="1"/>
        <v>1.2798682862216959</v>
      </c>
      <c r="J37" s="42">
        <f ca="1"/>
        <v>1.2799746759379238</v>
      </c>
      <c r="L37" s="77">
        <f t="shared" ca="1" si="1"/>
        <v>43937</v>
      </c>
      <c r="M37" s="78">
        <f ca="1">_xll.meDateFromTenor(L37,"1Y1M1D","F","TGT:NYB")</f>
        <v>44334</v>
      </c>
      <c r="N37" s="71">
        <f t="array" aca="1" ref="N37:Q37" ca="1">_xll.meLWOFXSwapFromDiscountCurves($E$4,L37,M37,$G$8,$G$9)</f>
        <v>124.5116472658725</v>
      </c>
      <c r="O37" s="71">
        <f ca="1"/>
        <v>124.52220631268497</v>
      </c>
      <c r="P37" s="41">
        <f ca="1"/>
        <v>1.2153254856563391</v>
      </c>
      <c r="Q37" s="42">
        <f ca="1"/>
        <v>1.2154265311138823</v>
      </c>
    </row>
    <row r="38" spans="2:17" x14ac:dyDescent="0.25">
      <c r="E38" s="50" t="s">
        <v>45</v>
      </c>
      <c r="F38" s="51">
        <f ca="1">_xll.meDateFromTenor($F$18,E38,"F","TGT:NYB")</f>
        <v>46496</v>
      </c>
      <c r="G38" s="40">
        <f ca="1"/>
        <v>920.22123951307265</v>
      </c>
      <c r="H38" s="41">
        <f ca="1"/>
        <v>920.29773338169423</v>
      </c>
      <c r="I38" s="41">
        <f ca="1"/>
        <v>1.2950221239513073</v>
      </c>
      <c r="J38" s="42">
        <f ca="1"/>
        <v>1.2951297733381695</v>
      </c>
      <c r="L38" s="77">
        <f t="shared" ca="1" si="1"/>
        <v>43937</v>
      </c>
      <c r="M38" s="78">
        <f ca="1">_xll.meDateFromTenor(L38,"1Y1M1D","F","TGT:NYB")</f>
        <v>44334</v>
      </c>
      <c r="N38" s="71">
        <f t="array" aca="1" ref="N38:Q38" ca="1">_xll.meLWOFXSwapFromDiscountCurves($E$4,L38,M38,$G$8,$G$9)</f>
        <v>124.5116472658725</v>
      </c>
      <c r="O38" s="71">
        <f ca="1"/>
        <v>124.52220631268497</v>
      </c>
      <c r="P38" s="41">
        <f ca="1"/>
        <v>1.2153254856563391</v>
      </c>
      <c r="Q38" s="42">
        <f ca="1"/>
        <v>1.2154265311138823</v>
      </c>
    </row>
    <row r="39" spans="2:17" x14ac:dyDescent="0.25">
      <c r="E39" s="50" t="s">
        <v>46</v>
      </c>
      <c r="F39" s="51">
        <f ca="1">_xll.meDateFromTenor($F$18,E39,"F","TGT:NYB")</f>
        <v>46861</v>
      </c>
      <c r="G39" s="40">
        <f ca="1"/>
        <v>1063.0790368596665</v>
      </c>
      <c r="H39" s="41">
        <f ca="1"/>
        <v>1063.1674058569129</v>
      </c>
      <c r="I39" s="41">
        <f ca="1"/>
        <v>1.3093079036859667</v>
      </c>
      <c r="J39" s="42">
        <f ca="1"/>
        <v>1.3094167405856914</v>
      </c>
      <c r="L39" s="77">
        <f t="shared" ca="1" si="1"/>
        <v>43937</v>
      </c>
      <c r="M39" s="78">
        <f ca="1">_xll.meDateFromTenor(L39,"1Y1M1D","F","TGT:NYB")</f>
        <v>44334</v>
      </c>
      <c r="N39" s="71">
        <f t="array" aca="1" ref="N39:Q39" ca="1">_xll.meLWOFXSwapFromDiscountCurves($E$4,L39,M39,$G$8,$G$9)</f>
        <v>124.5116472658725</v>
      </c>
      <c r="O39" s="71">
        <f ca="1"/>
        <v>124.52220631268497</v>
      </c>
      <c r="P39" s="41">
        <f ca="1"/>
        <v>1.2153254856563391</v>
      </c>
      <c r="Q39" s="42">
        <f ca="1"/>
        <v>1.2154265311138823</v>
      </c>
    </row>
    <row r="40" spans="2:17" x14ac:dyDescent="0.25">
      <c r="E40" s="50" t="s">
        <v>47</v>
      </c>
      <c r="F40" s="51">
        <f ca="1">_xll.meDateFromTenor($F$18,E40,"F","TGT:NYB")</f>
        <v>47226</v>
      </c>
      <c r="G40" s="40">
        <f ca="1"/>
        <v>1204.896861635787</v>
      </c>
      <c r="H40" s="41">
        <f ca="1"/>
        <v>1204.9970193133963</v>
      </c>
      <c r="I40" s="41">
        <f ca="1"/>
        <v>1.3234896861635788</v>
      </c>
      <c r="J40" s="42">
        <f ca="1"/>
        <v>1.3235997019313397</v>
      </c>
      <c r="L40" s="77">
        <f t="shared" ca="1" si="1"/>
        <v>43937</v>
      </c>
      <c r="M40" s="78">
        <f ca="1">_xll.meDateFromTenor(L40,"1Y1M1D","F","TGT:NYB")</f>
        <v>44334</v>
      </c>
      <c r="N40" s="71">
        <f t="array" aca="1" ref="N40:Q40" ca="1">_xll.meLWOFXSwapFromDiscountCurves($E$4,L40,M40,$G$8,$G$9)</f>
        <v>124.5116472658725</v>
      </c>
      <c r="O40" s="71">
        <f ca="1"/>
        <v>124.52220631268497</v>
      </c>
      <c r="P40" s="41">
        <f ca="1"/>
        <v>1.2153254856563391</v>
      </c>
      <c r="Q40" s="42">
        <f ca="1"/>
        <v>1.2154265311138823</v>
      </c>
    </row>
    <row r="41" spans="2:17" x14ac:dyDescent="0.25">
      <c r="E41" s="50" t="s">
        <v>48</v>
      </c>
      <c r="F41" s="51">
        <f ca="1">_xll.meDateFromTenor($F$18,E41,"F","TGT:NYB")</f>
        <v>47591</v>
      </c>
      <c r="G41" s="40">
        <f ca="1"/>
        <v>1332.5015456427125</v>
      </c>
      <c r="H41" s="41">
        <f ca="1"/>
        <v>1332.6123105259758</v>
      </c>
      <c r="I41" s="41">
        <f ca="1"/>
        <v>1.3362501545642713</v>
      </c>
      <c r="J41" s="42">
        <f ca="1"/>
        <v>1.3363612310525976</v>
      </c>
      <c r="L41" s="77">
        <f t="shared" ca="1" si="1"/>
        <v>43937</v>
      </c>
      <c r="M41" s="78">
        <f ca="1">_xll.meDateFromTenor(L41,"1Y1M1D","F","TGT:NYB")</f>
        <v>44334</v>
      </c>
      <c r="N41" s="71">
        <f t="array" aca="1" ref="N41:Q41" ca="1">_xll.meLWOFXSwapFromDiscountCurves($E$4,L41,M41,$G$8,$G$9)</f>
        <v>124.5116472658725</v>
      </c>
      <c r="O41" s="71">
        <f ca="1"/>
        <v>124.52220631268497</v>
      </c>
      <c r="P41" s="41">
        <f ca="1"/>
        <v>1.2153254856563391</v>
      </c>
      <c r="Q41" s="42">
        <f ca="1"/>
        <v>1.2154265311138823</v>
      </c>
    </row>
    <row r="42" spans="2:17" x14ac:dyDescent="0.25">
      <c r="E42" s="50"/>
      <c r="F42" s="51"/>
      <c r="G42" s="40" t="e">
        <f ca="1"/>
        <v>#N/A</v>
      </c>
      <c r="H42" s="41" t="e">
        <f ca="1"/>
        <v>#N/A</v>
      </c>
      <c r="I42" s="41" t="e">
        <f ca="1"/>
        <v>#N/A</v>
      </c>
      <c r="J42" s="42" t="e">
        <f ca="1"/>
        <v>#N/A</v>
      </c>
      <c r="L42" s="77">
        <f t="shared" ca="1" si="1"/>
        <v>43937</v>
      </c>
      <c r="M42" s="78">
        <f ca="1">_xll.meDateFromTenor(L42,"1Y1M1D","F","TGT:NYB")</f>
        <v>44334</v>
      </c>
      <c r="N42" s="71">
        <f t="array" aca="1" ref="N42:Q42" ca="1">_xll.meLWOFXSwapFromDiscountCurves($E$4,L42,M42,$G$8,$G$9)</f>
        <v>124.5116472658725</v>
      </c>
      <c r="O42" s="71">
        <f ca="1"/>
        <v>124.52220631268497</v>
      </c>
      <c r="P42" s="41">
        <f ca="1"/>
        <v>1.2153254856563391</v>
      </c>
      <c r="Q42" s="42">
        <f ca="1"/>
        <v>1.2154265311138823</v>
      </c>
    </row>
    <row r="43" spans="2:17" x14ac:dyDescent="0.25">
      <c r="E43" s="50"/>
      <c r="F43" s="51"/>
      <c r="G43" s="40" t="e">
        <f ca="1"/>
        <v>#N/A</v>
      </c>
      <c r="H43" s="41" t="e">
        <f ca="1"/>
        <v>#N/A</v>
      </c>
      <c r="I43" s="41" t="e">
        <f ca="1"/>
        <v>#N/A</v>
      </c>
      <c r="J43" s="42" t="e">
        <f ca="1"/>
        <v>#N/A</v>
      </c>
      <c r="L43" s="77">
        <f t="shared" ca="1" si="1"/>
        <v>43937</v>
      </c>
      <c r="M43" s="78">
        <f ca="1">_xll.meDateFromTenor(L43,"1Y1M1D","F","TGT:NYB")</f>
        <v>44334</v>
      </c>
      <c r="N43" s="71">
        <f t="array" aca="1" ref="N43:Q43" ca="1">_xll.meLWOFXSwapFromDiscountCurves($E$4,L43,M43,$G$8,$G$9)</f>
        <v>124.5116472658725</v>
      </c>
      <c r="O43" s="71">
        <f ca="1"/>
        <v>124.52220631268497</v>
      </c>
      <c r="P43" s="41">
        <f ca="1"/>
        <v>1.2153254856563391</v>
      </c>
      <c r="Q43" s="42">
        <f ca="1"/>
        <v>1.2154265311138823</v>
      </c>
    </row>
    <row r="44" spans="2:17" x14ac:dyDescent="0.25">
      <c r="E44" s="50"/>
      <c r="F44" s="51"/>
      <c r="G44" s="40" t="e">
        <f ca="1"/>
        <v>#N/A</v>
      </c>
      <c r="H44" s="41" t="e">
        <f ca="1"/>
        <v>#N/A</v>
      </c>
      <c r="I44" s="41" t="e">
        <f ca="1"/>
        <v>#N/A</v>
      </c>
      <c r="J44" s="42" t="e">
        <f ca="1"/>
        <v>#N/A</v>
      </c>
      <c r="L44" s="77">
        <f t="shared" ca="1" si="1"/>
        <v>43937</v>
      </c>
      <c r="M44" s="78">
        <f ca="1">_xll.meDateFromTenor(L44,"1Y1M1D","F","TGT:NYB")</f>
        <v>44334</v>
      </c>
      <c r="N44" s="71">
        <f t="array" aca="1" ref="N44:Q44" ca="1">_xll.meLWOFXSwapFromDiscountCurves($E$4,L44,M44,$G$8,$G$9)</f>
        <v>124.5116472658725</v>
      </c>
      <c r="O44" s="71">
        <f ca="1"/>
        <v>124.52220631268497</v>
      </c>
      <c r="P44" s="41">
        <f ca="1"/>
        <v>1.2153254856563391</v>
      </c>
      <c r="Q44" s="42">
        <f ca="1"/>
        <v>1.2154265311138823</v>
      </c>
    </row>
    <row r="45" spans="2:17" x14ac:dyDescent="0.25">
      <c r="E45" s="50"/>
      <c r="F45" s="51"/>
      <c r="G45" s="40" t="e">
        <f ca="1"/>
        <v>#N/A</v>
      </c>
      <c r="H45" s="41" t="e">
        <f ca="1"/>
        <v>#N/A</v>
      </c>
      <c r="I45" s="41" t="e">
        <f ca="1"/>
        <v>#N/A</v>
      </c>
      <c r="J45" s="42" t="e">
        <f ca="1"/>
        <v>#N/A</v>
      </c>
      <c r="L45" s="77">
        <f t="shared" ca="1" si="1"/>
        <v>43937</v>
      </c>
      <c r="M45" s="78">
        <f ca="1">_xll.meDateFromTenor(L45,"1Y1M1D","F","TGT:NYB")</f>
        <v>44334</v>
      </c>
      <c r="N45" s="71">
        <f t="array" aca="1" ref="N45:Q45" ca="1">_xll.meLWOFXSwapFromDiscountCurves($E$4,L45,M45,$G$8,$G$9)</f>
        <v>124.5116472658725</v>
      </c>
      <c r="O45" s="71">
        <f ca="1"/>
        <v>124.52220631268497</v>
      </c>
      <c r="P45" s="41">
        <f ca="1"/>
        <v>1.2153254856563391</v>
      </c>
      <c r="Q45" s="42">
        <f ca="1"/>
        <v>1.2154265311138823</v>
      </c>
    </row>
    <row r="46" spans="2:17" x14ac:dyDescent="0.25">
      <c r="E46" s="50"/>
      <c r="F46" s="51"/>
      <c r="G46" s="40" t="e">
        <f ca="1"/>
        <v>#N/A</v>
      </c>
      <c r="H46" s="41" t="e">
        <f ca="1"/>
        <v>#N/A</v>
      </c>
      <c r="I46" s="41" t="e">
        <f ca="1"/>
        <v>#N/A</v>
      </c>
      <c r="J46" s="42" t="e">
        <f ca="1"/>
        <v>#N/A</v>
      </c>
      <c r="L46" s="77">
        <f t="shared" ca="1" si="1"/>
        <v>43937</v>
      </c>
      <c r="M46" s="78">
        <f ca="1">_xll.meDateFromTenor(L46,"1Y1M1D","F","TGT:NYB")</f>
        <v>44334</v>
      </c>
      <c r="N46" s="71">
        <f t="array" aca="1" ref="N46:Q46" ca="1">_xll.meLWOFXSwapFromDiscountCurves($E$4,L46,M46,$G$8,$G$9)</f>
        <v>124.5116472658725</v>
      </c>
      <c r="O46" s="71">
        <f ca="1"/>
        <v>124.52220631268497</v>
      </c>
      <c r="P46" s="41">
        <f ca="1"/>
        <v>1.2153254856563391</v>
      </c>
      <c r="Q46" s="42">
        <f ca="1"/>
        <v>1.2154265311138823</v>
      </c>
    </row>
    <row r="47" spans="2:17" x14ac:dyDescent="0.25">
      <c r="E47" s="54"/>
      <c r="F47" s="55"/>
      <c r="G47" s="46" t="e">
        <f ca="1"/>
        <v>#N/A</v>
      </c>
      <c r="H47" s="47" t="e">
        <f ca="1"/>
        <v>#N/A</v>
      </c>
      <c r="I47" s="47" t="e">
        <f ca="1"/>
        <v>#N/A</v>
      </c>
      <c r="J47" s="48" t="e">
        <f ca="1"/>
        <v>#N/A</v>
      </c>
      <c r="L47" s="79">
        <f t="shared" ca="1" si="1"/>
        <v>43937</v>
      </c>
      <c r="M47" s="78">
        <f ca="1">_xll.meDateFromTenor(L47,"1Y1M1D","F","TGT:NYB")</f>
        <v>44334</v>
      </c>
      <c r="N47" s="73">
        <f t="array" aca="1" ref="N47:Q47" ca="1">_xll.meLWOFXSwapFromDiscountCurves($E$4,L47,M47,$G$8,$G$9)</f>
        <v>124.5116472658725</v>
      </c>
      <c r="O47" s="73">
        <f ca="1"/>
        <v>124.52220631268497</v>
      </c>
      <c r="P47" s="47">
        <f ca="1"/>
        <v>1.2153254856563391</v>
      </c>
      <c r="Q47" s="48">
        <f ca="1"/>
        <v>1.2154265311138823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5" tint="0.59999389629810485"/>
  </sheetPr>
  <dimension ref="B3:R67"/>
  <sheetViews>
    <sheetView showGridLines="0" tabSelected="1" workbookViewId="0"/>
  </sheetViews>
  <sheetFormatPr defaultRowHeight="15" x14ac:dyDescent="0.25"/>
  <cols>
    <col min="2" max="2" width="15.42578125" customWidth="1"/>
    <col min="3" max="3" width="21.5703125" bestFit="1" customWidth="1"/>
    <col min="4" max="4" width="14.7109375" customWidth="1"/>
    <col min="7" max="7" width="15.7109375" customWidth="1"/>
    <col min="8" max="11" width="12.7109375" customWidth="1"/>
    <col min="13" max="18" width="15.7109375" customWidth="1"/>
  </cols>
  <sheetData>
    <row r="3" spans="2:18" x14ac:dyDescent="0.25">
      <c r="B3" s="6" t="s">
        <v>62</v>
      </c>
      <c r="F3" s="6" t="s">
        <v>64</v>
      </c>
      <c r="M3" s="1" t="s">
        <v>69</v>
      </c>
    </row>
    <row r="4" spans="2:18" x14ac:dyDescent="0.25">
      <c r="B4" s="59" t="str">
        <f>_xll.meLWOCurveGeneratorCreate($B$3&amp;"_"&amp;$C$8,B7,B8:C11,B15,B16:C21)</f>
        <v>CURVEGEN_FWDPTS_EURUSD@14:1</v>
      </c>
      <c r="C4" s="60"/>
      <c r="F4" s="59" t="str">
        <f ca="1">_xll.meLWOFXCurveCreate($F$3&amp;"_"&amp;$C$8,B4,B25)</f>
        <v>CURVE_FWDPTS_EURUSD@15:1</v>
      </c>
      <c r="G4" s="61"/>
      <c r="H4" s="60"/>
      <c r="M4" s="36" t="s">
        <v>67</v>
      </c>
      <c r="N4" s="22" t="s">
        <v>73</v>
      </c>
      <c r="O4" s="22" t="s">
        <v>74</v>
      </c>
      <c r="P4" s="22" t="s">
        <v>75</v>
      </c>
      <c r="Q4" s="22" t="s">
        <v>76</v>
      </c>
    </row>
    <row r="5" spans="2:18" x14ac:dyDescent="0.25">
      <c r="M5" s="68">
        <v>43010</v>
      </c>
      <c r="N5" s="71">
        <f t="array" aca="1" ref="N5:Q5" ca="1">_xll.meLWOFXForwards($F$4,M5,FALSE)</f>
        <v>-14.638333333252262</v>
      </c>
      <c r="O5" s="71">
        <f ca="1"/>
        <v>-1.8936666667390689</v>
      </c>
      <c r="P5" s="41">
        <f ca="1"/>
        <v>1.2044638333333253</v>
      </c>
      <c r="Q5" s="42">
        <f ca="1"/>
        <v>1.203289366666674</v>
      </c>
    </row>
    <row r="6" spans="2:18" x14ac:dyDescent="0.25">
      <c r="M6" s="70">
        <v>43010</v>
      </c>
      <c r="N6" s="71">
        <f t="array" aca="1" ref="N6:Q6" ca="1">_xll.meLWOFXForwards($F$4,M6,FALSE)</f>
        <v>-14.638333333252262</v>
      </c>
      <c r="O6" s="71">
        <f ca="1"/>
        <v>-1.8936666667390689</v>
      </c>
      <c r="P6" s="41">
        <f ca="1"/>
        <v>1.2044638333333253</v>
      </c>
      <c r="Q6" s="42">
        <f ca="1"/>
        <v>1.203289366666674</v>
      </c>
    </row>
    <row r="7" spans="2:18" x14ac:dyDescent="0.25">
      <c r="B7" s="1" t="s">
        <v>0</v>
      </c>
      <c r="C7" s="32" t="s">
        <v>57</v>
      </c>
      <c r="F7" s="5" t="s">
        <v>65</v>
      </c>
      <c r="M7" s="70">
        <v>43010</v>
      </c>
      <c r="N7" s="71">
        <f t="array" aca="1" ref="N7:Q7" ca="1">_xll.meLWOFXForwards($F$4,M7,FALSE)</f>
        <v>-14.638333333252262</v>
      </c>
      <c r="O7" s="71">
        <f ca="1"/>
        <v>-1.8936666667390689</v>
      </c>
      <c r="P7" s="41">
        <f ca="1"/>
        <v>1.2044638333333253</v>
      </c>
      <c r="Q7" s="42">
        <f ca="1"/>
        <v>1.203289366666674</v>
      </c>
    </row>
    <row r="8" spans="2:18" x14ac:dyDescent="0.25">
      <c r="B8" s="2" t="s">
        <v>2</v>
      </c>
      <c r="C8" s="2" t="s">
        <v>1</v>
      </c>
      <c r="F8" s="13" t="s">
        <v>54</v>
      </c>
      <c r="G8" s="14"/>
      <c r="H8" s="56" t="s">
        <v>55</v>
      </c>
      <c r="M8" s="70">
        <v>43010</v>
      </c>
      <c r="N8" s="71">
        <f t="array" aca="1" ref="N8:Q8" ca="1">_xll.meLWOFXForwards($F$4,M8,FALSE)</f>
        <v>-14.638333333252262</v>
      </c>
      <c r="O8" s="71">
        <f ca="1"/>
        <v>-1.8936666667390689</v>
      </c>
      <c r="P8" s="41">
        <f ca="1"/>
        <v>1.2044638333333253</v>
      </c>
      <c r="Q8" s="42">
        <f ca="1"/>
        <v>1.203289366666674</v>
      </c>
    </row>
    <row r="9" spans="2:18" x14ac:dyDescent="0.25">
      <c r="B9" s="3" t="s">
        <v>3</v>
      </c>
      <c r="C9" s="3" t="s">
        <v>4</v>
      </c>
      <c r="F9" s="20" t="s">
        <v>53</v>
      </c>
      <c r="G9" s="21"/>
      <c r="H9" s="62" t="s">
        <v>56</v>
      </c>
      <c r="M9" s="70">
        <v>43010</v>
      </c>
      <c r="N9" s="71">
        <f t="array" aca="1" ref="N9:Q9" ca="1">_xll.meLWOFXForwards($F$4,M9,FALSE)</f>
        <v>-14.638333333252262</v>
      </c>
      <c r="O9" s="71">
        <f ca="1"/>
        <v>-1.8936666667390689</v>
      </c>
      <c r="P9" s="41">
        <f ca="1"/>
        <v>1.2044638333333253</v>
      </c>
      <c r="Q9" s="42">
        <f ca="1"/>
        <v>1.203289366666674</v>
      </c>
    </row>
    <row r="10" spans="2:18" x14ac:dyDescent="0.25">
      <c r="B10" s="3" t="s">
        <v>5</v>
      </c>
      <c r="C10" s="3" t="s">
        <v>6</v>
      </c>
      <c r="F10" s="20"/>
      <c r="G10" s="21"/>
      <c r="H10" s="62"/>
      <c r="M10" s="70">
        <v>43010</v>
      </c>
      <c r="N10" s="71">
        <f t="array" aca="1" ref="N10:Q10" ca="1">_xll.meLWOFXForwards($F$4,M10,FALSE)</f>
        <v>-14.638333333252262</v>
      </c>
      <c r="O10" s="71">
        <f ca="1"/>
        <v>-1.8936666667390689</v>
      </c>
      <c r="P10" s="41">
        <f ca="1"/>
        <v>1.2044638333333253</v>
      </c>
      <c r="Q10" s="42">
        <f ca="1"/>
        <v>1.203289366666674</v>
      </c>
    </row>
    <row r="11" spans="2:18" x14ac:dyDescent="0.25">
      <c r="B11" s="4" t="s">
        <v>7</v>
      </c>
      <c r="C11" s="4" t="s">
        <v>8</v>
      </c>
      <c r="F11" s="15"/>
      <c r="G11" s="16"/>
      <c r="H11" s="57"/>
      <c r="M11" s="72">
        <v>43010</v>
      </c>
      <c r="N11" s="71">
        <f t="array" aca="1" ref="N11:Q11" ca="1">_xll.meLWOFXForwards($F$4,M11,FALSE)</f>
        <v>-14.638333333252262</v>
      </c>
      <c r="O11" s="71">
        <f ca="1"/>
        <v>-1.8936666667390689</v>
      </c>
      <c r="P11" s="41">
        <f ca="1"/>
        <v>1.2044638333333253</v>
      </c>
      <c r="Q11" s="42">
        <f ca="1"/>
        <v>1.203289366666674</v>
      </c>
    </row>
    <row r="13" spans="2:18" x14ac:dyDescent="0.25">
      <c r="H13" s="58"/>
    </row>
    <row r="14" spans="2:18" x14ac:dyDescent="0.25">
      <c r="F14" s="1" t="s">
        <v>60</v>
      </c>
      <c r="M14" s="1" t="s">
        <v>66</v>
      </c>
    </row>
    <row r="15" spans="2:18" x14ac:dyDescent="0.25">
      <c r="B15" s="1" t="s">
        <v>9</v>
      </c>
      <c r="F15" s="35" t="s">
        <v>49</v>
      </c>
      <c r="G15" s="36" t="s">
        <v>50</v>
      </c>
      <c r="H15" s="36" t="str">
        <f t="array" aca="1" ref="H15:K47" ca="1">_xll.meLWOFXForwards($F$4,G16:G41,TRUE)</f>
        <v>BidPoints</v>
      </c>
      <c r="I15" s="36" t="str">
        <f ca="1"/>
        <v>AskPoints</v>
      </c>
      <c r="J15" s="36" t="str">
        <f ca="1"/>
        <v>BidOutright</v>
      </c>
      <c r="K15" s="36" t="str">
        <f ca="1"/>
        <v>AskOutright</v>
      </c>
      <c r="M15" s="22" t="s">
        <v>61</v>
      </c>
      <c r="N15" s="22" t="s">
        <v>68</v>
      </c>
      <c r="O15" s="22" t="s">
        <v>73</v>
      </c>
      <c r="P15" s="22" t="s">
        <v>74</v>
      </c>
      <c r="Q15" s="22" t="s">
        <v>75</v>
      </c>
      <c r="R15" s="22" t="s">
        <v>76</v>
      </c>
    </row>
    <row r="16" spans="2:18" x14ac:dyDescent="0.25">
      <c r="B16" s="7" t="s">
        <v>10</v>
      </c>
      <c r="C16" s="10" t="s">
        <v>11</v>
      </c>
      <c r="F16" s="49" t="s">
        <v>25</v>
      </c>
      <c r="G16" s="81">
        <f ca="1">TODAY()</f>
        <v>43937</v>
      </c>
      <c r="H16" s="37">
        <f ca="1"/>
        <v>0.50266666666853865</v>
      </c>
      <c r="I16" s="38">
        <f ca="1"/>
        <v>0.57833333333201509</v>
      </c>
      <c r="J16" s="38">
        <f ca="1"/>
        <v>1.2029497333333332</v>
      </c>
      <c r="K16" s="39">
        <f ca="1"/>
        <v>1.2030421666666669</v>
      </c>
      <c r="M16" s="75">
        <v>43010</v>
      </c>
      <c r="N16" s="76">
        <v>44804</v>
      </c>
      <c r="O16" s="69">
        <f t="array" aca="1" ref="O16:R16" ca="1">_xll.meLWOFXSwap($F$4,M16,N16)</f>
        <v>614.97859817358778</v>
      </c>
      <c r="P16" s="69">
        <f ca="1"/>
        <v>634.54518264832063</v>
      </c>
      <c r="Q16" s="38">
        <f ca="1"/>
        <v>1.1429659735159665</v>
      </c>
      <c r="R16" s="39">
        <f ca="1"/>
        <v>1.1398348484018419</v>
      </c>
    </row>
    <row r="17" spans="2:18" x14ac:dyDescent="0.25">
      <c r="B17" s="8" t="s">
        <v>12</v>
      </c>
      <c r="C17" s="11" t="s">
        <v>13</v>
      </c>
      <c r="F17" s="50" t="s">
        <v>26</v>
      </c>
      <c r="G17" s="51">
        <f ca="1">_xll.meDateFromTenor(G16,"1D","F","TGT:NYB")</f>
        <v>43938</v>
      </c>
      <c r="H17" s="40">
        <f ca="1"/>
        <v>0.51900000000000002</v>
      </c>
      <c r="I17" s="41">
        <f ca="1"/>
        <v>0.58099999999999996</v>
      </c>
      <c r="J17" s="41">
        <f ca="1"/>
        <v>1.2029481</v>
      </c>
      <c r="K17" s="42">
        <f ca="1"/>
        <v>1.2030419000000001</v>
      </c>
      <c r="M17" s="77">
        <v>43010</v>
      </c>
      <c r="N17" s="78">
        <v>44804</v>
      </c>
      <c r="O17" s="71">
        <f t="array" aca="1" ref="O17:R17" ca="1">_xll.meLWOFXSwap($F$4,M17,N17)</f>
        <v>614.97859817358778</v>
      </c>
      <c r="P17" s="71">
        <f ca="1"/>
        <v>634.54518264832063</v>
      </c>
      <c r="Q17" s="41">
        <f ca="1"/>
        <v>1.1429659735159665</v>
      </c>
      <c r="R17" s="42">
        <f ca="1"/>
        <v>1.1398348484018419</v>
      </c>
    </row>
    <row r="18" spans="2:18" x14ac:dyDescent="0.25">
      <c r="B18" s="8" t="s">
        <v>14</v>
      </c>
      <c r="C18" s="11" t="s">
        <v>15</v>
      </c>
      <c r="F18" s="63" t="s">
        <v>51</v>
      </c>
      <c r="G18" s="64">
        <f ca="1">G17+1</f>
        <v>43939</v>
      </c>
      <c r="H18" s="65">
        <f ca="1"/>
        <v>0.53533333333355415</v>
      </c>
      <c r="I18" s="66">
        <f ca="1"/>
        <v>0.58366666666698208</v>
      </c>
      <c r="J18" s="66">
        <f ca="1"/>
        <v>1.2029464666666667</v>
      </c>
      <c r="K18" s="67">
        <f ca="1"/>
        <v>1.2030416333333334</v>
      </c>
      <c r="M18" s="77">
        <v>43010</v>
      </c>
      <c r="N18" s="78">
        <v>44804</v>
      </c>
      <c r="O18" s="71">
        <f t="array" aca="1" ref="O18:R18" ca="1">_xll.meLWOFXSwap($F$4,M18,N18)</f>
        <v>614.97859817358778</v>
      </c>
      <c r="P18" s="71">
        <f ca="1"/>
        <v>634.54518264832063</v>
      </c>
      <c r="Q18" s="41">
        <f ca="1"/>
        <v>1.1429659735159665</v>
      </c>
      <c r="R18" s="42">
        <f ca="1"/>
        <v>1.1398348484018419</v>
      </c>
    </row>
    <row r="19" spans="2:18" x14ac:dyDescent="0.25">
      <c r="B19" s="8" t="s">
        <v>16</v>
      </c>
      <c r="C19" s="11"/>
      <c r="F19" s="50" t="s">
        <v>52</v>
      </c>
      <c r="G19" s="51">
        <f ca="1">_xll.meDateFromTenor(G18,"1D","F","TGT:NYB")</f>
        <v>43941</v>
      </c>
      <c r="H19" s="40">
        <f ca="1"/>
        <v>0</v>
      </c>
      <c r="I19" s="41">
        <f ca="1"/>
        <v>0</v>
      </c>
      <c r="J19" s="41">
        <f ca="1"/>
        <v>1.2030000000000001</v>
      </c>
      <c r="K19" s="42">
        <f ca="1"/>
        <v>1.2031000000000001</v>
      </c>
      <c r="M19" s="77">
        <v>43010</v>
      </c>
      <c r="N19" s="78">
        <v>44804</v>
      </c>
      <c r="O19" s="71">
        <f t="array" aca="1" ref="O19:R19" ca="1">_xll.meLWOFXSwap($F$4,M19,N19)</f>
        <v>614.97859817358778</v>
      </c>
      <c r="P19" s="71">
        <f ca="1"/>
        <v>634.54518264832063</v>
      </c>
      <c r="Q19" s="41">
        <f ca="1"/>
        <v>1.1429659735159665</v>
      </c>
      <c r="R19" s="42">
        <f ca="1"/>
        <v>1.1398348484018419</v>
      </c>
    </row>
    <row r="20" spans="2:18" x14ac:dyDescent="0.25">
      <c r="B20" s="8" t="s">
        <v>17</v>
      </c>
      <c r="C20" s="11"/>
      <c r="F20" s="50" t="s">
        <v>27</v>
      </c>
      <c r="G20" s="51">
        <f ca="1">_xll.meDateFromTenor($G$18,F20,"F","TGT:NYB")</f>
        <v>43948</v>
      </c>
      <c r="H20" s="40">
        <f ca="1"/>
        <v>4.21</v>
      </c>
      <c r="I20" s="41">
        <f ca="1"/>
        <v>4.3</v>
      </c>
      <c r="J20" s="41">
        <f ca="1"/>
        <v>1.2034210000000001</v>
      </c>
      <c r="K20" s="42">
        <f ca="1"/>
        <v>1.20353</v>
      </c>
      <c r="M20" s="77">
        <v>43010</v>
      </c>
      <c r="N20" s="78">
        <v>44804</v>
      </c>
      <c r="O20" s="71">
        <f t="array" aca="1" ref="O20:R20" ca="1">_xll.meLWOFXSwap($F$4,M20,N20)</f>
        <v>614.97859817358778</v>
      </c>
      <c r="P20" s="71">
        <f ca="1"/>
        <v>634.54518264832063</v>
      </c>
      <c r="Q20" s="41">
        <f ca="1"/>
        <v>1.1429659735159665</v>
      </c>
      <c r="R20" s="42">
        <f ca="1"/>
        <v>1.1398348484018419</v>
      </c>
    </row>
    <row r="21" spans="2:18" x14ac:dyDescent="0.25">
      <c r="B21" s="9" t="s">
        <v>348</v>
      </c>
      <c r="C21" s="12" t="b">
        <v>0</v>
      </c>
      <c r="F21" s="50" t="s">
        <v>28</v>
      </c>
      <c r="G21" s="51">
        <f ca="1">_xll.meDateFromTenor($G$18,F21,"F","TGT:NYB")</f>
        <v>43955</v>
      </c>
      <c r="H21" s="40">
        <f ca="1"/>
        <v>8.49</v>
      </c>
      <c r="I21" s="41">
        <f ca="1"/>
        <v>8.61</v>
      </c>
      <c r="J21" s="41">
        <f ca="1"/>
        <v>1.2038490000000002</v>
      </c>
      <c r="K21" s="42">
        <f ca="1"/>
        <v>1.2039610000000001</v>
      </c>
      <c r="M21" s="77">
        <v>43010</v>
      </c>
      <c r="N21" s="78">
        <v>44804</v>
      </c>
      <c r="O21" s="71">
        <f t="array" aca="1" ref="O21:R21" ca="1">_xll.meLWOFXSwap($F$4,M21,N21)</f>
        <v>614.97859817358778</v>
      </c>
      <c r="P21" s="71">
        <f ca="1"/>
        <v>634.54518264832063</v>
      </c>
      <c r="Q21" s="41">
        <f ca="1"/>
        <v>1.1429659735159665</v>
      </c>
      <c r="R21" s="42">
        <f ca="1"/>
        <v>1.1398348484018419</v>
      </c>
    </row>
    <row r="22" spans="2:18" x14ac:dyDescent="0.25">
      <c r="F22" s="50" t="s">
        <v>29</v>
      </c>
      <c r="G22" s="51">
        <f ca="1">_xll.meDateFromTenor($G$18,F22,"F","TGT:NYB")</f>
        <v>43962</v>
      </c>
      <c r="H22" s="40">
        <f ca="1"/>
        <v>12.89</v>
      </c>
      <c r="I22" s="41">
        <f ca="1"/>
        <v>13.03</v>
      </c>
      <c r="J22" s="41">
        <f ca="1"/>
        <v>1.2042890000000002</v>
      </c>
      <c r="K22" s="42">
        <f ca="1"/>
        <v>1.2044030000000001</v>
      </c>
      <c r="M22" s="77">
        <v>43010</v>
      </c>
      <c r="N22" s="78">
        <v>44804</v>
      </c>
      <c r="O22" s="71">
        <f t="array" aca="1" ref="O22:R22" ca="1">_xll.meLWOFXSwap($F$4,M22,N22)</f>
        <v>614.97859817358778</v>
      </c>
      <c r="P22" s="71">
        <f ca="1"/>
        <v>634.54518264832063</v>
      </c>
      <c r="Q22" s="41">
        <f ca="1"/>
        <v>1.1429659735159665</v>
      </c>
      <c r="R22" s="42">
        <f ca="1"/>
        <v>1.1398348484018419</v>
      </c>
    </row>
    <row r="23" spans="2:18" x14ac:dyDescent="0.25">
      <c r="F23" s="50" t="s">
        <v>30</v>
      </c>
      <c r="G23" s="51">
        <f ca="1">_xll.meDateFromTenor($G$18,F23,"F","TGT:NYB")</f>
        <v>43969</v>
      </c>
      <c r="H23" s="40">
        <f ca="1"/>
        <v>16.810000000000436</v>
      </c>
      <c r="I23" s="41">
        <f ca="1"/>
        <v>16.957777777777405</v>
      </c>
      <c r="J23" s="41">
        <f ca="1"/>
        <v>1.2046810000000001</v>
      </c>
      <c r="K23" s="42">
        <f ca="1"/>
        <v>1.2047957777777778</v>
      </c>
      <c r="M23" s="77">
        <v>43010</v>
      </c>
      <c r="N23" s="78">
        <v>44804</v>
      </c>
      <c r="O23" s="71">
        <f t="array" aca="1" ref="O23:R23" ca="1">_xll.meLWOFXSwap($F$4,M23,N23)</f>
        <v>614.97859817358778</v>
      </c>
      <c r="P23" s="71">
        <f ca="1"/>
        <v>634.54518264832063</v>
      </c>
      <c r="Q23" s="41">
        <f ca="1"/>
        <v>1.1429659735159665</v>
      </c>
      <c r="R23" s="42">
        <f ca="1"/>
        <v>1.1398348484018419</v>
      </c>
    </row>
    <row r="24" spans="2:18" x14ac:dyDescent="0.25">
      <c r="B24" s="6" t="s">
        <v>63</v>
      </c>
      <c r="F24" s="50" t="s">
        <v>31</v>
      </c>
      <c r="G24" s="51">
        <f ca="1">_xll.meDateFromTenor($G$18,F24,"F","TGT:NYB")</f>
        <v>44000</v>
      </c>
      <c r="H24" s="40">
        <f ca="1"/>
        <v>36.894242424243551</v>
      </c>
      <c r="I24" s="41">
        <f ca="1"/>
        <v>37.088181818181184</v>
      </c>
      <c r="J24" s="41">
        <f ca="1"/>
        <v>1.2066894242424244</v>
      </c>
      <c r="K24" s="42">
        <f ca="1"/>
        <v>1.2068088181818182</v>
      </c>
      <c r="M24" s="77">
        <v>43010</v>
      </c>
      <c r="N24" s="78">
        <v>44804</v>
      </c>
      <c r="O24" s="71">
        <f t="array" aca="1" ref="O24:R24" ca="1">_xll.meLWOFXSwap($F$4,M24,N24)</f>
        <v>614.97859817358778</v>
      </c>
      <c r="P24" s="71">
        <f ca="1"/>
        <v>634.54518264832063</v>
      </c>
      <c r="Q24" s="41">
        <f ca="1"/>
        <v>1.1429659735159665</v>
      </c>
      <c r="R24" s="42">
        <f ca="1"/>
        <v>1.1398348484018419</v>
      </c>
    </row>
    <row r="25" spans="2:18" x14ac:dyDescent="0.25">
      <c r="B25" s="59" t="str">
        <f ca="1">_xll.meLWOCurveMarketDataCreate($B$24&amp;"_"&amp;$C$29,B28,B29:C32,B35,B37:C37,B40,B42:D65)</f>
        <v>MKTDATA_FWDPTS_EURUSD@10:1</v>
      </c>
      <c r="C25" s="60"/>
      <c r="F25" s="50" t="s">
        <v>32</v>
      </c>
      <c r="G25" s="51">
        <f ca="1">_xll.meDateFromTenor($G$18,F25,"F","TGT:NYB")</f>
        <v>44032</v>
      </c>
      <c r="H25" s="40">
        <f ca="1"/>
        <v>58.4</v>
      </c>
      <c r="I25" s="41">
        <f ca="1"/>
        <v>58.68</v>
      </c>
      <c r="J25" s="41">
        <f ca="1"/>
        <v>1.2088400000000001</v>
      </c>
      <c r="K25" s="42">
        <f ca="1"/>
        <v>1.208968</v>
      </c>
      <c r="M25" s="77">
        <v>43010</v>
      </c>
      <c r="N25" s="78">
        <v>44804</v>
      </c>
      <c r="O25" s="71">
        <f t="array" aca="1" ref="O25:R25" ca="1">_xll.meLWOFXSwap($F$4,M25,N25)</f>
        <v>614.97859817358778</v>
      </c>
      <c r="P25" s="71">
        <f ca="1"/>
        <v>634.54518264832063</v>
      </c>
      <c r="Q25" s="41">
        <f ca="1"/>
        <v>1.1429659735159665</v>
      </c>
      <c r="R25" s="42">
        <f ca="1"/>
        <v>1.1398348484018419</v>
      </c>
    </row>
    <row r="26" spans="2:18" x14ac:dyDescent="0.25">
      <c r="F26" s="50" t="s">
        <v>33</v>
      </c>
      <c r="G26" s="51">
        <f ca="1">_xll.meDateFromTenor($G$18,F26,"F","TGT:NYB")</f>
        <v>44061</v>
      </c>
      <c r="H26" s="40">
        <f ca="1"/>
        <v>75.893548387098164</v>
      </c>
      <c r="I26" s="41">
        <f ca="1"/>
        <v>76.435483870966877</v>
      </c>
      <c r="J26" s="41">
        <f ca="1"/>
        <v>1.2105893548387099</v>
      </c>
      <c r="K26" s="42">
        <f ca="1"/>
        <v>1.2107435483870967</v>
      </c>
      <c r="M26" s="77">
        <v>43010</v>
      </c>
      <c r="N26" s="78">
        <v>44804</v>
      </c>
      <c r="O26" s="71">
        <f t="array" aca="1" ref="O26:R26" ca="1">_xll.meLWOFXSwap($F$4,M26,N26)</f>
        <v>614.97859817358778</v>
      </c>
      <c r="P26" s="71">
        <f ca="1"/>
        <v>634.54518264832063</v>
      </c>
      <c r="Q26" s="41">
        <f ca="1"/>
        <v>1.1429659735159665</v>
      </c>
      <c r="R26" s="42">
        <f ca="1"/>
        <v>1.1398348484018419</v>
      </c>
    </row>
    <row r="27" spans="2:18" x14ac:dyDescent="0.25">
      <c r="F27" s="50" t="s">
        <v>34</v>
      </c>
      <c r="G27" s="51">
        <f ca="1">_xll.meDateFromTenor($G$18,F27,"F","TGT:NYB")</f>
        <v>44092</v>
      </c>
      <c r="H27" s="40">
        <f ca="1"/>
        <v>101.21531250000038</v>
      </c>
      <c r="I27" s="41">
        <f ca="1"/>
        <v>101.72093750000056</v>
      </c>
      <c r="J27" s="41">
        <f ca="1"/>
        <v>1.2131215312500001</v>
      </c>
      <c r="K27" s="42">
        <f ca="1"/>
        <v>1.2132720937500001</v>
      </c>
      <c r="M27" s="77">
        <v>43010</v>
      </c>
      <c r="N27" s="78">
        <v>44804</v>
      </c>
      <c r="O27" s="71">
        <f t="array" aca="1" ref="O27:R27" ca="1">_xll.meLWOFXSwap($F$4,M27,N27)</f>
        <v>614.97859817358778</v>
      </c>
      <c r="P27" s="71">
        <f ca="1"/>
        <v>634.54518264832063</v>
      </c>
      <c r="Q27" s="41">
        <f ca="1"/>
        <v>1.1429659735159665</v>
      </c>
      <c r="R27" s="42">
        <f ca="1"/>
        <v>1.1398348484018419</v>
      </c>
    </row>
    <row r="28" spans="2:18" x14ac:dyDescent="0.25">
      <c r="B28" s="1" t="s">
        <v>18</v>
      </c>
      <c r="F28" s="50" t="s">
        <v>35</v>
      </c>
      <c r="G28" s="51">
        <f ca="1">_xll.meDateFromTenor($G$18,F28,"F","TGT:NYB")</f>
        <v>44123</v>
      </c>
      <c r="H28" s="40">
        <f ca="1"/>
        <v>121.62999999999924</v>
      </c>
      <c r="I28" s="41">
        <f ca="1"/>
        <v>122.28448275862114</v>
      </c>
      <c r="J28" s="41">
        <f ca="1"/>
        <v>1.215163</v>
      </c>
      <c r="K28" s="42">
        <f ca="1"/>
        <v>1.2153284482758622</v>
      </c>
      <c r="M28" s="77">
        <v>43010</v>
      </c>
      <c r="N28" s="78">
        <v>44804</v>
      </c>
      <c r="O28" s="71">
        <f t="array" aca="1" ref="O28:R28" ca="1">_xll.meLWOFXSwap($F$4,M28,N28)</f>
        <v>614.97859817358778</v>
      </c>
      <c r="P28" s="71">
        <f ca="1"/>
        <v>634.54518264832063</v>
      </c>
      <c r="Q28" s="41">
        <f ca="1"/>
        <v>1.1429659735159665</v>
      </c>
      <c r="R28" s="42">
        <f ca="1"/>
        <v>1.1398348484018419</v>
      </c>
    </row>
    <row r="29" spans="2:18" x14ac:dyDescent="0.25">
      <c r="B29" s="7" t="s">
        <v>2</v>
      </c>
      <c r="C29" s="10" t="s">
        <v>1</v>
      </c>
      <c r="F29" s="50" t="s">
        <v>36</v>
      </c>
      <c r="G29" s="51">
        <f ca="1">_xll.meDateFromTenor($G$18,F29,"F","TGT:NYB")</f>
        <v>44215</v>
      </c>
      <c r="H29" s="40">
        <f ca="1"/>
        <v>185.84141304347713</v>
      </c>
      <c r="I29" s="41">
        <f ca="1"/>
        <v>186.95641304347976</v>
      </c>
      <c r="J29" s="41">
        <f ca="1"/>
        <v>1.2215841413043478</v>
      </c>
      <c r="K29" s="42">
        <f ca="1"/>
        <v>1.221795641304348</v>
      </c>
      <c r="M29" s="77">
        <v>43010</v>
      </c>
      <c r="N29" s="78">
        <v>44804</v>
      </c>
      <c r="O29" s="71">
        <f t="array" aca="1" ref="O29:R29" ca="1">_xll.meLWOFXSwap($F$4,M29,N29)</f>
        <v>614.97859817358778</v>
      </c>
      <c r="P29" s="71">
        <f ca="1"/>
        <v>634.54518264832063</v>
      </c>
      <c r="Q29" s="41">
        <f ca="1"/>
        <v>1.1429659735159665</v>
      </c>
      <c r="R29" s="42">
        <f ca="1"/>
        <v>1.1398348484018419</v>
      </c>
    </row>
    <row r="30" spans="2:18" x14ac:dyDescent="0.25">
      <c r="B30" s="8" t="s">
        <v>5</v>
      </c>
      <c r="C30" s="11" t="s">
        <v>6</v>
      </c>
      <c r="F30" s="50" t="s">
        <v>37</v>
      </c>
      <c r="G30" s="51">
        <f ca="1">_xll.meDateFromTenor($G$18,F30,"F","TGT:NYB")</f>
        <v>44305</v>
      </c>
      <c r="H30" s="40">
        <f ca="1"/>
        <v>251.15400000000011</v>
      </c>
      <c r="I30" s="41">
        <f ca="1"/>
        <v>252.63988888888809</v>
      </c>
      <c r="J30" s="41">
        <f ca="1"/>
        <v>1.2281154000000001</v>
      </c>
      <c r="K30" s="42">
        <f ca="1"/>
        <v>1.2283639888888889</v>
      </c>
      <c r="M30" s="77">
        <v>43010</v>
      </c>
      <c r="N30" s="78">
        <v>44804</v>
      </c>
      <c r="O30" s="71">
        <f t="array" aca="1" ref="O30:R30" ca="1">_xll.meLWOFXSwap($F$4,M30,N30)</f>
        <v>614.97859817358778</v>
      </c>
      <c r="P30" s="71">
        <f ca="1"/>
        <v>634.54518264832063</v>
      </c>
      <c r="Q30" s="41">
        <f ca="1"/>
        <v>1.1429659735159665</v>
      </c>
      <c r="R30" s="42">
        <f ca="1"/>
        <v>1.1398348484018419</v>
      </c>
    </row>
    <row r="31" spans="2:18" x14ac:dyDescent="0.25">
      <c r="B31" s="8" t="s">
        <v>19</v>
      </c>
      <c r="C31" s="82">
        <f ca="1">TODAY()</f>
        <v>43937</v>
      </c>
      <c r="F31" s="50" t="s">
        <v>38</v>
      </c>
      <c r="G31" s="51">
        <f ca="1">_xll.meDateFromTenor($G$18,F31,"F","TGT:NYB")</f>
        <v>44396</v>
      </c>
      <c r="H31" s="40">
        <f ca="1"/>
        <v>315.31516483516373</v>
      </c>
      <c r="I31" s="41">
        <f ca="1"/>
        <v>318.25901098901045</v>
      </c>
      <c r="J31" s="41">
        <f ca="1"/>
        <v>1.2345315164835164</v>
      </c>
      <c r="K31" s="42">
        <f ca="1"/>
        <v>1.2349259010989011</v>
      </c>
      <c r="M31" s="77">
        <v>43010</v>
      </c>
      <c r="N31" s="78">
        <v>44804</v>
      </c>
      <c r="O31" s="71">
        <f t="array" aca="1" ref="O31:R31" ca="1">_xll.meLWOFXSwap($F$4,M31,N31)</f>
        <v>614.97859817358778</v>
      </c>
      <c r="P31" s="71">
        <f ca="1"/>
        <v>634.54518264832063</v>
      </c>
      <c r="Q31" s="41">
        <f ca="1"/>
        <v>1.1429659735159665</v>
      </c>
      <c r="R31" s="42">
        <f ca="1"/>
        <v>1.1398348484018419</v>
      </c>
    </row>
    <row r="32" spans="2:18" x14ac:dyDescent="0.25">
      <c r="B32" s="9" t="s">
        <v>20</v>
      </c>
      <c r="C32" s="12">
        <v>1E-4</v>
      </c>
      <c r="F32" s="50" t="s">
        <v>39</v>
      </c>
      <c r="G32" s="51">
        <f ca="1">_xll.meDateFromTenor($G$18,F32,"F","TGT:NYB")</f>
        <v>44487</v>
      </c>
      <c r="H32" s="40">
        <f ca="1"/>
        <v>381.59282608695611</v>
      </c>
      <c r="I32" s="41">
        <f ca="1"/>
        <v>384.49413043478262</v>
      </c>
      <c r="J32" s="41">
        <f ca="1"/>
        <v>1.2411592826086957</v>
      </c>
      <c r="K32" s="42">
        <f ca="1"/>
        <v>1.2415494130434783</v>
      </c>
      <c r="M32" s="77">
        <v>43010</v>
      </c>
      <c r="N32" s="78">
        <v>44804</v>
      </c>
      <c r="O32" s="71">
        <f t="array" aca="1" ref="O32:R32" ca="1">_xll.meLWOFXSwap($F$4,M32,N32)</f>
        <v>614.97859817358778</v>
      </c>
      <c r="P32" s="71">
        <f ca="1"/>
        <v>634.54518264832063</v>
      </c>
      <c r="Q32" s="41">
        <f ca="1"/>
        <v>1.1429659735159665</v>
      </c>
      <c r="R32" s="42">
        <f ca="1"/>
        <v>1.1398348484018419</v>
      </c>
    </row>
    <row r="33" spans="2:18" x14ac:dyDescent="0.25">
      <c r="F33" s="50" t="s">
        <v>40</v>
      </c>
      <c r="G33" s="51">
        <f ca="1">_xll.meDateFromTenor($G$18,F33,"F","TGT:NYB")</f>
        <v>44670</v>
      </c>
      <c r="H33" s="40">
        <f ca="1"/>
        <v>515.51813186813126</v>
      </c>
      <c r="I33" s="41">
        <f ca="1"/>
        <v>520.50659340659331</v>
      </c>
      <c r="J33" s="41">
        <f ca="1"/>
        <v>1.2545518131868132</v>
      </c>
      <c r="K33" s="42">
        <f ca="1"/>
        <v>1.2551506593406594</v>
      </c>
      <c r="M33" s="77">
        <v>43010</v>
      </c>
      <c r="N33" s="78">
        <v>44804</v>
      </c>
      <c r="O33" s="71">
        <f t="array" aca="1" ref="O33:R33" ca="1">_xll.meLWOFXSwap($F$4,M33,N33)</f>
        <v>614.97859817358778</v>
      </c>
      <c r="P33" s="71">
        <f ca="1"/>
        <v>634.54518264832063</v>
      </c>
      <c r="Q33" s="41">
        <f ca="1"/>
        <v>1.1429659735159665</v>
      </c>
      <c r="R33" s="42">
        <f ca="1"/>
        <v>1.1398348484018419</v>
      </c>
    </row>
    <row r="34" spans="2:18" x14ac:dyDescent="0.25">
      <c r="F34" s="50" t="s">
        <v>41</v>
      </c>
      <c r="G34" s="51">
        <f ca="1">_xll.meDateFromTenor($G$18,F34,"F","TGT:NYB")</f>
        <v>45034</v>
      </c>
      <c r="H34" s="40">
        <f ca="1"/>
        <v>780.54383561643851</v>
      </c>
      <c r="I34" s="41">
        <f ca="1"/>
        <v>790.51643835616358</v>
      </c>
      <c r="J34" s="41">
        <f ca="1"/>
        <v>1.2810543835616439</v>
      </c>
      <c r="K34" s="42">
        <f ca="1"/>
        <v>1.2821516438356164</v>
      </c>
      <c r="M34" s="77">
        <v>43010</v>
      </c>
      <c r="N34" s="78">
        <v>44804</v>
      </c>
      <c r="O34" s="71">
        <f t="array" aca="1" ref="O34:R34" ca="1">_xll.meLWOFXSwap($F$4,M34,N34)</f>
        <v>614.97859817358778</v>
      </c>
      <c r="P34" s="71">
        <f ca="1"/>
        <v>634.54518264832063</v>
      </c>
      <c r="Q34" s="41">
        <f ca="1"/>
        <v>1.1429659735159665</v>
      </c>
      <c r="R34" s="42">
        <f ca="1"/>
        <v>1.1398348484018419</v>
      </c>
    </row>
    <row r="35" spans="2:18" x14ac:dyDescent="0.25">
      <c r="B35" s="1" t="s">
        <v>21</v>
      </c>
      <c r="F35" s="50" t="s">
        <v>42</v>
      </c>
      <c r="G35" s="51">
        <f ca="1">_xll.meDateFromTenor($G$18,F35,"F","TGT:NYB")</f>
        <v>45400</v>
      </c>
      <c r="H35" s="40">
        <f ca="1"/>
        <v>1038.7189130434792</v>
      </c>
      <c r="I35" s="41">
        <f ca="1"/>
        <v>1053.5854347826069</v>
      </c>
      <c r="J35" s="41">
        <f ca="1"/>
        <v>1.306871891304348</v>
      </c>
      <c r="K35" s="42">
        <f ca="1"/>
        <v>1.3084585434782607</v>
      </c>
      <c r="M35" s="77">
        <v>43010</v>
      </c>
      <c r="N35" s="78">
        <v>44804</v>
      </c>
      <c r="O35" s="71">
        <f t="array" aca="1" ref="O35:R35" ca="1">_xll.meLWOFXSwap($F$4,M35,N35)</f>
        <v>614.97859817358778</v>
      </c>
      <c r="P35" s="71">
        <f ca="1"/>
        <v>634.54518264832063</v>
      </c>
      <c r="Q35" s="41">
        <f ca="1"/>
        <v>1.1429659735159665</v>
      </c>
      <c r="R35" s="42">
        <f ca="1"/>
        <v>1.1398348484018419</v>
      </c>
    </row>
    <row r="36" spans="2:18" x14ac:dyDescent="0.25">
      <c r="B36" s="17" t="s">
        <v>22</v>
      </c>
      <c r="C36" s="18" t="s">
        <v>23</v>
      </c>
      <c r="F36" s="50" t="s">
        <v>43</v>
      </c>
      <c r="G36" s="51">
        <f ca="1">_xll.meDateFromTenor($G$18,F36,"F","TGT:NYB")</f>
        <v>45769</v>
      </c>
      <c r="H36" s="40">
        <f ca="1"/>
        <v>1293.82</v>
      </c>
      <c r="I36" s="41">
        <f ca="1"/>
        <v>1309.58</v>
      </c>
      <c r="J36" s="41">
        <f ca="1"/>
        <v>1.332382</v>
      </c>
      <c r="K36" s="42">
        <f ca="1"/>
        <v>1.334058</v>
      </c>
      <c r="M36" s="77">
        <v>43010</v>
      </c>
      <c r="N36" s="78">
        <v>44804</v>
      </c>
      <c r="O36" s="71">
        <f t="array" aca="1" ref="O36:R36" ca="1">_xll.meLWOFXSwap($F$4,M36,N36)</f>
        <v>614.97859817358778</v>
      </c>
      <c r="P36" s="71">
        <f ca="1"/>
        <v>634.54518264832063</v>
      </c>
      <c r="Q36" s="41">
        <f ca="1"/>
        <v>1.1429659735159665</v>
      </c>
      <c r="R36" s="42">
        <f ca="1"/>
        <v>1.1398348484018419</v>
      </c>
    </row>
    <row r="37" spans="2:18" x14ac:dyDescent="0.25">
      <c r="B37" s="33">
        <v>1.2030000000000001</v>
      </c>
      <c r="C37" s="34">
        <v>1.2031000000000001</v>
      </c>
      <c r="F37" s="50" t="s">
        <v>44</v>
      </c>
      <c r="G37" s="51">
        <f ca="1">_xll.meDateFromTenor($G$18,F37,"F","TGT:NYB")</f>
        <v>46132</v>
      </c>
      <c r="H37" s="40">
        <f ca="1"/>
        <v>1526.5</v>
      </c>
      <c r="I37" s="41">
        <f ca="1"/>
        <v>1551.5</v>
      </c>
      <c r="J37" s="41">
        <f ca="1"/>
        <v>1.35565</v>
      </c>
      <c r="K37" s="42">
        <f ca="1"/>
        <v>1.35825</v>
      </c>
      <c r="M37" s="77">
        <v>43010</v>
      </c>
      <c r="N37" s="78">
        <v>44804</v>
      </c>
      <c r="O37" s="71">
        <f t="array" aca="1" ref="O37:R37" ca="1">_xll.meLWOFXSwap($F$4,M37,N37)</f>
        <v>614.97859817358778</v>
      </c>
      <c r="P37" s="71">
        <f ca="1"/>
        <v>634.54518264832063</v>
      </c>
      <c r="Q37" s="41">
        <f ca="1"/>
        <v>1.1429659735159665</v>
      </c>
      <c r="R37" s="42">
        <f ca="1"/>
        <v>1.1398348484018419</v>
      </c>
    </row>
    <row r="38" spans="2:18" x14ac:dyDescent="0.25">
      <c r="F38" s="50" t="s">
        <v>45</v>
      </c>
      <c r="G38" s="51">
        <f ca="1">_xll.meDateFromTenor($G$18,F38,"F","TGT:NYB")</f>
        <v>46496</v>
      </c>
      <c r="H38" s="40">
        <f ca="1"/>
        <v>1741.389643835618</v>
      </c>
      <c r="I38" s="41">
        <f ca="1"/>
        <v>1772.8219726027405</v>
      </c>
      <c r="J38" s="41">
        <f ca="1"/>
        <v>1.3771389643835619</v>
      </c>
      <c r="K38" s="42">
        <f ca="1"/>
        <v>1.3803821972602741</v>
      </c>
      <c r="M38" s="77">
        <v>43010</v>
      </c>
      <c r="N38" s="78">
        <v>44804</v>
      </c>
      <c r="O38" s="71">
        <f t="array" aca="1" ref="O38:R38" ca="1">_xll.meLWOFXSwap($F$4,M38,N38)</f>
        <v>614.97859817358778</v>
      </c>
      <c r="P38" s="71">
        <f ca="1"/>
        <v>634.54518264832063</v>
      </c>
      <c r="Q38" s="41">
        <f ca="1"/>
        <v>1.1429659735159665</v>
      </c>
      <c r="R38" s="42">
        <f ca="1"/>
        <v>1.1398348484018419</v>
      </c>
    </row>
    <row r="39" spans="2:18" x14ac:dyDescent="0.25">
      <c r="F39" s="50" t="s">
        <v>46</v>
      </c>
      <c r="G39" s="51">
        <f ca="1">_xll.meDateFromTenor($G$18,F39,"F","TGT:NYB")</f>
        <v>46861</v>
      </c>
      <c r="H39" s="40">
        <f ca="1"/>
        <v>1936.7398907103816</v>
      </c>
      <c r="I39" s="41">
        <f ca="1"/>
        <v>1975.1814754098373</v>
      </c>
      <c r="J39" s="41">
        <f ca="1"/>
        <v>1.3966739890710382</v>
      </c>
      <c r="K39" s="42">
        <f ca="1"/>
        <v>1.4006181475409838</v>
      </c>
      <c r="M39" s="77">
        <v>43010</v>
      </c>
      <c r="N39" s="78">
        <v>44804</v>
      </c>
      <c r="O39" s="71">
        <f t="array" aca="1" ref="O39:R39" ca="1">_xll.meLWOFXSwap($F$4,M39,N39)</f>
        <v>614.97859817358778</v>
      </c>
      <c r="P39" s="71">
        <f ca="1"/>
        <v>634.54518264832063</v>
      </c>
      <c r="Q39" s="41">
        <f ca="1"/>
        <v>1.1429659735159665</v>
      </c>
      <c r="R39" s="42">
        <f ca="1"/>
        <v>1.1398348484018419</v>
      </c>
    </row>
    <row r="40" spans="2:18" x14ac:dyDescent="0.25">
      <c r="B40" s="1" t="s">
        <v>9</v>
      </c>
      <c r="F40" s="50" t="s">
        <v>47</v>
      </c>
      <c r="G40" s="51">
        <f ca="1">_xll.meDateFromTenor($G$18,F40,"F","TGT:NYB")</f>
        <v>47226</v>
      </c>
      <c r="H40" s="40">
        <f ca="1"/>
        <v>2110.7372328767115</v>
      </c>
      <c r="I40" s="41">
        <f ca="1"/>
        <v>2156.3181095890395</v>
      </c>
      <c r="J40" s="41">
        <f ca="1"/>
        <v>1.4140737232876712</v>
      </c>
      <c r="K40" s="42">
        <f ca="1"/>
        <v>1.418731810958904</v>
      </c>
      <c r="M40" s="77">
        <v>43010</v>
      </c>
      <c r="N40" s="78">
        <v>44804</v>
      </c>
      <c r="O40" s="71">
        <f t="array" aca="1" ref="O40:R40" ca="1">_xll.meLWOFXSwap($F$4,M40,N40)</f>
        <v>614.97859817358778</v>
      </c>
      <c r="P40" s="71">
        <f ca="1"/>
        <v>634.54518264832063</v>
      </c>
      <c r="Q40" s="41">
        <f ca="1"/>
        <v>1.1429659735159665</v>
      </c>
      <c r="R40" s="42">
        <f ca="1"/>
        <v>1.1398348484018419</v>
      </c>
    </row>
    <row r="41" spans="2:18" x14ac:dyDescent="0.25">
      <c r="B41" s="22" t="s">
        <v>24</v>
      </c>
      <c r="C41" s="22" t="s">
        <v>22</v>
      </c>
      <c r="D41" s="22" t="s">
        <v>23</v>
      </c>
      <c r="F41" s="50" t="s">
        <v>48</v>
      </c>
      <c r="G41" s="51">
        <f ca="1">_xll.meDateFromTenor($G$18,F41,"F","TGT:NYB")</f>
        <v>47591</v>
      </c>
      <c r="H41" s="40">
        <f ca="1"/>
        <v>2265.7085326086944</v>
      </c>
      <c r="I41" s="41">
        <f ca="1"/>
        <v>2321.1137500000013</v>
      </c>
      <c r="J41" s="41">
        <f ca="1"/>
        <v>1.4295708532608695</v>
      </c>
      <c r="K41" s="42">
        <f ca="1"/>
        <v>1.4352113750000002</v>
      </c>
      <c r="M41" s="77">
        <v>43010</v>
      </c>
      <c r="N41" s="78">
        <v>44804</v>
      </c>
      <c r="O41" s="71">
        <f t="array" aca="1" ref="O41:R41" ca="1">_xll.meLWOFXSwap($F$4,M41,N41)</f>
        <v>614.97859817358778</v>
      </c>
      <c r="P41" s="71">
        <f ca="1"/>
        <v>634.54518264832063</v>
      </c>
      <c r="Q41" s="41">
        <f ca="1"/>
        <v>1.1429659735159665</v>
      </c>
      <c r="R41" s="42">
        <f ca="1"/>
        <v>1.1398348484018419</v>
      </c>
    </row>
    <row r="42" spans="2:18" x14ac:dyDescent="0.25">
      <c r="B42" s="17" t="s">
        <v>25</v>
      </c>
      <c r="C42" s="28">
        <v>0.51900000000000002</v>
      </c>
      <c r="D42" s="29">
        <v>0.58099999999999996</v>
      </c>
      <c r="F42" s="50"/>
      <c r="G42" s="51"/>
      <c r="H42" s="40" t="e">
        <f ca="1"/>
        <v>#N/A</v>
      </c>
      <c r="I42" s="41" t="e">
        <f ca="1"/>
        <v>#N/A</v>
      </c>
      <c r="J42" s="41" t="e">
        <f ca="1"/>
        <v>#N/A</v>
      </c>
      <c r="K42" s="42" t="e">
        <f ca="1"/>
        <v>#N/A</v>
      </c>
      <c r="M42" s="77">
        <v>43010</v>
      </c>
      <c r="N42" s="78">
        <v>44804</v>
      </c>
      <c r="O42" s="71">
        <f t="array" aca="1" ref="O42:R42" ca="1">_xll.meLWOFXSwap($F$4,M42,N42)</f>
        <v>614.97859817358778</v>
      </c>
      <c r="P42" s="71">
        <f ca="1"/>
        <v>634.54518264832063</v>
      </c>
      <c r="Q42" s="41">
        <f ca="1"/>
        <v>1.1429659735159665</v>
      </c>
      <c r="R42" s="42">
        <f ca="1"/>
        <v>1.1398348484018419</v>
      </c>
    </row>
    <row r="43" spans="2:18" x14ac:dyDescent="0.25">
      <c r="B43" s="23" t="s">
        <v>26</v>
      </c>
      <c r="C43" s="30">
        <v>0.56799999999999995</v>
      </c>
      <c r="D43" s="31">
        <v>0.58899999999999997</v>
      </c>
      <c r="F43" s="50"/>
      <c r="G43" s="51"/>
      <c r="H43" s="40" t="e">
        <f ca="1"/>
        <v>#N/A</v>
      </c>
      <c r="I43" s="41" t="e">
        <f ca="1"/>
        <v>#N/A</v>
      </c>
      <c r="J43" s="41" t="e">
        <f ca="1"/>
        <v>#N/A</v>
      </c>
      <c r="K43" s="42" t="e">
        <f ca="1"/>
        <v>#N/A</v>
      </c>
      <c r="M43" s="77">
        <v>43010</v>
      </c>
      <c r="N43" s="78">
        <v>44804</v>
      </c>
      <c r="O43" s="71">
        <f t="array" aca="1" ref="O43:R43" ca="1">_xll.meLWOFXSwap($F$4,M43,N43)</f>
        <v>614.97859817358778</v>
      </c>
      <c r="P43" s="71">
        <f ca="1"/>
        <v>634.54518264832063</v>
      </c>
      <c r="Q43" s="41">
        <f ca="1"/>
        <v>1.1429659735159665</v>
      </c>
      <c r="R43" s="42">
        <f ca="1"/>
        <v>1.1398348484018419</v>
      </c>
    </row>
    <row r="44" spans="2:18" x14ac:dyDescent="0.25">
      <c r="B44" s="23" t="s">
        <v>27</v>
      </c>
      <c r="C44" s="24">
        <v>4.21</v>
      </c>
      <c r="D44" s="25">
        <v>4.3</v>
      </c>
      <c r="F44" s="50"/>
      <c r="G44" s="51"/>
      <c r="H44" s="40" t="e">
        <f ca="1"/>
        <v>#N/A</v>
      </c>
      <c r="I44" s="41" t="e">
        <f ca="1"/>
        <v>#N/A</v>
      </c>
      <c r="J44" s="41" t="e">
        <f ca="1"/>
        <v>#N/A</v>
      </c>
      <c r="K44" s="42" t="e">
        <f ca="1"/>
        <v>#N/A</v>
      </c>
      <c r="M44" s="77">
        <v>43010</v>
      </c>
      <c r="N44" s="78">
        <v>44804</v>
      </c>
      <c r="O44" s="71">
        <f t="array" aca="1" ref="O44:R44" ca="1">_xll.meLWOFXSwap($F$4,M44,N44)</f>
        <v>614.97859817358778</v>
      </c>
      <c r="P44" s="71">
        <f ca="1"/>
        <v>634.54518264832063</v>
      </c>
      <c r="Q44" s="41">
        <f ca="1"/>
        <v>1.1429659735159665</v>
      </c>
      <c r="R44" s="42">
        <f ca="1"/>
        <v>1.1398348484018419</v>
      </c>
    </row>
    <row r="45" spans="2:18" x14ac:dyDescent="0.25">
      <c r="B45" s="23" t="s">
        <v>28</v>
      </c>
      <c r="C45" s="24">
        <v>8.49</v>
      </c>
      <c r="D45" s="25">
        <v>8.61</v>
      </c>
      <c r="F45" s="50"/>
      <c r="G45" s="51"/>
      <c r="H45" s="40" t="e">
        <f ca="1"/>
        <v>#N/A</v>
      </c>
      <c r="I45" s="41" t="e">
        <f ca="1"/>
        <v>#N/A</v>
      </c>
      <c r="J45" s="41" t="e">
        <f ca="1"/>
        <v>#N/A</v>
      </c>
      <c r="K45" s="42" t="e">
        <f ca="1"/>
        <v>#N/A</v>
      </c>
      <c r="M45" s="77">
        <v>43010</v>
      </c>
      <c r="N45" s="78">
        <v>44804</v>
      </c>
      <c r="O45" s="71">
        <f t="array" aca="1" ref="O45:R45" ca="1">_xll.meLWOFXSwap($F$4,M45,N45)</f>
        <v>614.97859817358778</v>
      </c>
      <c r="P45" s="71">
        <f ca="1"/>
        <v>634.54518264832063</v>
      </c>
      <c r="Q45" s="41">
        <f ca="1"/>
        <v>1.1429659735159665</v>
      </c>
      <c r="R45" s="42">
        <f ca="1"/>
        <v>1.1398348484018419</v>
      </c>
    </row>
    <row r="46" spans="2:18" x14ac:dyDescent="0.25">
      <c r="B46" s="23" t="s">
        <v>29</v>
      </c>
      <c r="C46" s="24">
        <v>12.89</v>
      </c>
      <c r="D46" s="25">
        <v>13.03</v>
      </c>
      <c r="F46" s="50"/>
      <c r="G46" s="51"/>
      <c r="H46" s="40" t="e">
        <f ca="1"/>
        <v>#N/A</v>
      </c>
      <c r="I46" s="41" t="e">
        <f ca="1"/>
        <v>#N/A</v>
      </c>
      <c r="J46" s="41" t="e">
        <f ca="1"/>
        <v>#N/A</v>
      </c>
      <c r="K46" s="42" t="e">
        <f ca="1"/>
        <v>#N/A</v>
      </c>
      <c r="M46" s="77">
        <v>43010</v>
      </c>
      <c r="N46" s="78">
        <v>44804</v>
      </c>
      <c r="O46" s="71">
        <f t="array" aca="1" ref="O46:R46" ca="1">_xll.meLWOFXSwap($F$4,M46,N46)</f>
        <v>614.97859817358778</v>
      </c>
      <c r="P46" s="71">
        <f ca="1"/>
        <v>634.54518264832063</v>
      </c>
      <c r="Q46" s="41">
        <f ca="1"/>
        <v>1.1429659735159665</v>
      </c>
      <c r="R46" s="42">
        <f ca="1"/>
        <v>1.1398348484018419</v>
      </c>
    </row>
    <row r="47" spans="2:18" x14ac:dyDescent="0.25">
      <c r="B47" s="23" t="s">
        <v>30</v>
      </c>
      <c r="C47" s="24">
        <v>17.93</v>
      </c>
      <c r="D47" s="25">
        <v>18.079999999999998</v>
      </c>
      <c r="F47" s="54"/>
      <c r="G47" s="55"/>
      <c r="H47" s="46" t="e">
        <f ca="1"/>
        <v>#N/A</v>
      </c>
      <c r="I47" s="47" t="e">
        <f ca="1"/>
        <v>#N/A</v>
      </c>
      <c r="J47" s="47" t="e">
        <f ca="1"/>
        <v>#N/A</v>
      </c>
      <c r="K47" s="48" t="e">
        <f ca="1"/>
        <v>#N/A</v>
      </c>
      <c r="M47" s="79">
        <v>43010</v>
      </c>
      <c r="N47" s="80">
        <v>44804</v>
      </c>
      <c r="O47" s="73">
        <f t="array" aca="1" ref="O47:R47" ca="1">_xll.meLWOFXSwap($F$4,M47,N47)</f>
        <v>614.97859817358778</v>
      </c>
      <c r="P47" s="73">
        <f ca="1"/>
        <v>634.54518264832063</v>
      </c>
      <c r="Q47" s="47">
        <f ca="1"/>
        <v>1.1429659735159665</v>
      </c>
      <c r="R47" s="48">
        <f ca="1"/>
        <v>1.1398348484018419</v>
      </c>
    </row>
    <row r="48" spans="2:18" x14ac:dyDescent="0.25">
      <c r="B48" s="23" t="s">
        <v>31</v>
      </c>
      <c r="C48" s="24">
        <v>39.51</v>
      </c>
      <c r="D48" s="25">
        <v>39.71</v>
      </c>
    </row>
    <row r="49" spans="2:4" x14ac:dyDescent="0.25">
      <c r="B49" s="23" t="s">
        <v>32</v>
      </c>
      <c r="C49" s="24">
        <v>58.4</v>
      </c>
      <c r="D49" s="25">
        <v>58.68</v>
      </c>
    </row>
    <row r="50" spans="2:4" x14ac:dyDescent="0.25">
      <c r="B50" s="23" t="s">
        <v>33</v>
      </c>
      <c r="C50" s="24">
        <v>77.099999999999994</v>
      </c>
      <c r="D50" s="25">
        <v>77.66</v>
      </c>
    </row>
    <row r="51" spans="2:4" x14ac:dyDescent="0.25">
      <c r="B51" s="23" t="s">
        <v>34</v>
      </c>
      <c r="C51" s="24">
        <v>103.71</v>
      </c>
      <c r="D51" s="25">
        <v>104.21</v>
      </c>
    </row>
    <row r="52" spans="2:4" x14ac:dyDescent="0.25">
      <c r="B52" s="23" t="s">
        <v>35</v>
      </c>
      <c r="C52" s="24">
        <v>122.27</v>
      </c>
      <c r="D52" s="25">
        <v>122.93</v>
      </c>
    </row>
    <row r="53" spans="2:4" x14ac:dyDescent="0.25">
      <c r="B53" s="23" t="s">
        <v>36</v>
      </c>
      <c r="C53" s="24">
        <v>186.54</v>
      </c>
      <c r="D53" s="25">
        <v>187.66</v>
      </c>
    </row>
    <row r="54" spans="2:4" x14ac:dyDescent="0.25">
      <c r="B54" s="23" t="s">
        <v>37</v>
      </c>
      <c r="C54" s="24">
        <v>251.88</v>
      </c>
      <c r="D54" s="25">
        <v>253.37</v>
      </c>
    </row>
    <row r="55" spans="2:4" x14ac:dyDescent="0.25">
      <c r="B55" s="23" t="s">
        <v>38</v>
      </c>
      <c r="C55" s="24">
        <v>316.02</v>
      </c>
      <c r="D55" s="25">
        <v>318.98</v>
      </c>
    </row>
    <row r="56" spans="2:4" x14ac:dyDescent="0.25">
      <c r="B56" s="23" t="s">
        <v>39</v>
      </c>
      <c r="C56" s="24">
        <v>383.05</v>
      </c>
      <c r="D56" s="25">
        <v>385.95</v>
      </c>
    </row>
    <row r="57" spans="2:4" x14ac:dyDescent="0.25">
      <c r="B57" s="23" t="s">
        <v>40</v>
      </c>
      <c r="C57" s="24">
        <v>516.25</v>
      </c>
      <c r="D57" s="25">
        <v>521.25</v>
      </c>
    </row>
    <row r="58" spans="2:4" x14ac:dyDescent="0.25">
      <c r="B58" s="23" t="s">
        <v>41</v>
      </c>
      <c r="C58" s="24">
        <v>782</v>
      </c>
      <c r="D58" s="25">
        <v>792</v>
      </c>
    </row>
    <row r="59" spans="2:4" x14ac:dyDescent="0.25">
      <c r="B59" s="23" t="s">
        <v>42</v>
      </c>
      <c r="C59" s="24">
        <v>1041.54</v>
      </c>
      <c r="D59" s="25">
        <v>1056.46</v>
      </c>
    </row>
    <row r="60" spans="2:4" x14ac:dyDescent="0.25">
      <c r="B60" s="23" t="s">
        <v>43</v>
      </c>
      <c r="C60" s="24">
        <v>1293.82</v>
      </c>
      <c r="D60" s="25">
        <v>1309.58</v>
      </c>
    </row>
    <row r="61" spans="2:4" x14ac:dyDescent="0.25">
      <c r="B61" s="23" t="s">
        <v>44</v>
      </c>
      <c r="C61" s="24">
        <v>1526.5</v>
      </c>
      <c r="D61" s="25">
        <v>1551.5</v>
      </c>
    </row>
    <row r="62" spans="2:4" x14ac:dyDescent="0.25">
      <c r="B62" s="23" t="s">
        <v>45</v>
      </c>
      <c r="C62" s="24">
        <v>1741.98</v>
      </c>
      <c r="D62" s="25">
        <v>1773.43</v>
      </c>
    </row>
    <row r="63" spans="2:4" x14ac:dyDescent="0.25">
      <c r="B63" s="23" t="s">
        <v>46</v>
      </c>
      <c r="C63" s="24">
        <v>1937.81</v>
      </c>
      <c r="D63" s="25">
        <v>1976.29</v>
      </c>
    </row>
    <row r="64" spans="2:4" x14ac:dyDescent="0.25">
      <c r="B64" s="23" t="s">
        <v>47</v>
      </c>
      <c r="C64" s="24">
        <v>2111.69</v>
      </c>
      <c r="D64" s="25">
        <v>2157.31</v>
      </c>
    </row>
    <row r="65" spans="2:4" x14ac:dyDescent="0.25">
      <c r="B65" s="23" t="s">
        <v>48</v>
      </c>
      <c r="C65" s="24">
        <v>2267.83</v>
      </c>
      <c r="D65" s="25">
        <v>2323.37</v>
      </c>
    </row>
    <row r="66" spans="2:4" x14ac:dyDescent="0.25">
      <c r="B66" s="23"/>
      <c r="C66" s="24"/>
      <c r="D66" s="25"/>
    </row>
    <row r="67" spans="2:4" x14ac:dyDescent="0.25">
      <c r="B67" s="19"/>
      <c r="C67" s="26"/>
      <c r="D67" s="2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73</vt:i4>
      </vt:variant>
    </vt:vector>
  </HeadingPairs>
  <TitlesOfParts>
    <vt:vector size="80" baseType="lpstr">
      <vt:lpstr>USDOIS</vt:lpstr>
      <vt:lpstr>USD3ML</vt:lpstr>
      <vt:lpstr>EUROIS</vt:lpstr>
      <vt:lpstr>EUR3ML</vt:lpstr>
      <vt:lpstr>EURUSDXCCY</vt:lpstr>
      <vt:lpstr>FXCurveFromYieldCurve</vt:lpstr>
      <vt:lpstr>FXCurveFromForwardPoints</vt:lpstr>
      <vt:lpstr>COB</vt:lpstr>
      <vt:lpstr>Curve.BuildProperties</vt:lpstr>
      <vt:lpstr>Curve.CollectionName</vt:lpstr>
      <vt:lpstr>EURUSDXCCY!Curve.MarketDataSource</vt:lpstr>
      <vt:lpstr>Curve.MarketDataTable</vt:lpstr>
      <vt:lpstr>Curve.OISIndexName</vt:lpstr>
      <vt:lpstr>EURUSDXCCY!CurveBuildProperties</vt:lpstr>
      <vt:lpstr>USD3ML!CurveBuildProperties</vt:lpstr>
      <vt:lpstr>USDOIS!CurveBuildProperties</vt:lpstr>
      <vt:lpstr>EUR3ML!CurveCollection</vt:lpstr>
      <vt:lpstr>EUROIS!CurveCollection</vt:lpstr>
      <vt:lpstr>EURUSDXCCY!CurveCollection</vt:lpstr>
      <vt:lpstr>USD3ML!CurveCollection</vt:lpstr>
      <vt:lpstr>USDOIS!CurveCollection</vt:lpstr>
      <vt:lpstr>EUR3ML!Display.CurveCalibration</vt:lpstr>
      <vt:lpstr>EUROIS!Display.CurveCalibration</vt:lpstr>
      <vt:lpstr>USD3ML!Display.CurveCalibration</vt:lpstr>
      <vt:lpstr>USDOIS!Display.CurveCalibration</vt:lpstr>
      <vt:lpstr>EUR3ML!Display.Generator</vt:lpstr>
      <vt:lpstr>EUROIS!Display.Generator</vt:lpstr>
      <vt:lpstr>USD3ML!Display.Generator</vt:lpstr>
      <vt:lpstr>USDOIS!Display.Generator</vt:lpstr>
      <vt:lpstr>EUR3ML!FRA.Conventions</vt:lpstr>
      <vt:lpstr>EUR3ML!FRA.MarketDataX3</vt:lpstr>
      <vt:lpstr>EUR3ML!FRA.MarketDataX6</vt:lpstr>
      <vt:lpstr>USD3ML!FRAConventions</vt:lpstr>
      <vt:lpstr>USD3ML!FRAMarketData3M</vt:lpstr>
      <vt:lpstr>USD3ML!FRAMarketData6M</vt:lpstr>
      <vt:lpstr>EUR3ML!Futures.Conventions</vt:lpstr>
      <vt:lpstr>EUR3ML!Futures.MarketData</vt:lpstr>
      <vt:lpstr>USD3ML!FuturesConventions</vt:lpstr>
      <vt:lpstr>USD3ML!FuturesMarketData</vt:lpstr>
      <vt:lpstr>EURUSDXCCY!IndexName</vt:lpstr>
      <vt:lpstr>USD3ML!IndexName</vt:lpstr>
      <vt:lpstr>USDOIS!IndexName</vt:lpstr>
      <vt:lpstr>isEUR3MLLoaded</vt:lpstr>
      <vt:lpstr>isEUROISLoaded</vt:lpstr>
      <vt:lpstr>isEURXccyLoaded</vt:lpstr>
      <vt:lpstr>isUSD3MLLoaded</vt:lpstr>
      <vt:lpstr>isUSDOISLoaded</vt:lpstr>
      <vt:lpstr>EUR3ML!Libor.Conventions</vt:lpstr>
      <vt:lpstr>EUR3ML!Libor.MarketData</vt:lpstr>
      <vt:lpstr>USD3ML!LiborConventions</vt:lpstr>
      <vt:lpstr>USD3ML!LiborMarketData</vt:lpstr>
      <vt:lpstr>LiborOISBasis.Conventions</vt:lpstr>
      <vt:lpstr>LiborOISBasis.MarketData</vt:lpstr>
      <vt:lpstr>USDOIS!LiborSwap.Conventions</vt:lpstr>
      <vt:lpstr>LiborSwap.Conventions</vt:lpstr>
      <vt:lpstr>USDOIS!LiborSwap.MarketData</vt:lpstr>
      <vt:lpstr>LiborSwap.MarketData</vt:lpstr>
      <vt:lpstr>EUR3ML!MoneyMarket.Conventions</vt:lpstr>
      <vt:lpstr>USD3ML!MoneyMarketConventions</vt:lpstr>
      <vt:lpstr>OIS.Conventions</vt:lpstr>
      <vt:lpstr>OIS.FixingTable</vt:lpstr>
      <vt:lpstr>OIS.MarketData</vt:lpstr>
      <vt:lpstr>USDOIS!OISBasis.Conventions</vt:lpstr>
      <vt:lpstr>USDOIS!OISBasis.Spreads</vt:lpstr>
      <vt:lpstr>USDOIS!OISConventions</vt:lpstr>
      <vt:lpstr>USDOIS!OISFixingTable</vt:lpstr>
      <vt:lpstr>USDOIS!OISMarketData</vt:lpstr>
      <vt:lpstr>EURUSDXCCY!StaticDataTable</vt:lpstr>
      <vt:lpstr>USD3ML!StaticDataTable</vt:lpstr>
      <vt:lpstr>USDOIS!StaticDataTable</vt:lpstr>
      <vt:lpstr>EUR3ML!STDCurve.Buildproperties</vt:lpstr>
      <vt:lpstr>EUR3ML!STDCurve.CollectionName</vt:lpstr>
      <vt:lpstr>EUR3ML!STDCurve.IndexName</vt:lpstr>
      <vt:lpstr>EUR3ML!STDCurve.StaticDataTable</vt:lpstr>
      <vt:lpstr>EUR3ML!Swap.Conventions</vt:lpstr>
      <vt:lpstr>EUR3ML!Swap.MarketData</vt:lpstr>
      <vt:lpstr>USD3ML!SwapConventions</vt:lpstr>
      <vt:lpstr>USD3ML!SwapMarketData</vt:lpstr>
      <vt:lpstr>EURUSDXCCY!XccyBasisMarketData</vt:lpstr>
      <vt:lpstr>EURUSDXCCY!XccyBasisSwapConventions</vt:lpstr>
    </vt:vector>
  </TitlesOfParts>
  <Company>Mizuho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Burgess</dc:creator>
  <cp:lastModifiedBy>Burgess Nicholas</cp:lastModifiedBy>
  <dcterms:created xsi:type="dcterms:W3CDTF">2017-08-29T13:12:12Z</dcterms:created>
  <dcterms:modified xsi:type="dcterms:W3CDTF">2020-04-16T15:49:19Z</dcterms:modified>
</cp:coreProperties>
</file>