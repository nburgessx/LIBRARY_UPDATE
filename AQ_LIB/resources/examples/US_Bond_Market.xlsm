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1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esktop\"/>
    </mc:Choice>
  </mc:AlternateContent>
  <xr:revisionPtr revIDLastSave="0" documentId="13_ncr:1_{621252B1-F987-4EAE-B12F-359797B59CBC}" xr6:coauthVersionLast="47" xr6:coauthVersionMax="47" xr10:uidLastSave="{00000000-0000-0000-0000-000000000000}"/>
  <bookViews>
    <workbookView xWindow="25695" yWindow="0" windowWidth="26010" windowHeight="20985" activeTab="3" xr2:uid="{00000000-000D-0000-FFFF-FFFF00000000}"/>
  </bookViews>
  <sheets>
    <sheet name="UST_BONDS" sheetId="4" r:id="rId1"/>
    <sheet name="UST_CURVE" sheetId="15" r:id="rId2"/>
    <sheet name="UST_YIELDS" sheetId="14" r:id="rId3"/>
    <sheet name="BBG_PRICES" sheetId="16" r:id="rId4"/>
  </sheets>
  <definedNames>
    <definedName name="_xlnm._FilterDatabase" localSheetId="0" hidden="1">UST_BONDS!$B$7:$V$7</definedName>
    <definedName name="SettlementDate">UST_BONDS!$C$4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2" i="16" l="1" a="1"/>
  <c r="P21" i="16" a="1"/>
  <c r="P20" i="16" a="1"/>
  <c r="P68" i="16" a="1"/>
  <c r="P54" i="16"/>
  <c r="P19" i="16" a="1"/>
  <c r="P31" i="16"/>
  <c r="P45" i="16" a="1"/>
  <c r="P5" i="16"/>
  <c r="C8" i="4"/>
  <c r="C6" i="15"/>
  <c r="C7" i="15"/>
  <c r="D7" i="15" s="1"/>
  <c r="C8" i="15"/>
  <c r="C9" i="15"/>
  <c r="C10" i="15"/>
  <c r="D10" i="15" s="1"/>
  <c r="C11" i="15"/>
  <c r="D11" i="15" s="1"/>
  <c r="C12" i="15"/>
  <c r="D12" i="15" s="1"/>
  <c r="C13" i="15"/>
  <c r="D13" i="15" s="1"/>
  <c r="C14" i="15"/>
  <c r="C15" i="15"/>
  <c r="C16" i="15"/>
  <c r="C17" i="15"/>
  <c r="C18" i="15"/>
  <c r="D18" i="15" s="1"/>
  <c r="C19" i="15"/>
  <c r="C20" i="15"/>
  <c r="C21" i="15"/>
  <c r="D21" i="15" s="1"/>
  <c r="C22" i="15"/>
  <c r="C23" i="15"/>
  <c r="D23" i="15" s="1"/>
  <c r="C24" i="15"/>
  <c r="D24" i="15" s="1"/>
  <c r="C25" i="15"/>
  <c r="D25" i="15" s="1"/>
  <c r="C26" i="15"/>
  <c r="D26" i="15" s="1"/>
  <c r="C27" i="15"/>
  <c r="D27" i="15" s="1"/>
  <c r="C28" i="15"/>
  <c r="C29" i="15"/>
  <c r="D29" i="15" s="1"/>
  <c r="C30" i="15"/>
  <c r="D30" i="15" s="1"/>
  <c r="C31" i="15"/>
  <c r="C32" i="15"/>
  <c r="D32" i="15" s="1"/>
  <c r="C33" i="15"/>
  <c r="C34" i="15"/>
  <c r="D34" i="15" s="1"/>
  <c r="C35" i="15"/>
  <c r="D35" i="15" s="1"/>
  <c r="C36" i="15"/>
  <c r="C37" i="15"/>
  <c r="C38" i="15"/>
  <c r="D38" i="15" s="1"/>
  <c r="C39" i="15"/>
  <c r="D39" i="15" s="1"/>
  <c r="C40" i="15"/>
  <c r="C41" i="15"/>
  <c r="D41" i="15" s="1"/>
  <c r="C42" i="15"/>
  <c r="D42" i="15" s="1"/>
  <c r="C43" i="15"/>
  <c r="D43" i="15" s="1"/>
  <c r="C44" i="15"/>
  <c r="D44" i="15" s="1"/>
  <c r="C45" i="15"/>
  <c r="D45" i="15" s="1"/>
  <c r="C46" i="15"/>
  <c r="D46" i="15" s="1"/>
  <c r="C47" i="15"/>
  <c r="D47" i="15" s="1"/>
  <c r="C48" i="15"/>
  <c r="D48" i="15" s="1"/>
  <c r="C49" i="15"/>
  <c r="D49" i="15" s="1"/>
  <c r="C50" i="15"/>
  <c r="D50" i="15" s="1"/>
  <c r="C51" i="15"/>
  <c r="D51" i="15" s="1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B4" i="14" a="1"/>
  <c r="F2" i="14" s="1"/>
  <c r="I2" i="14" s="1" a="1"/>
  <c r="C4" i="4" a="1"/>
  <c r="D40" i="15" l="1"/>
  <c r="D37" i="15"/>
  <c r="D9" i="15"/>
  <c r="D15" i="15"/>
  <c r="D36" i="15"/>
  <c r="D16" i="15"/>
  <c r="D33" i="15"/>
  <c r="D17" i="15"/>
  <c r="P71" i="16" a="1"/>
  <c r="R70" i="16" s="1"/>
  <c r="P48" i="16" a="1"/>
  <c r="R47" i="16" s="1"/>
  <c r="S20" i="16"/>
  <c r="I20" i="14" a="1"/>
  <c r="K9" i="15"/>
  <c r="D28" i="15"/>
  <c r="I22" i="14" a="1"/>
  <c r="I21" i="14" a="1"/>
  <c r="D22" i="15"/>
  <c r="R21" i="16"/>
  <c r="S21" i="16"/>
  <c r="P69" i="16" a="1"/>
  <c r="S69" i="16" s="1"/>
  <c r="P70" i="16" a="1"/>
  <c r="S70" i="16" s="1"/>
  <c r="P46" i="16" a="1"/>
  <c r="S46" i="16" s="1"/>
  <c r="P47" i="16" a="1"/>
  <c r="S47" i="16" s="1"/>
  <c r="D20" i="15"/>
  <c r="D31" i="15"/>
  <c r="D8" i="15"/>
  <c r="D14" i="15"/>
  <c r="D19" i="15"/>
  <c r="E4" i="14" a="1"/>
  <c r="S22" i="16" l="1"/>
  <c r="S71" i="16"/>
  <c r="S48" i="16"/>
  <c r="G53" i="4" l="1"/>
  <c r="L53" i="4" s="1" a="1"/>
  <c r="B51" i="15" s="1"/>
  <c r="R53" i="4" l="1" a="1"/>
  <c r="Q53" i="4" s="1" a="1"/>
  <c r="S53" i="4" a="1"/>
  <c r="T53" i="4" a="1"/>
  <c r="G52" i="4"/>
  <c r="L52" i="4" s="1" a="1"/>
  <c r="B50" i="15" s="1"/>
  <c r="U53" i="4" l="1" a="1"/>
  <c r="V53" i="4" a="1"/>
  <c r="T52" i="4" a="1"/>
  <c r="S52" i="4" a="1"/>
  <c r="R52" i="4" a="1"/>
  <c r="Q52" i="4" s="1" a="1"/>
  <c r="G51" i="4"/>
  <c r="L51" i="4" s="1" a="1"/>
  <c r="B49" i="15" s="1"/>
  <c r="U52" i="4" l="1" a="1"/>
  <c r="V52" i="4" a="1"/>
  <c r="S51" i="4" a="1"/>
  <c r="R51" i="4" a="1"/>
  <c r="Q51" i="4" s="1" a="1"/>
  <c r="T51" i="4" a="1"/>
  <c r="G50" i="4"/>
  <c r="L50" i="4" s="1" a="1"/>
  <c r="B48" i="15" s="1"/>
  <c r="U51" i="4" l="1" a="1"/>
  <c r="V51" i="4" a="1"/>
  <c r="R50" i="4" a="1"/>
  <c r="Q50" i="4" s="1" a="1"/>
  <c r="T50" i="4" a="1"/>
  <c r="S50" i="4" a="1"/>
  <c r="G49" i="4"/>
  <c r="L49" i="4" s="1" a="1"/>
  <c r="B47" i="15" s="1"/>
  <c r="U50" i="4" l="1" a="1"/>
  <c r="V50" i="4" a="1"/>
  <c r="S49" i="4" a="1"/>
  <c r="T49" i="4" a="1"/>
  <c r="R49" i="4" a="1"/>
  <c r="Q49" i="4" s="1" a="1"/>
  <c r="G48" i="4"/>
  <c r="L48" i="4" s="1" a="1"/>
  <c r="B46" i="15" s="1"/>
  <c r="V49" i="4" l="1" a="1"/>
  <c r="U49" i="4" a="1"/>
  <c r="R48" i="4" a="1"/>
  <c r="Q48" i="4" s="1" a="1"/>
  <c r="S48" i="4" a="1"/>
  <c r="T48" i="4" a="1"/>
  <c r="G47" i="4"/>
  <c r="L47" i="4" s="1" a="1"/>
  <c r="B45" i="15" s="1"/>
  <c r="U48" i="4" l="1" a="1"/>
  <c r="V48" i="4" a="1"/>
  <c r="T47" i="4" a="1"/>
  <c r="S47" i="4" a="1"/>
  <c r="R47" i="4" a="1"/>
  <c r="Q47" i="4" s="1" a="1"/>
  <c r="G46" i="4"/>
  <c r="L46" i="4" s="1" a="1"/>
  <c r="B44" i="15" s="1"/>
  <c r="V47" i="4" l="1" a="1"/>
  <c r="U47" i="4" a="1"/>
  <c r="S46" i="4" a="1"/>
  <c r="R46" i="4" a="1"/>
  <c r="Q46" i="4" s="1" a="1"/>
  <c r="T46" i="4" a="1"/>
  <c r="G45" i="4"/>
  <c r="L45" i="4" s="1" a="1"/>
  <c r="B43" i="15" s="1"/>
  <c r="U46" i="4" l="1" a="1"/>
  <c r="V46" i="4" a="1"/>
  <c r="T45" i="4" a="1"/>
  <c r="S45" i="4" a="1"/>
  <c r="R45" i="4" a="1"/>
  <c r="Q45" i="4" s="1" a="1"/>
  <c r="G44" i="4"/>
  <c r="L44" i="4" s="1" a="1"/>
  <c r="B42" i="15" s="1"/>
  <c r="U45" i="4" l="1" a="1"/>
  <c r="V45" i="4" a="1"/>
  <c r="S44" i="4" a="1"/>
  <c r="R44" i="4" a="1"/>
  <c r="Q44" i="4" s="1" a="1"/>
  <c r="T44" i="4" a="1"/>
  <c r="G43" i="4"/>
  <c r="L43" i="4" s="1" a="1"/>
  <c r="B41" i="15" s="1"/>
  <c r="U44" i="4" l="1" a="1"/>
  <c r="V44" i="4" a="1"/>
  <c r="S43" i="4" a="1"/>
  <c r="R43" i="4" a="1"/>
  <c r="Q43" i="4" s="1" a="1"/>
  <c r="T43" i="4" a="1"/>
  <c r="G42" i="4"/>
  <c r="L42" i="4" s="1" a="1"/>
  <c r="B40" i="15" s="1"/>
  <c r="U43" i="4" l="1" a="1"/>
  <c r="V43" i="4" a="1"/>
  <c r="S42" i="4" a="1"/>
  <c r="R42" i="4" a="1"/>
  <c r="T42" i="4" a="1"/>
  <c r="Q42" i="4" a="1"/>
  <c r="G41" i="4"/>
  <c r="L41" i="4" s="1" a="1"/>
  <c r="B39" i="15" s="1"/>
  <c r="U42" i="4" l="1" a="1"/>
  <c r="V42" i="4" a="1"/>
  <c r="T41" i="4" a="1"/>
  <c r="R41" i="4" a="1"/>
  <c r="Q41" i="4" s="1" a="1"/>
  <c r="S41" i="4" a="1"/>
  <c r="G40" i="4"/>
  <c r="L40" i="4" s="1" a="1"/>
  <c r="B38" i="15" s="1"/>
  <c r="V41" i="4" l="1" a="1"/>
  <c r="U41" i="4" a="1"/>
  <c r="R40" i="4" a="1"/>
  <c r="Q40" i="4" s="1" a="1"/>
  <c r="T40" i="4" a="1"/>
  <c r="S40" i="4" a="1"/>
  <c r="G39" i="4"/>
  <c r="L39" i="4" s="1" a="1"/>
  <c r="B37" i="15" s="1"/>
  <c r="V40" i="4" l="1" a="1"/>
  <c r="U40" i="4" a="1"/>
  <c r="T39" i="4" a="1"/>
  <c r="R39" i="4" a="1"/>
  <c r="Q39" i="4" s="1" a="1"/>
  <c r="S39" i="4" a="1"/>
  <c r="G38" i="4"/>
  <c r="L38" i="4" s="1" a="1"/>
  <c r="B36" i="15" s="1"/>
  <c r="U39" i="4" l="1" a="1"/>
  <c r="V39" i="4" a="1"/>
  <c r="S38" i="4" a="1"/>
  <c r="R38" i="4" a="1"/>
  <c r="Q38" i="4" s="1" a="1"/>
  <c r="T38" i="4" a="1"/>
  <c r="G37" i="4"/>
  <c r="L37" i="4" s="1" a="1"/>
  <c r="B35" i="15" s="1"/>
  <c r="U38" i="4" l="1" a="1"/>
  <c r="V38" i="4" a="1"/>
  <c r="S37" i="4" a="1"/>
  <c r="R37" i="4" a="1"/>
  <c r="Q37" i="4" s="1" a="1"/>
  <c r="T37" i="4" a="1"/>
  <c r="G36" i="4"/>
  <c r="L36" i="4" s="1" a="1"/>
  <c r="B34" i="15" s="1"/>
  <c r="U37" i="4" l="1" a="1"/>
  <c r="V37" i="4" a="1"/>
  <c r="T36" i="4" a="1"/>
  <c r="S36" i="4" a="1"/>
  <c r="R36" i="4" a="1"/>
  <c r="Q36" i="4" s="1" a="1"/>
  <c r="G35" i="4"/>
  <c r="L35" i="4" s="1" a="1"/>
  <c r="B33" i="15" s="1"/>
  <c r="U36" i="4" l="1" a="1"/>
  <c r="V36" i="4" a="1"/>
  <c r="S35" i="4" a="1"/>
  <c r="T35" i="4" a="1"/>
  <c r="R35" i="4" a="1"/>
  <c r="Q35" i="4" s="1" a="1"/>
  <c r="G34" i="4"/>
  <c r="L34" i="4" s="1" a="1"/>
  <c r="B32" i="15" s="1"/>
  <c r="U35" i="4" l="1" a="1"/>
  <c r="V35" i="4" a="1"/>
  <c r="T34" i="4" a="1"/>
  <c r="S34" i="4" a="1"/>
  <c r="R34" i="4" a="1"/>
  <c r="Q34" i="4" s="1" a="1"/>
  <c r="G33" i="4"/>
  <c r="L33" i="4" s="1" a="1"/>
  <c r="B31" i="15" s="1"/>
  <c r="V34" i="4" l="1" a="1"/>
  <c r="U34" i="4" a="1"/>
  <c r="S33" i="4" a="1"/>
  <c r="R33" i="4" a="1"/>
  <c r="Q33" i="4" s="1" a="1"/>
  <c r="T33" i="4" a="1"/>
  <c r="G32" i="4"/>
  <c r="L32" i="4" s="1" a="1"/>
  <c r="B30" i="15" s="1"/>
  <c r="V33" i="4" l="1" a="1"/>
  <c r="U33" i="4" a="1"/>
  <c r="S32" i="4" a="1"/>
  <c r="R32" i="4" a="1"/>
  <c r="Q32" i="4" s="1" a="1"/>
  <c r="U32" i="4" s="1" a="1"/>
  <c r="T32" i="4" a="1"/>
  <c r="G31" i="4"/>
  <c r="L31" i="4" s="1" a="1"/>
  <c r="B29" i="15" s="1"/>
  <c r="V32" i="4" l="1" a="1"/>
  <c r="R31" i="4" a="1"/>
  <c r="Q31" i="4" s="1" a="1"/>
  <c r="S31" i="4" a="1"/>
  <c r="T31" i="4" a="1"/>
  <c r="G30" i="4"/>
  <c r="L30" i="4" s="1" a="1"/>
  <c r="B28" i="15" s="1"/>
  <c r="U31" i="4" l="1" a="1"/>
  <c r="V31" i="4" a="1"/>
  <c r="T30" i="4" a="1"/>
  <c r="S30" i="4" a="1"/>
  <c r="R30" i="4" a="1"/>
  <c r="Q30" i="4" s="1" a="1"/>
  <c r="G29" i="4"/>
  <c r="L29" i="4" s="1" a="1"/>
  <c r="B27" i="15" s="1"/>
  <c r="U30" i="4" l="1" a="1"/>
  <c r="V30" i="4" a="1"/>
  <c r="T29" i="4" a="1"/>
  <c r="S29" i="4" a="1"/>
  <c r="R29" i="4" a="1"/>
  <c r="Q29" i="4" s="1" a="1"/>
  <c r="G28" i="4"/>
  <c r="L28" i="4" s="1" a="1"/>
  <c r="B26" i="15" s="1"/>
  <c r="V29" i="4" l="1" a="1"/>
  <c r="U29" i="4" a="1"/>
  <c r="S28" i="4" a="1"/>
  <c r="R28" i="4" a="1"/>
  <c r="Q28" i="4" s="1" a="1"/>
  <c r="T28" i="4" a="1"/>
  <c r="G27" i="4"/>
  <c r="L27" i="4" s="1" a="1"/>
  <c r="B25" i="15" s="1"/>
  <c r="U28" i="4" l="1" a="1"/>
  <c r="V28" i="4" a="1"/>
  <c r="S27" i="4" a="1"/>
  <c r="R27" i="4" a="1"/>
  <c r="Q27" i="4" s="1" a="1"/>
  <c r="T27" i="4" a="1"/>
  <c r="G26" i="4"/>
  <c r="L26" i="4" s="1" a="1"/>
  <c r="B24" i="15" s="1"/>
  <c r="U27" i="4" l="1" a="1"/>
  <c r="V27" i="4" a="1"/>
  <c r="R26" i="4" a="1"/>
  <c r="Q26" i="4" s="1" a="1"/>
  <c r="S26" i="4" a="1"/>
  <c r="T26" i="4" a="1"/>
  <c r="G25" i="4"/>
  <c r="L25" i="4" s="1" a="1"/>
  <c r="B23" i="15" s="1"/>
  <c r="V26" i="4" l="1" a="1"/>
  <c r="U26" i="4" a="1"/>
  <c r="T25" i="4" a="1"/>
  <c r="S25" i="4" a="1"/>
  <c r="R25" i="4" a="1"/>
  <c r="Q25" i="4" s="1" a="1"/>
  <c r="G24" i="4"/>
  <c r="L24" i="4" s="1" a="1"/>
  <c r="B22" i="15" s="1"/>
  <c r="V25" i="4" l="1" a="1"/>
  <c r="U25" i="4" a="1"/>
  <c r="R24" i="4" a="1"/>
  <c r="Q24" i="4" s="1" a="1"/>
  <c r="T24" i="4" a="1"/>
  <c r="S24" i="4" a="1"/>
  <c r="G23" i="4"/>
  <c r="L23" i="4" s="1" a="1"/>
  <c r="B21" i="15" s="1"/>
  <c r="V24" i="4" l="1" a="1"/>
  <c r="U24" i="4" a="1"/>
  <c r="S23" i="4" a="1"/>
  <c r="R23" i="4" a="1"/>
  <c r="Q23" i="4" s="1" a="1"/>
  <c r="T23" i="4" a="1"/>
  <c r="G22" i="4"/>
  <c r="L22" i="4" s="1" a="1"/>
  <c r="B20" i="15" s="1"/>
  <c r="U23" i="4" l="1" a="1"/>
  <c r="V23" i="4" a="1"/>
  <c r="S22" i="4" a="1"/>
  <c r="T22" i="4" a="1"/>
  <c r="R22" i="4" a="1"/>
  <c r="Q22" i="4" s="1" a="1"/>
  <c r="G21" i="4"/>
  <c r="L21" i="4" s="1" a="1"/>
  <c r="B19" i="15" s="1"/>
  <c r="V22" i="4" l="1" a="1"/>
  <c r="U22" i="4" a="1"/>
  <c r="R21" i="4" a="1"/>
  <c r="Q21" i="4" s="1" a="1"/>
  <c r="S21" i="4" a="1"/>
  <c r="T21" i="4" a="1"/>
  <c r="G20" i="4"/>
  <c r="L20" i="4" s="1" a="1"/>
  <c r="B18" i="15" s="1"/>
  <c r="U21" i="4" l="1" a="1"/>
  <c r="V21" i="4" a="1"/>
  <c r="R20" i="4" a="1"/>
  <c r="Q20" i="4" s="1" a="1"/>
  <c r="T20" i="4" a="1"/>
  <c r="S20" i="4" a="1"/>
  <c r="G19" i="4"/>
  <c r="L19" i="4" s="1" a="1"/>
  <c r="B17" i="15" s="1"/>
  <c r="U20" i="4" l="1" a="1"/>
  <c r="V20" i="4" a="1"/>
  <c r="T19" i="4" a="1"/>
  <c r="S19" i="4" a="1"/>
  <c r="R19" i="4" a="1"/>
  <c r="Q19" i="4" s="1" a="1"/>
  <c r="G18" i="4"/>
  <c r="L18" i="4" s="1" a="1"/>
  <c r="B16" i="15" s="1"/>
  <c r="V19" i="4" l="1" a="1"/>
  <c r="U19" i="4" a="1"/>
  <c r="S18" i="4" a="1"/>
  <c r="T18" i="4" a="1"/>
  <c r="R18" i="4" a="1"/>
  <c r="Q18" i="4" s="1" a="1"/>
  <c r="G17" i="4"/>
  <c r="L17" i="4" s="1" a="1"/>
  <c r="B15" i="15" s="1"/>
  <c r="U18" i="4" l="1" a="1"/>
  <c r="V18" i="4" a="1"/>
  <c r="S17" i="4" a="1"/>
  <c r="R17" i="4" a="1"/>
  <c r="Q17" i="4" s="1" a="1"/>
  <c r="T17" i="4" a="1"/>
  <c r="G16" i="4"/>
  <c r="L16" i="4" s="1" a="1"/>
  <c r="B14" i="15" s="1"/>
  <c r="V17" i="4" l="1" a="1"/>
  <c r="U17" i="4" a="1"/>
  <c r="R16" i="4" a="1"/>
  <c r="Q16" i="4" s="1" a="1"/>
  <c r="U16" i="4" s="1" a="1"/>
  <c r="T16" i="4" a="1"/>
  <c r="S16" i="4" a="1"/>
  <c r="G15" i="4"/>
  <c r="L15" i="4" s="1" a="1"/>
  <c r="B13" i="15" s="1"/>
  <c r="V16" i="4" l="1" a="1"/>
  <c r="T15" i="4" a="1"/>
  <c r="S15" i="4" a="1"/>
  <c r="R15" i="4" a="1"/>
  <c r="Q15" i="4" s="1" a="1"/>
  <c r="G14" i="4"/>
  <c r="L14" i="4" s="1" a="1"/>
  <c r="B12" i="15" s="1"/>
  <c r="U15" i="4" l="1" a="1"/>
  <c r="V15" i="4" a="1"/>
  <c r="S14" i="4" a="1"/>
  <c r="R14" i="4" a="1"/>
  <c r="Q14" i="4" s="1" a="1"/>
  <c r="T14" i="4" a="1"/>
  <c r="G13" i="4"/>
  <c r="L13" i="4" s="1" a="1"/>
  <c r="B11" i="15" s="1"/>
  <c r="U14" i="4" l="1" a="1"/>
  <c r="V14" i="4" a="1"/>
  <c r="R13" i="4" a="1"/>
  <c r="Q13" i="4" s="1" a="1"/>
  <c r="S13" i="4" a="1"/>
  <c r="T13" i="4" a="1"/>
  <c r="G12" i="4"/>
  <c r="L12" i="4" s="1" a="1"/>
  <c r="B10" i="15" s="1"/>
  <c r="V13" i="4" l="1" a="1"/>
  <c r="U13" i="4" a="1"/>
  <c r="S12" i="4" a="1"/>
  <c r="T12" i="4" a="1"/>
  <c r="R12" i="4" a="1"/>
  <c r="Q12" i="4" s="1" a="1"/>
  <c r="G11" i="4"/>
  <c r="L11" i="4" s="1" a="1"/>
  <c r="B9" i="15" s="1"/>
  <c r="V12" i="4" l="1" a="1"/>
  <c r="U12" i="4" a="1"/>
  <c r="S11" i="4" a="1"/>
  <c r="R11" i="4" a="1"/>
  <c r="Q11" i="4" s="1" a="1"/>
  <c r="T11" i="4" a="1"/>
  <c r="G10" i="4"/>
  <c r="L10" i="4" s="1" a="1"/>
  <c r="B8" i="15" s="1"/>
  <c r="V11" i="4" l="1" a="1"/>
  <c r="U11" i="4" a="1"/>
  <c r="T10" i="4" a="1"/>
  <c r="S10" i="4" a="1"/>
  <c r="R10" i="4" a="1"/>
  <c r="Q10" i="4" s="1" a="1"/>
  <c r="G9" i="4"/>
  <c r="L9" i="4" s="1" a="1"/>
  <c r="B7" i="15" s="1"/>
  <c r="V10" i="4" l="1" a="1"/>
  <c r="U10" i="4" a="1"/>
  <c r="S9" i="4" a="1"/>
  <c r="R9" i="4" a="1"/>
  <c r="Q9" i="4" s="1" a="1"/>
  <c r="T9" i="4" a="1"/>
  <c r="V9" i="4" l="1" a="1"/>
  <c r="U9" i="4" a="1"/>
  <c r="G8" i="4"/>
  <c r="L8" i="4" s="1" a="1"/>
  <c r="B6" i="15" l="1"/>
  <c r="G6" i="15" s="1" a="1"/>
  <c r="R8" i="4" a="1"/>
  <c r="Q8" i="4" s="1" a="1"/>
  <c r="S8" i="4" a="1"/>
  <c r="T8" i="4" a="1"/>
  <c r="K6" i="15" l="1" a="1"/>
  <c r="U8" i="15"/>
  <c r="W8" i="15" s="1"/>
  <c r="U9" i="15"/>
  <c r="W9" i="15" s="1"/>
  <c r="U10" i="15"/>
  <c r="W10" i="15" s="1"/>
  <c r="U11" i="15"/>
  <c r="W11" i="15" s="1"/>
  <c r="U12" i="15"/>
  <c r="W12" i="15" s="1"/>
  <c r="U13" i="15"/>
  <c r="W13" i="15" s="1"/>
  <c r="U14" i="15"/>
  <c r="W14" i="15" s="1"/>
  <c r="U15" i="15"/>
  <c r="W15" i="15" s="1"/>
  <c r="U16" i="15"/>
  <c r="W16" i="15" s="1"/>
  <c r="U17" i="15"/>
  <c r="W17" i="15" s="1"/>
  <c r="U18" i="15"/>
  <c r="W18" i="15" s="1"/>
  <c r="U19" i="15"/>
  <c r="W19" i="15" s="1"/>
  <c r="U20" i="15"/>
  <c r="W20" i="15" s="1"/>
  <c r="U21" i="15"/>
  <c r="W21" i="15" s="1"/>
  <c r="U22" i="15"/>
  <c r="W22" i="15" s="1"/>
  <c r="U23" i="15"/>
  <c r="W23" i="15" s="1"/>
  <c r="U24" i="15"/>
  <c r="W24" i="15" s="1"/>
  <c r="U25" i="15"/>
  <c r="W25" i="15" s="1"/>
  <c r="U39" i="15"/>
  <c r="W39" i="15" s="1"/>
  <c r="U42" i="15"/>
  <c r="W42" i="15" s="1"/>
  <c r="U44" i="15"/>
  <c r="W44" i="15" s="1"/>
  <c r="U46" i="15"/>
  <c r="W46" i="15" s="1"/>
  <c r="U47" i="15"/>
  <c r="W47" i="15" s="1"/>
  <c r="U48" i="15"/>
  <c r="W48" i="15" s="1"/>
  <c r="U50" i="15"/>
  <c r="W50" i="15" s="1"/>
  <c r="U51" i="15"/>
  <c r="W51" i="15" s="1"/>
  <c r="U7" i="15"/>
  <c r="W7" i="15" s="1"/>
  <c r="U26" i="15"/>
  <c r="W26" i="15" s="1"/>
  <c r="U27" i="15"/>
  <c r="W27" i="15" s="1"/>
  <c r="U28" i="15"/>
  <c r="W28" i="15" s="1"/>
  <c r="U29" i="15"/>
  <c r="W29" i="15" s="1"/>
  <c r="U30" i="15"/>
  <c r="W30" i="15" s="1"/>
  <c r="U31" i="15"/>
  <c r="W31" i="15" s="1"/>
  <c r="U32" i="15"/>
  <c r="W32" i="15" s="1"/>
  <c r="U33" i="15"/>
  <c r="W33" i="15" s="1"/>
  <c r="U34" i="15"/>
  <c r="W34" i="15" s="1"/>
  <c r="U35" i="15"/>
  <c r="W35" i="15" s="1"/>
  <c r="U36" i="15"/>
  <c r="W36" i="15" s="1"/>
  <c r="U37" i="15"/>
  <c r="W37" i="15" s="1"/>
  <c r="U38" i="15"/>
  <c r="W38" i="15" s="1"/>
  <c r="U40" i="15"/>
  <c r="W40" i="15" s="1"/>
  <c r="U41" i="15"/>
  <c r="W41" i="15" s="1"/>
  <c r="U43" i="15"/>
  <c r="W43" i="15" s="1"/>
  <c r="U45" i="15"/>
  <c r="W45" i="15" s="1"/>
  <c r="U49" i="15"/>
  <c r="W49" i="15" s="1"/>
  <c r="U6" i="15"/>
  <c r="W6" i="15" s="1"/>
  <c r="U8" i="4" a="1"/>
  <c r="V8" i="4" a="1"/>
  <c r="K22" i="15" l="1"/>
  <c r="K18" i="15" s="1" a="1"/>
  <c r="Q6" i="15" s="1" a="1"/>
  <c r="M6" i="15" a="1"/>
  <c r="V8" i="15" a="1"/>
  <c r="X8" i="15" s="1"/>
  <c r="V9" i="15" a="1"/>
  <c r="X9" i="15" s="1"/>
  <c r="V10" i="15" a="1"/>
  <c r="X10" i="15" s="1"/>
  <c r="V11" i="15" a="1"/>
  <c r="X11" i="15" s="1"/>
  <c r="V12" i="15" a="1"/>
  <c r="X12" i="15" s="1"/>
  <c r="V13" i="15" a="1"/>
  <c r="X13" i="15" s="1"/>
  <c r="V14" i="15" a="1"/>
  <c r="X14" i="15" s="1"/>
  <c r="V15" i="15" a="1"/>
  <c r="X15" i="15" s="1"/>
  <c r="V16" i="15" a="1"/>
  <c r="X16" i="15" s="1"/>
  <c r="V17" i="15" a="1"/>
  <c r="X17" i="15" s="1"/>
  <c r="V18" i="15" a="1"/>
  <c r="X18" i="15" s="1"/>
  <c r="V19" i="15" a="1"/>
  <c r="X19" i="15" s="1"/>
  <c r="V20" i="15" a="1"/>
  <c r="X20" i="15" s="1"/>
  <c r="V21" i="15" a="1"/>
  <c r="X21" i="15" s="1"/>
  <c r="V22" i="15" a="1"/>
  <c r="X22" i="15" s="1"/>
  <c r="V23" i="15" a="1"/>
  <c r="X23" i="15" s="1"/>
  <c r="V24" i="15" a="1"/>
  <c r="X24" i="15" s="1"/>
  <c r="V25" i="15" a="1"/>
  <c r="X25" i="15" s="1"/>
  <c r="V39" i="15" a="1"/>
  <c r="X39" i="15" s="1"/>
  <c r="V42" i="15" a="1"/>
  <c r="X42" i="15" s="1"/>
  <c r="V44" i="15" a="1"/>
  <c r="X44" i="15" s="1"/>
  <c r="V46" i="15" a="1"/>
  <c r="X46" i="15" s="1"/>
  <c r="V47" i="15" a="1"/>
  <c r="X47" i="15" s="1"/>
  <c r="V48" i="15" a="1"/>
  <c r="X48" i="15" s="1"/>
  <c r="V50" i="15" a="1"/>
  <c r="X50" i="15" s="1"/>
  <c r="V51" i="15" a="1"/>
  <c r="X51" i="15" s="1"/>
  <c r="V7" i="15" a="1"/>
  <c r="X7" i="15" s="1"/>
  <c r="V26" i="15" a="1"/>
  <c r="X26" i="15" s="1"/>
  <c r="V27" i="15" a="1"/>
  <c r="X27" i="15" s="1"/>
  <c r="V28" i="15" a="1"/>
  <c r="X28" i="15" s="1"/>
  <c r="V29" i="15" a="1"/>
  <c r="X29" i="15" s="1"/>
  <c r="V30" i="15" a="1"/>
  <c r="X30" i="15" s="1"/>
  <c r="V31" i="15" a="1"/>
  <c r="X31" i="15" s="1"/>
  <c r="V32" i="15" a="1"/>
  <c r="X32" i="15" s="1"/>
  <c r="V33" i="15" a="1"/>
  <c r="X33" i="15" s="1"/>
  <c r="V34" i="15" a="1"/>
  <c r="X34" i="15" s="1"/>
  <c r="V35" i="15" a="1"/>
  <c r="X35" i="15" s="1"/>
  <c r="V36" i="15" a="1"/>
  <c r="X36" i="15" s="1"/>
  <c r="V37" i="15" a="1"/>
  <c r="X37" i="15" s="1"/>
  <c r="V38" i="15" a="1"/>
  <c r="X38" i="15" s="1"/>
  <c r="V40" i="15" a="1"/>
  <c r="X40" i="15" s="1"/>
  <c r="V41" i="15" a="1"/>
  <c r="X41" i="15" s="1"/>
  <c r="V43" i="15" a="1"/>
  <c r="X43" i="15" s="1"/>
  <c r="V45" i="15" a="1"/>
  <c r="X45" i="15" s="1"/>
  <c r="V49" i="15" a="1"/>
  <c r="X49" i="15" s="1"/>
  <c r="V6" i="15" a="1"/>
  <c r="X6" i="15" s="1"/>
  <c r="N4" i="4"/>
  <c r="P4" i="4" l="1"/>
  <c r="O4" i="4"/>
  <c r="M4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<sst xmlns="http://schemas.openxmlformats.org/spreadsheetml/2006/main" count="286" uniqueCount="196">
  <si>
    <t>BondDescription</t>
  </si>
  <si>
    <t>ISIN</t>
  </si>
  <si>
    <t>IssueDate</t>
  </si>
  <si>
    <t>FirstCouponDate</t>
  </si>
  <si>
    <t>LastCouponDate</t>
  </si>
  <si>
    <t>MaturityDate</t>
  </si>
  <si>
    <t>Coupon</t>
  </si>
  <si>
    <t>RollDay</t>
  </si>
  <si>
    <t>AccrualStartDate</t>
  </si>
  <si>
    <t>Settlement Date</t>
  </si>
  <si>
    <t>1D</t>
  </si>
  <si>
    <t>Bond Identifier</t>
  </si>
  <si>
    <t>CreateBond</t>
  </si>
  <si>
    <t>YLD_YTM_ASK</t>
  </si>
  <si>
    <t>YAS_BOND_PX</t>
  </si>
  <si>
    <t>DV01</t>
  </si>
  <si>
    <t>YAS_RISK</t>
  </si>
  <si>
    <t>DUR_ADJ_ASK</t>
  </si>
  <si>
    <t>912810EZ Govt</t>
  </si>
  <si>
    <t>US912810EZ76</t>
  </si>
  <si>
    <t>912810FA Govt</t>
  </si>
  <si>
    <t>US912810FA17</t>
  </si>
  <si>
    <t>912810QY Govt</t>
  </si>
  <si>
    <t>US912810QY73</t>
  </si>
  <si>
    <t>912810QX Govt</t>
  </si>
  <si>
    <t>US912810QX90</t>
  </si>
  <si>
    <t>912810RB Govt</t>
  </si>
  <si>
    <t>US912810RB61</t>
  </si>
  <si>
    <t>912810RJ Govt</t>
  </si>
  <si>
    <t>US912810RJ97</t>
  </si>
  <si>
    <t>912810FB Govt</t>
  </si>
  <si>
    <t>US912810FB99</t>
  </si>
  <si>
    <t>912810FJ Govt</t>
  </si>
  <si>
    <t>US912810FJ26</t>
  </si>
  <si>
    <t>912810FM Govt</t>
  </si>
  <si>
    <t>US912810FM54</t>
  </si>
  <si>
    <t>912810FE Govt</t>
  </si>
  <si>
    <t>US912810FE39</t>
  </si>
  <si>
    <t>912810FG Govt</t>
  </si>
  <si>
    <t>US912810FG86</t>
  </si>
  <si>
    <t>912810FF Govt</t>
  </si>
  <si>
    <t>US912810FF04</t>
  </si>
  <si>
    <t>912810FP Govt</t>
  </si>
  <si>
    <t>US912810FP85</t>
  </si>
  <si>
    <t>912810PX Govt</t>
  </si>
  <si>
    <t>US912810PX00</t>
  </si>
  <si>
    <t>912810PU Govt</t>
  </si>
  <si>
    <t>US912810PU60</t>
  </si>
  <si>
    <t>912810PT Govt</t>
  </si>
  <si>
    <t>US912810PT97</t>
  </si>
  <si>
    <t>912810FT Govt</t>
  </si>
  <si>
    <t>US912810FT08</t>
  </si>
  <si>
    <t>912810QN Govt</t>
  </si>
  <si>
    <t>US912810QN19</t>
  </si>
  <si>
    <t>912810QE Govt</t>
  </si>
  <si>
    <t>US912810QE10</t>
  </si>
  <si>
    <t>912810PW Govt</t>
  </si>
  <si>
    <t>US912810PW27</t>
  </si>
  <si>
    <t>912810QC Govt</t>
  </si>
  <si>
    <t>US912810QC53</t>
  </si>
  <si>
    <t>912810QD Govt</t>
  </si>
  <si>
    <t>US912810QD37</t>
  </si>
  <si>
    <t>912810QH Govt</t>
  </si>
  <si>
    <t>US912810QH41</t>
  </si>
  <si>
    <t>912810QB Govt</t>
  </si>
  <si>
    <t>US912810QB70</t>
  </si>
  <si>
    <t>912810QQ Govt</t>
  </si>
  <si>
    <t>US912810QQ40</t>
  </si>
  <si>
    <t>912810QL Govt</t>
  </si>
  <si>
    <t>US912810QL52</t>
  </si>
  <si>
    <t>912810QK Govt</t>
  </si>
  <si>
    <t>US912810QK79</t>
  </si>
  <si>
    <t>912810QS Govt</t>
  </si>
  <si>
    <t>US912810QS06</t>
  </si>
  <si>
    <t>912810QA Govt</t>
  </si>
  <si>
    <t>US912810QA97</t>
  </si>
  <si>
    <t>912810RD Govt</t>
  </si>
  <si>
    <t>US912810RD28</t>
  </si>
  <si>
    <t>912810RT Govt</t>
  </si>
  <si>
    <t>US912810RT79</t>
  </si>
  <si>
    <t>912810RC Govt</t>
  </si>
  <si>
    <t>US912810RC45</t>
  </si>
  <si>
    <t>912810RE Govt</t>
  </si>
  <si>
    <t>US912810RE01</t>
  </si>
  <si>
    <t>912810RS Govt</t>
  </si>
  <si>
    <t>US912810RS96</t>
  </si>
  <si>
    <t>912810RK Govt</t>
  </si>
  <si>
    <t>US912810RK60</t>
  </si>
  <si>
    <t>912810RQ Govt</t>
  </si>
  <si>
    <t>US912810RQ31</t>
  </si>
  <si>
    <t>912810RG Govt</t>
  </si>
  <si>
    <t>US912810RG58</t>
  </si>
  <si>
    <t>912810RU Govt</t>
  </si>
  <si>
    <t>US912810RU43</t>
  </si>
  <si>
    <t>912810QU Govt</t>
  </si>
  <si>
    <t>US912810QU51</t>
  </si>
  <si>
    <t>912810QZ Govt</t>
  </si>
  <si>
    <t>US912810QZ49</t>
  </si>
  <si>
    <t>912810RN Govt</t>
  </si>
  <si>
    <t>US912810RN00</t>
  </si>
  <si>
    <t>912810RH Govt</t>
  </si>
  <si>
    <t>US912810RH32</t>
  </si>
  <si>
    <t>912810QT Govt</t>
  </si>
  <si>
    <t>US912810QT88</t>
  </si>
  <si>
    <t>912810RP Govt</t>
  </si>
  <si>
    <t>US912810RP57</t>
  </si>
  <si>
    <t>912810RM Govt</t>
  </si>
  <si>
    <t>US912810RM27</t>
  </si>
  <si>
    <t>912810QW Govt</t>
  </si>
  <si>
    <t>US912810QW18</t>
  </si>
  <si>
    <t>US_TREASURY_TYPE1</t>
  </si>
  <si>
    <t>Bond Generator</t>
  </si>
  <si>
    <t>+/-</t>
  </si>
  <si>
    <t>CleanPrice</t>
  </si>
  <si>
    <t>ModDuration</t>
  </si>
  <si>
    <t>Bond Dates …</t>
  </si>
  <si>
    <t>DirtyPrice</t>
  </si>
  <si>
    <t>Yield</t>
  </si>
  <si>
    <t>Quote</t>
  </si>
  <si>
    <t>SettlementDate</t>
  </si>
  <si>
    <t>PRICE RESULTS</t>
  </si>
  <si>
    <t>CREATE BOND</t>
  </si>
  <si>
    <t>SECURITY_DES</t>
  </si>
  <si>
    <t>ID_ISIN</t>
  </si>
  <si>
    <t>CPN</t>
  </si>
  <si>
    <t>MATURITY</t>
  </si>
  <si>
    <t>ISSUE_DT</t>
  </si>
  <si>
    <t>INT_ACC_DT</t>
  </si>
  <si>
    <t>FIRST_CPN_DT</t>
  </si>
  <si>
    <t>PENULTIMATE_CPN_DT</t>
  </si>
  <si>
    <t>Bloomberg Yield</t>
  </si>
  <si>
    <t>Bloomberg Price</t>
  </si>
  <si>
    <t>Yield Diff</t>
  </si>
  <si>
    <t>Px Diff</t>
  </si>
  <si>
    <t>Bloomberg Field --&gt;</t>
  </si>
  <si>
    <t>Prices &amp; Risk …</t>
  </si>
  <si>
    <t>Bloomberg ModD</t>
  </si>
  <si>
    <t>Bloomberg DV01</t>
  </si>
  <si>
    <t>Bloomberg …</t>
  </si>
  <si>
    <t>ModD Diff</t>
  </si>
  <si>
    <t>DV01 Diff</t>
  </si>
  <si>
    <t>BOND_GENERATOR</t>
  </si>
  <si>
    <t>LVB</t>
  </si>
  <si>
    <t>VALUATION DETAILS</t>
  </si>
  <si>
    <t>Bond Selection</t>
  </si>
  <si>
    <t>Bond Object</t>
  </si>
  <si>
    <t>YieldCalculationType</t>
  </si>
  <si>
    <t>YieldQuoteInPercent</t>
  </si>
  <si>
    <t>Interpolation</t>
  </si>
  <si>
    <t>PiecewiseConstant</t>
  </si>
  <si>
    <t>Extrapolation</t>
  </si>
  <si>
    <t>Flat</t>
  </si>
  <si>
    <t>Create Bond Curve</t>
  </si>
  <si>
    <t>BondCurveName</t>
  </si>
  <si>
    <t>CreateBondCurve</t>
  </si>
  <si>
    <t>UST_CURVE</t>
  </si>
  <si>
    <t>YieldToMaturity</t>
  </si>
  <si>
    <t>Tenor</t>
  </si>
  <si>
    <t>-</t>
  </si>
  <si>
    <t>DiscFact</t>
  </si>
  <si>
    <t>Spread Curve</t>
  </si>
  <si>
    <t>Spread</t>
  </si>
  <si>
    <t>Benchmark Curve</t>
  </si>
  <si>
    <t>SpreadCurve Name</t>
  </si>
  <si>
    <t>Create Spread Curve</t>
  </si>
  <si>
    <t>USD_CORP</t>
  </si>
  <si>
    <t>BenchmarkBondCurve</t>
  </si>
  <si>
    <t>BONDCURVE_PROPERTIES</t>
  </si>
  <si>
    <t>BONDSPREADCURVE_PROPERTIES</t>
  </si>
  <si>
    <t>BONDCURVE_MARKETDATA</t>
  </si>
  <si>
    <t>CT10</t>
  </si>
  <si>
    <t>Create Bond</t>
  </si>
  <si>
    <t>Price</t>
  </si>
  <si>
    <t>EOM</t>
  </si>
  <si>
    <t>CT5</t>
  </si>
  <si>
    <t>Clean Price</t>
  </si>
  <si>
    <t>Principal</t>
  </si>
  <si>
    <t>Face</t>
  </si>
  <si>
    <t>CT2</t>
  </si>
  <si>
    <t>Bloomberg Invoice</t>
  </si>
  <si>
    <t>Accrued Days</t>
  </si>
  <si>
    <t>Accrued Interest</t>
  </si>
  <si>
    <t>Total (USD)</t>
  </si>
  <si>
    <t>* Select : True = Include Bond or Leave Blank to Ignore</t>
  </si>
  <si>
    <t>Select *</t>
  </si>
  <si>
    <t>ALGO QUANT LIB RESULTS</t>
  </si>
  <si>
    <t>Quoted Price</t>
  </si>
  <si>
    <t>Dirty Price</t>
  </si>
  <si>
    <t>GT2-GOV</t>
  </si>
  <si>
    <t>Template Selected :</t>
  </si>
  <si>
    <t>Benchmark Curve Prices</t>
  </si>
  <si>
    <t>Curve Px</t>
  </si>
  <si>
    <t>BBG Px</t>
  </si>
  <si>
    <t>Bond Selection …</t>
  </si>
  <si>
    <t>Valuation Date *</t>
  </si>
  <si>
    <t>* BBG snapshot data as at 15-Oct-2018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</si>
</sst>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#,##0.00000000"/>
    <numFmt numFmtId="165" formatCode="0.000000"/>
    <numFmt numFmtId="166" formatCode="0.000%"/>
    <numFmt numFmtId="167" formatCode="ddd\,\ d\-mmm\-yy"/>
    <numFmt numFmtId="168" formatCode="dd/m/yy"/>
    <numFmt numFmtId="169" formatCode="_(&quot;$&quot;* #,##0_);_(&quot;$&quot;* \(#,##0\);_(&quot;$&quot;* &quot;-&quot;_);_(@_)"/>
    <numFmt numFmtId="170" formatCode="_(&quot;$&quot;* #,##0.00_);_(&quot;$&quot;* \(#,##0.00\);_(&quot;$&quot;* &quot;-&quot;??_);_(@_)"/>
    <numFmt numFmtId="171" formatCode="dd\-mmm\-yy;dd\-mmm\-yy;"/>
    <numFmt numFmtId="172" formatCode="_ * #,##0_ ;_ * \-#,##0_ ;_ * &quot;-&quot;_ ;_ @_ "/>
    <numFmt numFmtId="173" formatCode="#,##0.0000"/>
    <numFmt numFmtId="174" formatCode="0.0000%"/>
    <numFmt numFmtId="175" formatCode="ddd\,\ d\-mmm\-yyyy"/>
    <numFmt numFmtId="179" formatCode="#,##0.000000"/>
    <numFmt numFmtId="182" formatCode="0.000000%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Courier"/>
      <family val="3"/>
    </font>
    <font>
      <sz val="8"/>
      <name val="Arial"/>
      <family val="2"/>
    </font>
    <font>
      <b/>
      <sz val="11"/>
      <color indexed="9"/>
      <name val="Calibri"/>
      <family val="2"/>
    </font>
    <font>
      <b/>
      <sz val="9"/>
      <color indexed="12"/>
      <name val="Tahoma"/>
      <family val="2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indexed="1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rgb="FFFFFF99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0">
    <xf numFmtId="0" fontId="0" fillId="0" borderId="0"/>
    <xf numFmtId="9" fontId="1" fillId="0" borderId="0" applyFont="0" applyFill="0" applyBorder="0" applyAlignment="0" applyProtection="0"/>
    <xf numFmtId="0" fontId="8" fillId="0" borderId="0">
      <alignment vertical="center"/>
    </xf>
    <xf numFmtId="0" fontId="9" fillId="6" borderId="0" applyNumberFormat="0" applyFont="0" applyBorder="0" applyAlignment="0" applyProtection="0"/>
    <xf numFmtId="0" fontId="10" fillId="7" borderId="0"/>
    <xf numFmtId="166" fontId="11" fillId="8" borderId="0"/>
    <xf numFmtId="38" fontId="12" fillId="0" borderId="0" applyFont="0" applyFill="0" applyBorder="0" applyAlignment="0" applyProtection="0">
      <alignment vertical="center"/>
    </xf>
    <xf numFmtId="38" fontId="13" fillId="0" borderId="0" applyFont="0" applyFill="0" applyBorder="0" applyAlignment="0" applyProtection="0">
      <alignment vertical="center"/>
    </xf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9" borderId="2" applyNumberFormat="0" applyFont="0" applyBorder="0" applyAlignment="0" applyProtection="0">
      <alignment horizontal="centerContinuous"/>
    </xf>
    <xf numFmtId="0" fontId="16" fillId="10" borderId="0" applyNumberFormat="0" applyBorder="0" applyAlignment="0">
      <alignment horizontal="center"/>
    </xf>
    <xf numFmtId="0" fontId="17" fillId="11" borderId="3">
      <alignment horizontal="center"/>
      <protection locked="0"/>
    </xf>
    <xf numFmtId="0" fontId="18" fillId="12" borderId="4" applyNumberFormat="0" applyFont="0" applyBorder="0" applyAlignment="0">
      <alignment horizontal="centerContinuous"/>
    </xf>
    <xf numFmtId="0" fontId="19" fillId="13" borderId="0" applyNumberFormat="0" applyFont="0" applyBorder="0" applyAlignment="0" applyProtection="0"/>
    <xf numFmtId="2" fontId="14" fillId="14" borderId="5" applyNumberFormat="0" applyBorder="0">
      <alignment horizontal="right" vertical="center"/>
    </xf>
    <xf numFmtId="2" fontId="20" fillId="15" borderId="6" applyBorder="0">
      <alignment horizontal="left" vertical="center"/>
    </xf>
    <xf numFmtId="10" fontId="21" fillId="16" borderId="0" applyBorder="0">
      <alignment horizontal="right"/>
      <protection locked="0"/>
    </xf>
    <xf numFmtId="15" fontId="21" fillId="16" borderId="7" applyBorder="0">
      <alignment horizontal="center"/>
      <protection locked="0"/>
    </xf>
    <xf numFmtId="15" fontId="21" fillId="16" borderId="0" applyBorder="0">
      <alignment horizontal="left"/>
      <protection locked="0"/>
    </xf>
    <xf numFmtId="2" fontId="22" fillId="17" borderId="6" applyNumberFormat="0">
      <alignment horizontal="center" vertical="center"/>
    </xf>
    <xf numFmtId="168" fontId="23" fillId="18" borderId="4" applyBorder="0">
      <alignment horizontal="left"/>
      <protection locked="0"/>
    </xf>
    <xf numFmtId="168" fontId="23" fillId="18" borderId="8" applyBorder="0">
      <alignment horizontal="right"/>
      <protection locked="0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0" fontId="14" fillId="0" borderId="0"/>
    <xf numFmtId="0" fontId="14" fillId="0" borderId="0"/>
    <xf numFmtId="0" fontId="12" fillId="0" borderId="0">
      <alignment vertical="center"/>
    </xf>
    <xf numFmtId="0" fontId="13" fillId="0" borderId="0">
      <alignment vertical="center"/>
    </xf>
    <xf numFmtId="0" fontId="14" fillId="0" borderId="0"/>
    <xf numFmtId="0" fontId="24" fillId="19" borderId="0" applyNumberFormat="0" applyFont="0" applyBorder="0" applyAlignment="0" applyProtection="0"/>
    <xf numFmtId="0" fontId="24" fillId="20" borderId="0" applyNumberFormat="0" applyFont="0" applyBorder="0" applyAlignment="0" applyProtection="0"/>
    <xf numFmtId="0" fontId="24" fillId="21" borderId="0" applyNumberFormat="0" applyFont="0" applyBorder="0" applyAlignment="0" applyProtection="0">
      <alignment horizontal="center"/>
    </xf>
    <xf numFmtId="0" fontId="24" fillId="22" borderId="9" applyNumberFormat="0" applyFont="0" applyBorder="0" applyAlignment="0" applyProtection="0"/>
    <xf numFmtId="0" fontId="24" fillId="23" borderId="9" applyNumberFormat="0" applyFont="0" applyBorder="0" applyAlignment="0"/>
    <xf numFmtId="0" fontId="24" fillId="24" borderId="9" applyNumberFormat="0" applyFont="0" applyBorder="0" applyAlignment="0"/>
    <xf numFmtId="0" fontId="9" fillId="25" borderId="0" applyNumberFormat="0" applyFont="0" applyBorder="0" applyAlignment="0" applyProtection="0">
      <alignment horizontal="center"/>
      <protection hidden="1"/>
    </xf>
    <xf numFmtId="0" fontId="14" fillId="6" borderId="0" applyNumberFormat="0" applyFont="0" applyBorder="0" applyAlignment="0" applyProtection="0">
      <protection hidden="1"/>
    </xf>
    <xf numFmtId="0" fontId="14" fillId="26" borderId="0" applyNumberFormat="0" applyFont="0" applyBorder="0" applyAlignment="0" applyProtection="0">
      <protection hidden="1"/>
    </xf>
    <xf numFmtId="0" fontId="14" fillId="27" borderId="0" applyNumberFormat="0" applyFont="0" applyBorder="0" applyAlignment="0" applyProtection="0">
      <protection hidden="1"/>
    </xf>
    <xf numFmtId="0" fontId="14" fillId="28" borderId="0" applyNumberFormat="0" applyFont="0" applyBorder="0" applyAlignment="0" applyProtection="0">
      <protection hidden="1"/>
    </xf>
    <xf numFmtId="0" fontId="14" fillId="29" borderId="0" applyNumberFormat="0" applyFont="0" applyBorder="0" applyAlignment="0" applyProtection="0">
      <protection hidden="1"/>
    </xf>
    <xf numFmtId="0" fontId="14" fillId="30" borderId="0" applyNumberFormat="0" applyFont="0" applyBorder="0" applyAlignment="0" applyProtection="0">
      <protection hidden="1"/>
    </xf>
    <xf numFmtId="9" fontId="14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171" fontId="25" fillId="0" borderId="10" applyBorder="0">
      <alignment horizontal="center"/>
      <protection locked="0"/>
    </xf>
    <xf numFmtId="0" fontId="14" fillId="0" borderId="0">
      <alignment horizontal="left" wrapText="1"/>
    </xf>
    <xf numFmtId="9" fontId="12" fillId="0" borderId="0" applyFont="0" applyFill="0" applyBorder="0" applyAlignment="0" applyProtection="0">
      <alignment vertical="center"/>
    </xf>
    <xf numFmtId="38" fontId="12" fillId="0" borderId="0" applyFont="0" applyFill="0" applyBorder="0" applyAlignment="0" applyProtection="0">
      <alignment vertical="center"/>
    </xf>
    <xf numFmtId="172" fontId="14" fillId="0" borderId="0" applyFont="0" applyFill="0" applyBorder="0" applyAlignment="0" applyProtection="0"/>
    <xf numFmtId="0" fontId="12" fillId="0" borderId="0">
      <alignment vertical="center"/>
    </xf>
    <xf numFmtId="0" fontId="26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5" fillId="0" borderId="0" xfId="0" applyNumberFormat="1" applyFont="1" applyAlignment="1">
      <alignment horizontal="center" vertical="center"/>
    </xf>
    <xf numFmtId="0" fontId="2" fillId="0" borderId="0" xfId="0" applyFont="1"/>
    <xf numFmtId="0" fontId="3" fillId="4" borderId="0" xfId="0" applyFont="1" applyFill="1" applyAlignment="1">
      <alignment horizontal="center" vertical="center"/>
    </xf>
    <xf numFmtId="4" fontId="6" fillId="5" borderId="0" xfId="0" applyNumberFormat="1" applyFont="1" applyFill="1" applyAlignment="1">
      <alignment horizontal="center" vertical="center"/>
    </xf>
    <xf numFmtId="4" fontId="4" fillId="5" borderId="0" xfId="0" applyNumberFormat="1" applyFont="1" applyFill="1" applyAlignment="1">
      <alignment horizontal="center" vertical="center"/>
    </xf>
    <xf numFmtId="14" fontId="0" fillId="0" borderId="0" xfId="0" applyNumberFormat="1"/>
    <xf numFmtId="15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4" fontId="7" fillId="0" borderId="0" xfId="0" quotePrefix="1" applyNumberFormat="1" applyFont="1" applyAlignment="1">
      <alignment horizontal="center" vertical="center"/>
    </xf>
    <xf numFmtId="167" fontId="27" fillId="0" borderId="0" xfId="0" applyNumberFormat="1" applyFont="1" applyAlignment="1">
      <alignment horizontal="center" vertical="center"/>
    </xf>
    <xf numFmtId="167" fontId="4" fillId="5" borderId="1" xfId="0" applyNumberFormat="1" applyFont="1" applyFill="1" applyBorder="1" applyAlignment="1">
      <alignment horizontal="center" vertical="center"/>
    </xf>
    <xf numFmtId="174" fontId="4" fillId="5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4" fontId="6" fillId="0" borderId="0" xfId="0" applyNumberFormat="1" applyFont="1"/>
    <xf numFmtId="0" fontId="27" fillId="0" borderId="0" xfId="0" applyFont="1"/>
    <xf numFmtId="0" fontId="5" fillId="0" borderId="0" xfId="0" applyFont="1" applyAlignment="1">
      <alignment horizontal="center" vertical="center"/>
    </xf>
    <xf numFmtId="0" fontId="4" fillId="0" borderId="0" xfId="0" applyFont="1"/>
    <xf numFmtId="14" fontId="4" fillId="0" borderId="0" xfId="0" applyNumberFormat="1" applyFont="1"/>
    <xf numFmtId="173" fontId="4" fillId="5" borderId="0" xfId="0" applyNumberFormat="1" applyFont="1" applyFill="1" applyAlignment="1">
      <alignment horizontal="center" vertical="center"/>
    </xf>
    <xf numFmtId="173" fontId="6" fillId="5" borderId="0" xfId="0" applyNumberFormat="1" applyFont="1" applyFill="1" applyAlignment="1">
      <alignment horizontal="center" vertical="center"/>
    </xf>
    <xf numFmtId="4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74" fontId="6" fillId="5" borderId="0" xfId="0" applyNumberFormat="1" applyFont="1" applyFill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8" fillId="0" borderId="0" xfId="0" applyFont="1"/>
    <xf numFmtId="164" fontId="29" fillId="0" borderId="0" xfId="1" applyNumberFormat="1" applyFont="1" applyFill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167" fontId="27" fillId="31" borderId="0" xfId="0" applyNumberFormat="1" applyFont="1" applyFill="1" applyAlignment="1">
      <alignment horizontal="center" vertical="center"/>
    </xf>
    <xf numFmtId="3" fontId="4" fillId="5" borderId="0" xfId="0" applyNumberFormat="1" applyFont="1" applyFill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6" fillId="5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7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0" fillId="0" borderId="0" xfId="0" applyNumberFormat="1"/>
    <xf numFmtId="0" fontId="0" fillId="0" borderId="0" xfId="0" quotePrefix="1" applyAlignment="1">
      <alignment horizontal="center" vertical="center"/>
    </xf>
    <xf numFmtId="0" fontId="0" fillId="5" borderId="0" xfId="0" applyFill="1"/>
    <xf numFmtId="174" fontId="0" fillId="5" borderId="0" xfId="0" applyNumberFormat="1" applyFill="1" applyAlignment="1">
      <alignment horizontal="center" vertical="center"/>
    </xf>
    <xf numFmtId="15" fontId="0" fillId="5" borderId="0" xfId="0" applyNumberFormat="1" applyFill="1"/>
    <xf numFmtId="173" fontId="0" fillId="5" borderId="0" xfId="0" applyNumberFormat="1" applyFill="1" applyAlignment="1">
      <alignment horizontal="center" vertical="center"/>
    </xf>
    <xf numFmtId="0" fontId="0" fillId="3" borderId="0" xfId="0" applyFill="1"/>
    <xf numFmtId="0" fontId="0" fillId="5" borderId="0" xfId="0" applyFill="1" applyAlignment="1">
      <alignment horizontal="left" vertical="center"/>
    </xf>
    <xf numFmtId="10" fontId="0" fillId="3" borderId="0" xfId="0" applyNumberForma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32" borderId="0" xfId="0" applyFont="1" applyFill="1" applyAlignment="1">
      <alignment horizontal="center" vertical="center"/>
    </xf>
    <xf numFmtId="3" fontId="0" fillId="5" borderId="0" xfId="0" applyNumberFormat="1" applyFill="1" applyAlignment="1">
      <alignment horizontal="left" vertical="center"/>
    </xf>
    <xf numFmtId="0" fontId="30" fillId="32" borderId="0" xfId="0" applyFont="1" applyFill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82" fontId="0" fillId="3" borderId="0" xfId="0" applyNumberFormat="1" applyFill="1" applyAlignment="1">
      <alignment horizontal="center" vertical="center"/>
    </xf>
    <xf numFmtId="3" fontId="0" fillId="33" borderId="0" xfId="0" applyNumberFormat="1" applyFill="1" applyAlignment="1">
      <alignment horizontal="center" vertical="center"/>
    </xf>
    <xf numFmtId="4" fontId="30" fillId="34" borderId="0" xfId="0" applyNumberFormat="1" applyFont="1" applyFill="1" applyAlignment="1">
      <alignment horizontal="center" vertical="center"/>
    </xf>
    <xf numFmtId="4" fontId="0" fillId="33" borderId="0" xfId="0" applyNumberFormat="1" applyFill="1" applyAlignment="1">
      <alignment horizontal="center" vertical="center"/>
    </xf>
    <xf numFmtId="0" fontId="31" fillId="34" borderId="0" xfId="0" applyFont="1" applyFill="1"/>
    <xf numFmtId="0" fontId="32" fillId="35" borderId="0" xfId="0" applyFont="1" applyFill="1" applyAlignment="1">
      <alignment horizontal="left" vertical="center"/>
    </xf>
    <xf numFmtId="0" fontId="32" fillId="3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75" fontId="0" fillId="5" borderId="0" xfId="0" applyNumberForma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5" fontId="6" fillId="5" borderId="0" xfId="0" applyNumberFormat="1" applyFont="1" applyFill="1" applyAlignment="1">
      <alignment horizontal="center" vertical="center"/>
    </xf>
    <xf numFmtId="15" fontId="6" fillId="5" borderId="0" xfId="1" applyNumberFormat="1" applyFont="1" applyFill="1" applyAlignment="1">
      <alignment horizontal="center" vertical="center"/>
    </xf>
    <xf numFmtId="1" fontId="6" fillId="5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0" fillId="0" borderId="0" xfId="0" applyFont="1"/>
    <xf numFmtId="0" fontId="33" fillId="0" borderId="0" xfId="0" applyFont="1"/>
    <xf numFmtId="179" fontId="0" fillId="5" borderId="13" xfId="0" applyNumberFormat="1" applyFill="1" applyBorder="1" applyAlignment="1">
      <alignment horizontal="center" vertical="center"/>
    </xf>
    <xf numFmtId="4" fontId="0" fillId="5" borderId="15" xfId="0" applyNumberFormat="1" applyFill="1" applyBorder="1" applyAlignment="1">
      <alignment horizontal="center" vertical="center"/>
    </xf>
    <xf numFmtId="3" fontId="0" fillId="5" borderId="17" xfId="0" applyNumberFormat="1" applyFill="1" applyBorder="1" applyAlignment="1">
      <alignment horizontal="center" vertical="center"/>
    </xf>
    <xf numFmtId="0" fontId="0" fillId="36" borderId="12" xfId="0" applyFill="1" applyBorder="1"/>
    <xf numFmtId="0" fontId="0" fillId="36" borderId="14" xfId="0" applyFill="1" applyBorder="1"/>
    <xf numFmtId="0" fontId="0" fillId="36" borderId="16" xfId="0" applyFill="1" applyBorder="1"/>
    <xf numFmtId="0" fontId="6" fillId="36" borderId="0" xfId="0" applyFont="1" applyFill="1" applyAlignment="1">
      <alignment horizontal="center" vertical="center"/>
    </xf>
    <xf numFmtId="15" fontId="6" fillId="36" borderId="0" xfId="0" applyNumberFormat="1" applyFont="1" applyFill="1" applyAlignment="1">
      <alignment horizontal="center" vertical="center"/>
    </xf>
    <xf numFmtId="15" fontId="6" fillId="36" borderId="0" xfId="1" applyNumberFormat="1" applyFont="1" applyFill="1" applyAlignment="1">
      <alignment horizontal="center" vertical="center"/>
    </xf>
    <xf numFmtId="1" fontId="6" fillId="36" borderId="0" xfId="0" applyNumberFormat="1" applyFont="1" applyFill="1" applyAlignment="1">
      <alignment horizontal="center" vertical="center"/>
    </xf>
    <xf numFmtId="166" fontId="6" fillId="36" borderId="0" xfId="0" applyNumberFormat="1" applyFont="1" applyFill="1" applyAlignment="1">
      <alignment horizontal="center" vertical="center"/>
    </xf>
    <xf numFmtId="174" fontId="6" fillId="36" borderId="0" xfId="0" applyNumberFormat="1" applyFont="1" applyFill="1" applyAlignment="1">
      <alignment horizontal="center" vertical="center"/>
    </xf>
    <xf numFmtId="173" fontId="6" fillId="36" borderId="0" xfId="0" applyNumberFormat="1" applyFont="1" applyFill="1" applyAlignment="1">
      <alignment horizontal="center" vertical="center"/>
    </xf>
    <xf numFmtId="4" fontId="6" fillId="36" borderId="0" xfId="0" applyNumberFormat="1" applyFont="1" applyFill="1" applyAlignment="1">
      <alignment horizontal="center" vertical="center"/>
    </xf>
    <xf numFmtId="3" fontId="6" fillId="36" borderId="0" xfId="0" applyNumberFormat="1" applyFont="1" applyFill="1" applyAlignment="1">
      <alignment horizontal="center" vertical="center"/>
    </xf>
    <xf numFmtId="174" fontId="4" fillId="36" borderId="0" xfId="0" applyNumberFormat="1" applyFont="1" applyFill="1" applyAlignment="1">
      <alignment horizontal="center" vertical="center"/>
    </xf>
    <xf numFmtId="173" fontId="4" fillId="36" borderId="0" xfId="0" applyNumberFormat="1" applyFont="1" applyFill="1" applyAlignment="1">
      <alignment horizontal="center" vertical="center"/>
    </xf>
    <xf numFmtId="0" fontId="0" fillId="36" borderId="0" xfId="0" applyFill="1"/>
    <xf numFmtId="174" fontId="0" fillId="36" borderId="0" xfId="0" applyNumberFormat="1" applyFill="1" applyAlignment="1">
      <alignment horizontal="center" vertical="center"/>
    </xf>
    <xf numFmtId="174" fontId="0" fillId="36" borderId="0" xfId="0" quotePrefix="1" applyNumberFormat="1" applyFill="1" applyAlignment="1">
      <alignment horizontal="center" vertical="center"/>
    </xf>
    <xf numFmtId="15" fontId="0" fillId="36" borderId="0" xfId="0" applyNumberFormat="1" applyFill="1"/>
    <xf numFmtId="173" fontId="0" fillId="36" borderId="0" xfId="0" applyNumberFormat="1" applyFill="1" applyAlignment="1">
      <alignment horizontal="center" vertical="center"/>
    </xf>
    <xf numFmtId="0" fontId="0" fillId="36" borderId="0" xfId="0" applyFill="1" applyAlignment="1">
      <alignment horizontal="left"/>
    </xf>
    <xf numFmtId="4" fontId="4" fillId="36" borderId="0" xfId="0" applyNumberFormat="1" applyFont="1" applyFill="1" applyAlignment="1">
      <alignment horizontal="center" vertical="center"/>
    </xf>
    <xf numFmtId="0" fontId="0" fillId="36" borderId="18" xfId="0" applyFill="1" applyBorder="1" applyAlignment="1">
      <alignment horizontal="left"/>
    </xf>
    <xf numFmtId="0" fontId="0" fillId="36" borderId="0" xfId="0" applyFill="1" applyAlignment="1">
      <alignment horizontal="left" vertical="center"/>
    </xf>
    <xf numFmtId="3" fontId="4" fillId="36" borderId="0" xfId="0" applyNumberFormat="1" applyFont="1" applyFill="1" applyAlignment="1">
      <alignment horizontal="center" vertical="center"/>
    </xf>
    <xf numFmtId="4" fontId="0" fillId="5" borderId="18" xfId="0" applyNumberFormat="1" applyFont="1" applyFill="1" applyBorder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175" fontId="0" fillId="5" borderId="0" xfId="0" applyNumberFormat="1" applyFill="1" applyAlignment="1">
      <alignment horizontal="left" vertical="center"/>
    </xf>
  </cellXfs>
  <cellStyles count="60">
    <cellStyle name="=C:\WINNT35\SYSTEM32\COMMAND.COM" xfId="2" xr:uid="{00000000-0005-0000-0000-000000000000}"/>
    <cellStyle name="Background" xfId="3" xr:uid="{00000000-0005-0000-0000-000001000000}"/>
    <cellStyle name="blp_column_header" xfId="4" xr:uid="{00000000-0005-0000-0000-000002000000}"/>
    <cellStyle name="calc" xfId="5" xr:uid="{00000000-0005-0000-0000-000003000000}"/>
    <cellStyle name="Comma [0] 2" xfId="6" xr:uid="{00000000-0005-0000-0000-000004000000}"/>
    <cellStyle name="Comma [0] 3" xfId="7" xr:uid="{00000000-0005-0000-0000-000005000000}"/>
    <cellStyle name="Comma 2" xfId="8" xr:uid="{00000000-0005-0000-0000-000006000000}"/>
    <cellStyle name="Comma 3" xfId="9" xr:uid="{00000000-0005-0000-0000-000007000000}"/>
    <cellStyle name="Data" xfId="10" xr:uid="{00000000-0005-0000-0000-000008000000}"/>
    <cellStyle name="Data2" xfId="11" xr:uid="{00000000-0005-0000-0000-000009000000}"/>
    <cellStyle name="Data5" xfId="12" xr:uid="{00000000-0005-0000-0000-00000A000000}"/>
    <cellStyle name="Header" xfId="13" xr:uid="{00000000-0005-0000-0000-00000B000000}"/>
    <cellStyle name="Hidden" xfId="14" xr:uid="{00000000-0005-0000-0000-00000C000000}"/>
    <cellStyle name="InputDataRow" xfId="15" xr:uid="{00000000-0005-0000-0000-00000D000000}"/>
    <cellStyle name="InputLabelRow" xfId="16" xr:uid="{00000000-0005-0000-0000-00000E000000}"/>
    <cellStyle name="InputPc2Right" xfId="17" xr:uid="{00000000-0005-0000-0000-00000F000000}"/>
    <cellStyle name="InputShortText" xfId="18" xr:uid="{00000000-0005-0000-0000-000010000000}"/>
    <cellStyle name="InputTextLeft" xfId="19" xr:uid="{00000000-0005-0000-0000-000011000000}"/>
    <cellStyle name="IntermediateLabelColumn" xfId="20" xr:uid="{00000000-0005-0000-0000-000012000000}"/>
    <cellStyle name="LabelLeft" xfId="21" xr:uid="{00000000-0005-0000-0000-000013000000}"/>
    <cellStyle name="LabelRight" xfId="22" xr:uid="{00000000-0005-0000-0000-000014000000}"/>
    <cellStyle name="Milliers [0]_Open&amp;Close" xfId="23" xr:uid="{00000000-0005-0000-0000-000015000000}"/>
    <cellStyle name="Milliers_Open&amp;Close" xfId="24" xr:uid="{00000000-0005-0000-0000-000016000000}"/>
    <cellStyle name="Mon?taire [0]_Open&amp;Close" xfId="25" xr:uid="{00000000-0005-0000-0000-000017000000}"/>
    <cellStyle name="Mon?taire_Open&amp;Close" xfId="26" xr:uid="{00000000-0005-0000-0000-000018000000}"/>
    <cellStyle name="Monétaire [0]_Open&amp;Close" xfId="27" xr:uid="{00000000-0005-0000-0000-000019000000}"/>
    <cellStyle name="Monétaire_Open&amp;Close" xfId="28" xr:uid="{00000000-0005-0000-0000-00001A000000}"/>
    <cellStyle name="Normal" xfId="0" builtinId="0"/>
    <cellStyle name="Normal 2" xfId="29" xr:uid="{00000000-0005-0000-0000-00001C000000}"/>
    <cellStyle name="Normal 2 2" xfId="30" xr:uid="{00000000-0005-0000-0000-00001D000000}"/>
    <cellStyle name="Normal 3" xfId="31" xr:uid="{00000000-0005-0000-0000-00001E000000}"/>
    <cellStyle name="Normal 4" xfId="32" xr:uid="{00000000-0005-0000-0000-00001F000000}"/>
    <cellStyle name="Normal 5" xfId="33" xr:uid="{00000000-0005-0000-0000-000020000000}"/>
    <cellStyle name="Page 1" xfId="34" xr:uid="{00000000-0005-0000-0000-000021000000}"/>
    <cellStyle name="Page 2" xfId="35" xr:uid="{00000000-0005-0000-0000-000022000000}"/>
    <cellStyle name="Page 3" xfId="36" xr:uid="{00000000-0005-0000-0000-000023000000}"/>
    <cellStyle name="Page 4" xfId="37" xr:uid="{00000000-0005-0000-0000-000024000000}"/>
    <cellStyle name="Page 5" xfId="38" xr:uid="{00000000-0005-0000-0000-000025000000}"/>
    <cellStyle name="Page 6" xfId="39" xr:uid="{00000000-0005-0000-0000-000026000000}"/>
    <cellStyle name="Page 7" xfId="40" xr:uid="{00000000-0005-0000-0000-000027000000}"/>
    <cellStyle name="Page1" xfId="41" xr:uid="{00000000-0005-0000-0000-000028000000}"/>
    <cellStyle name="Page2" xfId="42" xr:uid="{00000000-0005-0000-0000-000029000000}"/>
    <cellStyle name="Page3" xfId="43" xr:uid="{00000000-0005-0000-0000-00002A000000}"/>
    <cellStyle name="Page4" xfId="44" xr:uid="{00000000-0005-0000-0000-00002B000000}"/>
    <cellStyle name="Page5" xfId="45" xr:uid="{00000000-0005-0000-0000-00002C000000}"/>
    <cellStyle name="Page6" xfId="46" xr:uid="{00000000-0005-0000-0000-00002D000000}"/>
    <cellStyle name="Percent" xfId="1" builtinId="5"/>
    <cellStyle name="Percent 2" xfId="47" xr:uid="{00000000-0005-0000-0000-00002F000000}"/>
    <cellStyle name="Percent 3" xfId="48" xr:uid="{00000000-0005-0000-0000-000030000000}"/>
    <cellStyle name="Percent 4" xfId="49" xr:uid="{00000000-0005-0000-0000-000031000000}"/>
    <cellStyle name="Percent 5" xfId="50" xr:uid="{00000000-0005-0000-0000-000032000000}"/>
    <cellStyle name="ResultDateCenter" xfId="51" xr:uid="{00000000-0005-0000-0000-000033000000}"/>
    <cellStyle name="Style 1" xfId="52" xr:uid="{00000000-0005-0000-0000-000034000000}"/>
    <cellStyle name="パーセント 2" xfId="53" xr:uid="{00000000-0005-0000-0000-000035000000}"/>
    <cellStyle name="桁区切り 2" xfId="54" xr:uid="{00000000-0005-0000-0000-000036000000}"/>
    <cellStyle name="桁区切り_DegitalOption_test" xfId="55" xr:uid="{00000000-0005-0000-0000-000037000000}"/>
    <cellStyle name="標準 2" xfId="56" xr:uid="{00000000-0005-0000-0000-000038000000}"/>
    <cellStyle name="標準 3" xfId="57" xr:uid="{00000000-0005-0000-0000-000039000000}"/>
    <cellStyle name="標準 4" xfId="58" xr:uid="{00000000-0005-0000-0000-00003A000000}"/>
    <cellStyle name="標準_examplePortfolio" xfId="59" xr:uid="{00000000-0005-0000-0000-00003B000000}"/>
  </cellStyles>
  <dxfs count="0"/>
  <tableStyles count="0" defaultTableStyle="TableStyleMedium2" defaultPivotStyle="PivotStyleLight16"/>
  <colors>
    <mruColors>
      <color rgb="FFFFFFCC"/>
      <color rgb="FF006600"/>
      <color rgb="FFFFFF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Bootstrapped</a:t>
            </a:r>
            <a:r>
              <a:rPr lang="en-GB" baseline="0"/>
              <a:t> Benchmark- &amp; Spread Curve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803406927075312E-2"/>
          <c:y val="0.11235981865903126"/>
          <c:w val="0.86607874015748032"/>
          <c:h val="0.77553991591758997"/>
        </c:manualLayout>
      </c:layout>
      <c:lineChart>
        <c:grouping val="standard"/>
        <c:varyColors val="0"/>
        <c:ser>
          <c:idx val="0"/>
          <c:order val="0"/>
          <c:tx>
            <c:strRef>
              <c:f>UST_CURVE!$K$5</c:f>
              <c:strCache>
                <c:ptCount val="1"/>
                <c:pt idx="0">
                  <c:v>UST_CURVE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UST_CURVE!$Q$6:$Q$51</c:f>
              <c:numCache>
                <c:formatCode>d\-mmm\-yy</c:formatCode>
                <c:ptCount val="46"/>
                <c:pt idx="0">
                  <c:v>0</c:v>
                </c:pt>
              </c:numCache>
            </c:numRef>
          </c:cat>
          <c:val>
            <c:numRef>
              <c:f>UST_CURVE!$N$6:$N$51</c:f>
              <c:numCache>
                <c:formatCode>0.0000%</c:formatCode>
                <c:ptCount val="4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DA9-B54C-2E9C9C4FAB84}"/>
            </c:ext>
          </c:extLst>
        </c:ser>
        <c:ser>
          <c:idx val="1"/>
          <c:order val="1"/>
          <c:tx>
            <c:strRef>
              <c:f>UST_CURVE!$K$17</c:f>
              <c:strCache>
                <c:ptCount val="1"/>
                <c:pt idx="0">
                  <c:v>USD_CORP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UST_CURVE!$Q$6:$Q$51</c:f>
              <c:numCache>
                <c:formatCode>d\-mmm\-yy</c:formatCode>
                <c:ptCount val="46"/>
                <c:pt idx="0">
                  <c:v>0</c:v>
                </c:pt>
              </c:numCache>
            </c:numRef>
          </c:cat>
          <c:val>
            <c:numRef>
              <c:f>UST_CURVE!$R$6:$R$51</c:f>
              <c:numCache>
                <c:formatCode>0.0000%</c:formatCode>
                <c:ptCount val="4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DA9-B54C-2E9C9C4FA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197391"/>
        <c:axId val="456288655"/>
      </c:lineChart>
      <c:dateAx>
        <c:axId val="576197391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288655"/>
        <c:crosses val="autoZero"/>
        <c:auto val="1"/>
        <c:lblOffset val="100"/>
        <c:baseTimeUnit val="days"/>
      </c:dateAx>
      <c:valAx>
        <c:axId val="456288655"/>
        <c:scaling>
          <c:orientation val="minMax"/>
          <c:min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97391"/>
        <c:crosses val="autoZero"/>
        <c:crossBetween val="between"/>
        <c:majorUnit val="2.5000000000000005E-3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44699944325141178"/>
          <c:y val="0.73943906347989674"/>
          <c:w val="0.12768013089272931"/>
          <c:h val="8.52278692436172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alpha val="6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23</xdr:row>
      <xdr:rowOff>133350</xdr:rowOff>
    </xdr:from>
    <xdr:to>
      <xdr:col>19</xdr:col>
      <xdr:colOff>600075</xdr:colOff>
      <xdr:row>50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D952E3-6CE4-B7AF-BC13-5DB3FE05DB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25</xdr:row>
      <xdr:rowOff>86802</xdr:rowOff>
    </xdr:from>
    <xdr:to>
      <xdr:col>9</xdr:col>
      <xdr:colOff>582741</xdr:colOff>
      <xdr:row>52</xdr:row>
      <xdr:rowOff>86548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81272D-ABA3-7144-5230-291AB9952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4849302"/>
          <a:ext cx="10726866" cy="51432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13</xdr:col>
      <xdr:colOff>28575</xdr:colOff>
      <xdr:row>25</xdr:row>
      <xdr:rowOff>23705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D3C305-6F97-4B45-8F22-35937E872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1"/>
          <a:ext cx="7343775" cy="459570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13</xdr:col>
      <xdr:colOff>9525</xdr:colOff>
      <xdr:row>48</xdr:row>
      <xdr:rowOff>31888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EEA3855-20D3-96DF-8532-7EF7AA1A8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4953000"/>
          <a:ext cx="7324725" cy="403238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</xdr:row>
      <xdr:rowOff>0</xdr:rowOff>
    </xdr:from>
    <xdr:to>
      <xdr:col>12</xdr:col>
      <xdr:colOff>571501</xdr:colOff>
      <xdr:row>72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64CFF-2875-5330-E50C-F17516F3D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1" y="9144000"/>
          <a:ext cx="7277100" cy="4200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83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2" max="2" width="20.7109375" customWidth="1"/>
    <col min="3" max="4" width="15.7109375" customWidth="1"/>
    <col min="5" max="9" width="15.7109375" hidden="1" customWidth="1" outlineLevel="1"/>
    <col min="10" max="10" width="15.7109375" customWidth="1" collapsed="1"/>
    <col min="11" max="11" width="15.7109375" customWidth="1"/>
    <col min="12" max="12" width="22.7109375" customWidth="1"/>
    <col min="13" max="13" width="20.7109375" style="20" customWidth="1"/>
    <col min="14" max="16" width="20.7109375" style="20" customWidth="1" outlineLevel="1"/>
    <col min="17" max="17" width="20.7109375" style="25" customWidth="1"/>
    <col min="18" max="18" width="20.7109375" customWidth="1"/>
    <col min="19" max="22" width="20.7109375" style="25" hidden="1" customWidth="1" outlineLevel="1"/>
    <col min="23" max="23" width="20.7109375" customWidth="1" collapsed="1"/>
  </cols>
  <sheetData>
    <row r="1" spans="2:23">
      <c r="B1" s="80" t="s">
        <v>195</v>
      </c>
      <c r="J1" s="2" t="s">
        <v>115</v>
      </c>
      <c r="Q1" s="24" t="s">
        <v>138</v>
      </c>
      <c r="S1" s="23"/>
      <c r="T1" s="23"/>
      <c r="U1" s="23"/>
      <c r="V1" s="23"/>
      <c r="W1" s="2" t="s">
        <v>135</v>
      </c>
    </row>
    <row r="2" spans="2:23">
      <c r="M2" s="24" t="s">
        <v>132</v>
      </c>
      <c r="N2" s="24" t="s">
        <v>133</v>
      </c>
      <c r="O2" s="24" t="s">
        <v>139</v>
      </c>
      <c r="P2" s="24" t="s">
        <v>140</v>
      </c>
      <c r="S2" s="14"/>
      <c r="T2" s="14"/>
      <c r="U2" s="14"/>
      <c r="V2" s="14"/>
    </row>
    <row r="3" spans="2:23">
      <c r="B3" s="2" t="s">
        <v>194</v>
      </c>
      <c r="C3" s="2" t="s">
        <v>9</v>
      </c>
      <c r="D3" s="3"/>
      <c r="L3" s="2" t="s">
        <v>111</v>
      </c>
      <c r="M3" s="32" t="s">
        <v>112</v>
      </c>
      <c r="N3" s="32" t="s">
        <v>112</v>
      </c>
      <c r="O3" s="32" t="s">
        <v>112</v>
      </c>
      <c r="P3" s="32" t="s">
        <v>112</v>
      </c>
      <c r="S3" s="15"/>
      <c r="T3" s="16"/>
      <c r="U3" s="15"/>
      <c r="V3" s="16"/>
    </row>
    <row r="4" spans="2:23">
      <c r="B4" s="38">
        <v>43388</v>
      </c>
      <c r="C4" s="18" t="e" cm="1">
        <f t="array" aca="1" ref="C4" ca="1">_xll.aqDateFromTenor($B$4,$D$4,"MOD_FOLLOWING","NYB")</f>
        <v>#VALUE!</v>
      </c>
      <c r="D4" s="4" t="s">
        <v>10</v>
      </c>
      <c r="E4" s="1"/>
      <c r="F4" s="1"/>
      <c r="G4" s="1"/>
      <c r="H4" s="1"/>
      <c r="I4" s="1"/>
      <c r="J4" s="1"/>
      <c r="K4" s="1"/>
      <c r="L4" s="13" t="s">
        <v>110</v>
      </c>
      <c r="M4" s="29" t="e">
        <f ca="1">SUM(M8:M53)-SUM(Q8:Q53)</f>
        <v>#VALUE!</v>
      </c>
      <c r="N4" s="29" t="e">
        <f ca="1">SUM(N8:N53)-SUM(R8:R53)</f>
        <v>#VALUE!</v>
      </c>
      <c r="O4" s="29" t="e">
        <f ca="1">SUM(O8:O420)-SUM(U8:U420)</f>
        <v>#VALUE!</v>
      </c>
      <c r="P4" s="40" t="e">
        <f ca="1">SUM(P8:P420)-SUM(V8:V420)</f>
        <v>#VALUE!</v>
      </c>
      <c r="S4" s="24"/>
      <c r="T4" s="24"/>
      <c r="U4" s="24"/>
      <c r="V4" s="24"/>
    </row>
    <row r="5" spans="2:23">
      <c r="B5" s="17"/>
      <c r="C5" s="17"/>
      <c r="D5" s="4"/>
      <c r="E5" s="1"/>
      <c r="F5" s="1"/>
      <c r="G5" s="1"/>
      <c r="H5" s="1"/>
      <c r="I5" s="1"/>
      <c r="J5" s="1"/>
      <c r="K5" s="1"/>
      <c r="L5" s="1"/>
      <c r="S5" s="24"/>
      <c r="T5" s="24"/>
      <c r="U5" s="24"/>
      <c r="V5" s="24"/>
    </row>
    <row r="6" spans="2:23">
      <c r="B6" s="37" t="s">
        <v>134</v>
      </c>
      <c r="C6" s="33" t="s">
        <v>122</v>
      </c>
      <c r="D6" s="33" t="s">
        <v>123</v>
      </c>
      <c r="E6" s="33" t="s">
        <v>126</v>
      </c>
      <c r="F6" s="33" t="s">
        <v>127</v>
      </c>
      <c r="G6" s="33"/>
      <c r="H6" s="33" t="s">
        <v>128</v>
      </c>
      <c r="I6" s="33" t="s">
        <v>129</v>
      </c>
      <c r="J6" s="33" t="s">
        <v>124</v>
      </c>
      <c r="K6" s="33" t="s">
        <v>125</v>
      </c>
      <c r="L6" s="34"/>
      <c r="M6" s="35" t="s">
        <v>13</v>
      </c>
      <c r="N6" s="36" t="s">
        <v>14</v>
      </c>
      <c r="O6" s="36" t="s">
        <v>17</v>
      </c>
      <c r="P6" s="36" t="s">
        <v>16</v>
      </c>
      <c r="Q6" s="23"/>
      <c r="S6" s="23"/>
      <c r="T6" s="23"/>
      <c r="U6" s="36"/>
      <c r="V6" s="36"/>
    </row>
    <row r="7" spans="2:23" s="5" customFormat="1">
      <c r="B7" s="78" t="s">
        <v>11</v>
      </c>
      <c r="C7" s="78" t="s">
        <v>0</v>
      </c>
      <c r="D7" s="78" t="s">
        <v>1</v>
      </c>
      <c r="E7" s="78" t="s">
        <v>2</v>
      </c>
      <c r="F7" s="78" t="s">
        <v>8</v>
      </c>
      <c r="G7" s="78" t="s">
        <v>7</v>
      </c>
      <c r="H7" s="78" t="s">
        <v>3</v>
      </c>
      <c r="I7" s="78" t="s">
        <v>4</v>
      </c>
      <c r="J7" s="78" t="s">
        <v>6</v>
      </c>
      <c r="K7" s="78" t="s">
        <v>5</v>
      </c>
      <c r="L7" s="12" t="s">
        <v>12</v>
      </c>
      <c r="M7" s="57" t="s">
        <v>130</v>
      </c>
      <c r="N7" s="109" t="s">
        <v>131</v>
      </c>
      <c r="O7" s="109" t="s">
        <v>136</v>
      </c>
      <c r="P7" s="109" t="s">
        <v>137</v>
      </c>
      <c r="Q7" s="57" t="s">
        <v>117</v>
      </c>
      <c r="R7" s="57" t="s">
        <v>118</v>
      </c>
      <c r="S7" s="57" t="s">
        <v>113</v>
      </c>
      <c r="T7" s="57" t="s">
        <v>116</v>
      </c>
      <c r="U7" s="57" t="s">
        <v>114</v>
      </c>
      <c r="V7" s="57" t="s">
        <v>15</v>
      </c>
    </row>
    <row r="8" spans="2:23">
      <c r="B8" s="87" t="s">
        <v>18</v>
      </c>
      <c r="C8" s="87" t="str">
        <f>UPPER("UST-"&amp;J8*100&amp;"-"&amp;TEXT(K8,"MMMYY"))</f>
        <v>UST-6.625-FEB27</v>
      </c>
      <c r="D8" s="87" t="s">
        <v>19</v>
      </c>
      <c r="E8" s="88">
        <v>35479</v>
      </c>
      <c r="F8" s="89">
        <v>35476</v>
      </c>
      <c r="G8" s="90" t="str">
        <f t="shared" ref="G8:G23" si="0">IF(DAY(K8+1)=1, "EOM","")</f>
        <v/>
      </c>
      <c r="H8" s="88">
        <v>35657</v>
      </c>
      <c r="I8" s="88">
        <v>46249</v>
      </c>
      <c r="J8" s="91">
        <v>6.6250000000000003E-2</v>
      </c>
      <c r="K8" s="88">
        <v>46433</v>
      </c>
      <c r="L8" s="59" t="e" cm="1">
        <f t="array" aca="1" ref="L8" ca="1">_xll.aqBondObjectCreateFromGenerator($C8,$L$4,_xll.aqToolLVBFromKeysValues($C$7:$K$7,$C8:$K8))</f>
        <v>#VALUE!</v>
      </c>
      <c r="M8" s="92">
        <v>3.0831444E-2</v>
      </c>
      <c r="N8" s="93">
        <v>125.8438</v>
      </c>
      <c r="O8" s="94">
        <v>6.6</v>
      </c>
      <c r="P8" s="95">
        <v>837.94</v>
      </c>
      <c r="Q8" s="96" t="e" cm="1">
        <f t="array" aca="1" ref="Q8" ca="1">_xll.aqBondObjectYield(L8,$C$4,R8)</f>
        <v>#VALUE!</v>
      </c>
      <c r="R8" s="97" t="e" cm="1">
        <f t="array" aca="1" ref="R8" ca="1">_xll.aqBondObjectPrice($L8,$C$4,$M8)</f>
        <v>#VALUE!</v>
      </c>
      <c r="S8" s="97" t="e" cm="1">
        <f t="array" aca="1" ref="S8" ca="1">_xll.aqBondObjectCleanPrice($L8,$C$4,$M8)</f>
        <v>#VALUE!</v>
      </c>
      <c r="T8" s="97" t="e" cm="1">
        <f t="array" aca="1" ref="T8" ca="1">_xll.aqBondObjectDirtyPrice($L8,$C$4,$M8)</f>
        <v>#VALUE!</v>
      </c>
      <c r="U8" s="104" t="e" cm="1">
        <f t="array" aca="1" ref="U8" ca="1">_xll.aqBondObjectModifiedDuration($L8,$C$4,$Q8)</f>
        <v>#VALUE!</v>
      </c>
      <c r="V8" s="107" t="e" cm="1">
        <f t="array" aca="1" ref="V8" ca="1">_xll.aqBondObjectDV01($L8,$C$4,$Q8)</f>
        <v>#VALUE!</v>
      </c>
    </row>
    <row r="9" spans="2:23">
      <c r="B9" s="73" t="s">
        <v>20</v>
      </c>
      <c r="C9" s="73" t="str">
        <f t="shared" ref="C8:C53" si="1">UPPER("UST-"&amp;J9*100&amp;"-"&amp;TEXT(K9,"MMMYY"))</f>
        <v>UST-6.375-AUG27</v>
      </c>
      <c r="D9" s="73" t="s">
        <v>21</v>
      </c>
      <c r="E9" s="74">
        <v>35657</v>
      </c>
      <c r="F9" s="75">
        <v>35657</v>
      </c>
      <c r="G9" s="76" t="str">
        <f t="shared" si="0"/>
        <v/>
      </c>
      <c r="H9" s="74">
        <v>35841</v>
      </c>
      <c r="I9" s="74">
        <v>46433</v>
      </c>
      <c r="J9" s="77">
        <v>6.3750000000000001E-2</v>
      </c>
      <c r="K9" s="74">
        <v>46614</v>
      </c>
      <c r="L9" s="6" t="e" cm="1">
        <f t="array" aca="1" ref="L9" ca="1">_xll.aqBondObjectCreateFromGenerator($C9,$L$4,_xll.aqToolLVBFromKeysValues($C$7:$K$7,$C9:$K9))</f>
        <v>#VALUE!</v>
      </c>
      <c r="M9" s="31">
        <v>3.1145257000000003E-2</v>
      </c>
      <c r="N9" s="28">
        <v>125</v>
      </c>
      <c r="O9" s="7">
        <v>6.9566999999999997</v>
      </c>
      <c r="P9" s="41">
        <v>877.06</v>
      </c>
      <c r="Q9" s="19" t="e" cm="1">
        <f t="array" aca="1" ref="Q9" ca="1">_xll.aqBondObjectYield(L9,$C$4,R9)</f>
        <v>#VALUE!</v>
      </c>
      <c r="R9" s="27" t="e" cm="1">
        <f t="array" aca="1" ref="R9" ca="1">_xll.aqBondObjectPrice($L9,$C$4,$M9)</f>
        <v>#VALUE!</v>
      </c>
      <c r="S9" s="27" t="e" cm="1">
        <f t="array" aca="1" ref="S9" ca="1">_xll.aqBondObjectCleanPrice($L9,$C$4,$M9)</f>
        <v>#VALUE!</v>
      </c>
      <c r="T9" s="27" t="e" cm="1">
        <f t="array" aca="1" ref="T9" ca="1">_xll.aqBondObjectDirtyPrice($L9,$C$4,$M9)</f>
        <v>#VALUE!</v>
      </c>
      <c r="U9" s="8" t="e" cm="1">
        <f t="array" aca="1" ref="U9" ca="1">_xll.aqBondObjectModifiedDuration($L9,$C$4,$Q9)</f>
        <v>#VALUE!</v>
      </c>
      <c r="V9" s="39" t="e" cm="1">
        <f t="array" aca="1" ref="V9" ca="1">_xll.aqBondObjectDV01($L9,$C$4,$Q9)</f>
        <v>#VALUE!</v>
      </c>
    </row>
    <row r="10" spans="2:23">
      <c r="B10" s="87" t="s">
        <v>30</v>
      </c>
      <c r="C10" s="87" t="str">
        <f t="shared" si="1"/>
        <v>UST-6.125-NOV27</v>
      </c>
      <c r="D10" s="87" t="s">
        <v>31</v>
      </c>
      <c r="E10" s="88">
        <v>35751</v>
      </c>
      <c r="F10" s="89">
        <v>35749</v>
      </c>
      <c r="G10" s="90" t="str">
        <f t="shared" si="0"/>
        <v/>
      </c>
      <c r="H10" s="88">
        <v>35930</v>
      </c>
      <c r="I10" s="88">
        <v>46522</v>
      </c>
      <c r="J10" s="91">
        <v>6.1249999999999999E-2</v>
      </c>
      <c r="K10" s="88">
        <v>46706</v>
      </c>
      <c r="L10" s="59" t="e" cm="1">
        <f t="array" aca="1" ref="L10" ca="1">_xll.aqBondObjectCreateFromGenerator($C10,$L$4,_xll.aqToolLVBFromKeysValues($C$7:$K$7,$C10:$K10))</f>
        <v>#VALUE!</v>
      </c>
      <c r="M10" s="92">
        <v>3.1262189999999995E-2</v>
      </c>
      <c r="N10" s="93">
        <v>123.54689999999999</v>
      </c>
      <c r="O10" s="94">
        <v>7.0698999999999996</v>
      </c>
      <c r="P10" s="95">
        <v>891.59</v>
      </c>
      <c r="Q10" s="96" t="e" cm="1">
        <f t="array" aca="1" ref="Q10" ca="1">_xll.aqBondObjectYield(L10,$C$4,R10)</f>
        <v>#VALUE!</v>
      </c>
      <c r="R10" s="97" t="e" cm="1">
        <f t="array" aca="1" ref="R10" ca="1">_xll.aqBondObjectPrice($L10,$C$4,$M10)</f>
        <v>#VALUE!</v>
      </c>
      <c r="S10" s="97" t="e" cm="1">
        <f t="array" aca="1" ref="S10" ca="1">_xll.aqBondObjectCleanPrice($L10,$C$4,$M10)</f>
        <v>#VALUE!</v>
      </c>
      <c r="T10" s="97" t="e" cm="1">
        <f t="array" aca="1" ref="T10" ca="1">_xll.aqBondObjectDirtyPrice($L10,$C$4,$M10)</f>
        <v>#VALUE!</v>
      </c>
      <c r="U10" s="104" t="e" cm="1">
        <f t="array" aca="1" ref="U10" ca="1">_xll.aqBondObjectModifiedDuration($L10,$C$4,$Q10)</f>
        <v>#VALUE!</v>
      </c>
      <c r="V10" s="107" t="e" cm="1">
        <f t="array" aca="1" ref="V10" ca="1">_xll.aqBondObjectDV01($L10,$C$4,$Q10)</f>
        <v>#VALUE!</v>
      </c>
    </row>
    <row r="11" spans="2:23">
      <c r="B11" s="73" t="s">
        <v>36</v>
      </c>
      <c r="C11" s="73" t="str">
        <f t="shared" si="1"/>
        <v>UST-5.5-AUG28</v>
      </c>
      <c r="D11" s="73" t="s">
        <v>37</v>
      </c>
      <c r="E11" s="74">
        <v>36024</v>
      </c>
      <c r="F11" s="75">
        <v>36022</v>
      </c>
      <c r="G11" s="76" t="str">
        <f t="shared" si="0"/>
        <v/>
      </c>
      <c r="H11" s="74">
        <v>36206</v>
      </c>
      <c r="I11" s="74">
        <v>46798</v>
      </c>
      <c r="J11" s="77">
        <v>5.5E-2</v>
      </c>
      <c r="K11" s="74">
        <v>46980</v>
      </c>
      <c r="L11" s="6" t="e" cm="1">
        <f t="array" aca="1" ref="L11" ca="1">_xll.aqBondObjectCreateFromGenerator($C11,$L$4,_xll.aqToolLVBFromKeysValues($C$7:$K$7,$C11:$K11))</f>
        <v>#VALUE!</v>
      </c>
      <c r="M11" s="31">
        <v>3.1447197000000003E-2</v>
      </c>
      <c r="N11" s="28">
        <v>119.7813</v>
      </c>
      <c r="O11" s="7">
        <v>7.7539999999999996</v>
      </c>
      <c r="P11" s="41">
        <v>935.97</v>
      </c>
      <c r="Q11" s="19" t="e" cm="1">
        <f t="array" aca="1" ref="Q11" ca="1">_xll.aqBondObjectYield(L11,$C$4,R11)</f>
        <v>#VALUE!</v>
      </c>
      <c r="R11" s="27" t="e" cm="1">
        <f t="array" aca="1" ref="R11" ca="1">_xll.aqBondObjectPrice($L11,$C$4,$M11)</f>
        <v>#VALUE!</v>
      </c>
      <c r="S11" s="27" t="e" cm="1">
        <f t="array" aca="1" ref="S11" ca="1">_xll.aqBondObjectCleanPrice($L11,$C$4,$M11)</f>
        <v>#VALUE!</v>
      </c>
      <c r="T11" s="27" t="e" cm="1">
        <f t="array" aca="1" ref="T11" ca="1">_xll.aqBondObjectDirtyPrice($L11,$C$4,$M11)</f>
        <v>#VALUE!</v>
      </c>
      <c r="U11" s="8" t="e" cm="1">
        <f t="array" aca="1" ref="U11" ca="1">_xll.aqBondObjectModifiedDuration($L11,$C$4,$Q11)</f>
        <v>#VALUE!</v>
      </c>
      <c r="V11" s="39" t="e" cm="1">
        <f t="array" aca="1" ref="V11" ca="1">_xll.aqBondObjectDV01($L11,$C$4,$Q11)</f>
        <v>#VALUE!</v>
      </c>
    </row>
    <row r="12" spans="2:23">
      <c r="B12" s="87" t="s">
        <v>40</v>
      </c>
      <c r="C12" s="87" t="str">
        <f t="shared" si="1"/>
        <v>UST-5.25-NOV28</v>
      </c>
      <c r="D12" s="87" t="s">
        <v>41</v>
      </c>
      <c r="E12" s="88">
        <v>36115</v>
      </c>
      <c r="F12" s="89">
        <v>36114</v>
      </c>
      <c r="G12" s="90" t="str">
        <f t="shared" si="0"/>
        <v/>
      </c>
      <c r="H12" s="88">
        <v>36295</v>
      </c>
      <c r="I12" s="88">
        <v>46888</v>
      </c>
      <c r="J12" s="91">
        <v>5.2499999999999998E-2</v>
      </c>
      <c r="K12" s="88">
        <v>47072</v>
      </c>
      <c r="L12" s="59" t="e" cm="1">
        <f t="array" aca="1" ref="L12" ca="1">_xll.aqBondObjectCreateFromGenerator($C12,$L$4,_xll.aqToolLVBFromKeysValues($C$7:$K$7,$C12:$K12))</f>
        <v>#VALUE!</v>
      </c>
      <c r="M12" s="92">
        <v>3.1500182000000002E-2</v>
      </c>
      <c r="N12" s="93">
        <v>118.01560000000001</v>
      </c>
      <c r="O12" s="94">
        <v>7.8800999999999997</v>
      </c>
      <c r="P12" s="95">
        <v>947.29</v>
      </c>
      <c r="Q12" s="96" t="e" cm="1">
        <f t="array" aca="1" ref="Q12" ca="1">_xll.aqBondObjectYield(L12,$C$4,R12)</f>
        <v>#VALUE!</v>
      </c>
      <c r="R12" s="97" t="e" cm="1">
        <f t="array" aca="1" ref="R12" ca="1">_xll.aqBondObjectPrice($L12,$C$4,$M12)</f>
        <v>#VALUE!</v>
      </c>
      <c r="S12" s="97" t="e" cm="1">
        <f t="array" aca="1" ref="S12" ca="1">_xll.aqBondObjectCleanPrice($L12,$C$4,$M12)</f>
        <v>#VALUE!</v>
      </c>
      <c r="T12" s="97" t="e" cm="1">
        <f t="array" aca="1" ref="T12" ca="1">_xll.aqBondObjectDirtyPrice($L12,$C$4,$M12)</f>
        <v>#VALUE!</v>
      </c>
      <c r="U12" s="104" t="e" cm="1">
        <f t="array" aca="1" ref="U12" ca="1">_xll.aqBondObjectModifiedDuration($L12,$C$4,$Q12)</f>
        <v>#VALUE!</v>
      </c>
      <c r="V12" s="107" t="e" cm="1">
        <f t="array" aca="1" ref="V12" ca="1">_xll.aqBondObjectDV01($L12,$C$4,$Q12)</f>
        <v>#VALUE!</v>
      </c>
    </row>
    <row r="13" spans="2:23">
      <c r="B13" s="73" t="s">
        <v>38</v>
      </c>
      <c r="C13" s="73" t="str">
        <f t="shared" si="1"/>
        <v>UST-5.25-FEB29</v>
      </c>
      <c r="D13" s="73" t="s">
        <v>39</v>
      </c>
      <c r="E13" s="74">
        <v>36207</v>
      </c>
      <c r="F13" s="75">
        <v>36206</v>
      </c>
      <c r="G13" s="76" t="str">
        <f t="shared" si="0"/>
        <v/>
      </c>
      <c r="H13" s="74">
        <v>36387</v>
      </c>
      <c r="I13" s="74">
        <v>46980</v>
      </c>
      <c r="J13" s="77">
        <v>5.2499999999999998E-2</v>
      </c>
      <c r="K13" s="74">
        <v>47164</v>
      </c>
      <c r="L13" s="6" t="e" cm="1">
        <f t="array" aca="1" ref="L13" ca="1">_xll.aqBondObjectCreateFromGenerator($C13,$L$4,_xll.aqToolLVBFromKeysValues($C$7:$K$7,$C13:$K13))</f>
        <v>#VALUE!</v>
      </c>
      <c r="M13" s="31">
        <v>3.1453749000000003E-2</v>
      </c>
      <c r="N13" s="28">
        <v>118.4375</v>
      </c>
      <c r="O13" s="7">
        <v>8.1268999999999991</v>
      </c>
      <c r="P13" s="41">
        <v>969.72</v>
      </c>
      <c r="Q13" s="19" t="e" cm="1">
        <f t="array" aca="1" ref="Q13" ca="1">_xll.aqBondObjectYield(L13,$C$4,R13)</f>
        <v>#VALUE!</v>
      </c>
      <c r="R13" s="27" t="e" cm="1">
        <f t="array" aca="1" ref="R13" ca="1">_xll.aqBondObjectPrice($L13,$C$4,$M13)</f>
        <v>#VALUE!</v>
      </c>
      <c r="S13" s="27" t="e" cm="1">
        <f t="array" aca="1" ref="S13" ca="1">_xll.aqBondObjectCleanPrice($L13,$C$4,$M13)</f>
        <v>#VALUE!</v>
      </c>
      <c r="T13" s="27" t="e" cm="1">
        <f t="array" aca="1" ref="T13" ca="1">_xll.aqBondObjectDirtyPrice($L13,$C$4,$M13)</f>
        <v>#VALUE!</v>
      </c>
      <c r="U13" s="8" t="e" cm="1">
        <f t="array" aca="1" ref="U13" ca="1">_xll.aqBondObjectModifiedDuration($L13,$C$4,$Q13)</f>
        <v>#VALUE!</v>
      </c>
      <c r="V13" s="39" t="e" cm="1">
        <f t="array" aca="1" ref="V13" ca="1">_xll.aqBondObjectDV01($L13,$C$4,$Q13)</f>
        <v>#VALUE!</v>
      </c>
    </row>
    <row r="14" spans="2:23">
      <c r="B14" s="87" t="s">
        <v>32</v>
      </c>
      <c r="C14" s="87" t="str">
        <f t="shared" si="1"/>
        <v>UST-6.125-AUG29</v>
      </c>
      <c r="D14" s="87" t="s">
        <v>33</v>
      </c>
      <c r="E14" s="88">
        <v>36388</v>
      </c>
      <c r="F14" s="89">
        <v>36387</v>
      </c>
      <c r="G14" s="90" t="str">
        <f t="shared" si="0"/>
        <v/>
      </c>
      <c r="H14" s="88">
        <v>36571</v>
      </c>
      <c r="I14" s="88">
        <v>47164</v>
      </c>
      <c r="J14" s="91">
        <v>6.1249999999999999E-2</v>
      </c>
      <c r="K14" s="88">
        <v>47345</v>
      </c>
      <c r="L14" s="59" t="e" cm="1">
        <f t="array" aca="1" ref="L14" ca="1">_xll.aqBondObjectCreateFromGenerator($C14,$L$4,_xll.aqToolLVBFromKeysValues($C$7:$K$7,$C14:$K14))</f>
        <v>#VALUE!</v>
      </c>
      <c r="M14" s="92">
        <v>3.1537541000000002E-2</v>
      </c>
      <c r="N14" s="93">
        <v>127.07810000000001</v>
      </c>
      <c r="O14" s="94">
        <v>8.2322000000000006</v>
      </c>
      <c r="P14" s="95">
        <v>1054.6300000000001</v>
      </c>
      <c r="Q14" s="96" t="e" cm="1">
        <f t="array" aca="1" ref="Q14" ca="1">_xll.aqBondObjectYield(L14,$C$4,R14)</f>
        <v>#VALUE!</v>
      </c>
      <c r="R14" s="97" t="e" cm="1">
        <f t="array" aca="1" ref="R14" ca="1">_xll.aqBondObjectPrice($L14,$C$4,$M14)</f>
        <v>#VALUE!</v>
      </c>
      <c r="S14" s="97" t="e" cm="1">
        <f t="array" aca="1" ref="S14" ca="1">_xll.aqBondObjectCleanPrice($L14,$C$4,$M14)</f>
        <v>#VALUE!</v>
      </c>
      <c r="T14" s="97" t="e" cm="1">
        <f t="array" aca="1" ref="T14" ca="1">_xll.aqBondObjectDirtyPrice($L14,$C$4,$M14)</f>
        <v>#VALUE!</v>
      </c>
      <c r="U14" s="104" t="e" cm="1">
        <f t="array" aca="1" ref="U14" ca="1">_xll.aqBondObjectModifiedDuration($L14,$C$4,$Q14)</f>
        <v>#VALUE!</v>
      </c>
      <c r="V14" s="107" t="e" cm="1">
        <f t="array" aca="1" ref="V14" ca="1">_xll.aqBondObjectDV01($L14,$C$4,$Q14)</f>
        <v>#VALUE!</v>
      </c>
    </row>
    <row r="15" spans="2:23">
      <c r="B15" s="73" t="s">
        <v>34</v>
      </c>
      <c r="C15" s="73" t="str">
        <f t="shared" si="1"/>
        <v>UST-6.25-MAY30</v>
      </c>
      <c r="D15" s="73" t="s">
        <v>35</v>
      </c>
      <c r="E15" s="74">
        <v>36571</v>
      </c>
      <c r="F15" s="75">
        <v>36479</v>
      </c>
      <c r="G15" s="76" t="str">
        <f t="shared" si="0"/>
        <v/>
      </c>
      <c r="H15" s="74">
        <v>36661</v>
      </c>
      <c r="I15" s="74">
        <v>47437</v>
      </c>
      <c r="J15" s="77">
        <v>6.25E-2</v>
      </c>
      <c r="K15" s="74">
        <v>47618</v>
      </c>
      <c r="L15" s="6" t="e" cm="1">
        <f t="array" aca="1" ref="L15" ca="1">_xll.aqBondObjectCreateFromGenerator($C15,$L$4,_xll.aqToolLVBFromKeysValues($C$7:$K$7,$C15:$K15))</f>
        <v>#VALUE!</v>
      </c>
      <c r="M15" s="31">
        <v>3.1577552000000002E-2</v>
      </c>
      <c r="N15" s="28">
        <v>129.79689999999999</v>
      </c>
      <c r="O15" s="7">
        <v>8.5399999999999991</v>
      </c>
      <c r="P15" s="41">
        <v>1130.8</v>
      </c>
      <c r="Q15" s="19" t="e" cm="1">
        <f t="array" aca="1" ref="Q15" ca="1">_xll.aqBondObjectYield(L15,$C$4,R15)</f>
        <v>#VALUE!</v>
      </c>
      <c r="R15" s="27" t="e" cm="1">
        <f t="array" aca="1" ref="R15" ca="1">_xll.aqBondObjectPrice($L15,$C$4,$M15)</f>
        <v>#VALUE!</v>
      </c>
      <c r="S15" s="27" t="e" cm="1">
        <f t="array" aca="1" ref="S15" ca="1">_xll.aqBondObjectCleanPrice($L15,$C$4,$M15)</f>
        <v>#VALUE!</v>
      </c>
      <c r="T15" s="27" t="e" cm="1">
        <f t="array" aca="1" ref="T15" ca="1">_xll.aqBondObjectDirtyPrice($L15,$C$4,$M15)</f>
        <v>#VALUE!</v>
      </c>
      <c r="U15" s="8" t="e" cm="1">
        <f t="array" aca="1" ref="U15" ca="1">_xll.aqBondObjectModifiedDuration($L15,$C$4,$Q15)</f>
        <v>#VALUE!</v>
      </c>
      <c r="V15" s="39" t="e" cm="1">
        <f t="array" aca="1" ref="V15" ca="1">_xll.aqBondObjectDV01($L15,$C$4,$Q15)</f>
        <v>#VALUE!</v>
      </c>
    </row>
    <row r="16" spans="2:23">
      <c r="B16" s="87" t="s">
        <v>42</v>
      </c>
      <c r="C16" s="87" t="str">
        <f t="shared" si="1"/>
        <v>UST-5.375-FEB31</v>
      </c>
      <c r="D16" s="87" t="s">
        <v>43</v>
      </c>
      <c r="E16" s="88">
        <v>36937</v>
      </c>
      <c r="F16" s="89">
        <v>36937</v>
      </c>
      <c r="G16" s="90" t="str">
        <f t="shared" si="0"/>
        <v/>
      </c>
      <c r="H16" s="88">
        <v>37118</v>
      </c>
      <c r="I16" s="88">
        <v>47710</v>
      </c>
      <c r="J16" s="91">
        <v>5.3749999999999999E-2</v>
      </c>
      <c r="K16" s="88">
        <v>47894</v>
      </c>
      <c r="L16" s="59" t="e" cm="1">
        <f t="array" aca="1" ref="L16" ca="1">_xll.aqBondObjectCreateFromGenerator($C16,$L$4,_xll.aqToolLVBFromKeysValues($C$7:$K$7,$C16:$K16))</f>
        <v>#VALUE!</v>
      </c>
      <c r="M16" s="92">
        <v>3.1684317000000004E-2</v>
      </c>
      <c r="N16" s="93">
        <v>122.375</v>
      </c>
      <c r="O16" s="94">
        <v>9.3038000000000007</v>
      </c>
      <c r="P16" s="95">
        <v>1146.98</v>
      </c>
      <c r="Q16" s="96" t="e" cm="1">
        <f t="array" aca="1" ref="Q16" ca="1">_xll.aqBondObjectYield(L16,$C$4,R16)</f>
        <v>#VALUE!</v>
      </c>
      <c r="R16" s="97" t="e" cm="1">
        <f t="array" aca="1" ref="R16" ca="1">_xll.aqBondObjectPrice($L16,$C$4,$M16)</f>
        <v>#VALUE!</v>
      </c>
      <c r="S16" s="97" t="e" cm="1">
        <f t="array" aca="1" ref="S16" ca="1">_xll.aqBondObjectCleanPrice($L16,$C$4,$M16)</f>
        <v>#VALUE!</v>
      </c>
      <c r="T16" s="97" t="e" cm="1">
        <f t="array" aca="1" ref="T16" ca="1">_xll.aqBondObjectDirtyPrice($L16,$C$4,$M16)</f>
        <v>#VALUE!</v>
      </c>
      <c r="U16" s="104" t="e" cm="1">
        <f t="array" aca="1" ref="U16" ca="1">_xll.aqBondObjectModifiedDuration($L16,$C$4,$Q16)</f>
        <v>#VALUE!</v>
      </c>
      <c r="V16" s="107" t="e" cm="1">
        <f t="array" aca="1" ref="V16" ca="1">_xll.aqBondObjectDV01($L16,$C$4,$Q16)</f>
        <v>#VALUE!</v>
      </c>
    </row>
    <row r="17" spans="2:22">
      <c r="B17" s="73" t="s">
        <v>50</v>
      </c>
      <c r="C17" s="73" t="str">
        <f t="shared" si="1"/>
        <v>UST-4.5-FEB36</v>
      </c>
      <c r="D17" s="73" t="s">
        <v>51</v>
      </c>
      <c r="E17" s="74">
        <v>38763</v>
      </c>
      <c r="F17" s="75">
        <v>38763</v>
      </c>
      <c r="G17" s="76" t="str">
        <f t="shared" si="0"/>
        <v/>
      </c>
      <c r="H17" s="74">
        <v>38944</v>
      </c>
      <c r="I17" s="74">
        <v>49536</v>
      </c>
      <c r="J17" s="77">
        <v>4.4999999999999998E-2</v>
      </c>
      <c r="K17" s="74">
        <v>49720</v>
      </c>
      <c r="L17" s="6" t="e" cm="1">
        <f t="array" aca="1" ref="L17" ca="1">_xll.aqBondObjectCreateFromGenerator($C17,$L$4,_xll.aqToolLVBFromKeysValues($C$7:$K$7,$C17:$K17))</f>
        <v>#VALUE!</v>
      </c>
      <c r="M17" s="31">
        <v>3.2182222000000003E-2</v>
      </c>
      <c r="N17" s="28">
        <v>116.92189999999999</v>
      </c>
      <c r="O17" s="7">
        <v>12.371700000000001</v>
      </c>
      <c r="P17" s="41">
        <v>1455.91</v>
      </c>
      <c r="Q17" s="19" t="e" cm="1">
        <f t="array" aca="1" ref="Q17" ca="1">_xll.aqBondObjectYield(L17,$C$4,R17)</f>
        <v>#VALUE!</v>
      </c>
      <c r="R17" s="27" t="e" cm="1">
        <f t="array" aca="1" ref="R17" ca="1">_xll.aqBondObjectPrice($L17,$C$4,$M17)</f>
        <v>#VALUE!</v>
      </c>
      <c r="S17" s="27" t="e" cm="1">
        <f t="array" aca="1" ref="S17" ca="1">_xll.aqBondObjectCleanPrice($L17,$C$4,$M17)</f>
        <v>#VALUE!</v>
      </c>
      <c r="T17" s="27" t="e" cm="1">
        <f t="array" aca="1" ref="T17" ca="1">_xll.aqBondObjectDirtyPrice($L17,$C$4,$M17)</f>
        <v>#VALUE!</v>
      </c>
      <c r="U17" s="8" t="e" cm="1">
        <f t="array" aca="1" ref="U17" ca="1">_xll.aqBondObjectModifiedDuration($L17,$C$4,$Q17)</f>
        <v>#VALUE!</v>
      </c>
      <c r="V17" s="39" t="e" cm="1">
        <f t="array" aca="1" ref="V17" ca="1">_xll.aqBondObjectDV01($L17,$C$4,$Q17)</f>
        <v>#VALUE!</v>
      </c>
    </row>
    <row r="18" spans="2:22">
      <c r="B18" s="87" t="s">
        <v>48</v>
      </c>
      <c r="C18" s="87" t="str">
        <f t="shared" si="1"/>
        <v>UST-4.75-FEB37</v>
      </c>
      <c r="D18" s="87" t="s">
        <v>49</v>
      </c>
      <c r="E18" s="88">
        <v>39128</v>
      </c>
      <c r="F18" s="89">
        <v>39128</v>
      </c>
      <c r="G18" s="90" t="str">
        <f t="shared" si="0"/>
        <v/>
      </c>
      <c r="H18" s="88">
        <v>39309</v>
      </c>
      <c r="I18" s="88">
        <v>49902</v>
      </c>
      <c r="J18" s="91">
        <v>4.7500000000000001E-2</v>
      </c>
      <c r="K18" s="88">
        <v>50086</v>
      </c>
      <c r="L18" s="59" t="e" cm="1">
        <f t="array" aca="1" ref="L18" ca="1">_xll.aqBondObjectCreateFromGenerator($C18,$L$4,_xll.aqToolLVBFromKeysValues($C$7:$K$7,$C18:$K18))</f>
        <v>#VALUE!</v>
      </c>
      <c r="M18" s="92">
        <v>3.2255742999999996E-2</v>
      </c>
      <c r="N18" s="93">
        <v>120.9688</v>
      </c>
      <c r="O18" s="94">
        <v>12.7446</v>
      </c>
      <c r="P18" s="95">
        <v>1551.89</v>
      </c>
      <c r="Q18" s="96" t="e" cm="1">
        <f t="array" aca="1" ref="Q18" ca="1">_xll.aqBondObjectYield(L18,$C$4,R18)</f>
        <v>#VALUE!</v>
      </c>
      <c r="R18" s="97" t="e" cm="1">
        <f t="array" aca="1" ref="R18" ca="1">_xll.aqBondObjectPrice($L18,$C$4,$M18)</f>
        <v>#VALUE!</v>
      </c>
      <c r="S18" s="97" t="e" cm="1">
        <f t="array" aca="1" ref="S18" ca="1">_xll.aqBondObjectCleanPrice($L18,$C$4,$M18)</f>
        <v>#VALUE!</v>
      </c>
      <c r="T18" s="97" t="e" cm="1">
        <f t="array" aca="1" ref="T18" ca="1">_xll.aqBondObjectDirtyPrice($L18,$C$4,$M18)</f>
        <v>#VALUE!</v>
      </c>
      <c r="U18" s="104" t="e" cm="1">
        <f t="array" aca="1" ref="U18" ca="1">_xll.aqBondObjectModifiedDuration($L18,$C$4,$Q18)</f>
        <v>#VALUE!</v>
      </c>
      <c r="V18" s="107" t="e" cm="1">
        <f t="array" aca="1" ref="V18" ca="1">_xll.aqBondObjectDV01($L18,$C$4,$Q18)</f>
        <v>#VALUE!</v>
      </c>
    </row>
    <row r="19" spans="2:22">
      <c r="B19" s="73" t="s">
        <v>46</v>
      </c>
      <c r="C19" s="73" t="str">
        <f t="shared" si="1"/>
        <v>UST-5-MAY37</v>
      </c>
      <c r="D19" s="73" t="s">
        <v>47</v>
      </c>
      <c r="E19" s="74">
        <v>39309</v>
      </c>
      <c r="F19" s="75">
        <v>39217</v>
      </c>
      <c r="G19" s="76" t="str">
        <f t="shared" si="0"/>
        <v/>
      </c>
      <c r="H19" s="74">
        <v>39401</v>
      </c>
      <c r="I19" s="74">
        <v>49994</v>
      </c>
      <c r="J19" s="77">
        <v>0.05</v>
      </c>
      <c r="K19" s="74">
        <v>50175</v>
      </c>
      <c r="L19" s="6" t="e" cm="1">
        <f t="array" aca="1" ref="L19" ca="1">_xll.aqBondObjectCreateFromGenerator($C19,$L$4,_xll.aqToolLVBFromKeysValues($C$7:$K$7,$C19:$K19))</f>
        <v>#VALUE!</v>
      </c>
      <c r="M19" s="31">
        <v>3.2263826000000002E-2</v>
      </c>
      <c r="N19" s="28">
        <v>124.64060000000001</v>
      </c>
      <c r="O19" s="7">
        <v>12.6149</v>
      </c>
      <c r="P19" s="41">
        <v>1598.72</v>
      </c>
      <c r="Q19" s="19" t="e" cm="1">
        <f t="array" aca="1" ref="Q19" ca="1">_xll.aqBondObjectYield(L19,$C$4,R19)</f>
        <v>#VALUE!</v>
      </c>
      <c r="R19" s="27" t="e" cm="1">
        <f t="array" aca="1" ref="R19" ca="1">_xll.aqBondObjectPrice($L19,$C$4,$M19)</f>
        <v>#VALUE!</v>
      </c>
      <c r="S19" s="27" t="e" cm="1">
        <f t="array" aca="1" ref="S19" ca="1">_xll.aqBondObjectCleanPrice($L19,$C$4,$M19)</f>
        <v>#VALUE!</v>
      </c>
      <c r="T19" s="27" t="e" cm="1">
        <f t="array" aca="1" ref="T19" ca="1">_xll.aqBondObjectDirtyPrice($L19,$C$4,$M19)</f>
        <v>#VALUE!</v>
      </c>
      <c r="U19" s="8" t="e" cm="1">
        <f t="array" aca="1" ref="U19" ca="1">_xll.aqBondObjectModifiedDuration($L19,$C$4,$Q19)</f>
        <v>#VALUE!</v>
      </c>
      <c r="V19" s="39" t="e" cm="1">
        <f t="array" aca="1" ref="V19" ca="1">_xll.aqBondObjectDV01($L19,$C$4,$Q19)</f>
        <v>#VALUE!</v>
      </c>
    </row>
    <row r="20" spans="2:22">
      <c r="B20" s="87" t="s">
        <v>56</v>
      </c>
      <c r="C20" s="87" t="str">
        <f t="shared" si="1"/>
        <v>UST-4.375-FEB38</v>
      </c>
      <c r="D20" s="87" t="s">
        <v>57</v>
      </c>
      <c r="E20" s="88">
        <v>39493</v>
      </c>
      <c r="F20" s="89">
        <v>39493</v>
      </c>
      <c r="G20" s="90" t="str">
        <f t="shared" si="0"/>
        <v/>
      </c>
      <c r="H20" s="88">
        <v>39675</v>
      </c>
      <c r="I20" s="88">
        <v>50267</v>
      </c>
      <c r="J20" s="91">
        <v>4.3749999999999997E-2</v>
      </c>
      <c r="K20" s="88">
        <v>50451</v>
      </c>
      <c r="L20" s="59" t="e" cm="1">
        <f t="array" aca="1" ref="L20" ca="1">_xll.aqBondObjectCreateFromGenerator($C20,$L$4,_xll.aqToolLVBFromKeysValues($C$7:$K$7,$C20:$K20))</f>
        <v>#VALUE!</v>
      </c>
      <c r="M20" s="92">
        <v>3.2452343000000002E-2</v>
      </c>
      <c r="N20" s="93">
        <v>116.125</v>
      </c>
      <c r="O20" s="94">
        <v>13.428900000000001</v>
      </c>
      <c r="P20" s="95">
        <v>1569.33</v>
      </c>
      <c r="Q20" s="96" t="e" cm="1">
        <f t="array" aca="1" ref="Q20" ca="1">_xll.aqBondObjectYield(L20,$C$4,R20)</f>
        <v>#VALUE!</v>
      </c>
      <c r="R20" s="97" t="e" cm="1">
        <f t="array" aca="1" ref="R20" ca="1">_xll.aqBondObjectPrice($L20,$C$4,$M20)</f>
        <v>#VALUE!</v>
      </c>
      <c r="S20" s="97" t="e" cm="1">
        <f t="array" aca="1" ref="S20" ca="1">_xll.aqBondObjectCleanPrice($L20,$C$4,$M20)</f>
        <v>#VALUE!</v>
      </c>
      <c r="T20" s="97" t="e" cm="1">
        <f t="array" aca="1" ref="T20" ca="1">_xll.aqBondObjectDirtyPrice($L20,$C$4,$M20)</f>
        <v>#VALUE!</v>
      </c>
      <c r="U20" s="104" t="e" cm="1">
        <f t="array" aca="1" ref="U20" ca="1">_xll.aqBondObjectModifiedDuration($L20,$C$4,$Q20)</f>
        <v>#VALUE!</v>
      </c>
      <c r="V20" s="107" t="e" cm="1">
        <f t="array" aca="1" ref="V20" ca="1">_xll.aqBondObjectDV01($L20,$C$4,$Q20)</f>
        <v>#VALUE!</v>
      </c>
    </row>
    <row r="21" spans="2:22">
      <c r="B21" s="73" t="s">
        <v>44</v>
      </c>
      <c r="C21" s="73" t="str">
        <f t="shared" si="1"/>
        <v>UST-4.5-MAY38</v>
      </c>
      <c r="D21" s="73" t="s">
        <v>45</v>
      </c>
      <c r="E21" s="74">
        <v>39675</v>
      </c>
      <c r="F21" s="75">
        <v>39583</v>
      </c>
      <c r="G21" s="76" t="str">
        <f t="shared" si="0"/>
        <v/>
      </c>
      <c r="H21" s="74">
        <v>39767</v>
      </c>
      <c r="I21" s="74">
        <v>50359</v>
      </c>
      <c r="J21" s="77">
        <v>4.4999999999999998E-2</v>
      </c>
      <c r="K21" s="74">
        <v>50540</v>
      </c>
      <c r="L21" s="6" t="e" cm="1">
        <f t="array" aca="1" ref="L21" ca="1">_xll.aqBondObjectCreateFromGenerator($C21,$L$4,_xll.aqToolLVBFromKeysValues($C$7:$K$7,$C21:$K21))</f>
        <v>#VALUE!</v>
      </c>
      <c r="M21" s="31">
        <v>3.2471366000000002E-2</v>
      </c>
      <c r="N21" s="28">
        <v>118.04689999999999</v>
      </c>
      <c r="O21" s="7">
        <v>13.348699999999999</v>
      </c>
      <c r="P21" s="41">
        <v>1600.91</v>
      </c>
      <c r="Q21" s="19" t="e" cm="1">
        <f t="array" aca="1" ref="Q21" ca="1">_xll.aqBondObjectYield(L21,$C$4,R21)</f>
        <v>#VALUE!</v>
      </c>
      <c r="R21" s="27" t="e" cm="1">
        <f t="array" aca="1" ref="R21" ca="1">_xll.aqBondObjectPrice($L21,$C$4,$M21)</f>
        <v>#VALUE!</v>
      </c>
      <c r="S21" s="27" t="e" cm="1">
        <f t="array" aca="1" ref="S21" ca="1">_xll.aqBondObjectCleanPrice($L21,$C$4,$M21)</f>
        <v>#VALUE!</v>
      </c>
      <c r="T21" s="27" t="e" cm="1">
        <f t="array" aca="1" ref="T21" ca="1">_xll.aqBondObjectDirtyPrice($L21,$C$4,$M21)</f>
        <v>#VALUE!</v>
      </c>
      <c r="U21" s="8" t="e" cm="1">
        <f t="array" aca="1" ref="U21" ca="1">_xll.aqBondObjectModifiedDuration($L21,$C$4,$Q21)</f>
        <v>#VALUE!</v>
      </c>
      <c r="V21" s="39" t="e" cm="1">
        <f t="array" aca="1" ref="V21" ca="1">_xll.aqBondObjectDV01($L21,$C$4,$Q21)</f>
        <v>#VALUE!</v>
      </c>
    </row>
    <row r="22" spans="2:22">
      <c r="B22" s="87" t="s">
        <v>74</v>
      </c>
      <c r="C22" s="87" t="str">
        <f t="shared" si="1"/>
        <v>UST-3.5-FEB39</v>
      </c>
      <c r="D22" s="87" t="s">
        <v>75</v>
      </c>
      <c r="E22" s="88">
        <v>39861</v>
      </c>
      <c r="F22" s="89">
        <v>39859</v>
      </c>
      <c r="G22" s="90" t="str">
        <f t="shared" si="0"/>
        <v/>
      </c>
      <c r="H22" s="88">
        <v>40040</v>
      </c>
      <c r="I22" s="88">
        <v>50632</v>
      </c>
      <c r="J22" s="91">
        <v>3.5000000000000003E-2</v>
      </c>
      <c r="K22" s="88">
        <v>50816</v>
      </c>
      <c r="L22" s="59" t="e" cm="1">
        <f t="array" aca="1" ref="L22" ca="1">_xll.aqBondObjectCreateFromGenerator($C22,$L$4,_xll.aqToolLVBFromKeysValues($C$7:$K$7,$C22:$K22))</f>
        <v>#VALUE!</v>
      </c>
      <c r="M22" s="92">
        <v>3.2618854000000003E-2</v>
      </c>
      <c r="N22" s="93">
        <v>103.51560000000001</v>
      </c>
      <c r="O22" s="94">
        <v>14.5055</v>
      </c>
      <c r="P22" s="95">
        <v>1510.1</v>
      </c>
      <c r="Q22" s="96" t="e" cm="1">
        <f t="array" aca="1" ref="Q22" ca="1">_xll.aqBondObjectYield(L22,$C$4,R22)</f>
        <v>#VALUE!</v>
      </c>
      <c r="R22" s="97" t="e" cm="1">
        <f t="array" aca="1" ref="R22" ca="1">_xll.aqBondObjectPrice($L22,$C$4,$M22)</f>
        <v>#VALUE!</v>
      </c>
      <c r="S22" s="97" t="e" cm="1">
        <f t="array" aca="1" ref="S22" ca="1">_xll.aqBondObjectCleanPrice($L22,$C$4,$M22)</f>
        <v>#VALUE!</v>
      </c>
      <c r="T22" s="97" t="e" cm="1">
        <f t="array" aca="1" ref="T22" ca="1">_xll.aqBondObjectDirtyPrice($L22,$C$4,$M22)</f>
        <v>#VALUE!</v>
      </c>
      <c r="U22" s="104" t="e" cm="1">
        <f t="array" aca="1" ref="U22" ca="1">_xll.aqBondObjectModifiedDuration($L22,$C$4,$Q22)</f>
        <v>#VALUE!</v>
      </c>
      <c r="V22" s="107" t="e" cm="1">
        <f t="array" aca="1" ref="V22" ca="1">_xll.aqBondObjectDV01($L22,$C$4,$Q22)</f>
        <v>#VALUE!</v>
      </c>
    </row>
    <row r="23" spans="2:22">
      <c r="B23" s="73" t="s">
        <v>64</v>
      </c>
      <c r="C23" s="73" t="str">
        <f t="shared" si="1"/>
        <v>UST-4.25-MAY39</v>
      </c>
      <c r="D23" s="73" t="s">
        <v>65</v>
      </c>
      <c r="E23" s="74">
        <v>39948</v>
      </c>
      <c r="F23" s="75">
        <v>39948</v>
      </c>
      <c r="G23" s="76" t="str">
        <f t="shared" si="0"/>
        <v/>
      </c>
      <c r="H23" s="74">
        <v>40132</v>
      </c>
      <c r="I23" s="74">
        <v>50724</v>
      </c>
      <c r="J23" s="77">
        <v>4.2500000000000003E-2</v>
      </c>
      <c r="K23" s="74">
        <v>50905</v>
      </c>
      <c r="L23" s="6" t="e" cm="1">
        <f t="array" aca="1" ref="L23" ca="1">_xll.aqBondObjectCreateFromGenerator($C23,$L$4,_xll.aqToolLVBFromKeysValues($C$7:$K$7,$C23:$K23))</f>
        <v>#VALUE!</v>
      </c>
      <c r="M23" s="31">
        <v>3.2681038999999995E-2</v>
      </c>
      <c r="N23" s="28">
        <v>114.625</v>
      </c>
      <c r="O23" s="7">
        <v>13.9613</v>
      </c>
      <c r="P23" s="41">
        <v>1625.14</v>
      </c>
      <c r="Q23" s="19" t="e" cm="1">
        <f t="array" aca="1" ref="Q23" ca="1">_xll.aqBondObjectYield(L23,$C$4,R23)</f>
        <v>#VALUE!</v>
      </c>
      <c r="R23" s="27" t="e" cm="1">
        <f t="array" aca="1" ref="R23" ca="1">_xll.aqBondObjectPrice($L23,$C$4,$M23)</f>
        <v>#VALUE!</v>
      </c>
      <c r="S23" s="27" t="e" cm="1">
        <f t="array" aca="1" ref="S23" ca="1">_xll.aqBondObjectCleanPrice($L23,$C$4,$M23)</f>
        <v>#VALUE!</v>
      </c>
      <c r="T23" s="27" t="e" cm="1">
        <f t="array" aca="1" ref="T23" ca="1">_xll.aqBondObjectDirtyPrice($L23,$C$4,$M23)</f>
        <v>#VALUE!</v>
      </c>
      <c r="U23" s="8" t="e" cm="1">
        <f t="array" aca="1" ref="U23" ca="1">_xll.aqBondObjectModifiedDuration($L23,$C$4,$Q23)</f>
        <v>#VALUE!</v>
      </c>
      <c r="V23" s="39" t="e" cm="1">
        <f t="array" aca="1" ref="V23" ca="1">_xll.aqBondObjectDV01($L23,$C$4,$Q23)</f>
        <v>#VALUE!</v>
      </c>
    </row>
    <row r="24" spans="2:22">
      <c r="B24" s="87" t="s">
        <v>58</v>
      </c>
      <c r="C24" s="87" t="str">
        <f t="shared" si="1"/>
        <v>UST-4.5-AUG39</v>
      </c>
      <c r="D24" s="87" t="s">
        <v>59</v>
      </c>
      <c r="E24" s="88">
        <v>40042</v>
      </c>
      <c r="F24" s="89">
        <v>40040</v>
      </c>
      <c r="G24" s="90" t="str">
        <f t="shared" ref="G24:G53" si="2">IF(DAY(K24+1)=1, "EOM","")</f>
        <v/>
      </c>
      <c r="H24" s="88">
        <v>40224</v>
      </c>
      <c r="I24" s="88">
        <v>50816</v>
      </c>
      <c r="J24" s="91">
        <v>4.4999999999999998E-2</v>
      </c>
      <c r="K24" s="88">
        <v>50997</v>
      </c>
      <c r="L24" s="59" t="e" cm="1">
        <f t="array" aca="1" ref="L24" ca="1">_xll.aqBondObjectCreateFromGenerator($C24,$L$4,_xll.aqToolLVBFromKeysValues($C$7:$K$7,$C24:$K24))</f>
        <v>#VALUE!</v>
      </c>
      <c r="M24" s="92">
        <v>3.2739213000000003E-2</v>
      </c>
      <c r="N24" s="93">
        <v>118.4063</v>
      </c>
      <c r="O24" s="94">
        <v>14.045999999999999</v>
      </c>
      <c r="P24" s="95">
        <v>1673.78</v>
      </c>
      <c r="Q24" s="96" t="e" cm="1">
        <f t="array" aca="1" ref="Q24" ca="1">_xll.aqBondObjectYield(L24,$C$4,R24)</f>
        <v>#VALUE!</v>
      </c>
      <c r="R24" s="97" t="e" cm="1">
        <f t="array" aca="1" ref="R24" ca="1">_xll.aqBondObjectPrice($L24,$C$4,$M24)</f>
        <v>#VALUE!</v>
      </c>
      <c r="S24" s="97" t="e" cm="1">
        <f t="array" aca="1" ref="S24" ca="1">_xll.aqBondObjectCleanPrice($L24,$C$4,$M24)</f>
        <v>#VALUE!</v>
      </c>
      <c r="T24" s="97" t="e" cm="1">
        <f t="array" aca="1" ref="T24" ca="1">_xll.aqBondObjectDirtyPrice($L24,$C$4,$M24)</f>
        <v>#VALUE!</v>
      </c>
      <c r="U24" s="104" t="e" cm="1">
        <f t="array" aca="1" ref="U24" ca="1">_xll.aqBondObjectModifiedDuration($L24,$C$4,$Q24)</f>
        <v>#VALUE!</v>
      </c>
      <c r="V24" s="107" t="e" cm="1">
        <f t="array" aca="1" ref="V24" ca="1">_xll.aqBondObjectDV01($L24,$C$4,$Q24)</f>
        <v>#VALUE!</v>
      </c>
    </row>
    <row r="25" spans="2:22">
      <c r="B25" s="73" t="s">
        <v>60</v>
      </c>
      <c r="C25" s="73" t="str">
        <f t="shared" si="1"/>
        <v>UST-4.375-NOV39</v>
      </c>
      <c r="D25" s="73" t="s">
        <v>61</v>
      </c>
      <c r="E25" s="74">
        <v>40133</v>
      </c>
      <c r="F25" s="75">
        <v>40132</v>
      </c>
      <c r="G25" s="76" t="str">
        <f t="shared" si="2"/>
        <v/>
      </c>
      <c r="H25" s="74">
        <v>40313</v>
      </c>
      <c r="I25" s="74">
        <v>50905</v>
      </c>
      <c r="J25" s="77">
        <v>4.3749999999999997E-2</v>
      </c>
      <c r="K25" s="74">
        <v>51089</v>
      </c>
      <c r="L25" s="6" t="e" cm="1">
        <f t="array" aca="1" ref="L25" ca="1">_xll.aqBondObjectCreateFromGenerator($C25,$L$4,_xll.aqToolLVBFromKeysValues($C$7:$K$7,$C25:$K25))</f>
        <v>#VALUE!</v>
      </c>
      <c r="M25" s="31">
        <v>3.2803080999999998E-2</v>
      </c>
      <c r="N25" s="28">
        <v>116.5625</v>
      </c>
      <c r="O25" s="7">
        <v>14.1027</v>
      </c>
      <c r="P25" s="41">
        <v>1669.67</v>
      </c>
      <c r="Q25" s="19" t="e" cm="1">
        <f t="array" aca="1" ref="Q25" ca="1">_xll.aqBondObjectYield(L25,$C$4,R25)</f>
        <v>#VALUE!</v>
      </c>
      <c r="R25" s="27" t="e" cm="1">
        <f t="array" aca="1" ref="R25" ca="1">_xll.aqBondObjectPrice($L25,$C$4,$M25)</f>
        <v>#VALUE!</v>
      </c>
      <c r="S25" s="27" t="e" cm="1">
        <f t="array" aca="1" ref="S25" ca="1">_xll.aqBondObjectCleanPrice($L25,$C$4,$M25)</f>
        <v>#VALUE!</v>
      </c>
      <c r="T25" s="27" t="e" cm="1">
        <f t="array" aca="1" ref="T25" ca="1">_xll.aqBondObjectDirtyPrice($L25,$C$4,$M25)</f>
        <v>#VALUE!</v>
      </c>
      <c r="U25" s="8" t="e" cm="1">
        <f t="array" aca="1" ref="U25" ca="1">_xll.aqBondObjectModifiedDuration($L25,$C$4,$Q25)</f>
        <v>#VALUE!</v>
      </c>
      <c r="V25" s="39" t="e" cm="1">
        <f t="array" aca="1" ref="V25" ca="1">_xll.aqBondObjectDV01($L25,$C$4,$Q25)</f>
        <v>#VALUE!</v>
      </c>
    </row>
    <row r="26" spans="2:22">
      <c r="B26" s="87" t="s">
        <v>54</v>
      </c>
      <c r="C26" s="87" t="str">
        <f t="shared" si="1"/>
        <v>UST-4.625-FEB40</v>
      </c>
      <c r="D26" s="87" t="s">
        <v>55</v>
      </c>
      <c r="E26" s="88">
        <v>40225</v>
      </c>
      <c r="F26" s="89">
        <v>40224</v>
      </c>
      <c r="G26" s="90" t="str">
        <f t="shared" si="2"/>
        <v/>
      </c>
      <c r="H26" s="88">
        <v>40405</v>
      </c>
      <c r="I26" s="88">
        <v>50997</v>
      </c>
      <c r="J26" s="91">
        <v>4.6249999999999999E-2</v>
      </c>
      <c r="K26" s="88">
        <v>51181</v>
      </c>
      <c r="L26" s="59" t="e" cm="1">
        <f t="array" aca="1" ref="L26" ca="1">_xll.aqBondObjectCreateFromGenerator($C26,$L$4,_xll.aqToolLVBFromKeysValues($C$7:$K$7,$C26:$K26))</f>
        <v>#VALUE!</v>
      </c>
      <c r="M26" s="92">
        <v>3.2827627999999998E-2</v>
      </c>
      <c r="N26" s="93">
        <v>120.4687</v>
      </c>
      <c r="O26" s="94">
        <v>14.190899999999999</v>
      </c>
      <c r="P26" s="95">
        <v>1720.62</v>
      </c>
      <c r="Q26" s="96" t="e" cm="1">
        <f t="array" aca="1" ref="Q26" ca="1">_xll.aqBondObjectYield(L26,$C$4,R26)</f>
        <v>#VALUE!</v>
      </c>
      <c r="R26" s="97" t="e" cm="1">
        <f t="array" aca="1" ref="R26" ca="1">_xll.aqBondObjectPrice($L26,$C$4,$M26)</f>
        <v>#VALUE!</v>
      </c>
      <c r="S26" s="97" t="e" cm="1">
        <f t="array" aca="1" ref="S26" ca="1">_xll.aqBondObjectCleanPrice($L26,$C$4,$M26)</f>
        <v>#VALUE!</v>
      </c>
      <c r="T26" s="97" t="e" cm="1">
        <f t="array" aca="1" ref="T26" ca="1">_xll.aqBondObjectDirtyPrice($L26,$C$4,$M26)</f>
        <v>#VALUE!</v>
      </c>
      <c r="U26" s="104" t="e" cm="1">
        <f t="array" aca="1" ref="U26" ca="1">_xll.aqBondObjectModifiedDuration($L26,$C$4,$Q26)</f>
        <v>#VALUE!</v>
      </c>
      <c r="V26" s="107" t="e" cm="1">
        <f t="array" aca="1" ref="V26" ca="1">_xll.aqBondObjectDV01($L26,$C$4,$Q26)</f>
        <v>#VALUE!</v>
      </c>
    </row>
    <row r="27" spans="2:22">
      <c r="B27" s="73" t="s">
        <v>62</v>
      </c>
      <c r="C27" s="73" t="str">
        <f t="shared" si="1"/>
        <v>UST-4.375-MAY40</v>
      </c>
      <c r="D27" s="73" t="s">
        <v>63</v>
      </c>
      <c r="E27" s="74">
        <v>40315</v>
      </c>
      <c r="F27" s="75">
        <v>40313</v>
      </c>
      <c r="G27" s="76" t="str">
        <f t="shared" si="2"/>
        <v/>
      </c>
      <c r="H27" s="74">
        <v>40497</v>
      </c>
      <c r="I27" s="74">
        <v>51089</v>
      </c>
      <c r="J27" s="77">
        <v>4.3749999999999997E-2</v>
      </c>
      <c r="K27" s="74">
        <v>51271</v>
      </c>
      <c r="L27" s="6" t="e" cm="1">
        <f t="array" aca="1" ref="L27" ca="1">_xll.aqBondObjectCreateFromGenerator($C27,$L$4,_xll.aqToolLVBFromKeysValues($C$7:$K$7,$C27:$K27))</f>
        <v>#VALUE!</v>
      </c>
      <c r="M27" s="31">
        <v>3.2879939999999996E-2</v>
      </c>
      <c r="N27" s="28">
        <v>116.70310000000001</v>
      </c>
      <c r="O27" s="7">
        <v>14.322900000000001</v>
      </c>
      <c r="P27" s="41">
        <v>1697.75</v>
      </c>
      <c r="Q27" s="19" t="e" cm="1">
        <f t="array" aca="1" ref="Q27" ca="1">_xll.aqBondObjectYield(L27,$C$4,R27)</f>
        <v>#VALUE!</v>
      </c>
      <c r="R27" s="27" t="e" cm="1">
        <f t="array" aca="1" ref="R27" ca="1">_xll.aqBondObjectPrice($L27,$C$4,$M27)</f>
        <v>#VALUE!</v>
      </c>
      <c r="S27" s="27" t="e" cm="1">
        <f t="array" aca="1" ref="S27" ca="1">_xll.aqBondObjectCleanPrice($L27,$C$4,$M27)</f>
        <v>#VALUE!</v>
      </c>
      <c r="T27" s="27" t="e" cm="1">
        <f t="array" aca="1" ref="T27" ca="1">_xll.aqBondObjectDirtyPrice($L27,$C$4,$M27)</f>
        <v>#VALUE!</v>
      </c>
      <c r="U27" s="8" t="e" cm="1">
        <f t="array" aca="1" ref="U27" ca="1">_xll.aqBondObjectModifiedDuration($L27,$C$4,$Q27)</f>
        <v>#VALUE!</v>
      </c>
      <c r="V27" s="39" t="e" cm="1">
        <f t="array" aca="1" ref="V27" ca="1">_xll.aqBondObjectDV01($L27,$C$4,$Q27)</f>
        <v>#VALUE!</v>
      </c>
    </row>
    <row r="28" spans="2:22">
      <c r="B28" s="87" t="s">
        <v>70</v>
      </c>
      <c r="C28" s="87" t="str">
        <f t="shared" si="1"/>
        <v>UST-3.875-AUG40</v>
      </c>
      <c r="D28" s="87" t="s">
        <v>71</v>
      </c>
      <c r="E28" s="88">
        <v>40406</v>
      </c>
      <c r="F28" s="89">
        <v>40405</v>
      </c>
      <c r="G28" s="90" t="str">
        <f t="shared" si="2"/>
        <v/>
      </c>
      <c r="H28" s="88">
        <v>40589</v>
      </c>
      <c r="I28" s="88">
        <v>51181</v>
      </c>
      <c r="J28" s="91">
        <v>3.875E-2</v>
      </c>
      <c r="K28" s="88">
        <v>51363</v>
      </c>
      <c r="L28" s="59" t="e" cm="1">
        <f t="array" aca="1" ref="L28" ca="1">_xll.aqBondObjectCreateFromGenerator($C28,$L$4,_xll.aqToolLVBFromKeysValues($C$7:$K$7,$C28:$K28))</f>
        <v>#VALUE!</v>
      </c>
      <c r="M28" s="92">
        <v>3.2934648000000004E-2</v>
      </c>
      <c r="N28" s="93">
        <v>109</v>
      </c>
      <c r="O28" s="94">
        <v>14.9185</v>
      </c>
      <c r="P28" s="95">
        <v>1635.85</v>
      </c>
      <c r="Q28" s="96" t="e" cm="1">
        <f t="array" aca="1" ref="Q28" ca="1">_xll.aqBondObjectYield(L28,$C$4,R28)</f>
        <v>#VALUE!</v>
      </c>
      <c r="R28" s="97" t="e" cm="1">
        <f t="array" aca="1" ref="R28" ca="1">_xll.aqBondObjectPrice($L28,$C$4,$M28)</f>
        <v>#VALUE!</v>
      </c>
      <c r="S28" s="97" t="e" cm="1">
        <f t="array" aca="1" ref="S28" ca="1">_xll.aqBondObjectCleanPrice($L28,$C$4,$M28)</f>
        <v>#VALUE!</v>
      </c>
      <c r="T28" s="97" t="e" cm="1">
        <f t="array" aca="1" ref="T28" ca="1">_xll.aqBondObjectDirtyPrice($L28,$C$4,$M28)</f>
        <v>#VALUE!</v>
      </c>
      <c r="U28" s="104" t="e" cm="1">
        <f t="array" aca="1" ref="U28" ca="1">_xll.aqBondObjectModifiedDuration($L28,$C$4,$Q28)</f>
        <v>#VALUE!</v>
      </c>
      <c r="V28" s="107" t="e" cm="1">
        <f t="array" aca="1" ref="V28" ca="1">_xll.aqBondObjectDV01($L28,$C$4,$Q28)</f>
        <v>#VALUE!</v>
      </c>
    </row>
    <row r="29" spans="2:22">
      <c r="B29" s="73" t="s">
        <v>68</v>
      </c>
      <c r="C29" s="73" t="str">
        <f t="shared" si="1"/>
        <v>UST-4.25-NOV40</v>
      </c>
      <c r="D29" s="73" t="s">
        <v>69</v>
      </c>
      <c r="E29" s="74">
        <v>40497</v>
      </c>
      <c r="F29" s="75">
        <v>40497</v>
      </c>
      <c r="G29" s="76" t="str">
        <f t="shared" si="2"/>
        <v/>
      </c>
      <c r="H29" s="74">
        <v>40678</v>
      </c>
      <c r="I29" s="74">
        <v>51271</v>
      </c>
      <c r="J29" s="77">
        <v>4.2500000000000003E-2</v>
      </c>
      <c r="K29" s="74">
        <v>51455</v>
      </c>
      <c r="L29" s="6" t="e" cm="1">
        <f t="array" aca="1" ref="L29" ca="1">_xll.aqBondObjectCreateFromGenerator($C29,$L$4,_xll.aqToolLVBFromKeysValues($C$7:$K$7,$C29:$K29))</f>
        <v>#VALUE!</v>
      </c>
      <c r="M29" s="31">
        <v>3.2953507999999999E-2</v>
      </c>
      <c r="N29" s="28">
        <v>114.89060000000001</v>
      </c>
      <c r="O29" s="7">
        <v>14.6248</v>
      </c>
      <c r="P29" s="41">
        <v>1706.27</v>
      </c>
      <c r="Q29" s="19" t="e" cm="1">
        <f t="array" aca="1" ref="Q29" ca="1">_xll.aqBondObjectYield(L29,$C$4,R29)</f>
        <v>#VALUE!</v>
      </c>
      <c r="R29" s="27" t="e" cm="1">
        <f t="array" aca="1" ref="R29" ca="1">_xll.aqBondObjectPrice($L29,$C$4,$M29)</f>
        <v>#VALUE!</v>
      </c>
      <c r="S29" s="27" t="e" cm="1">
        <f t="array" aca="1" ref="S29" ca="1">_xll.aqBondObjectCleanPrice($L29,$C$4,$M29)</f>
        <v>#VALUE!</v>
      </c>
      <c r="T29" s="27" t="e" cm="1">
        <f t="array" aca="1" ref="T29" ca="1">_xll.aqBondObjectDirtyPrice($L29,$C$4,$M29)</f>
        <v>#VALUE!</v>
      </c>
      <c r="U29" s="8" t="e" cm="1">
        <f t="array" aca="1" ref="U29" ca="1">_xll.aqBondObjectModifiedDuration($L29,$C$4,$Q29)</f>
        <v>#VALUE!</v>
      </c>
      <c r="V29" s="39" t="e" cm="1">
        <f t="array" aca="1" ref="V29" ca="1">_xll.aqBondObjectDV01($L29,$C$4,$Q29)</f>
        <v>#VALUE!</v>
      </c>
    </row>
    <row r="30" spans="2:22">
      <c r="B30" s="87" t="s">
        <v>52</v>
      </c>
      <c r="C30" s="87" t="str">
        <f t="shared" si="1"/>
        <v>UST-4.75-FEB41</v>
      </c>
      <c r="D30" s="87" t="s">
        <v>53</v>
      </c>
      <c r="E30" s="88">
        <v>40589</v>
      </c>
      <c r="F30" s="89">
        <v>40589</v>
      </c>
      <c r="G30" s="90" t="str">
        <f t="shared" si="2"/>
        <v/>
      </c>
      <c r="H30" s="88">
        <v>40770</v>
      </c>
      <c r="I30" s="88">
        <v>51363</v>
      </c>
      <c r="J30" s="91">
        <v>4.7500000000000001E-2</v>
      </c>
      <c r="K30" s="88">
        <v>51547</v>
      </c>
      <c r="L30" s="59" t="e" cm="1">
        <f t="array" aca="1" ref="L30" ca="1">_xll.aqBondObjectCreateFromGenerator($C30,$L$4,_xll.aqToolLVBFromKeysValues($C$7:$K$7,$C30:$K30))</f>
        <v>#VALUE!</v>
      </c>
      <c r="M30" s="92">
        <v>3.2955782000000003E-2</v>
      </c>
      <c r="N30" s="93">
        <v>122.85939999999999</v>
      </c>
      <c r="O30" s="94">
        <v>14.5451</v>
      </c>
      <c r="P30" s="95">
        <v>1798.65</v>
      </c>
      <c r="Q30" s="96" t="e" cm="1">
        <f t="array" aca="1" ref="Q30" ca="1">_xll.aqBondObjectYield(L30,$C$4,R30)</f>
        <v>#VALUE!</v>
      </c>
      <c r="R30" s="97" t="e" cm="1">
        <f t="array" aca="1" ref="R30" ca="1">_xll.aqBondObjectPrice($L30,$C$4,$M30)</f>
        <v>#VALUE!</v>
      </c>
      <c r="S30" s="97" t="e" cm="1">
        <f t="array" aca="1" ref="S30" ca="1">_xll.aqBondObjectCleanPrice($L30,$C$4,$M30)</f>
        <v>#VALUE!</v>
      </c>
      <c r="T30" s="97" t="e" cm="1">
        <f t="array" aca="1" ref="T30" ca="1">_xll.aqBondObjectDirtyPrice($L30,$C$4,$M30)</f>
        <v>#VALUE!</v>
      </c>
      <c r="U30" s="104" t="e" cm="1">
        <f t="array" aca="1" ref="U30" ca="1">_xll.aqBondObjectModifiedDuration($L30,$C$4,$Q30)</f>
        <v>#VALUE!</v>
      </c>
      <c r="V30" s="107" t="e" cm="1">
        <f t="array" aca="1" ref="V30" ca="1">_xll.aqBondObjectDV01($L30,$C$4,$Q30)</f>
        <v>#VALUE!</v>
      </c>
    </row>
    <row r="31" spans="2:22">
      <c r="B31" s="73" t="s">
        <v>66</v>
      </c>
      <c r="C31" s="73" t="str">
        <f t="shared" si="1"/>
        <v>UST-4.375-MAY41</v>
      </c>
      <c r="D31" s="73" t="s">
        <v>67</v>
      </c>
      <c r="E31" s="74">
        <v>40679</v>
      </c>
      <c r="F31" s="75">
        <v>40678</v>
      </c>
      <c r="G31" s="76" t="str">
        <f t="shared" si="2"/>
        <v/>
      </c>
      <c r="H31" s="74">
        <v>40862</v>
      </c>
      <c r="I31" s="74">
        <v>51455</v>
      </c>
      <c r="J31" s="77">
        <v>4.3749999999999997E-2</v>
      </c>
      <c r="K31" s="74">
        <v>51636</v>
      </c>
      <c r="L31" s="6" t="e" cm="1">
        <f t="array" aca="1" ref="L31" ca="1">_xll.aqBondObjectCreateFromGenerator($C31,$L$4,_xll.aqToolLVBFromKeysValues($C$7:$K$7,$C31:$K31))</f>
        <v>#VALUE!</v>
      </c>
      <c r="M31" s="31">
        <v>3.3009759999999999E-2</v>
      </c>
      <c r="N31" s="28">
        <v>117</v>
      </c>
      <c r="O31" s="7">
        <v>14.7531</v>
      </c>
      <c r="P31" s="41">
        <v>1753.12</v>
      </c>
      <c r="Q31" s="19" t="e" cm="1">
        <f t="array" aca="1" ref="Q31" ca="1">_xll.aqBondObjectYield(L31,$C$4,R31)</f>
        <v>#VALUE!</v>
      </c>
      <c r="R31" s="27" t="e" cm="1">
        <f t="array" aca="1" ref="R31" ca="1">_xll.aqBondObjectPrice($L31,$C$4,$M31)</f>
        <v>#VALUE!</v>
      </c>
      <c r="S31" s="27" t="e" cm="1">
        <f t="array" aca="1" ref="S31" ca="1">_xll.aqBondObjectCleanPrice($L31,$C$4,$M31)</f>
        <v>#VALUE!</v>
      </c>
      <c r="T31" s="27" t="e" cm="1">
        <f t="array" aca="1" ref="T31" ca="1">_xll.aqBondObjectDirtyPrice($L31,$C$4,$M31)</f>
        <v>#VALUE!</v>
      </c>
      <c r="U31" s="8" t="e" cm="1">
        <f t="array" aca="1" ref="U31" ca="1">_xll.aqBondObjectModifiedDuration($L31,$C$4,$Q31)</f>
        <v>#VALUE!</v>
      </c>
      <c r="V31" s="39" t="e" cm="1">
        <f t="array" aca="1" ref="V31" ca="1">_xll.aqBondObjectDV01($L31,$C$4,$Q31)</f>
        <v>#VALUE!</v>
      </c>
    </row>
    <row r="32" spans="2:22">
      <c r="B32" s="87" t="s">
        <v>72</v>
      </c>
      <c r="C32" s="87" t="str">
        <f t="shared" si="1"/>
        <v>UST-3.75-AUG41</v>
      </c>
      <c r="D32" s="87" t="s">
        <v>73</v>
      </c>
      <c r="E32" s="88">
        <v>40770</v>
      </c>
      <c r="F32" s="89">
        <v>40770</v>
      </c>
      <c r="G32" s="90" t="str">
        <f t="shared" si="2"/>
        <v/>
      </c>
      <c r="H32" s="88">
        <v>40954</v>
      </c>
      <c r="I32" s="88">
        <v>51547</v>
      </c>
      <c r="J32" s="91">
        <v>3.7499999999999999E-2</v>
      </c>
      <c r="K32" s="88">
        <v>51728</v>
      </c>
      <c r="L32" s="59" t="e" cm="1">
        <f t="array" aca="1" ref="L32" ca="1">_xll.aqBondObjectCreateFromGenerator($C32,$L$4,_xll.aqToolLVBFromKeysValues($C$7:$K$7,$C32:$K32))</f>
        <v>#VALUE!</v>
      </c>
      <c r="M32" s="92">
        <v>3.3066974999999998E-2</v>
      </c>
      <c r="N32" s="93">
        <v>107.0625</v>
      </c>
      <c r="O32" s="94">
        <v>15.4634</v>
      </c>
      <c r="P32" s="95">
        <v>1665.31</v>
      </c>
      <c r="Q32" s="96" t="e" cm="1">
        <f t="array" aca="1" ref="Q32" ca="1">_xll.aqBondObjectYield(L32,$C$4,R32)</f>
        <v>#VALUE!</v>
      </c>
      <c r="R32" s="97" t="e" cm="1">
        <f t="array" aca="1" ref="R32" ca="1">_xll.aqBondObjectPrice($L32,$C$4,$M32)</f>
        <v>#VALUE!</v>
      </c>
      <c r="S32" s="97" t="e" cm="1">
        <f t="array" aca="1" ref="S32" ca="1">_xll.aqBondObjectCleanPrice($L32,$C$4,$M32)</f>
        <v>#VALUE!</v>
      </c>
      <c r="T32" s="97" t="e" cm="1">
        <f t="array" aca="1" ref="T32" ca="1">_xll.aqBondObjectDirtyPrice($L32,$C$4,$M32)</f>
        <v>#VALUE!</v>
      </c>
      <c r="U32" s="104" t="e" cm="1">
        <f t="array" aca="1" ref="U32" ca="1">_xll.aqBondObjectModifiedDuration($L32,$C$4,$Q32)</f>
        <v>#VALUE!</v>
      </c>
      <c r="V32" s="107" t="e" cm="1">
        <f t="array" aca="1" ref="V32" ca="1">_xll.aqBondObjectDV01($L32,$C$4,$Q32)</f>
        <v>#VALUE!</v>
      </c>
    </row>
    <row r="33" spans="2:22">
      <c r="B33" s="73" t="s">
        <v>102</v>
      </c>
      <c r="C33" s="73" t="str">
        <f t="shared" si="1"/>
        <v>UST-3.125-NOV41</v>
      </c>
      <c r="D33" s="73" t="s">
        <v>103</v>
      </c>
      <c r="E33" s="74">
        <v>40862</v>
      </c>
      <c r="F33" s="75">
        <v>40862</v>
      </c>
      <c r="G33" s="76" t="str">
        <f t="shared" si="2"/>
        <v/>
      </c>
      <c r="H33" s="74">
        <v>41044</v>
      </c>
      <c r="I33" s="74">
        <v>51636</v>
      </c>
      <c r="J33" s="77">
        <v>3.125E-2</v>
      </c>
      <c r="K33" s="74">
        <v>51820</v>
      </c>
      <c r="L33" s="6" t="e" cm="1">
        <f t="array" aca="1" ref="L33" ca="1">_xll.aqBondObjectCreateFromGenerator($C33,$L$4,_xll.aqToolLVBFromKeysValues($C$7:$K$7,$C33:$K33))</f>
        <v>#VALUE!</v>
      </c>
      <c r="M33" s="31">
        <v>3.3088567999999999E-2</v>
      </c>
      <c r="N33" s="28">
        <v>97.046899999999994</v>
      </c>
      <c r="O33" s="7">
        <v>16.016200000000001</v>
      </c>
      <c r="P33" s="41">
        <v>1575.26</v>
      </c>
      <c r="Q33" s="19" t="e" cm="1">
        <f t="array" aca="1" ref="Q33" ca="1">_xll.aqBondObjectYield(L33,$C$4,R33)</f>
        <v>#VALUE!</v>
      </c>
      <c r="R33" s="27" t="e" cm="1">
        <f t="array" aca="1" ref="R33" ca="1">_xll.aqBondObjectPrice($L33,$C$4,$M33)</f>
        <v>#VALUE!</v>
      </c>
      <c r="S33" s="27" t="e" cm="1">
        <f t="array" aca="1" ref="S33" ca="1">_xll.aqBondObjectCleanPrice($L33,$C$4,$M33)</f>
        <v>#VALUE!</v>
      </c>
      <c r="T33" s="27" t="e" cm="1">
        <f t="array" aca="1" ref="T33" ca="1">_xll.aqBondObjectDirtyPrice($L33,$C$4,$M33)</f>
        <v>#VALUE!</v>
      </c>
      <c r="U33" s="8" t="e" cm="1">
        <f t="array" aca="1" ref="U33" ca="1">_xll.aqBondObjectModifiedDuration($L33,$C$4,$Q33)</f>
        <v>#VALUE!</v>
      </c>
      <c r="V33" s="39" t="e" cm="1">
        <f t="array" aca="1" ref="V33" ca="1">_xll.aqBondObjectDV01($L33,$C$4,$Q33)</f>
        <v>#VALUE!</v>
      </c>
    </row>
    <row r="34" spans="2:22">
      <c r="B34" s="87" t="s">
        <v>94</v>
      </c>
      <c r="C34" s="87" t="str">
        <f t="shared" si="1"/>
        <v>UST-3.125-FEB42</v>
      </c>
      <c r="D34" s="87" t="s">
        <v>95</v>
      </c>
      <c r="E34" s="88">
        <v>40954</v>
      </c>
      <c r="F34" s="89">
        <v>40954</v>
      </c>
      <c r="G34" s="90" t="str">
        <f t="shared" si="2"/>
        <v/>
      </c>
      <c r="H34" s="88">
        <v>41136</v>
      </c>
      <c r="I34" s="88">
        <v>51728</v>
      </c>
      <c r="J34" s="91">
        <v>3.125E-2</v>
      </c>
      <c r="K34" s="88">
        <v>51912</v>
      </c>
      <c r="L34" s="59" t="e" cm="1">
        <f t="array" aca="1" ref="L34" ca="1">_xll.aqBondObjectCreateFromGenerator($C34,$L$4,_xll.aqToolLVBFromKeysValues($C$7:$K$7,$C34:$K34))</f>
        <v>#VALUE!</v>
      </c>
      <c r="M34" s="92">
        <v>3.3123711E-2</v>
      </c>
      <c r="N34" s="93">
        <v>96.968699999999998</v>
      </c>
      <c r="O34" s="94">
        <v>16.259599999999999</v>
      </c>
      <c r="P34" s="95">
        <v>1585.23</v>
      </c>
      <c r="Q34" s="96" t="e" cm="1">
        <f t="array" aca="1" ref="Q34" ca="1">_xll.aqBondObjectYield(L34,$C$4,R34)</f>
        <v>#VALUE!</v>
      </c>
      <c r="R34" s="97" t="e" cm="1">
        <f t="array" aca="1" ref="R34" ca="1">_xll.aqBondObjectPrice($L34,$C$4,$M34)</f>
        <v>#VALUE!</v>
      </c>
      <c r="S34" s="97" t="e" cm="1">
        <f t="array" aca="1" ref="S34" ca="1">_xll.aqBondObjectCleanPrice($L34,$C$4,$M34)</f>
        <v>#VALUE!</v>
      </c>
      <c r="T34" s="97" t="e" cm="1">
        <f t="array" aca="1" ref="T34" ca="1">_xll.aqBondObjectDirtyPrice($L34,$C$4,$M34)</f>
        <v>#VALUE!</v>
      </c>
      <c r="U34" s="104" t="e" cm="1">
        <f t="array" aca="1" ref="U34" ca="1">_xll.aqBondObjectModifiedDuration($L34,$C$4,$Q34)</f>
        <v>#VALUE!</v>
      </c>
      <c r="V34" s="107" t="e" cm="1">
        <f t="array" aca="1" ref="V34" ca="1">_xll.aqBondObjectDV01($L34,$C$4,$Q34)</f>
        <v>#VALUE!</v>
      </c>
    </row>
    <row r="35" spans="2:22">
      <c r="B35" s="73" t="s">
        <v>108</v>
      </c>
      <c r="C35" s="73" t="str">
        <f t="shared" si="1"/>
        <v>UST-3-MAY42</v>
      </c>
      <c r="D35" s="73" t="s">
        <v>109</v>
      </c>
      <c r="E35" s="74">
        <v>41044</v>
      </c>
      <c r="F35" s="75">
        <v>41044</v>
      </c>
      <c r="G35" s="76" t="str">
        <f t="shared" si="2"/>
        <v/>
      </c>
      <c r="H35" s="74">
        <v>41228</v>
      </c>
      <c r="I35" s="74">
        <v>51820</v>
      </c>
      <c r="J35" s="77">
        <v>0.03</v>
      </c>
      <c r="K35" s="74">
        <v>52001</v>
      </c>
      <c r="L35" s="6" t="e" cm="1">
        <f t="array" aca="1" ref="L35" ca="1">_xll.aqBondObjectCreateFromGenerator($C35,$L$4,_xll.aqToolLVBFromKeysValues($C$7:$K$7,$C35:$K35))</f>
        <v>#VALUE!</v>
      </c>
      <c r="M35" s="31">
        <v>3.3168191E-2</v>
      </c>
      <c r="N35" s="28">
        <v>94.843800000000002</v>
      </c>
      <c r="O35" s="7">
        <v>16.375</v>
      </c>
      <c r="P35" s="41">
        <v>1573.62</v>
      </c>
      <c r="Q35" s="19" t="e" cm="1">
        <f t="array" aca="1" ref="Q35" ca="1">_xll.aqBondObjectYield(L35,$C$4,R35)</f>
        <v>#VALUE!</v>
      </c>
      <c r="R35" s="27" t="e" cm="1">
        <f t="array" aca="1" ref="R35" ca="1">_xll.aqBondObjectPrice($L35,$C$4,$M35)</f>
        <v>#VALUE!</v>
      </c>
      <c r="S35" s="27" t="e" cm="1">
        <f t="array" aca="1" ref="S35" ca="1">_xll.aqBondObjectCleanPrice($L35,$C$4,$M35)</f>
        <v>#VALUE!</v>
      </c>
      <c r="T35" s="27" t="e" cm="1">
        <f t="array" aca="1" ref="T35" ca="1">_xll.aqBondObjectDirtyPrice($L35,$C$4,$M35)</f>
        <v>#VALUE!</v>
      </c>
      <c r="U35" s="8" t="e" cm="1">
        <f t="array" aca="1" ref="U35" ca="1">_xll.aqBondObjectModifiedDuration($L35,$C$4,$Q35)</f>
        <v>#VALUE!</v>
      </c>
      <c r="V35" s="39" t="e" cm="1">
        <f t="array" aca="1" ref="V35" ca="1">_xll.aqBondObjectDV01($L35,$C$4,$Q35)</f>
        <v>#VALUE!</v>
      </c>
    </row>
    <row r="36" spans="2:22">
      <c r="B36" s="87" t="s">
        <v>24</v>
      </c>
      <c r="C36" s="87" t="str">
        <f t="shared" si="1"/>
        <v>UST-2.75-AUG42</v>
      </c>
      <c r="D36" s="87" t="s">
        <v>25</v>
      </c>
      <c r="E36" s="88">
        <v>41136</v>
      </c>
      <c r="F36" s="89">
        <v>41136</v>
      </c>
      <c r="G36" s="90" t="str">
        <f t="shared" si="2"/>
        <v/>
      </c>
      <c r="H36" s="88">
        <v>41320</v>
      </c>
      <c r="I36" s="88">
        <v>51912</v>
      </c>
      <c r="J36" s="91">
        <v>2.75E-2</v>
      </c>
      <c r="K36" s="88">
        <v>52093</v>
      </c>
      <c r="L36" s="59" t="e" cm="1">
        <f t="array" aca="1" ref="L36" ca="1">_xll.aqBondObjectCreateFromGenerator($C36,$L$4,_xll.aqToolLVBFromKeysValues($C$7:$K$7,$C36:$K36))</f>
        <v>#VALUE!</v>
      </c>
      <c r="M36" s="92">
        <v>3.3203752999999996E-2</v>
      </c>
      <c r="N36" s="93">
        <v>90.656300000000002</v>
      </c>
      <c r="O36" s="94">
        <v>16.902999999999999</v>
      </c>
      <c r="P36" s="95">
        <v>1540.19</v>
      </c>
      <c r="Q36" s="96" t="e" cm="1">
        <f t="array" aca="1" ref="Q36" ca="1">_xll.aqBondObjectYield(L36,$C$4,R36)</f>
        <v>#VALUE!</v>
      </c>
      <c r="R36" s="97" t="e" cm="1">
        <f t="array" aca="1" ref="R36" ca="1">_xll.aqBondObjectPrice($L36,$C$4,$M36)</f>
        <v>#VALUE!</v>
      </c>
      <c r="S36" s="97" t="e" cm="1">
        <f t="array" aca="1" ref="S36" ca="1">_xll.aqBondObjectCleanPrice($L36,$C$4,$M36)</f>
        <v>#VALUE!</v>
      </c>
      <c r="T36" s="97" t="e" cm="1">
        <f t="array" aca="1" ref="T36" ca="1">_xll.aqBondObjectDirtyPrice($L36,$C$4,$M36)</f>
        <v>#VALUE!</v>
      </c>
      <c r="U36" s="104" t="e" cm="1">
        <f t="array" aca="1" ref="U36" ca="1">_xll.aqBondObjectModifiedDuration($L36,$C$4,$Q36)</f>
        <v>#VALUE!</v>
      </c>
      <c r="V36" s="107" t="e" cm="1">
        <f t="array" aca="1" ref="V36" ca="1">_xll.aqBondObjectDV01($L36,$C$4,$Q36)</f>
        <v>#VALUE!</v>
      </c>
    </row>
    <row r="37" spans="2:22">
      <c r="B37" s="73" t="s">
        <v>22</v>
      </c>
      <c r="C37" s="73" t="str">
        <f t="shared" si="1"/>
        <v>UST-2.75-NOV42</v>
      </c>
      <c r="D37" s="73" t="s">
        <v>23</v>
      </c>
      <c r="E37" s="74">
        <v>41228</v>
      </c>
      <c r="F37" s="75">
        <v>41228</v>
      </c>
      <c r="G37" s="76" t="str">
        <f t="shared" si="2"/>
        <v/>
      </c>
      <c r="H37" s="74">
        <v>41409</v>
      </c>
      <c r="I37" s="74">
        <v>52001</v>
      </c>
      <c r="J37" s="77">
        <v>2.75E-2</v>
      </c>
      <c r="K37" s="74">
        <v>52185</v>
      </c>
      <c r="L37" s="6" t="e" cm="1">
        <f t="array" aca="1" ref="L37" ca="1">_xll.aqBondObjectCreateFromGenerator($C37,$L$4,_xll.aqToolLVBFromKeysValues($C$7:$K$7,$C37:$K37))</f>
        <v>#VALUE!</v>
      </c>
      <c r="M37" s="31">
        <v>3.3233506999999995E-2</v>
      </c>
      <c r="N37" s="28">
        <v>90.546899999999994</v>
      </c>
      <c r="O37" s="7">
        <v>16.891500000000001</v>
      </c>
      <c r="P37" s="41">
        <v>1548.91</v>
      </c>
      <c r="Q37" s="19" t="e" cm="1">
        <f t="array" aca="1" ref="Q37" ca="1">_xll.aqBondObjectYield(L37,$C$4,R37)</f>
        <v>#VALUE!</v>
      </c>
      <c r="R37" s="27" t="e" cm="1">
        <f t="array" aca="1" ref="R37" ca="1">_xll.aqBondObjectPrice($L37,$C$4,$M37)</f>
        <v>#VALUE!</v>
      </c>
      <c r="S37" s="27" t="e" cm="1">
        <f t="array" aca="1" ref="S37" ca="1">_xll.aqBondObjectCleanPrice($L37,$C$4,$M37)</f>
        <v>#VALUE!</v>
      </c>
      <c r="T37" s="27" t="e" cm="1">
        <f t="array" aca="1" ref="T37" ca="1">_xll.aqBondObjectDirtyPrice($L37,$C$4,$M37)</f>
        <v>#VALUE!</v>
      </c>
      <c r="U37" s="8" t="e" cm="1">
        <f t="array" aca="1" ref="U37" ca="1">_xll.aqBondObjectModifiedDuration($L37,$C$4,$Q37)</f>
        <v>#VALUE!</v>
      </c>
      <c r="V37" s="39" t="e" cm="1">
        <f t="array" aca="1" ref="V37" ca="1">_xll.aqBondObjectDV01($L37,$C$4,$Q37)</f>
        <v>#VALUE!</v>
      </c>
    </row>
    <row r="38" spans="2:22">
      <c r="B38" s="87" t="s">
        <v>96</v>
      </c>
      <c r="C38" s="87" t="str">
        <f t="shared" si="1"/>
        <v>UST-3.125-FEB43</v>
      </c>
      <c r="D38" s="87" t="s">
        <v>97</v>
      </c>
      <c r="E38" s="88">
        <v>41320</v>
      </c>
      <c r="F38" s="89">
        <v>41320</v>
      </c>
      <c r="G38" s="90" t="str">
        <f t="shared" si="2"/>
        <v/>
      </c>
      <c r="H38" s="88">
        <v>41501</v>
      </c>
      <c r="I38" s="88">
        <v>52093</v>
      </c>
      <c r="J38" s="91">
        <v>3.125E-2</v>
      </c>
      <c r="K38" s="88">
        <v>52277</v>
      </c>
      <c r="L38" s="59" t="e" cm="1">
        <f t="array" aca="1" ref="L38" ca="1">_xll.aqBondObjectCreateFromGenerator($C38,$L$4,_xll.aqToolLVBFromKeysValues($C$7:$K$7,$C38:$K38))</f>
        <v>#VALUE!</v>
      </c>
      <c r="M38" s="92">
        <v>3.3234789000000001E-2</v>
      </c>
      <c r="N38" s="93">
        <v>96.703100000000006</v>
      </c>
      <c r="O38" s="94">
        <v>16.709800000000001</v>
      </c>
      <c r="P38" s="95">
        <v>1624.69</v>
      </c>
      <c r="Q38" s="96" t="e" cm="1">
        <f t="array" aca="1" ref="Q38" ca="1">_xll.aqBondObjectYield(L38,$C$4,R38)</f>
        <v>#VALUE!</v>
      </c>
      <c r="R38" s="97" t="e" cm="1">
        <f t="array" aca="1" ref="R38" ca="1">_xll.aqBondObjectPrice($L38,$C$4,$M38)</f>
        <v>#VALUE!</v>
      </c>
      <c r="S38" s="97" t="e" cm="1">
        <f t="array" aca="1" ref="S38" ca="1">_xll.aqBondObjectCleanPrice($L38,$C$4,$M38)</f>
        <v>#VALUE!</v>
      </c>
      <c r="T38" s="97" t="e" cm="1">
        <f t="array" aca="1" ref="T38" ca="1">_xll.aqBondObjectDirtyPrice($L38,$C$4,$M38)</f>
        <v>#VALUE!</v>
      </c>
      <c r="U38" s="104" t="e" cm="1">
        <f t="array" aca="1" ref="U38" ca="1">_xll.aqBondObjectModifiedDuration($L38,$C$4,$Q38)</f>
        <v>#VALUE!</v>
      </c>
      <c r="V38" s="107" t="e" cm="1">
        <f t="array" aca="1" ref="V38" ca="1">_xll.aqBondObjectDV01($L38,$C$4,$Q38)</f>
        <v>#VALUE!</v>
      </c>
    </row>
    <row r="39" spans="2:22">
      <c r="B39" s="73" t="s">
        <v>26</v>
      </c>
      <c r="C39" s="73" t="str">
        <f t="shared" si="1"/>
        <v>UST-2.875-MAY43</v>
      </c>
      <c r="D39" s="73" t="s">
        <v>27</v>
      </c>
      <c r="E39" s="74">
        <v>41409</v>
      </c>
      <c r="F39" s="75">
        <v>41409</v>
      </c>
      <c r="G39" s="76" t="str">
        <f t="shared" si="2"/>
        <v/>
      </c>
      <c r="H39" s="74">
        <v>41593</v>
      </c>
      <c r="I39" s="74">
        <v>52185</v>
      </c>
      <c r="J39" s="77">
        <v>2.8750000000000001E-2</v>
      </c>
      <c r="K39" s="74">
        <v>52366</v>
      </c>
      <c r="L39" s="6" t="e" cm="1">
        <f t="array" aca="1" ref="L39" ca="1">_xll.aqBondObjectCreateFromGenerator($C39,$L$4,_xll.aqToolLVBFromKeysValues($C$7:$K$7,$C39:$K39))</f>
        <v>#VALUE!</v>
      </c>
      <c r="M39" s="31">
        <v>3.3248174999999998E-2</v>
      </c>
      <c r="N39" s="28">
        <v>92.484399999999994</v>
      </c>
      <c r="O39" s="7">
        <v>16.970800000000001</v>
      </c>
      <c r="P39" s="41">
        <v>1589.95</v>
      </c>
      <c r="Q39" s="19" t="e" cm="1">
        <f t="array" aca="1" ref="Q39" ca="1">_xll.aqBondObjectYield(L39,$C$4,R39)</f>
        <v>#VALUE!</v>
      </c>
      <c r="R39" s="27" t="e" cm="1">
        <f t="array" aca="1" ref="R39" ca="1">_xll.aqBondObjectPrice($L39,$C$4,$M39)</f>
        <v>#VALUE!</v>
      </c>
      <c r="S39" s="27" t="e" cm="1">
        <f t="array" aca="1" ref="S39" ca="1">_xll.aqBondObjectCleanPrice($L39,$C$4,$M39)</f>
        <v>#VALUE!</v>
      </c>
      <c r="T39" s="27" t="e" cm="1">
        <f t="array" aca="1" ref="T39" ca="1">_xll.aqBondObjectDirtyPrice($L39,$C$4,$M39)</f>
        <v>#VALUE!</v>
      </c>
      <c r="U39" s="8" t="e" cm="1">
        <f t="array" aca="1" ref="U39" ca="1">_xll.aqBondObjectModifiedDuration($L39,$C$4,$Q39)</f>
        <v>#VALUE!</v>
      </c>
      <c r="V39" s="39" t="e" cm="1">
        <f t="array" aca="1" ref="V39" ca="1">_xll.aqBondObjectDV01($L39,$C$4,$Q39)</f>
        <v>#VALUE!</v>
      </c>
    </row>
    <row r="40" spans="2:22">
      <c r="B40" s="87" t="s">
        <v>80</v>
      </c>
      <c r="C40" s="87" t="str">
        <f t="shared" si="1"/>
        <v>UST-3.625-AUG43</v>
      </c>
      <c r="D40" s="87" t="s">
        <v>81</v>
      </c>
      <c r="E40" s="88">
        <v>41501</v>
      </c>
      <c r="F40" s="89">
        <v>41501</v>
      </c>
      <c r="G40" s="90" t="str">
        <f t="shared" si="2"/>
        <v/>
      </c>
      <c r="H40" s="88">
        <v>41685</v>
      </c>
      <c r="I40" s="88">
        <v>52277</v>
      </c>
      <c r="J40" s="91">
        <v>3.6249999999999998E-2</v>
      </c>
      <c r="K40" s="88">
        <v>52458</v>
      </c>
      <c r="L40" s="59" t="e" cm="1">
        <f t="array" aca="1" ref="L40" ca="1">_xll.aqBondObjectCreateFromGenerator($C40,$L$4,_xll.aqToolLVBFromKeysValues($C$7:$K$7,$C40:$K40))</f>
        <v>#VALUE!</v>
      </c>
      <c r="M40" s="92">
        <v>3.3237541999999995E-2</v>
      </c>
      <c r="N40" s="93">
        <v>105.0625</v>
      </c>
      <c r="O40" s="94">
        <v>16.432700000000001</v>
      </c>
      <c r="P40" s="95">
        <v>1736.5</v>
      </c>
      <c r="Q40" s="96" t="e" cm="1">
        <f t="array" aca="1" ref="Q40" ca="1">_xll.aqBondObjectYield(L40,$C$4,R40)</f>
        <v>#VALUE!</v>
      </c>
      <c r="R40" s="97" t="e" cm="1">
        <f t="array" aca="1" ref="R40" ca="1">_xll.aqBondObjectPrice($L40,$C$4,$M40)</f>
        <v>#VALUE!</v>
      </c>
      <c r="S40" s="97" t="e" cm="1">
        <f t="array" aca="1" ref="S40" ca="1">_xll.aqBondObjectCleanPrice($L40,$C$4,$M40)</f>
        <v>#VALUE!</v>
      </c>
      <c r="T40" s="97" t="e" cm="1">
        <f t="array" aca="1" ref="T40" ca="1">_xll.aqBondObjectDirtyPrice($L40,$C$4,$M40)</f>
        <v>#VALUE!</v>
      </c>
      <c r="U40" s="104" t="e" cm="1">
        <f t="array" aca="1" ref="U40" ca="1">_xll.aqBondObjectModifiedDuration($L40,$C$4,$Q40)</f>
        <v>#VALUE!</v>
      </c>
      <c r="V40" s="107" t="e" cm="1">
        <f t="array" aca="1" ref="V40" ca="1">_xll.aqBondObjectDV01($L40,$C$4,$Q40)</f>
        <v>#VALUE!</v>
      </c>
    </row>
    <row r="41" spans="2:22">
      <c r="B41" s="73" t="s">
        <v>76</v>
      </c>
      <c r="C41" s="73" t="str">
        <f t="shared" si="1"/>
        <v>UST-3.75-NOV43</v>
      </c>
      <c r="D41" s="73" t="s">
        <v>77</v>
      </c>
      <c r="E41" s="74">
        <v>41593</v>
      </c>
      <c r="F41" s="75">
        <v>41593</v>
      </c>
      <c r="G41" s="76" t="str">
        <f t="shared" si="2"/>
        <v/>
      </c>
      <c r="H41" s="74">
        <v>41774</v>
      </c>
      <c r="I41" s="74">
        <v>52366</v>
      </c>
      <c r="J41" s="77">
        <v>3.7499999999999999E-2</v>
      </c>
      <c r="K41" s="74">
        <v>52550</v>
      </c>
      <c r="L41" s="6" t="e" cm="1">
        <f t="array" aca="1" ref="L41" ca="1">_xll.aqBondObjectCreateFromGenerator($C41,$L$4,_xll.aqToolLVBFromKeysValues($C$7:$K$7,$C41:$K41))</f>
        <v>#VALUE!</v>
      </c>
      <c r="M41" s="31">
        <v>3.3233831999999998E-2</v>
      </c>
      <c r="N41" s="28">
        <v>107.2188</v>
      </c>
      <c r="O41" s="7">
        <v>16.282800000000002</v>
      </c>
      <c r="P41" s="41">
        <v>1771.37</v>
      </c>
      <c r="Q41" s="19" t="e" cm="1">
        <f t="array" aca="1" ref="Q41" ca="1">_xll.aqBondObjectYield(L41,$C$4,R41)</f>
        <v>#VALUE!</v>
      </c>
      <c r="R41" s="27" t="e" cm="1">
        <f t="array" aca="1" ref="R41" ca="1">_xll.aqBondObjectPrice($L41,$C$4,$M41)</f>
        <v>#VALUE!</v>
      </c>
      <c r="S41" s="27" t="e" cm="1">
        <f t="array" aca="1" ref="S41" ca="1">_xll.aqBondObjectCleanPrice($L41,$C$4,$M41)</f>
        <v>#VALUE!</v>
      </c>
      <c r="T41" s="27" t="e" cm="1">
        <f t="array" aca="1" ref="T41" ca="1">_xll.aqBondObjectDirtyPrice($L41,$C$4,$M41)</f>
        <v>#VALUE!</v>
      </c>
      <c r="U41" s="8" t="e" cm="1">
        <f t="array" aca="1" ref="U41" ca="1">_xll.aqBondObjectModifiedDuration($L41,$C$4,$Q41)</f>
        <v>#VALUE!</v>
      </c>
      <c r="V41" s="39" t="e" cm="1">
        <f t="array" aca="1" ref="V41" ca="1">_xll.aqBondObjectDV01($L41,$C$4,$Q41)</f>
        <v>#VALUE!</v>
      </c>
    </row>
    <row r="42" spans="2:22">
      <c r="B42" s="87" t="s">
        <v>82</v>
      </c>
      <c r="C42" s="87" t="str">
        <f t="shared" si="1"/>
        <v>UST-3.625-FEB44</v>
      </c>
      <c r="D42" s="87" t="s">
        <v>83</v>
      </c>
      <c r="E42" s="88">
        <v>41688</v>
      </c>
      <c r="F42" s="89">
        <v>41685</v>
      </c>
      <c r="G42" s="90" t="str">
        <f t="shared" si="2"/>
        <v/>
      </c>
      <c r="H42" s="88">
        <v>41866</v>
      </c>
      <c r="I42" s="88">
        <v>52458</v>
      </c>
      <c r="J42" s="91">
        <v>3.6249999999999998E-2</v>
      </c>
      <c r="K42" s="88">
        <v>52642</v>
      </c>
      <c r="L42" s="59" t="e" cm="1">
        <f t="array" aca="1" ref="L42" ca="1">_xll.aqBondObjectCreateFromGenerator($C42,$L$4,_xll.aqToolLVBFromKeysValues($C$7:$K$7,$C42:$K42))</f>
        <v>#VALUE!</v>
      </c>
      <c r="M42" s="92">
        <v>3.3239160999999996E-2</v>
      </c>
      <c r="N42" s="93">
        <v>105.125</v>
      </c>
      <c r="O42" s="94">
        <v>16.643000000000001</v>
      </c>
      <c r="P42" s="95">
        <v>1759.76</v>
      </c>
      <c r="Q42" s="96" t="e" cm="1">
        <f t="array" aca="1" ref="Q42" ca="1">_xll.aqBondObjectYield(L42,$C$4,R42)</f>
        <v>#VALUE!</v>
      </c>
      <c r="R42" s="97" t="e" cm="1">
        <f t="array" aca="1" ref="R42" ca="1">_xll.aqBondObjectPrice($L42,$C$4,$M42)</f>
        <v>#VALUE!</v>
      </c>
      <c r="S42" s="97" t="e" cm="1">
        <f t="array" aca="1" ref="S42" ca="1">_xll.aqBondObjectCleanPrice($L42,$C$4,$M42)</f>
        <v>#VALUE!</v>
      </c>
      <c r="T42" s="97" t="e" cm="1">
        <f t="array" aca="1" ref="T42" ca="1">_xll.aqBondObjectDirtyPrice($L42,$C$4,$M42)</f>
        <v>#VALUE!</v>
      </c>
      <c r="U42" s="104" t="e" cm="1">
        <f t="array" aca="1" ref="U42" ca="1">_xll.aqBondObjectModifiedDuration($L42,$C$4,$Q42)</f>
        <v>#VALUE!</v>
      </c>
      <c r="V42" s="107" t="e" cm="1">
        <f t="array" aca="1" ref="V42" ca="1">_xll.aqBondObjectDV01($L42,$C$4,$Q42)</f>
        <v>#VALUE!</v>
      </c>
    </row>
    <row r="43" spans="2:22">
      <c r="B43" s="73" t="s">
        <v>90</v>
      </c>
      <c r="C43" s="73" t="str">
        <f t="shared" si="1"/>
        <v>UST-3.375-MAY44</v>
      </c>
      <c r="D43" s="73" t="s">
        <v>91</v>
      </c>
      <c r="E43" s="74">
        <v>41774</v>
      </c>
      <c r="F43" s="75">
        <v>41774</v>
      </c>
      <c r="G43" s="76" t="str">
        <f t="shared" si="2"/>
        <v/>
      </c>
      <c r="H43" s="74">
        <v>41958</v>
      </c>
      <c r="I43" s="74">
        <v>52550</v>
      </c>
      <c r="J43" s="77">
        <v>3.3750000000000002E-2</v>
      </c>
      <c r="K43" s="74">
        <v>52732</v>
      </c>
      <c r="L43" s="6" t="e" cm="1">
        <f t="array" aca="1" ref="L43" ca="1">_xll.aqBondObjectCreateFromGenerator($C43,$L$4,_xll.aqToolLVBFromKeysValues($C$7:$K$7,$C43:$K43))</f>
        <v>#VALUE!</v>
      </c>
      <c r="M43" s="31">
        <v>3.3238393999999997E-2</v>
      </c>
      <c r="N43" s="28">
        <v>100.875</v>
      </c>
      <c r="O43" s="7">
        <v>16.852399999999999</v>
      </c>
      <c r="P43" s="41">
        <v>1723.79</v>
      </c>
      <c r="Q43" s="19" t="e" cm="1">
        <f t="array" aca="1" ref="Q43" ca="1">_xll.aqBondObjectYield(L43,$C$4,R43)</f>
        <v>#VALUE!</v>
      </c>
      <c r="R43" s="27" t="e" cm="1">
        <f t="array" aca="1" ref="R43" ca="1">_xll.aqBondObjectPrice($L43,$C$4,$M43)</f>
        <v>#VALUE!</v>
      </c>
      <c r="S43" s="27" t="e" cm="1">
        <f t="array" aca="1" ref="S43" ca="1">_xll.aqBondObjectCleanPrice($L43,$C$4,$M43)</f>
        <v>#VALUE!</v>
      </c>
      <c r="T43" s="27" t="e" cm="1">
        <f t="array" aca="1" ref="T43" ca="1">_xll.aqBondObjectDirtyPrice($L43,$C$4,$M43)</f>
        <v>#VALUE!</v>
      </c>
      <c r="U43" s="8" t="e" cm="1">
        <f t="array" aca="1" ref="U43" ca="1">_xll.aqBondObjectModifiedDuration($L43,$C$4,$Q43)</f>
        <v>#VALUE!</v>
      </c>
      <c r="V43" s="39" t="e" cm="1">
        <f t="array" aca="1" ref="V43" ca="1">_xll.aqBondObjectDV01($L43,$C$4,$Q43)</f>
        <v>#VALUE!</v>
      </c>
    </row>
    <row r="44" spans="2:22">
      <c r="B44" s="87" t="s">
        <v>100</v>
      </c>
      <c r="C44" s="87" t="str">
        <f t="shared" si="1"/>
        <v>UST-3.125-AUG44</v>
      </c>
      <c r="D44" s="87" t="s">
        <v>101</v>
      </c>
      <c r="E44" s="88">
        <v>41866</v>
      </c>
      <c r="F44" s="89">
        <v>41866</v>
      </c>
      <c r="G44" s="90" t="str">
        <f t="shared" si="2"/>
        <v/>
      </c>
      <c r="H44" s="88">
        <v>42050</v>
      </c>
      <c r="I44" s="88">
        <v>52642</v>
      </c>
      <c r="J44" s="91">
        <v>3.125E-2</v>
      </c>
      <c r="K44" s="88">
        <v>52824</v>
      </c>
      <c r="L44" s="59" t="e" cm="1">
        <f t="array" aca="1" ref="L44" ca="1">_xll.aqBondObjectCreateFromGenerator($C44,$L$4,_xll.aqToolLVBFromKeysValues($C$7:$K$7,$C44:$K44))</f>
        <v>#VALUE!</v>
      </c>
      <c r="M44" s="92">
        <v>3.3260105999999998E-2</v>
      </c>
      <c r="N44" s="93">
        <v>96.531199999999998</v>
      </c>
      <c r="O44" s="94">
        <v>17.367000000000001</v>
      </c>
      <c r="P44" s="95">
        <v>1685.6</v>
      </c>
      <c r="Q44" s="96" t="e" cm="1">
        <f t="array" aca="1" ref="Q44" ca="1">_xll.aqBondObjectYield(L44,$C$4,R44)</f>
        <v>#VALUE!</v>
      </c>
      <c r="R44" s="97" t="e" cm="1">
        <f t="array" aca="1" ref="R44" ca="1">_xll.aqBondObjectPrice($L44,$C$4,$M44)</f>
        <v>#VALUE!</v>
      </c>
      <c r="S44" s="97" t="e" cm="1">
        <f t="array" aca="1" ref="S44" ca="1">_xll.aqBondObjectCleanPrice($L44,$C$4,$M44)</f>
        <v>#VALUE!</v>
      </c>
      <c r="T44" s="97" t="e" cm="1">
        <f t="array" aca="1" ref="T44" ca="1">_xll.aqBondObjectDirtyPrice($L44,$C$4,$M44)</f>
        <v>#VALUE!</v>
      </c>
      <c r="U44" s="104" t="e" cm="1">
        <f t="array" aca="1" ref="U44" ca="1">_xll.aqBondObjectModifiedDuration($L44,$C$4,$Q44)</f>
        <v>#VALUE!</v>
      </c>
      <c r="V44" s="107" t="e" cm="1">
        <f t="array" aca="1" ref="V44" ca="1">_xll.aqBondObjectDV01($L44,$C$4,$Q44)</f>
        <v>#VALUE!</v>
      </c>
    </row>
    <row r="45" spans="2:22">
      <c r="B45" s="73" t="s">
        <v>28</v>
      </c>
      <c r="C45" s="73" t="str">
        <f t="shared" si="1"/>
        <v>UST-3-NOV44</v>
      </c>
      <c r="D45" s="73" t="s">
        <v>29</v>
      </c>
      <c r="E45" s="74">
        <v>41960</v>
      </c>
      <c r="F45" s="75">
        <v>41958</v>
      </c>
      <c r="G45" s="76" t="str">
        <f t="shared" si="2"/>
        <v/>
      </c>
      <c r="H45" s="74">
        <v>42139</v>
      </c>
      <c r="I45" s="74">
        <v>52732</v>
      </c>
      <c r="J45" s="77">
        <v>0.03</v>
      </c>
      <c r="K45" s="74">
        <v>52916</v>
      </c>
      <c r="L45" s="6" t="e" cm="1">
        <f t="array" aca="1" ref="L45" ca="1">_xll.aqBondObjectCreateFromGenerator($C45,$L$4,_xll.aqToolLVBFromKeysValues($C$7:$K$7,$C45:$K45))</f>
        <v>#VALUE!</v>
      </c>
      <c r="M45" s="31">
        <v>3.3259548999999999E-2</v>
      </c>
      <c r="N45" s="28">
        <v>94.343800000000002</v>
      </c>
      <c r="O45" s="7">
        <v>17.480899999999998</v>
      </c>
      <c r="P45" s="41">
        <v>1671.16</v>
      </c>
      <c r="Q45" s="19" t="e" cm="1">
        <f t="array" aca="1" ref="Q45" ca="1">_xll.aqBondObjectYield(L45,$C$4,R45)</f>
        <v>#VALUE!</v>
      </c>
      <c r="R45" s="27" t="e" cm="1">
        <f t="array" aca="1" ref="R45" ca="1">_xll.aqBondObjectPrice($L45,$C$4,$M45)</f>
        <v>#VALUE!</v>
      </c>
      <c r="S45" s="27" t="e" cm="1">
        <f t="array" aca="1" ref="S45" ca="1">_xll.aqBondObjectCleanPrice($L45,$C$4,$M45)</f>
        <v>#VALUE!</v>
      </c>
      <c r="T45" s="27" t="e" cm="1">
        <f t="array" aca="1" ref="T45" ca="1">_xll.aqBondObjectDirtyPrice($L45,$C$4,$M45)</f>
        <v>#VALUE!</v>
      </c>
      <c r="U45" s="8" t="e" cm="1">
        <f t="array" aca="1" ref="U45" ca="1">_xll.aqBondObjectModifiedDuration($L45,$C$4,$Q45)</f>
        <v>#VALUE!</v>
      </c>
      <c r="V45" s="39" t="e" cm="1">
        <f t="array" aca="1" ref="V45" ca="1">_xll.aqBondObjectDV01($L45,$C$4,$Q45)</f>
        <v>#VALUE!</v>
      </c>
    </row>
    <row r="46" spans="2:22">
      <c r="B46" s="87" t="s">
        <v>86</v>
      </c>
      <c r="C46" s="87" t="str">
        <f t="shared" si="1"/>
        <v>UST-2.5-FEB45</v>
      </c>
      <c r="D46" s="87" t="s">
        <v>87</v>
      </c>
      <c r="E46" s="88">
        <v>42052</v>
      </c>
      <c r="F46" s="89">
        <v>42050</v>
      </c>
      <c r="G46" s="90" t="str">
        <f t="shared" si="2"/>
        <v/>
      </c>
      <c r="H46" s="88">
        <v>42231</v>
      </c>
      <c r="I46" s="88">
        <v>52824</v>
      </c>
      <c r="J46" s="91">
        <v>2.5000000000000001E-2</v>
      </c>
      <c r="K46" s="88">
        <v>53008</v>
      </c>
      <c r="L46" s="59" t="e" cm="1">
        <f t="array" aca="1" ref="L46" ca="1">_xll.aqBondObjectCreateFromGenerator($C46,$L$4,_xll.aqToolLVBFromKeysValues($C$7:$K$7,$C46:$K46))</f>
        <v>#VALUE!</v>
      </c>
      <c r="M46" s="92">
        <v>3.3302183999999999E-2</v>
      </c>
      <c r="N46" s="93">
        <v>85.515600000000006</v>
      </c>
      <c r="O46" s="94">
        <v>18.387599999999999</v>
      </c>
      <c r="P46" s="95">
        <v>1580.17</v>
      </c>
      <c r="Q46" s="96" t="e" cm="1">
        <f t="array" aca="1" ref="Q46" ca="1">_xll.aqBondObjectYield(L46,$C$4,R46)</f>
        <v>#VALUE!</v>
      </c>
      <c r="R46" s="97" t="e" cm="1">
        <f t="array" aca="1" ref="R46" ca="1">_xll.aqBondObjectPrice($L46,$C$4,$M46)</f>
        <v>#VALUE!</v>
      </c>
      <c r="S46" s="97" t="e" cm="1">
        <f t="array" aca="1" ref="S46" ca="1">_xll.aqBondObjectCleanPrice($L46,$C$4,$M46)</f>
        <v>#VALUE!</v>
      </c>
      <c r="T46" s="97" t="e" cm="1">
        <f t="array" aca="1" ref="T46" ca="1">_xll.aqBondObjectDirtyPrice($L46,$C$4,$M46)</f>
        <v>#VALUE!</v>
      </c>
      <c r="U46" s="104" t="e" cm="1">
        <f t="array" aca="1" ref="U46" ca="1">_xll.aqBondObjectModifiedDuration($L46,$C$4,$Q46)</f>
        <v>#VALUE!</v>
      </c>
      <c r="V46" s="107" t="e" cm="1">
        <f t="array" aca="1" ref="V46" ca="1">_xll.aqBondObjectDV01($L46,$C$4,$Q46)</f>
        <v>#VALUE!</v>
      </c>
    </row>
    <row r="47" spans="2:22">
      <c r="B47" s="73" t="s">
        <v>106</v>
      </c>
      <c r="C47" s="73" t="str">
        <f t="shared" si="1"/>
        <v>UST-3-MAY45</v>
      </c>
      <c r="D47" s="73" t="s">
        <v>107</v>
      </c>
      <c r="E47" s="74">
        <v>42139</v>
      </c>
      <c r="F47" s="75">
        <v>42139</v>
      </c>
      <c r="G47" s="76" t="str">
        <f t="shared" si="2"/>
        <v/>
      </c>
      <c r="H47" s="74">
        <v>42323</v>
      </c>
      <c r="I47" s="74">
        <v>52916</v>
      </c>
      <c r="J47" s="77">
        <v>0.03</v>
      </c>
      <c r="K47" s="74">
        <v>53097</v>
      </c>
      <c r="L47" s="6" t="e" cm="1">
        <f t="array" aca="1" ref="L47" ca="1">_xll.aqBondObjectCreateFromGenerator($C47,$L$4,_xll.aqToolLVBFromKeysValues($C$7:$K$7,$C47:$K47))</f>
        <v>#VALUE!</v>
      </c>
      <c r="M47" s="31">
        <v>3.3265649000000001E-2</v>
      </c>
      <c r="N47" s="28">
        <v>94.265600000000006</v>
      </c>
      <c r="O47" s="7">
        <v>17.692</v>
      </c>
      <c r="P47" s="41">
        <v>1689.96</v>
      </c>
      <c r="Q47" s="19" t="e" cm="1">
        <f t="array" aca="1" ref="Q47" ca="1">_xll.aqBondObjectYield(L47,$C$4,R47)</f>
        <v>#VALUE!</v>
      </c>
      <c r="R47" s="27" t="e" cm="1">
        <f t="array" aca="1" ref="R47" ca="1">_xll.aqBondObjectPrice($L47,$C$4,$M47)</f>
        <v>#VALUE!</v>
      </c>
      <c r="S47" s="27" t="e" cm="1">
        <f t="array" aca="1" ref="S47" ca="1">_xll.aqBondObjectCleanPrice($L47,$C$4,$M47)</f>
        <v>#VALUE!</v>
      </c>
      <c r="T47" s="27" t="e" cm="1">
        <f t="array" aca="1" ref="T47" ca="1">_xll.aqBondObjectDirtyPrice($L47,$C$4,$M47)</f>
        <v>#VALUE!</v>
      </c>
      <c r="U47" s="8" t="e" cm="1">
        <f t="array" aca="1" ref="U47" ca="1">_xll.aqBondObjectModifiedDuration($L47,$C$4,$Q47)</f>
        <v>#VALUE!</v>
      </c>
      <c r="V47" s="39" t="e" cm="1">
        <f t="array" aca="1" ref="V47" ca="1">_xll.aqBondObjectDV01($L47,$C$4,$Q47)</f>
        <v>#VALUE!</v>
      </c>
    </row>
    <row r="48" spans="2:22">
      <c r="B48" s="87" t="s">
        <v>98</v>
      </c>
      <c r="C48" s="87" t="str">
        <f t="shared" si="1"/>
        <v>UST-2.875-AUG45</v>
      </c>
      <c r="D48" s="87" t="s">
        <v>99</v>
      </c>
      <c r="E48" s="88">
        <v>42233</v>
      </c>
      <c r="F48" s="89">
        <v>42231</v>
      </c>
      <c r="G48" s="90" t="str">
        <f t="shared" si="2"/>
        <v/>
      </c>
      <c r="H48" s="88">
        <v>42415</v>
      </c>
      <c r="I48" s="88">
        <v>53008</v>
      </c>
      <c r="J48" s="91">
        <v>2.8750000000000001E-2</v>
      </c>
      <c r="K48" s="88">
        <v>53189</v>
      </c>
      <c r="L48" s="59" t="e" cm="1">
        <f t="array" aca="1" ref="L48" ca="1">_xll.aqBondObjectCreateFromGenerator($C48,$L$4,_xll.aqToolLVBFromKeysValues($C$7:$K$7,$C48:$K48))</f>
        <v>#VALUE!</v>
      </c>
      <c r="M48" s="92">
        <v>3.3289308000000004E-2</v>
      </c>
      <c r="N48" s="93">
        <v>91.984399999999994</v>
      </c>
      <c r="O48" s="94">
        <v>18.0928</v>
      </c>
      <c r="P48" s="95">
        <v>1673.02</v>
      </c>
      <c r="Q48" s="96" t="e" cm="1">
        <f t="array" aca="1" ref="Q48" ca="1">_xll.aqBondObjectYield(L48,$C$4,R48)</f>
        <v>#VALUE!</v>
      </c>
      <c r="R48" s="97" t="e" cm="1">
        <f t="array" aca="1" ref="R48" ca="1">_xll.aqBondObjectPrice($L48,$C$4,$M48)</f>
        <v>#VALUE!</v>
      </c>
      <c r="S48" s="97" t="e" cm="1">
        <f t="array" aca="1" ref="S48" ca="1">_xll.aqBondObjectCleanPrice($L48,$C$4,$M48)</f>
        <v>#VALUE!</v>
      </c>
      <c r="T48" s="97" t="e" cm="1">
        <f t="array" aca="1" ref="T48" ca="1">_xll.aqBondObjectDirtyPrice($L48,$C$4,$M48)</f>
        <v>#VALUE!</v>
      </c>
      <c r="U48" s="104" t="e" cm="1">
        <f t="array" aca="1" ref="U48" ca="1">_xll.aqBondObjectModifiedDuration($L48,$C$4,$Q48)</f>
        <v>#VALUE!</v>
      </c>
      <c r="V48" s="107" t="e" cm="1">
        <f t="array" aca="1" ref="V48" ca="1">_xll.aqBondObjectDV01($L48,$C$4,$Q48)</f>
        <v>#VALUE!</v>
      </c>
    </row>
    <row r="49" spans="2:22">
      <c r="B49" s="73" t="s">
        <v>104</v>
      </c>
      <c r="C49" s="73" t="str">
        <f t="shared" si="1"/>
        <v>UST-3-NOV45</v>
      </c>
      <c r="D49" s="73" t="s">
        <v>105</v>
      </c>
      <c r="E49" s="74">
        <v>42324</v>
      </c>
      <c r="F49" s="75">
        <v>42323</v>
      </c>
      <c r="G49" s="76" t="str">
        <f t="shared" si="2"/>
        <v/>
      </c>
      <c r="H49" s="74">
        <v>42505</v>
      </c>
      <c r="I49" s="74">
        <v>53097</v>
      </c>
      <c r="J49" s="77">
        <v>0.03</v>
      </c>
      <c r="K49" s="74">
        <v>53281</v>
      </c>
      <c r="L49" s="6" t="e" cm="1">
        <f t="array" aca="1" ref="L49" ca="1">_xll.aqBondObjectCreateFromGenerator($C49,$L$4,_xll.aqToolLVBFromKeysValues($C$7:$K$7,$C49:$K49))</f>
        <v>#VALUE!</v>
      </c>
      <c r="M49" s="31">
        <v>3.3272266000000002E-2</v>
      </c>
      <c r="N49" s="28">
        <v>94.1875</v>
      </c>
      <c r="O49" s="7">
        <v>17.8994</v>
      </c>
      <c r="P49" s="41">
        <v>1708.37</v>
      </c>
      <c r="Q49" s="19" t="e" cm="1">
        <f t="array" aca="1" ref="Q49" ca="1">_xll.aqBondObjectYield(L49,$C$4,R49)</f>
        <v>#VALUE!</v>
      </c>
      <c r="R49" s="27" t="e" cm="1">
        <f t="array" aca="1" ref="R49" ca="1">_xll.aqBondObjectPrice($L49,$C$4,$M49)</f>
        <v>#VALUE!</v>
      </c>
      <c r="S49" s="27" t="e" cm="1">
        <f t="array" aca="1" ref="S49" ca="1">_xll.aqBondObjectCleanPrice($L49,$C$4,$M49)</f>
        <v>#VALUE!</v>
      </c>
      <c r="T49" s="27" t="e" cm="1">
        <f t="array" aca="1" ref="T49" ca="1">_xll.aqBondObjectDirtyPrice($L49,$C$4,$M49)</f>
        <v>#VALUE!</v>
      </c>
      <c r="U49" s="8" t="e" cm="1">
        <f t="array" aca="1" ref="U49" ca="1">_xll.aqBondObjectModifiedDuration($L49,$C$4,$Q49)</f>
        <v>#VALUE!</v>
      </c>
      <c r="V49" s="39" t="e" cm="1">
        <f t="array" aca="1" ref="V49" ca="1">_xll.aqBondObjectDV01($L49,$C$4,$Q49)</f>
        <v>#VALUE!</v>
      </c>
    </row>
    <row r="50" spans="2:22">
      <c r="B50" s="87" t="s">
        <v>88</v>
      </c>
      <c r="C50" s="87" t="str">
        <f t="shared" si="1"/>
        <v>UST-2.5-FEB46</v>
      </c>
      <c r="D50" s="87" t="s">
        <v>89</v>
      </c>
      <c r="E50" s="88">
        <v>42416</v>
      </c>
      <c r="F50" s="89">
        <v>42415</v>
      </c>
      <c r="G50" s="90" t="str">
        <f t="shared" si="2"/>
        <v/>
      </c>
      <c r="H50" s="88">
        <v>42597</v>
      </c>
      <c r="I50" s="88">
        <v>53189</v>
      </c>
      <c r="J50" s="91">
        <v>2.5000000000000001E-2</v>
      </c>
      <c r="K50" s="88">
        <v>53373</v>
      </c>
      <c r="L50" s="59" t="e" cm="1">
        <f t="array" aca="1" ref="L50" ca="1">_xll.aqBondObjectCreateFromGenerator($C50,$L$4,_xll.aqToolLVBFromKeysValues($C$7:$K$7,$C50:$K50))</f>
        <v>#VALUE!</v>
      </c>
      <c r="M50" s="92">
        <v>3.3324253999999998E-2</v>
      </c>
      <c r="N50" s="93">
        <v>85.140600000000006</v>
      </c>
      <c r="O50" s="94">
        <v>18.830300000000001</v>
      </c>
      <c r="P50" s="95">
        <v>1611.16</v>
      </c>
      <c r="Q50" s="96" t="e" cm="1">
        <f t="array" aca="1" ref="Q50" ca="1">_xll.aqBondObjectYield(L50,$C$4,R50)</f>
        <v>#VALUE!</v>
      </c>
      <c r="R50" s="97" t="e" cm="1">
        <f t="array" aca="1" ref="R50" ca="1">_xll.aqBondObjectPrice($L50,$C$4,$M50)</f>
        <v>#VALUE!</v>
      </c>
      <c r="S50" s="97" t="e" cm="1">
        <f t="array" aca="1" ref="S50" ca="1">_xll.aqBondObjectCleanPrice($L50,$C$4,$M50)</f>
        <v>#VALUE!</v>
      </c>
      <c r="T50" s="97" t="e" cm="1">
        <f t="array" aca="1" ref="T50" ca="1">_xll.aqBondObjectDirtyPrice($L50,$C$4,$M50)</f>
        <v>#VALUE!</v>
      </c>
      <c r="U50" s="104" t="e" cm="1">
        <f t="array" aca="1" ref="U50" ca="1">_xll.aqBondObjectModifiedDuration($L50,$C$4,$Q50)</f>
        <v>#VALUE!</v>
      </c>
      <c r="V50" s="107" t="e" cm="1">
        <f t="array" aca="1" ref="V50" ca="1">_xll.aqBondObjectDV01($L50,$C$4,$Q50)</f>
        <v>#VALUE!</v>
      </c>
    </row>
    <row r="51" spans="2:22">
      <c r="B51" s="73" t="s">
        <v>84</v>
      </c>
      <c r="C51" s="73" t="str">
        <f t="shared" si="1"/>
        <v>UST-2.5-MAY46</v>
      </c>
      <c r="D51" s="73" t="s">
        <v>85</v>
      </c>
      <c r="E51" s="74">
        <v>42506</v>
      </c>
      <c r="F51" s="75">
        <v>42505</v>
      </c>
      <c r="G51" s="76" t="str">
        <f t="shared" si="2"/>
        <v/>
      </c>
      <c r="H51" s="74">
        <v>42689</v>
      </c>
      <c r="I51" s="74">
        <v>53281</v>
      </c>
      <c r="J51" s="77">
        <v>2.5000000000000001E-2</v>
      </c>
      <c r="K51" s="74">
        <v>53462</v>
      </c>
      <c r="L51" s="6" t="e" cm="1">
        <f t="array" aca="1" ref="L51" ca="1">_xll.aqBondObjectCreateFromGenerator($C51,$L$4,_xll.aqToolLVBFromKeysValues($C$7:$K$7,$C51:$K51))</f>
        <v>#VALUE!</v>
      </c>
      <c r="M51" s="31">
        <v>3.3331265999999998E-2</v>
      </c>
      <c r="N51" s="28">
        <v>85.046899999999994</v>
      </c>
      <c r="O51" s="7">
        <v>18.8005</v>
      </c>
      <c r="P51" s="41">
        <v>1618.59</v>
      </c>
      <c r="Q51" s="19" t="e" cm="1">
        <f t="array" aca="1" ref="Q51" ca="1">_xll.aqBondObjectYield(L51,$C$4,R51)</f>
        <v>#VALUE!</v>
      </c>
      <c r="R51" s="27" t="e" cm="1">
        <f t="array" aca="1" ref="R51" ca="1">_xll.aqBondObjectPrice($L51,$C$4,$M51)</f>
        <v>#VALUE!</v>
      </c>
      <c r="S51" s="27" t="e" cm="1">
        <f t="array" aca="1" ref="S51" ca="1">_xll.aqBondObjectCleanPrice($L51,$C$4,$M51)</f>
        <v>#VALUE!</v>
      </c>
      <c r="T51" s="27" t="e" cm="1">
        <f t="array" aca="1" ref="T51" ca="1">_xll.aqBondObjectDirtyPrice($L51,$C$4,$M51)</f>
        <v>#VALUE!</v>
      </c>
      <c r="U51" s="8" t="e" cm="1">
        <f t="array" aca="1" ref="U51" ca="1">_xll.aqBondObjectModifiedDuration($L51,$C$4,$Q51)</f>
        <v>#VALUE!</v>
      </c>
      <c r="V51" s="39" t="e" cm="1">
        <f t="array" aca="1" ref="V51" ca="1">_xll.aqBondObjectDV01($L51,$C$4,$Q51)</f>
        <v>#VALUE!</v>
      </c>
    </row>
    <row r="52" spans="2:22">
      <c r="B52" s="87" t="s">
        <v>78</v>
      </c>
      <c r="C52" s="87" t="str">
        <f t="shared" si="1"/>
        <v>UST-2.25-AUG46</v>
      </c>
      <c r="D52" s="87" t="s">
        <v>79</v>
      </c>
      <c r="E52" s="88">
        <v>42597</v>
      </c>
      <c r="F52" s="89">
        <v>42597</v>
      </c>
      <c r="G52" s="90" t="str">
        <f t="shared" si="2"/>
        <v/>
      </c>
      <c r="H52" s="88">
        <v>42781</v>
      </c>
      <c r="I52" s="88">
        <v>53373</v>
      </c>
      <c r="J52" s="91">
        <v>2.2499999999999999E-2</v>
      </c>
      <c r="K52" s="88">
        <v>53554</v>
      </c>
      <c r="L52" s="59" t="e" cm="1">
        <f t="array" aca="1" ref="L52" ca="1">_xll.aqBondObjectCreateFromGenerator($C52,$L$4,_xll.aqToolLVBFromKeysValues($C$7:$K$7,$C52:$K52))</f>
        <v>#VALUE!</v>
      </c>
      <c r="M52" s="92">
        <v>3.3330628000000001E-2</v>
      </c>
      <c r="N52" s="93">
        <v>80.453100000000006</v>
      </c>
      <c r="O52" s="94">
        <v>19.457100000000001</v>
      </c>
      <c r="P52" s="95">
        <v>1572.76</v>
      </c>
      <c r="Q52" s="96" t="e" cm="1">
        <f t="array" aca="1" ref="Q52" ca="1">_xll.aqBondObjectYield(L52,$C$4,R52)</f>
        <v>#VALUE!</v>
      </c>
      <c r="R52" s="97" t="e" cm="1">
        <f t="array" aca="1" ref="R52" ca="1">_xll.aqBondObjectPrice($L52,$C$4,$M52)</f>
        <v>#VALUE!</v>
      </c>
      <c r="S52" s="97" t="e" cm="1">
        <f t="array" aca="1" ref="S52" ca="1">_xll.aqBondObjectCleanPrice($L52,$C$4,$M52)</f>
        <v>#VALUE!</v>
      </c>
      <c r="T52" s="97" t="e" cm="1">
        <f t="array" aca="1" ref="T52" ca="1">_xll.aqBondObjectDirtyPrice($L52,$C$4,$M52)</f>
        <v>#VALUE!</v>
      </c>
      <c r="U52" s="104" t="e" cm="1">
        <f t="array" aca="1" ref="U52" ca="1">_xll.aqBondObjectModifiedDuration($L52,$C$4,$Q52)</f>
        <v>#VALUE!</v>
      </c>
      <c r="V52" s="107" t="e" cm="1">
        <f t="array" aca="1" ref="V52" ca="1">_xll.aqBondObjectDV01($L52,$C$4,$Q52)</f>
        <v>#VALUE!</v>
      </c>
    </row>
    <row r="53" spans="2:22">
      <c r="B53" s="73" t="s">
        <v>92</v>
      </c>
      <c r="C53" s="73" t="str">
        <f t="shared" si="1"/>
        <v>UST-2.875-NOV46</v>
      </c>
      <c r="D53" s="73" t="s">
        <v>93</v>
      </c>
      <c r="E53" s="74">
        <v>42689</v>
      </c>
      <c r="F53" s="75">
        <v>42689</v>
      </c>
      <c r="G53" s="76" t="str">
        <f t="shared" si="2"/>
        <v/>
      </c>
      <c r="H53" s="74">
        <v>42870</v>
      </c>
      <c r="I53" s="74">
        <v>53462</v>
      </c>
      <c r="J53" s="77">
        <v>2.8750000000000001E-2</v>
      </c>
      <c r="K53" s="74">
        <v>53646</v>
      </c>
      <c r="L53" s="6" t="e" cm="1">
        <f t="array" aca="1" ref="L53" ca="1">_xll.aqBondObjectCreateFromGenerator($C53,$L$4,_xll.aqToolLVBFromKeysValues($C$7:$K$7,$C53:$K53))</f>
        <v>#VALUE!</v>
      </c>
      <c r="M53" s="31">
        <v>3.3303112000000003E-2</v>
      </c>
      <c r="N53" s="28">
        <v>91.734399999999994</v>
      </c>
      <c r="O53" s="7">
        <v>18.467199999999998</v>
      </c>
      <c r="P53" s="41">
        <v>1716.3</v>
      </c>
      <c r="Q53" s="19" t="e" cm="1">
        <f t="array" aca="1" ref="Q53" ca="1">_xll.aqBondObjectYield(L53,$C$4,R53)</f>
        <v>#VALUE!</v>
      </c>
      <c r="R53" s="27" t="e" cm="1">
        <f t="array" aca="1" ref="R53" ca="1">_xll.aqBondObjectPrice($L53,$C$4,$M53)</f>
        <v>#VALUE!</v>
      </c>
      <c r="S53" s="27" t="e" cm="1">
        <f t="array" aca="1" ref="S53" ca="1">_xll.aqBondObjectCleanPrice($L53,$C$4,$M53)</f>
        <v>#VALUE!</v>
      </c>
      <c r="T53" s="27" t="e" cm="1">
        <f t="array" aca="1" ref="T53" ca="1">_xll.aqBondObjectDirtyPrice($L53,$C$4,$M53)</f>
        <v>#VALUE!</v>
      </c>
      <c r="U53" s="8" t="e" cm="1">
        <f t="array" aca="1" ref="U53" ca="1">_xll.aqBondObjectModifiedDuration($L53,$C$4,$Q53)</f>
        <v>#VALUE!</v>
      </c>
      <c r="V53" s="39" t="e" cm="1">
        <f t="array" aca="1" ref="V53" ca="1">_xll.aqBondObjectDV01($L53,$C$4,$Q53)</f>
        <v>#VALUE!</v>
      </c>
    </row>
    <row r="54" spans="2:22">
      <c r="C54" s="1"/>
      <c r="D54" s="1"/>
      <c r="E54" s="10"/>
      <c r="F54" s="10"/>
      <c r="G54" s="10"/>
      <c r="H54" s="10"/>
      <c r="I54" s="10"/>
      <c r="J54" s="10"/>
      <c r="K54" s="10"/>
      <c r="L54" s="11"/>
      <c r="M54" s="21"/>
      <c r="N54" s="21"/>
      <c r="O54" s="21"/>
      <c r="P54" s="21"/>
      <c r="Q54" s="11"/>
      <c r="S54" s="11"/>
      <c r="T54" s="11"/>
      <c r="U54" s="11"/>
      <c r="V54" s="11"/>
    </row>
    <row r="58" spans="2:22">
      <c r="H58" s="9"/>
      <c r="I58" s="9"/>
      <c r="J58" s="9"/>
    </row>
    <row r="59" spans="2:22">
      <c r="H59" s="9"/>
      <c r="I59" s="9"/>
      <c r="J59" s="9"/>
      <c r="L59" s="9"/>
      <c r="M59" s="22"/>
      <c r="N59" s="22"/>
      <c r="O59" s="22"/>
      <c r="P59" s="22"/>
      <c r="Q59" s="26"/>
      <c r="S59" s="26"/>
      <c r="T59" s="26"/>
      <c r="U59" s="26"/>
      <c r="V59" s="26"/>
    </row>
    <row r="60" spans="2:22">
      <c r="H60" s="9"/>
      <c r="I60" s="9"/>
      <c r="J60" s="9"/>
      <c r="L60" s="9"/>
      <c r="M60" s="22"/>
      <c r="N60" s="22"/>
      <c r="O60" s="22"/>
      <c r="P60" s="22"/>
      <c r="Q60" s="26"/>
      <c r="S60" s="26"/>
      <c r="T60" s="26"/>
      <c r="U60" s="26"/>
      <c r="V60" s="26"/>
    </row>
    <row r="61" spans="2:22">
      <c r="H61" s="9"/>
      <c r="I61" s="9"/>
      <c r="J61" s="9"/>
      <c r="L61" s="9"/>
      <c r="M61" s="22"/>
      <c r="N61" s="22"/>
      <c r="O61" s="22"/>
      <c r="P61" s="22"/>
      <c r="Q61" s="26"/>
      <c r="S61" s="26"/>
      <c r="T61" s="26"/>
      <c r="U61" s="26"/>
      <c r="V61" s="26"/>
    </row>
    <row r="62" spans="2:22">
      <c r="H62" s="9"/>
      <c r="I62" s="9"/>
      <c r="J62" s="9"/>
      <c r="L62" s="9"/>
      <c r="M62" s="22"/>
      <c r="N62" s="22"/>
      <c r="O62" s="22"/>
      <c r="P62" s="22"/>
      <c r="Q62" s="26"/>
      <c r="S62" s="26"/>
      <c r="T62" s="26"/>
      <c r="U62" s="26"/>
      <c r="V62" s="26"/>
    </row>
    <row r="63" spans="2:22">
      <c r="H63" s="9"/>
      <c r="I63" s="9"/>
      <c r="J63" s="9"/>
      <c r="L63" s="9"/>
      <c r="M63" s="22"/>
      <c r="N63" s="22"/>
      <c r="O63" s="22"/>
      <c r="P63" s="22"/>
      <c r="Q63" s="26"/>
      <c r="S63" s="26"/>
      <c r="T63" s="26"/>
      <c r="U63" s="26"/>
      <c r="V63" s="26"/>
    </row>
    <row r="64" spans="2:22">
      <c r="H64" s="9"/>
      <c r="I64" s="9"/>
      <c r="J64" s="9"/>
      <c r="L64" s="9"/>
      <c r="M64" s="22"/>
      <c r="N64" s="22"/>
      <c r="O64" s="22"/>
      <c r="P64" s="22"/>
      <c r="Q64" s="26"/>
      <c r="S64" s="26"/>
      <c r="T64" s="26"/>
      <c r="U64" s="26"/>
      <c r="V64" s="26"/>
    </row>
    <row r="65" spans="3:22">
      <c r="H65" s="9"/>
      <c r="I65" s="9"/>
      <c r="J65" s="9"/>
      <c r="L65" s="9"/>
      <c r="M65" s="22"/>
      <c r="N65" s="22"/>
      <c r="O65" s="22"/>
      <c r="P65" s="22"/>
      <c r="Q65" s="26"/>
      <c r="S65" s="26"/>
      <c r="T65" s="26"/>
      <c r="U65" s="26"/>
      <c r="V65" s="26"/>
    </row>
    <row r="66" spans="3:22">
      <c r="H66" s="9"/>
      <c r="I66" s="9"/>
      <c r="J66" s="9"/>
      <c r="L66" s="9"/>
      <c r="M66" s="22"/>
      <c r="N66" s="22"/>
      <c r="O66" s="22"/>
      <c r="P66" s="22"/>
      <c r="Q66" s="26"/>
      <c r="S66" s="26"/>
      <c r="T66" s="26"/>
      <c r="U66" s="26"/>
      <c r="V66" s="26"/>
    </row>
    <row r="67" spans="3:22">
      <c r="H67" s="9"/>
      <c r="I67" s="9"/>
      <c r="J67" s="9"/>
      <c r="L67" s="9"/>
      <c r="M67" s="22"/>
      <c r="N67" s="22"/>
      <c r="O67" s="22"/>
      <c r="P67" s="22"/>
      <c r="Q67" s="26"/>
      <c r="S67" s="26"/>
      <c r="T67" s="26"/>
      <c r="U67" s="26"/>
      <c r="V67" s="26"/>
    </row>
    <row r="68" spans="3:22">
      <c r="H68" s="9"/>
      <c r="I68" s="9"/>
      <c r="J68" s="9"/>
      <c r="L68" s="9"/>
      <c r="M68" s="22"/>
      <c r="N68" s="22"/>
      <c r="O68" s="22"/>
      <c r="P68" s="22"/>
      <c r="Q68" s="26"/>
      <c r="S68" s="26"/>
      <c r="T68" s="26"/>
      <c r="U68" s="26"/>
      <c r="V68" s="26"/>
    </row>
    <row r="69" spans="3:22">
      <c r="H69" s="9"/>
      <c r="I69" s="9"/>
      <c r="J69" s="9"/>
      <c r="L69" s="9"/>
      <c r="M69" s="22"/>
      <c r="N69" s="22"/>
      <c r="O69" s="22"/>
      <c r="P69" s="22"/>
      <c r="Q69" s="26"/>
      <c r="S69" s="26"/>
      <c r="T69" s="26"/>
      <c r="U69" s="26"/>
      <c r="V69" s="26"/>
    </row>
    <row r="70" spans="3:22">
      <c r="H70" s="9"/>
      <c r="I70" s="9"/>
      <c r="J70" s="9"/>
      <c r="L70" s="9"/>
      <c r="M70" s="22"/>
      <c r="N70" s="22"/>
      <c r="O70" s="22"/>
      <c r="P70" s="22"/>
      <c r="Q70" s="26"/>
      <c r="S70" s="26"/>
      <c r="T70" s="26"/>
      <c r="U70" s="26"/>
      <c r="V70" s="26"/>
    </row>
    <row r="71" spans="3:22">
      <c r="H71" s="9"/>
      <c r="I71" s="9"/>
      <c r="J71" s="9"/>
      <c r="L71" s="9"/>
      <c r="M71" s="22"/>
      <c r="N71" s="22"/>
      <c r="O71" s="22"/>
      <c r="P71" s="22"/>
      <c r="Q71" s="26"/>
      <c r="S71" s="26"/>
      <c r="T71" s="26"/>
      <c r="U71" s="26"/>
      <c r="V71" s="26"/>
    </row>
    <row r="72" spans="3:22">
      <c r="H72" s="9"/>
      <c r="I72" s="9"/>
      <c r="J72" s="9"/>
      <c r="L72" s="9"/>
      <c r="M72" s="22"/>
      <c r="N72" s="22"/>
      <c r="O72" s="22"/>
      <c r="P72" s="22"/>
      <c r="Q72" s="26"/>
      <c r="S72" s="26"/>
      <c r="T72" s="26"/>
      <c r="U72" s="26"/>
      <c r="V72" s="26"/>
    </row>
    <row r="73" spans="3:22">
      <c r="H73" s="9"/>
      <c r="I73" s="9"/>
      <c r="J73" s="9"/>
      <c r="L73" s="9"/>
      <c r="M73" s="22"/>
      <c r="N73" s="22"/>
      <c r="O73" s="22"/>
      <c r="P73" s="22"/>
      <c r="Q73" s="26"/>
      <c r="S73" s="26"/>
      <c r="T73" s="26"/>
      <c r="U73" s="26"/>
      <c r="V73" s="26"/>
    </row>
    <row r="75" spans="3:22">
      <c r="C75" s="10"/>
      <c r="D75" s="10"/>
      <c r="E75" s="10"/>
      <c r="F75" s="10"/>
      <c r="G75" s="10"/>
    </row>
    <row r="76" spans="3:22">
      <c r="C76" s="10"/>
      <c r="D76" s="10"/>
      <c r="E76" s="10"/>
      <c r="F76" s="10"/>
      <c r="G76" s="10"/>
    </row>
    <row r="77" spans="3:22">
      <c r="C77" s="10"/>
      <c r="D77" s="10"/>
      <c r="E77" s="10"/>
      <c r="F77" s="10"/>
      <c r="G77" s="10"/>
    </row>
    <row r="78" spans="3:22">
      <c r="C78" s="10"/>
      <c r="D78" s="10"/>
      <c r="E78" s="10"/>
      <c r="F78" s="10"/>
      <c r="G78" s="10"/>
    </row>
    <row r="80" spans="3:22">
      <c r="E80" s="9"/>
      <c r="F80" s="9"/>
      <c r="G80" s="9"/>
    </row>
    <row r="81" spans="5:8">
      <c r="E81" s="9"/>
      <c r="F81" s="9"/>
      <c r="G81" s="9"/>
      <c r="H81" s="9"/>
    </row>
    <row r="82" spans="5:8">
      <c r="E82" s="9"/>
      <c r="F82" s="9"/>
      <c r="G82" s="9"/>
    </row>
    <row r="83" spans="5:8">
      <c r="E83" s="9"/>
      <c r="F83" s="9"/>
      <c r="G83" s="9"/>
    </row>
  </sheetData>
  <autoFilter ref="B7:V7" xr:uid="{00000000-0001-0000-0000-000000000000}"/>
  <sortState xmlns:xlrd2="http://schemas.microsoft.com/office/spreadsheetml/2017/richdata2" ref="B8:V53">
    <sortCondition ref="K8:K53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74B1B-B310-4C9B-81B4-9376B561B503}">
  <dimension ref="B1:X55"/>
  <sheetViews>
    <sheetView showGridLines="0" workbookViewId="0"/>
  </sheetViews>
  <sheetFormatPr defaultRowHeight="15" outlineLevelCol="1"/>
  <cols>
    <col min="1" max="1" width="4.7109375" customWidth="1"/>
    <col min="2" max="2" width="24.140625" hidden="1" customWidth="1" outlineLevel="1"/>
    <col min="3" max="4" width="15.7109375" hidden="1" customWidth="1" outlineLevel="1"/>
    <col min="5" max="5" width="9.140625" hidden="1" customWidth="1" outlineLevel="1"/>
    <col min="6" max="6" width="14.42578125" bestFit="1" customWidth="1" collapsed="1"/>
    <col min="7" max="7" width="20.85546875" customWidth="1"/>
    <col min="8" max="8" width="15.7109375" customWidth="1"/>
    <col min="9" max="9" width="4.7109375" customWidth="1"/>
    <col min="10" max="10" width="21.42578125" bestFit="1" customWidth="1"/>
    <col min="11" max="11" width="18.140625" bestFit="1" customWidth="1"/>
    <col min="12" max="12" width="4.7109375" customWidth="1"/>
    <col min="13" max="13" width="10.140625" bestFit="1" customWidth="1"/>
    <col min="16" max="16" width="4.7109375" customWidth="1"/>
    <col min="17" max="17" width="10.140625" bestFit="1" customWidth="1"/>
    <col min="20" max="20" width="4.7109375" customWidth="1"/>
    <col min="21" max="21" width="18.85546875" customWidth="1"/>
    <col min="22" max="24" width="10.7109375" customWidth="1"/>
  </cols>
  <sheetData>
    <row r="1" spans="2:24">
      <c r="F1" s="58" t="s">
        <v>193</v>
      </c>
    </row>
    <row r="3" spans="2:24">
      <c r="B3" s="5" t="s">
        <v>144</v>
      </c>
      <c r="G3" s="5" t="s">
        <v>169</v>
      </c>
      <c r="J3" t="s">
        <v>152</v>
      </c>
      <c r="M3" t="s">
        <v>162</v>
      </c>
      <c r="Q3" t="s">
        <v>160</v>
      </c>
      <c r="U3" s="79" t="s">
        <v>190</v>
      </c>
    </row>
    <row r="4" spans="2:24">
      <c r="B4" s="80" t="s">
        <v>183</v>
      </c>
    </row>
    <row r="5" spans="2:24">
      <c r="B5" t="s">
        <v>145</v>
      </c>
      <c r="C5" s="12" t="s">
        <v>156</v>
      </c>
      <c r="D5" s="49" t="s">
        <v>112</v>
      </c>
      <c r="E5" s="12" t="s">
        <v>184</v>
      </c>
      <c r="G5" t="s">
        <v>145</v>
      </c>
      <c r="H5" s="12" t="s">
        <v>156</v>
      </c>
      <c r="J5" t="s">
        <v>153</v>
      </c>
      <c r="K5" s="30" t="s">
        <v>155</v>
      </c>
      <c r="M5" s="12" t="s">
        <v>157</v>
      </c>
      <c r="N5" s="12" t="s">
        <v>117</v>
      </c>
      <c r="O5" s="12" t="s">
        <v>159</v>
      </c>
      <c r="Q5" s="12" t="s">
        <v>157</v>
      </c>
      <c r="R5" s="12" t="s">
        <v>117</v>
      </c>
      <c r="S5" s="12" t="s">
        <v>159</v>
      </c>
      <c r="U5" t="s">
        <v>145</v>
      </c>
      <c r="V5" s="12" t="s">
        <v>191</v>
      </c>
      <c r="W5" s="12" t="s">
        <v>192</v>
      </c>
      <c r="X5" s="49" t="s">
        <v>112</v>
      </c>
    </row>
    <row r="6" spans="2:24">
      <c r="B6" s="98" t="e">
        <f ca="1">UST_BONDS!L8</f>
        <v>#VALUE!</v>
      </c>
      <c r="C6" s="99">
        <f>UST_BONDS!M8</f>
        <v>3.0831444E-2</v>
      </c>
      <c r="D6" s="100" t="s">
        <v>158</v>
      </c>
      <c r="E6" s="54" t="b">
        <v>1</v>
      </c>
      <c r="G6" s="98" t="e" cm="1">
        <f t="array" aca="1" ref="G6" ca="1">_xll.aqToolResize(_xll.aqToolClean(B6:E51,,4,TRUE),COUNTA(B6:B51),2)</f>
        <v>#VALUE!</v>
      </c>
      <c r="H6" s="99"/>
      <c r="J6" t="s">
        <v>154</v>
      </c>
      <c r="K6" s="59" t="e" cm="1">
        <f t="array" aca="1" ref="K6" ca="1">_xll.aqBondCurveCreate(K5,J8,J9:K13,G3,G6:H52)</f>
        <v>#VALUE!</v>
      </c>
      <c r="M6" s="101" t="e" cm="1">
        <f t="array" aca="1" ref="M6" ca="1">_xll.aqBondCurveDisplay(K6)</f>
        <v>#VALUE!</v>
      </c>
      <c r="N6" s="99"/>
      <c r="O6" s="102"/>
      <c r="P6" s="46"/>
      <c r="Q6" s="101" t="e" cm="1">
        <f t="array" aca="1" ref="Q6" ca="1">_xll.aqBondCurveDisplay(K18)</f>
        <v>#VALUE!</v>
      </c>
      <c r="R6" s="99"/>
      <c r="S6" s="102"/>
      <c r="U6" s="98" t="e">
        <f ca="1">G6</f>
        <v>#VALUE!</v>
      </c>
      <c r="V6" s="102" t="e" cm="1">
        <f t="array" aca="1" ref="V6" ca="1">IF(U6&lt;&gt;"",_xll.aqBondObjectPriceFromBondCurve(U6,SettlementDate,$K$6),"")</f>
        <v>#VALUE!</v>
      </c>
      <c r="W6" s="93" t="e">
        <f ca="1">IF(U6&lt;&gt;"",VLOOKUP(U6,UST_BONDS!L8:T53,7,0),"")</f>
        <v>#VALUE!</v>
      </c>
      <c r="X6" s="93" t="e">
        <f t="shared" ref="X6:X51" ca="1" si="0">IF(U6&lt;&gt;"",V6-W6,"")</f>
        <v>#VALUE!</v>
      </c>
    </row>
    <row r="7" spans="2:24">
      <c r="B7" s="50" t="e">
        <f ca="1">UST_BONDS!L9</f>
        <v>#VALUE!</v>
      </c>
      <c r="C7" s="51">
        <f>UST_BONDS!M9</f>
        <v>3.1145257000000003E-2</v>
      </c>
      <c r="D7" s="51">
        <f>C7-C6</f>
        <v>3.1381300000000306E-4</v>
      </c>
      <c r="E7" s="54" t="b">
        <v>1</v>
      </c>
      <c r="G7" s="50"/>
      <c r="H7" s="51"/>
      <c r="K7" s="30"/>
      <c r="M7" s="52"/>
      <c r="N7" s="51"/>
      <c r="O7" s="53"/>
      <c r="P7" s="46"/>
      <c r="Q7" s="52"/>
      <c r="R7" s="51"/>
      <c r="S7" s="53"/>
      <c r="U7" s="50">
        <f t="shared" ref="U7:U51" si="1">G7</f>
        <v>0</v>
      </c>
      <c r="V7" s="53" t="e" cm="1">
        <f t="array" aca="1" ref="V7" ca="1">IF(U7&lt;&gt;"",_xll.aqBondObjectPriceFromBondCurve(U7,SettlementDate,$K$6),"")</f>
        <v>#VALUE!</v>
      </c>
      <c r="W7" s="28" t="e">
        <f ca="1">IF(U7&lt;&gt;"",VLOOKUP(U7,UST_BONDS!L9:T54,7,0),"")</f>
        <v>#N/A</v>
      </c>
      <c r="X7" s="28" t="e">
        <f t="shared" ca="1" si="0"/>
        <v>#VALUE!</v>
      </c>
    </row>
    <row r="8" spans="2:24">
      <c r="B8" s="98" t="e">
        <f ca="1">UST_BONDS!L10</f>
        <v>#VALUE!</v>
      </c>
      <c r="C8" s="99">
        <f>UST_BONDS!M10</f>
        <v>3.1262189999999995E-2</v>
      </c>
      <c r="D8" s="100">
        <f t="shared" ref="D8:D51" si="2">C8-C7</f>
        <v>1.1693299999999268E-4</v>
      </c>
      <c r="E8" s="54" t="b">
        <v>1</v>
      </c>
      <c r="G8" s="98"/>
      <c r="H8" s="99"/>
      <c r="J8" s="5" t="s">
        <v>167</v>
      </c>
      <c r="K8" s="30"/>
      <c r="M8" s="101"/>
      <c r="N8" s="99"/>
      <c r="O8" s="102"/>
      <c r="P8" s="46"/>
      <c r="Q8" s="101"/>
      <c r="R8" s="99"/>
      <c r="S8" s="102"/>
      <c r="U8" s="98">
        <f t="shared" si="1"/>
        <v>0</v>
      </c>
      <c r="V8" s="102" t="e" cm="1">
        <f t="array" aca="1" ref="V8" ca="1">IF(U8&lt;&gt;"",_xll.aqBondObjectPriceFromBondCurve(U8,SettlementDate,$K$6),"")</f>
        <v>#VALUE!</v>
      </c>
      <c r="W8" s="93" t="e">
        <f ca="1">IF(U8&lt;&gt;"",VLOOKUP(U8,UST_BONDS!L10:T55,7,0),"")</f>
        <v>#N/A</v>
      </c>
      <c r="X8" s="93" t="e">
        <f t="shared" ca="1" si="0"/>
        <v>#VALUE!</v>
      </c>
    </row>
    <row r="9" spans="2:24">
      <c r="B9" s="50" t="e">
        <f ca="1">UST_BONDS!L11</f>
        <v>#VALUE!</v>
      </c>
      <c r="C9" s="51">
        <f>UST_BONDS!M11</f>
        <v>3.1447197000000003E-2</v>
      </c>
      <c r="D9" s="51">
        <f t="shared" si="2"/>
        <v>1.8500700000000786E-4</v>
      </c>
      <c r="E9" s="54" t="b">
        <v>1</v>
      </c>
      <c r="G9" s="50"/>
      <c r="H9" s="51"/>
      <c r="J9" s="50" t="s">
        <v>119</v>
      </c>
      <c r="K9" s="110" t="e">
        <f ca="1">SettlementDate</f>
        <v>#VALUE!</v>
      </c>
      <c r="M9" s="52"/>
      <c r="N9" s="51"/>
      <c r="O9" s="53"/>
      <c r="P9" s="46"/>
      <c r="Q9" s="52"/>
      <c r="R9" s="51"/>
      <c r="S9" s="53"/>
      <c r="U9" s="50">
        <f t="shared" si="1"/>
        <v>0</v>
      </c>
      <c r="V9" s="53" t="e" cm="1">
        <f t="array" aca="1" ref="V9" ca="1">IF(U9&lt;&gt;"",_xll.aqBondObjectPriceFromBondCurve(U9,SettlementDate,$K$6),"")</f>
        <v>#VALUE!</v>
      </c>
      <c r="W9" s="28" t="e">
        <f ca="1">IF(U9&lt;&gt;"",VLOOKUP(U9,UST_BONDS!L11:T56,7,0),"")</f>
        <v>#N/A</v>
      </c>
      <c r="X9" s="28" t="e">
        <f t="shared" ca="1" si="0"/>
        <v>#VALUE!</v>
      </c>
    </row>
    <row r="10" spans="2:24">
      <c r="B10" s="98" t="e">
        <f ca="1">UST_BONDS!L12</f>
        <v>#VALUE!</v>
      </c>
      <c r="C10" s="99">
        <f>UST_BONDS!M12</f>
        <v>3.1500182000000002E-2</v>
      </c>
      <c r="D10" s="100">
        <f t="shared" si="2"/>
        <v>5.298499999999845E-5</v>
      </c>
      <c r="E10" s="54" t="b">
        <v>1</v>
      </c>
      <c r="G10" s="98"/>
      <c r="H10" s="99"/>
      <c r="J10" s="50" t="s">
        <v>146</v>
      </c>
      <c r="K10" s="55"/>
      <c r="M10" s="101"/>
      <c r="N10" s="99"/>
      <c r="O10" s="102"/>
      <c r="P10" s="46"/>
      <c r="Q10" s="101"/>
      <c r="R10" s="99"/>
      <c r="S10" s="102"/>
      <c r="U10" s="98">
        <f t="shared" si="1"/>
        <v>0</v>
      </c>
      <c r="V10" s="102" t="e" cm="1">
        <f t="array" aca="1" ref="V10" ca="1">IF(U10&lt;&gt;"",_xll.aqBondObjectPriceFromBondCurve(U10,SettlementDate,$K$6),"")</f>
        <v>#VALUE!</v>
      </c>
      <c r="W10" s="93" t="e">
        <f ca="1">IF(U10&lt;&gt;"",VLOOKUP(U10,UST_BONDS!L12:T57,7,0),"")</f>
        <v>#N/A</v>
      </c>
      <c r="X10" s="93" t="e">
        <f t="shared" ca="1" si="0"/>
        <v>#VALUE!</v>
      </c>
    </row>
    <row r="11" spans="2:24">
      <c r="B11" s="50" t="e">
        <f ca="1">UST_BONDS!L13</f>
        <v>#VALUE!</v>
      </c>
      <c r="C11" s="51">
        <f>UST_BONDS!M13</f>
        <v>3.1453749000000003E-2</v>
      </c>
      <c r="D11" s="51">
        <f t="shared" si="2"/>
        <v>-4.6432999999998503E-5</v>
      </c>
      <c r="E11" s="54" t="b">
        <v>1</v>
      </c>
      <c r="G11" s="50"/>
      <c r="H11" s="51"/>
      <c r="J11" s="50" t="s">
        <v>147</v>
      </c>
      <c r="K11" s="55" t="b">
        <v>0</v>
      </c>
      <c r="M11" s="52"/>
      <c r="N11" s="51"/>
      <c r="O11" s="53"/>
      <c r="P11" s="46"/>
      <c r="Q11" s="52"/>
      <c r="R11" s="51"/>
      <c r="S11" s="53"/>
      <c r="U11" s="50">
        <f t="shared" si="1"/>
        <v>0</v>
      </c>
      <c r="V11" s="53" t="e" cm="1">
        <f t="array" aca="1" ref="V11" ca="1">IF(U11&lt;&gt;"",_xll.aqBondObjectPriceFromBondCurve(U11,SettlementDate,$K$6),"")</f>
        <v>#VALUE!</v>
      </c>
      <c r="W11" s="28" t="e">
        <f ca="1">IF(U11&lt;&gt;"",VLOOKUP(U11,UST_BONDS!L13:T58,7,0),"")</f>
        <v>#N/A</v>
      </c>
      <c r="X11" s="28" t="e">
        <f t="shared" ca="1" si="0"/>
        <v>#VALUE!</v>
      </c>
    </row>
    <row r="12" spans="2:24">
      <c r="B12" s="98" t="e">
        <f ca="1">UST_BONDS!L14</f>
        <v>#VALUE!</v>
      </c>
      <c r="C12" s="99">
        <f>UST_BONDS!M14</f>
        <v>3.1537541000000002E-2</v>
      </c>
      <c r="D12" s="100">
        <f t="shared" si="2"/>
        <v>8.37919999999992E-5</v>
      </c>
      <c r="E12" s="54" t="b">
        <v>1</v>
      </c>
      <c r="G12" s="98"/>
      <c r="H12" s="99"/>
      <c r="J12" s="50" t="s">
        <v>148</v>
      </c>
      <c r="K12" s="55" t="s">
        <v>149</v>
      </c>
      <c r="M12" s="101"/>
      <c r="N12" s="99"/>
      <c r="O12" s="102"/>
      <c r="P12" s="46"/>
      <c r="Q12" s="101"/>
      <c r="R12" s="99"/>
      <c r="S12" s="102"/>
      <c r="U12" s="98">
        <f t="shared" si="1"/>
        <v>0</v>
      </c>
      <c r="V12" s="102" t="e" cm="1">
        <f t="array" aca="1" ref="V12" ca="1">IF(U12&lt;&gt;"",_xll.aqBondObjectPriceFromBondCurve(U12,SettlementDate,$K$6),"")</f>
        <v>#VALUE!</v>
      </c>
      <c r="W12" s="93" t="e">
        <f ca="1">IF(U12&lt;&gt;"",VLOOKUP(U12,UST_BONDS!L14:T59,7,0),"")</f>
        <v>#N/A</v>
      </c>
      <c r="X12" s="93" t="e">
        <f t="shared" ca="1" si="0"/>
        <v>#VALUE!</v>
      </c>
    </row>
    <row r="13" spans="2:24">
      <c r="B13" s="50" t="e">
        <f ca="1">UST_BONDS!L15</f>
        <v>#VALUE!</v>
      </c>
      <c r="C13" s="51">
        <f>UST_BONDS!M15</f>
        <v>3.1577552000000002E-2</v>
      </c>
      <c r="D13" s="51">
        <f t="shared" si="2"/>
        <v>4.0010999999999519E-5</v>
      </c>
      <c r="E13" s="54" t="b">
        <v>1</v>
      </c>
      <c r="G13" s="50"/>
      <c r="H13" s="51"/>
      <c r="J13" s="50" t="s">
        <v>150</v>
      </c>
      <c r="K13" s="55" t="s">
        <v>151</v>
      </c>
      <c r="M13" s="52"/>
      <c r="N13" s="51"/>
      <c r="O13" s="53"/>
      <c r="P13" s="46"/>
      <c r="Q13" s="52"/>
      <c r="R13" s="51"/>
      <c r="S13" s="53"/>
      <c r="U13" s="50">
        <f t="shared" si="1"/>
        <v>0</v>
      </c>
      <c r="V13" s="53" t="e" cm="1">
        <f t="array" aca="1" ref="V13" ca="1">IF(U13&lt;&gt;"",_xll.aqBondObjectPriceFromBondCurve(U13,SettlementDate,$K$6),"")</f>
        <v>#VALUE!</v>
      </c>
      <c r="W13" s="28" t="e">
        <f ca="1">IF(U13&lt;&gt;"",VLOOKUP(U13,UST_BONDS!L15:T60,7,0),"")</f>
        <v>#N/A</v>
      </c>
      <c r="X13" s="28" t="e">
        <f t="shared" ca="1" si="0"/>
        <v>#VALUE!</v>
      </c>
    </row>
    <row r="14" spans="2:24">
      <c r="B14" s="98" t="e">
        <f ca="1">UST_BONDS!L16</f>
        <v>#VALUE!</v>
      </c>
      <c r="C14" s="99">
        <f>UST_BONDS!M16</f>
        <v>3.1684317000000004E-2</v>
      </c>
      <c r="D14" s="100">
        <f t="shared" si="2"/>
        <v>1.0676500000000172E-4</v>
      </c>
      <c r="E14" s="54" t="b">
        <v>1</v>
      </c>
      <c r="G14" s="98"/>
      <c r="H14" s="99"/>
      <c r="M14" s="101"/>
      <c r="N14" s="99"/>
      <c r="O14" s="102"/>
      <c r="P14" s="46"/>
      <c r="Q14" s="101"/>
      <c r="R14" s="99"/>
      <c r="S14" s="102"/>
      <c r="U14" s="98">
        <f t="shared" si="1"/>
        <v>0</v>
      </c>
      <c r="V14" s="102" t="e" cm="1">
        <f t="array" aca="1" ref="V14" ca="1">IF(U14&lt;&gt;"",_xll.aqBondObjectPriceFromBondCurve(U14,SettlementDate,$K$6),"")</f>
        <v>#VALUE!</v>
      </c>
      <c r="W14" s="93" t="e">
        <f ca="1">IF(U14&lt;&gt;"",VLOOKUP(U14,UST_BONDS!L16:T61,7,0),"")</f>
        <v>#N/A</v>
      </c>
      <c r="X14" s="93" t="e">
        <f t="shared" ca="1" si="0"/>
        <v>#VALUE!</v>
      </c>
    </row>
    <row r="15" spans="2:24">
      <c r="B15" s="50" t="e">
        <f ca="1">UST_BONDS!L17</f>
        <v>#VALUE!</v>
      </c>
      <c r="C15" s="51">
        <f>UST_BONDS!M17</f>
        <v>3.2182222000000003E-2</v>
      </c>
      <c r="D15" s="51">
        <f t="shared" si="2"/>
        <v>4.9790499999999988E-4</v>
      </c>
      <c r="E15" s="54" t="b">
        <v>1</v>
      </c>
      <c r="G15" s="50"/>
      <c r="H15" s="51"/>
      <c r="J15" t="s">
        <v>164</v>
      </c>
      <c r="K15" s="30"/>
      <c r="M15" s="52"/>
      <c r="N15" s="51"/>
      <c r="O15" s="53"/>
      <c r="P15" s="46"/>
      <c r="Q15" s="52"/>
      <c r="R15" s="51"/>
      <c r="S15" s="53"/>
      <c r="U15" s="50">
        <f t="shared" si="1"/>
        <v>0</v>
      </c>
      <c r="V15" s="53" t="e" cm="1">
        <f t="array" aca="1" ref="V15" ca="1">IF(U15&lt;&gt;"",_xll.aqBondObjectPriceFromBondCurve(U15,SettlementDate,$K$6),"")</f>
        <v>#VALUE!</v>
      </c>
      <c r="W15" s="28" t="e">
        <f ca="1">IF(U15&lt;&gt;"",VLOOKUP(U15,UST_BONDS!L17:T62,7,0),"")</f>
        <v>#N/A</v>
      </c>
      <c r="X15" s="28" t="e">
        <f t="shared" ca="1" si="0"/>
        <v>#VALUE!</v>
      </c>
    </row>
    <row r="16" spans="2:24">
      <c r="B16" s="98" t="e">
        <f ca="1">UST_BONDS!L18</f>
        <v>#VALUE!</v>
      </c>
      <c r="C16" s="99">
        <f>UST_BONDS!M18</f>
        <v>3.2255742999999996E-2</v>
      </c>
      <c r="D16" s="100">
        <f t="shared" si="2"/>
        <v>7.3520999999993064E-5</v>
      </c>
      <c r="E16" s="54" t="b">
        <v>1</v>
      </c>
      <c r="G16" s="98"/>
      <c r="H16" s="99"/>
      <c r="K16" s="30"/>
      <c r="M16" s="101"/>
      <c r="N16" s="99"/>
      <c r="O16" s="102"/>
      <c r="P16" s="46"/>
      <c r="Q16" s="101"/>
      <c r="R16" s="99"/>
      <c r="S16" s="102"/>
      <c r="U16" s="98">
        <f t="shared" si="1"/>
        <v>0</v>
      </c>
      <c r="V16" s="102" t="e" cm="1">
        <f t="array" aca="1" ref="V16" ca="1">IF(U16&lt;&gt;"",_xll.aqBondObjectPriceFromBondCurve(U16,SettlementDate,$K$6),"")</f>
        <v>#VALUE!</v>
      </c>
      <c r="W16" s="93" t="e">
        <f ca="1">IF(U16&lt;&gt;"",VLOOKUP(U16,UST_BONDS!L18:T63,7,0),"")</f>
        <v>#N/A</v>
      </c>
      <c r="X16" s="93" t="e">
        <f t="shared" ca="1" si="0"/>
        <v>#VALUE!</v>
      </c>
    </row>
    <row r="17" spans="2:24">
      <c r="B17" s="50" t="e">
        <f ca="1">UST_BONDS!L19</f>
        <v>#VALUE!</v>
      </c>
      <c r="C17" s="51">
        <f>UST_BONDS!M19</f>
        <v>3.2263826000000002E-2</v>
      </c>
      <c r="D17" s="51">
        <f t="shared" si="2"/>
        <v>8.0830000000059465E-6</v>
      </c>
      <c r="E17" s="54" t="b">
        <v>1</v>
      </c>
      <c r="G17" s="50"/>
      <c r="H17" s="51"/>
      <c r="J17" t="s">
        <v>163</v>
      </c>
      <c r="K17" s="30" t="s">
        <v>165</v>
      </c>
      <c r="M17" s="52"/>
      <c r="N17" s="51"/>
      <c r="O17" s="53"/>
      <c r="P17" s="46"/>
      <c r="Q17" s="52"/>
      <c r="R17" s="51"/>
      <c r="S17" s="53"/>
      <c r="U17" s="50">
        <f t="shared" si="1"/>
        <v>0</v>
      </c>
      <c r="V17" s="53" t="e" cm="1">
        <f t="array" aca="1" ref="V17" ca="1">IF(U17&lt;&gt;"",_xll.aqBondObjectPriceFromBondCurve(U17,SettlementDate,$K$6),"")</f>
        <v>#VALUE!</v>
      </c>
      <c r="W17" s="28" t="e">
        <f ca="1">IF(U17&lt;&gt;"",VLOOKUP(U17,UST_BONDS!L19:T64,7,0),"")</f>
        <v>#N/A</v>
      </c>
      <c r="X17" s="28" t="e">
        <f t="shared" ca="1" si="0"/>
        <v>#VALUE!</v>
      </c>
    </row>
    <row r="18" spans="2:24">
      <c r="B18" s="98" t="e">
        <f ca="1">UST_BONDS!L20</f>
        <v>#VALUE!</v>
      </c>
      <c r="C18" s="99">
        <f>UST_BONDS!M20</f>
        <v>3.2452343000000002E-2</v>
      </c>
      <c r="D18" s="100">
        <f t="shared" si="2"/>
        <v>1.8851699999999916E-4</v>
      </c>
      <c r="E18" s="54" t="b">
        <v>1</v>
      </c>
      <c r="G18" s="98"/>
      <c r="H18" s="99"/>
      <c r="J18" t="s">
        <v>164</v>
      </c>
      <c r="K18" s="59" t="e" cm="1">
        <f t="array" aca="1" ref="K18" ca="1">_xll.aqBondCurveCreate(K17,J20,J21:K22)</f>
        <v>#VALUE!</v>
      </c>
      <c r="M18" s="101"/>
      <c r="N18" s="99"/>
      <c r="O18" s="102"/>
      <c r="P18" s="46"/>
      <c r="Q18" s="101"/>
      <c r="R18" s="99"/>
      <c r="S18" s="102"/>
      <c r="U18" s="98">
        <f t="shared" si="1"/>
        <v>0</v>
      </c>
      <c r="V18" s="102" t="e" cm="1">
        <f t="array" aca="1" ref="V18" ca="1">IF(U18&lt;&gt;"",_xll.aqBondObjectPriceFromBondCurve(U18,SettlementDate,$K$6),"")</f>
        <v>#VALUE!</v>
      </c>
      <c r="W18" s="93" t="e">
        <f ca="1">IF(U18&lt;&gt;"",VLOOKUP(U18,UST_BONDS!L20:T65,7,0),"")</f>
        <v>#N/A</v>
      </c>
      <c r="X18" s="93" t="e">
        <f t="shared" ca="1" si="0"/>
        <v>#VALUE!</v>
      </c>
    </row>
    <row r="19" spans="2:24">
      <c r="B19" s="50" t="e">
        <f ca="1">UST_BONDS!L21</f>
        <v>#VALUE!</v>
      </c>
      <c r="C19" s="51">
        <f>UST_BONDS!M21</f>
        <v>3.2471366000000002E-2</v>
      </c>
      <c r="D19" s="51">
        <f t="shared" si="2"/>
        <v>1.9022999999999957E-5</v>
      </c>
      <c r="E19" s="54" t="b">
        <v>1</v>
      </c>
      <c r="G19" s="50"/>
      <c r="H19" s="51"/>
      <c r="K19" s="30"/>
      <c r="M19" s="52"/>
      <c r="N19" s="51"/>
      <c r="O19" s="53"/>
      <c r="P19" s="46"/>
      <c r="Q19" s="52"/>
      <c r="R19" s="51"/>
      <c r="S19" s="53"/>
      <c r="U19" s="50">
        <f t="shared" si="1"/>
        <v>0</v>
      </c>
      <c r="V19" s="53" t="e" cm="1">
        <f t="array" aca="1" ref="V19" ca="1">IF(U19&lt;&gt;"",_xll.aqBondObjectPriceFromBondCurve(U19,SettlementDate,$K$6),"")</f>
        <v>#VALUE!</v>
      </c>
      <c r="W19" s="28" t="e">
        <f ca="1">IF(U19&lt;&gt;"",VLOOKUP(U19,UST_BONDS!L21:T66,7,0),"")</f>
        <v>#N/A</v>
      </c>
      <c r="X19" s="28" t="e">
        <f t="shared" ca="1" si="0"/>
        <v>#VALUE!</v>
      </c>
    </row>
    <row r="20" spans="2:24">
      <c r="B20" s="98" t="e">
        <f ca="1">UST_BONDS!L22</f>
        <v>#VALUE!</v>
      </c>
      <c r="C20" s="99">
        <f>UST_BONDS!M22</f>
        <v>3.2618854000000003E-2</v>
      </c>
      <c r="D20" s="100">
        <f t="shared" si="2"/>
        <v>1.4748800000000117E-4</v>
      </c>
      <c r="E20" s="54" t="b">
        <v>1</v>
      </c>
      <c r="G20" s="98"/>
      <c r="H20" s="99"/>
      <c r="J20" s="5" t="s">
        <v>168</v>
      </c>
      <c r="K20" s="30"/>
      <c r="M20" s="101"/>
      <c r="N20" s="99"/>
      <c r="O20" s="102"/>
      <c r="P20" s="46"/>
      <c r="Q20" s="101"/>
      <c r="R20" s="99"/>
      <c r="S20" s="102"/>
      <c r="U20" s="98">
        <f t="shared" si="1"/>
        <v>0</v>
      </c>
      <c r="V20" s="102" t="e" cm="1">
        <f t="array" aca="1" ref="V20" ca="1">IF(U20&lt;&gt;"",_xll.aqBondObjectPriceFromBondCurve(U20,SettlementDate,$K$6),"")</f>
        <v>#VALUE!</v>
      </c>
      <c r="W20" s="93" t="e">
        <f ca="1">IF(U20&lt;&gt;"",VLOOKUP(U20,UST_BONDS!L22:T67,7,0),"")</f>
        <v>#N/A</v>
      </c>
      <c r="X20" s="93" t="e">
        <f t="shared" ca="1" si="0"/>
        <v>#VALUE!</v>
      </c>
    </row>
    <row r="21" spans="2:24">
      <c r="B21" s="50" t="e">
        <f ca="1">UST_BONDS!L23</f>
        <v>#VALUE!</v>
      </c>
      <c r="C21" s="51">
        <f>UST_BONDS!M23</f>
        <v>3.2681038999999995E-2</v>
      </c>
      <c r="D21" s="51">
        <f t="shared" si="2"/>
        <v>6.2184999999992385E-5</v>
      </c>
      <c r="E21" s="54" t="b">
        <v>1</v>
      </c>
      <c r="G21" s="50"/>
      <c r="H21" s="51"/>
      <c r="J21" s="50" t="s">
        <v>161</v>
      </c>
      <c r="K21" s="56">
        <v>8.0000000000000002E-3</v>
      </c>
      <c r="M21" s="52"/>
      <c r="N21" s="51"/>
      <c r="O21" s="53"/>
      <c r="P21" s="46"/>
      <c r="Q21" s="52"/>
      <c r="R21" s="51"/>
      <c r="S21" s="53"/>
      <c r="U21" s="50">
        <f t="shared" si="1"/>
        <v>0</v>
      </c>
      <c r="V21" s="53" t="e" cm="1">
        <f t="array" aca="1" ref="V21" ca="1">IF(U21&lt;&gt;"",_xll.aqBondObjectPriceFromBondCurve(U21,SettlementDate,$K$6),"")</f>
        <v>#VALUE!</v>
      </c>
      <c r="W21" s="28" t="e">
        <f ca="1">IF(U21&lt;&gt;"",VLOOKUP(U21,UST_BONDS!L23:T68,7,0),"")</f>
        <v>#N/A</v>
      </c>
      <c r="X21" s="28" t="e">
        <f t="shared" ca="1" si="0"/>
        <v>#VALUE!</v>
      </c>
    </row>
    <row r="22" spans="2:24">
      <c r="B22" s="98" t="e">
        <f ca="1">UST_BONDS!L24</f>
        <v>#VALUE!</v>
      </c>
      <c r="C22" s="99">
        <f>UST_BONDS!M24</f>
        <v>3.2739213000000003E-2</v>
      </c>
      <c r="D22" s="100">
        <f t="shared" si="2"/>
        <v>5.8174000000008053E-5</v>
      </c>
      <c r="E22" s="54" t="b">
        <v>1</v>
      </c>
      <c r="G22" s="98"/>
      <c r="H22" s="99"/>
      <c r="J22" s="50" t="s">
        <v>166</v>
      </c>
      <c r="K22" s="55" t="e">
        <f ca="1">K6</f>
        <v>#VALUE!</v>
      </c>
      <c r="M22" s="101"/>
      <c r="N22" s="99"/>
      <c r="O22" s="102"/>
      <c r="P22" s="46"/>
      <c r="Q22" s="101"/>
      <c r="R22" s="99"/>
      <c r="S22" s="102"/>
      <c r="U22" s="98">
        <f t="shared" si="1"/>
        <v>0</v>
      </c>
      <c r="V22" s="102" t="e" cm="1">
        <f t="array" aca="1" ref="V22" ca="1">IF(U22&lt;&gt;"",_xll.aqBondObjectPriceFromBondCurve(U22,SettlementDate,$K$6),"")</f>
        <v>#VALUE!</v>
      </c>
      <c r="W22" s="93" t="e">
        <f ca="1">IF(U22&lt;&gt;"",VLOOKUP(U22,UST_BONDS!L24:T69,7,0),"")</f>
        <v>#N/A</v>
      </c>
      <c r="X22" s="93" t="e">
        <f t="shared" ca="1" si="0"/>
        <v>#VALUE!</v>
      </c>
    </row>
    <row r="23" spans="2:24">
      <c r="B23" s="50" t="e">
        <f ca="1">UST_BONDS!L25</f>
        <v>#VALUE!</v>
      </c>
      <c r="C23" s="51">
        <f>UST_BONDS!M25</f>
        <v>3.2803080999999998E-2</v>
      </c>
      <c r="D23" s="51">
        <f t="shared" si="2"/>
        <v>6.3867999999994707E-5</v>
      </c>
      <c r="E23" s="54" t="b">
        <v>1</v>
      </c>
      <c r="G23" s="50"/>
      <c r="H23" s="51"/>
      <c r="M23" s="52"/>
      <c r="N23" s="51"/>
      <c r="O23" s="53"/>
      <c r="P23" s="46"/>
      <c r="Q23" s="52"/>
      <c r="R23" s="51"/>
      <c r="S23" s="53"/>
      <c r="U23" s="50">
        <f t="shared" si="1"/>
        <v>0</v>
      </c>
      <c r="V23" s="53" t="e" cm="1">
        <f t="array" aca="1" ref="V23" ca="1">IF(U23&lt;&gt;"",_xll.aqBondObjectPriceFromBondCurve(U23,SettlementDate,$K$6),"")</f>
        <v>#VALUE!</v>
      </c>
      <c r="W23" s="28" t="e">
        <f ca="1">IF(U23&lt;&gt;"",VLOOKUP(U23,UST_BONDS!L25:T70,7,0),"")</f>
        <v>#N/A</v>
      </c>
      <c r="X23" s="28" t="e">
        <f t="shared" ca="1" si="0"/>
        <v>#VALUE!</v>
      </c>
    </row>
    <row r="24" spans="2:24">
      <c r="B24" s="98" t="e">
        <f ca="1">UST_BONDS!L26</f>
        <v>#VALUE!</v>
      </c>
      <c r="C24" s="99">
        <f>UST_BONDS!M26</f>
        <v>3.2827627999999998E-2</v>
      </c>
      <c r="D24" s="100">
        <f t="shared" si="2"/>
        <v>2.4546999999999763E-5</v>
      </c>
      <c r="E24" s="54" t="b">
        <v>1</v>
      </c>
      <c r="G24" s="98"/>
      <c r="H24" s="99"/>
      <c r="M24" s="101"/>
      <c r="N24" s="99"/>
      <c r="O24" s="102"/>
      <c r="P24" s="46"/>
      <c r="Q24" s="101"/>
      <c r="R24" s="99"/>
      <c r="S24" s="102"/>
      <c r="U24" s="98">
        <f t="shared" si="1"/>
        <v>0</v>
      </c>
      <c r="V24" s="102" t="e" cm="1">
        <f t="array" aca="1" ref="V24" ca="1">IF(U24&lt;&gt;"",_xll.aqBondObjectPriceFromBondCurve(U24,SettlementDate,$K$6),"")</f>
        <v>#VALUE!</v>
      </c>
      <c r="W24" s="93" t="e">
        <f ca="1">IF(U24&lt;&gt;"",VLOOKUP(U24,UST_BONDS!L26:T71,7,0),"")</f>
        <v>#N/A</v>
      </c>
      <c r="X24" s="93" t="e">
        <f t="shared" ca="1" si="0"/>
        <v>#VALUE!</v>
      </c>
    </row>
    <row r="25" spans="2:24">
      <c r="B25" s="50" t="e">
        <f ca="1">UST_BONDS!L27</f>
        <v>#VALUE!</v>
      </c>
      <c r="C25" s="51">
        <f>UST_BONDS!M27</f>
        <v>3.2879939999999996E-2</v>
      </c>
      <c r="D25" s="51">
        <f t="shared" si="2"/>
        <v>5.2311999999998804E-5</v>
      </c>
      <c r="E25" s="54" t="b">
        <v>1</v>
      </c>
      <c r="G25" s="50"/>
      <c r="H25" s="51"/>
      <c r="M25" s="52"/>
      <c r="N25" s="51"/>
      <c r="O25" s="53"/>
      <c r="P25" s="46"/>
      <c r="Q25" s="52"/>
      <c r="R25" s="51"/>
      <c r="S25" s="53"/>
      <c r="U25" s="50">
        <f t="shared" si="1"/>
        <v>0</v>
      </c>
      <c r="V25" s="53" t="e" cm="1">
        <f t="array" aca="1" ref="V25" ca="1">IF(U25&lt;&gt;"",_xll.aqBondObjectPriceFromBondCurve(U25,SettlementDate,$K$6),"")</f>
        <v>#VALUE!</v>
      </c>
      <c r="W25" s="28" t="e">
        <f ca="1">IF(U25&lt;&gt;"",VLOOKUP(U25,UST_BONDS!L27:T72,7,0),"")</f>
        <v>#N/A</v>
      </c>
      <c r="X25" s="28" t="e">
        <f t="shared" ca="1" si="0"/>
        <v>#VALUE!</v>
      </c>
    </row>
    <row r="26" spans="2:24">
      <c r="B26" s="98" t="e">
        <f ca="1">UST_BONDS!L28</f>
        <v>#VALUE!</v>
      </c>
      <c r="C26" s="99">
        <f>UST_BONDS!M28</f>
        <v>3.2934648000000004E-2</v>
      </c>
      <c r="D26" s="100">
        <f t="shared" si="2"/>
        <v>5.4708000000007473E-5</v>
      </c>
      <c r="E26" s="54" t="b">
        <v>1</v>
      </c>
      <c r="G26" s="98"/>
      <c r="H26" s="99"/>
      <c r="M26" s="101"/>
      <c r="N26" s="99"/>
      <c r="O26" s="102"/>
      <c r="P26" s="46"/>
      <c r="Q26" s="101"/>
      <c r="R26" s="99"/>
      <c r="S26" s="102"/>
      <c r="U26" s="98">
        <f t="shared" si="1"/>
        <v>0</v>
      </c>
      <c r="V26" s="102" t="e" cm="1">
        <f t="array" aca="1" ref="V26" ca="1">IF(U26&lt;&gt;"",_xll.aqBondObjectPriceFromBondCurve(U26,SettlementDate,$K$6),"")</f>
        <v>#VALUE!</v>
      </c>
      <c r="W26" s="93" t="e">
        <f ca="1">IF(U26&lt;&gt;"",VLOOKUP(U26,UST_BONDS!L28:T73,7,0),"")</f>
        <v>#N/A</v>
      </c>
      <c r="X26" s="93" t="e">
        <f t="shared" ca="1" si="0"/>
        <v>#VALUE!</v>
      </c>
    </row>
    <row r="27" spans="2:24">
      <c r="B27" s="50" t="e">
        <f ca="1">UST_BONDS!L29</f>
        <v>#VALUE!</v>
      </c>
      <c r="C27" s="51">
        <f>UST_BONDS!M29</f>
        <v>3.2953507999999999E-2</v>
      </c>
      <c r="D27" s="51">
        <f t="shared" si="2"/>
        <v>1.8859999999995547E-5</v>
      </c>
      <c r="E27" s="54" t="b">
        <v>1</v>
      </c>
      <c r="G27" s="50"/>
      <c r="H27" s="51"/>
      <c r="M27" s="52"/>
      <c r="N27" s="51"/>
      <c r="O27" s="53"/>
      <c r="P27" s="46"/>
      <c r="Q27" s="52"/>
      <c r="R27" s="51"/>
      <c r="S27" s="53"/>
      <c r="U27" s="50">
        <f t="shared" si="1"/>
        <v>0</v>
      </c>
      <c r="V27" s="53" t="e" cm="1">
        <f t="array" aca="1" ref="V27" ca="1">IF(U27&lt;&gt;"",_xll.aqBondObjectPriceFromBondCurve(U27,SettlementDate,$K$6),"")</f>
        <v>#VALUE!</v>
      </c>
      <c r="W27" s="28" t="e">
        <f ca="1">IF(U27&lt;&gt;"",VLOOKUP(U27,UST_BONDS!L29:T74,7,0),"")</f>
        <v>#N/A</v>
      </c>
      <c r="X27" s="28" t="e">
        <f t="shared" ca="1" si="0"/>
        <v>#VALUE!</v>
      </c>
    </row>
    <row r="28" spans="2:24">
      <c r="B28" s="98" t="e">
        <f ca="1">UST_BONDS!L30</f>
        <v>#VALUE!</v>
      </c>
      <c r="C28" s="99">
        <f>UST_BONDS!M30</f>
        <v>3.2955782000000003E-2</v>
      </c>
      <c r="D28" s="100">
        <f t="shared" si="2"/>
        <v>2.2740000000034954E-6</v>
      </c>
      <c r="E28" s="54" t="b">
        <v>1</v>
      </c>
      <c r="G28" s="98"/>
      <c r="H28" s="99"/>
      <c r="M28" s="101"/>
      <c r="N28" s="99"/>
      <c r="O28" s="102"/>
      <c r="P28" s="46"/>
      <c r="Q28" s="101"/>
      <c r="R28" s="99"/>
      <c r="S28" s="102"/>
      <c r="U28" s="98">
        <f t="shared" si="1"/>
        <v>0</v>
      </c>
      <c r="V28" s="102" t="e" cm="1">
        <f t="array" aca="1" ref="V28" ca="1">IF(U28&lt;&gt;"",_xll.aqBondObjectPriceFromBondCurve(U28,SettlementDate,$K$6),"")</f>
        <v>#VALUE!</v>
      </c>
      <c r="W28" s="93" t="e">
        <f ca="1">IF(U28&lt;&gt;"",VLOOKUP(U28,UST_BONDS!L30:T75,7,0),"")</f>
        <v>#N/A</v>
      </c>
      <c r="X28" s="93" t="e">
        <f t="shared" ca="1" si="0"/>
        <v>#VALUE!</v>
      </c>
    </row>
    <row r="29" spans="2:24">
      <c r="B29" s="50" t="e">
        <f ca="1">UST_BONDS!L31</f>
        <v>#VALUE!</v>
      </c>
      <c r="C29" s="51">
        <f>UST_BONDS!M31</f>
        <v>3.3009759999999999E-2</v>
      </c>
      <c r="D29" s="51">
        <f t="shared" si="2"/>
        <v>5.3977999999996196E-5</v>
      </c>
      <c r="E29" s="54" t="b">
        <v>1</v>
      </c>
      <c r="G29" s="50"/>
      <c r="H29" s="51"/>
      <c r="M29" s="52"/>
      <c r="N29" s="51"/>
      <c r="O29" s="53"/>
      <c r="P29" s="46"/>
      <c r="Q29" s="52"/>
      <c r="R29" s="51"/>
      <c r="S29" s="53"/>
      <c r="U29" s="50">
        <f t="shared" si="1"/>
        <v>0</v>
      </c>
      <c r="V29" s="53" t="e" cm="1">
        <f t="array" aca="1" ref="V29" ca="1">IF(U29&lt;&gt;"",_xll.aqBondObjectPriceFromBondCurve(U29,SettlementDate,$K$6),"")</f>
        <v>#VALUE!</v>
      </c>
      <c r="W29" s="28" t="e">
        <f ca="1">IF(U29&lt;&gt;"",VLOOKUP(U29,UST_BONDS!L31:T76,7,0),"")</f>
        <v>#N/A</v>
      </c>
      <c r="X29" s="28" t="e">
        <f t="shared" ca="1" si="0"/>
        <v>#VALUE!</v>
      </c>
    </row>
    <row r="30" spans="2:24">
      <c r="B30" s="98" t="e">
        <f ca="1">UST_BONDS!L32</f>
        <v>#VALUE!</v>
      </c>
      <c r="C30" s="99">
        <f>UST_BONDS!M32</f>
        <v>3.3066974999999998E-2</v>
      </c>
      <c r="D30" s="100">
        <f t="shared" si="2"/>
        <v>5.721499999999935E-5</v>
      </c>
      <c r="E30" s="54" t="b">
        <v>1</v>
      </c>
      <c r="G30" s="98"/>
      <c r="H30" s="99"/>
      <c r="M30" s="101"/>
      <c r="N30" s="99"/>
      <c r="O30" s="102"/>
      <c r="P30" s="46"/>
      <c r="Q30" s="101"/>
      <c r="R30" s="99"/>
      <c r="S30" s="102"/>
      <c r="U30" s="98">
        <f t="shared" si="1"/>
        <v>0</v>
      </c>
      <c r="V30" s="102" t="e" cm="1">
        <f t="array" aca="1" ref="V30" ca="1">IF(U30&lt;&gt;"",_xll.aqBondObjectPriceFromBondCurve(U30,SettlementDate,$K$6),"")</f>
        <v>#VALUE!</v>
      </c>
      <c r="W30" s="93" t="e">
        <f ca="1">IF(U30&lt;&gt;"",VLOOKUP(U30,UST_BONDS!L32:T77,7,0),"")</f>
        <v>#N/A</v>
      </c>
      <c r="X30" s="93" t="e">
        <f t="shared" ca="1" si="0"/>
        <v>#VALUE!</v>
      </c>
    </row>
    <row r="31" spans="2:24">
      <c r="B31" s="50" t="e">
        <f ca="1">UST_BONDS!L33</f>
        <v>#VALUE!</v>
      </c>
      <c r="C31" s="51">
        <f>UST_BONDS!M33</f>
        <v>3.3088567999999999E-2</v>
      </c>
      <c r="D31" s="51">
        <f t="shared" si="2"/>
        <v>2.1593000000000306E-5</v>
      </c>
      <c r="E31" s="54" t="b">
        <v>1</v>
      </c>
      <c r="G31" s="50"/>
      <c r="H31" s="51"/>
      <c r="M31" s="52"/>
      <c r="N31" s="51"/>
      <c r="O31" s="53"/>
      <c r="P31" s="46"/>
      <c r="Q31" s="52"/>
      <c r="R31" s="51"/>
      <c r="S31" s="53"/>
      <c r="U31" s="50">
        <f t="shared" si="1"/>
        <v>0</v>
      </c>
      <c r="V31" s="53" t="e" cm="1">
        <f t="array" aca="1" ref="V31" ca="1">IF(U31&lt;&gt;"",_xll.aqBondObjectPriceFromBondCurve(U31,SettlementDate,$K$6),"")</f>
        <v>#VALUE!</v>
      </c>
      <c r="W31" s="28" t="e">
        <f ca="1">IF(U31&lt;&gt;"",VLOOKUP(U31,UST_BONDS!L33:T78,7,0),"")</f>
        <v>#N/A</v>
      </c>
      <c r="X31" s="28" t="e">
        <f t="shared" ca="1" si="0"/>
        <v>#VALUE!</v>
      </c>
    </row>
    <row r="32" spans="2:24">
      <c r="B32" s="98" t="e">
        <f ca="1">UST_BONDS!L34</f>
        <v>#VALUE!</v>
      </c>
      <c r="C32" s="99">
        <f>UST_BONDS!M34</f>
        <v>3.3123711E-2</v>
      </c>
      <c r="D32" s="100">
        <f t="shared" si="2"/>
        <v>3.5143000000001368E-5</v>
      </c>
      <c r="E32" s="54" t="b">
        <v>1</v>
      </c>
      <c r="G32" s="98"/>
      <c r="H32" s="99"/>
      <c r="M32" s="101"/>
      <c r="N32" s="99"/>
      <c r="O32" s="102"/>
      <c r="P32" s="46"/>
      <c r="Q32" s="101"/>
      <c r="R32" s="99"/>
      <c r="S32" s="102"/>
      <c r="U32" s="98">
        <f t="shared" si="1"/>
        <v>0</v>
      </c>
      <c r="V32" s="102" t="e" cm="1">
        <f t="array" aca="1" ref="V32" ca="1">IF(U32&lt;&gt;"",_xll.aqBondObjectPriceFromBondCurve(U32,SettlementDate,$K$6),"")</f>
        <v>#VALUE!</v>
      </c>
      <c r="W32" s="93" t="e">
        <f ca="1">IF(U32&lt;&gt;"",VLOOKUP(U32,UST_BONDS!L34:T79,7,0),"")</f>
        <v>#N/A</v>
      </c>
      <c r="X32" s="93" t="e">
        <f t="shared" ca="1" si="0"/>
        <v>#VALUE!</v>
      </c>
    </row>
    <row r="33" spans="2:24">
      <c r="B33" s="50" t="e">
        <f ca="1">UST_BONDS!L35</f>
        <v>#VALUE!</v>
      </c>
      <c r="C33" s="51">
        <f>UST_BONDS!M35</f>
        <v>3.3168191E-2</v>
      </c>
      <c r="D33" s="51">
        <f t="shared" si="2"/>
        <v>4.447999999999952E-5</v>
      </c>
      <c r="E33" s="54" t="b">
        <v>1</v>
      </c>
      <c r="G33" s="50"/>
      <c r="H33" s="51"/>
      <c r="M33" s="52"/>
      <c r="N33" s="51"/>
      <c r="O33" s="53"/>
      <c r="P33" s="46"/>
      <c r="Q33" s="52"/>
      <c r="R33" s="51"/>
      <c r="S33" s="53"/>
      <c r="U33" s="50">
        <f t="shared" si="1"/>
        <v>0</v>
      </c>
      <c r="V33" s="53" t="e" cm="1">
        <f t="array" aca="1" ref="V33" ca="1">IF(U33&lt;&gt;"",_xll.aqBondObjectPriceFromBondCurve(U33,SettlementDate,$K$6),"")</f>
        <v>#VALUE!</v>
      </c>
      <c r="W33" s="28" t="e">
        <f ca="1">IF(U33&lt;&gt;"",VLOOKUP(U33,UST_BONDS!L35:T80,7,0),"")</f>
        <v>#N/A</v>
      </c>
      <c r="X33" s="28" t="e">
        <f t="shared" ca="1" si="0"/>
        <v>#VALUE!</v>
      </c>
    </row>
    <row r="34" spans="2:24">
      <c r="B34" s="98" t="e">
        <f ca="1">UST_BONDS!L36</f>
        <v>#VALUE!</v>
      </c>
      <c r="C34" s="99">
        <f>UST_BONDS!M36</f>
        <v>3.3203752999999996E-2</v>
      </c>
      <c r="D34" s="100">
        <f t="shared" si="2"/>
        <v>3.556199999999593E-5</v>
      </c>
      <c r="E34" s="54" t="b">
        <v>1</v>
      </c>
      <c r="G34" s="98"/>
      <c r="H34" s="99"/>
      <c r="M34" s="101"/>
      <c r="N34" s="99"/>
      <c r="O34" s="102"/>
      <c r="P34" s="46"/>
      <c r="Q34" s="101"/>
      <c r="R34" s="99"/>
      <c r="S34" s="102"/>
      <c r="U34" s="98">
        <f t="shared" si="1"/>
        <v>0</v>
      </c>
      <c r="V34" s="102" t="e" cm="1">
        <f t="array" aca="1" ref="V34" ca="1">IF(U34&lt;&gt;"",_xll.aqBondObjectPriceFromBondCurve(U34,SettlementDate,$K$6),"")</f>
        <v>#VALUE!</v>
      </c>
      <c r="W34" s="93" t="e">
        <f ca="1">IF(U34&lt;&gt;"",VLOOKUP(U34,UST_BONDS!L36:T81,7,0),"")</f>
        <v>#N/A</v>
      </c>
      <c r="X34" s="93" t="e">
        <f t="shared" ca="1" si="0"/>
        <v>#VALUE!</v>
      </c>
    </row>
    <row r="35" spans="2:24">
      <c r="B35" s="50" t="e">
        <f ca="1">UST_BONDS!L37</f>
        <v>#VALUE!</v>
      </c>
      <c r="C35" s="51">
        <f>UST_BONDS!M37</f>
        <v>3.3233506999999995E-2</v>
      </c>
      <c r="D35" s="51">
        <f t="shared" si="2"/>
        <v>2.9753999999999892E-5</v>
      </c>
      <c r="E35" s="54" t="b">
        <v>1</v>
      </c>
      <c r="G35" s="50"/>
      <c r="H35" s="51"/>
      <c r="M35" s="52"/>
      <c r="N35" s="51"/>
      <c r="O35" s="53"/>
      <c r="P35" s="46"/>
      <c r="Q35" s="52"/>
      <c r="R35" s="51"/>
      <c r="S35" s="53"/>
      <c r="U35" s="50">
        <f t="shared" si="1"/>
        <v>0</v>
      </c>
      <c r="V35" s="53" t="e" cm="1">
        <f t="array" aca="1" ref="V35" ca="1">IF(U35&lt;&gt;"",_xll.aqBondObjectPriceFromBondCurve(U35,SettlementDate,$K$6),"")</f>
        <v>#VALUE!</v>
      </c>
      <c r="W35" s="28" t="e">
        <f ca="1">IF(U35&lt;&gt;"",VLOOKUP(U35,UST_BONDS!L37:T82,7,0),"")</f>
        <v>#N/A</v>
      </c>
      <c r="X35" s="28" t="e">
        <f t="shared" ca="1" si="0"/>
        <v>#VALUE!</v>
      </c>
    </row>
    <row r="36" spans="2:24">
      <c r="B36" s="98" t="e">
        <f ca="1">UST_BONDS!L38</f>
        <v>#VALUE!</v>
      </c>
      <c r="C36" s="99">
        <f>UST_BONDS!M38</f>
        <v>3.3234789000000001E-2</v>
      </c>
      <c r="D36" s="100">
        <f t="shared" si="2"/>
        <v>1.2820000000052234E-6</v>
      </c>
      <c r="E36" s="54" t="b">
        <v>1</v>
      </c>
      <c r="G36" s="98"/>
      <c r="H36" s="99"/>
      <c r="M36" s="101"/>
      <c r="N36" s="99"/>
      <c r="O36" s="102"/>
      <c r="P36" s="46"/>
      <c r="Q36" s="101"/>
      <c r="R36" s="99"/>
      <c r="S36" s="102"/>
      <c r="U36" s="98">
        <f t="shared" si="1"/>
        <v>0</v>
      </c>
      <c r="V36" s="102" t="e" cm="1">
        <f t="array" aca="1" ref="V36" ca="1">IF(U36&lt;&gt;"",_xll.aqBondObjectPriceFromBondCurve(U36,SettlementDate,$K$6),"")</f>
        <v>#VALUE!</v>
      </c>
      <c r="W36" s="93" t="e">
        <f ca="1">IF(U36&lt;&gt;"",VLOOKUP(U36,UST_BONDS!L38:T83,7,0),"")</f>
        <v>#N/A</v>
      </c>
      <c r="X36" s="93" t="e">
        <f t="shared" ca="1" si="0"/>
        <v>#VALUE!</v>
      </c>
    </row>
    <row r="37" spans="2:24">
      <c r="B37" s="50" t="e">
        <f ca="1">UST_BONDS!L39</f>
        <v>#VALUE!</v>
      </c>
      <c r="C37" s="51">
        <f>UST_BONDS!M39</f>
        <v>3.3248174999999998E-2</v>
      </c>
      <c r="D37" s="51">
        <f t="shared" si="2"/>
        <v>1.3385999999997178E-5</v>
      </c>
      <c r="E37" s="54" t="b">
        <v>1</v>
      </c>
      <c r="G37" s="50"/>
      <c r="H37" s="51"/>
      <c r="M37" s="52"/>
      <c r="N37" s="51"/>
      <c r="O37" s="53"/>
      <c r="P37" s="46"/>
      <c r="Q37" s="52"/>
      <c r="R37" s="51"/>
      <c r="S37" s="53"/>
      <c r="U37" s="50">
        <f t="shared" si="1"/>
        <v>0</v>
      </c>
      <c r="V37" s="53" t="e" cm="1">
        <f t="array" aca="1" ref="V37" ca="1">IF(U37&lt;&gt;"",_xll.aqBondObjectPriceFromBondCurve(U37,SettlementDate,$K$6),"")</f>
        <v>#VALUE!</v>
      </c>
      <c r="W37" s="28" t="e">
        <f ca="1">IF(U37&lt;&gt;"",VLOOKUP(U37,UST_BONDS!L39:T84,7,0),"")</f>
        <v>#N/A</v>
      </c>
      <c r="X37" s="28" t="e">
        <f t="shared" ca="1" si="0"/>
        <v>#VALUE!</v>
      </c>
    </row>
    <row r="38" spans="2:24">
      <c r="B38" s="98" t="e">
        <f ca="1">UST_BONDS!L40</f>
        <v>#VALUE!</v>
      </c>
      <c r="C38" s="99">
        <f>UST_BONDS!M40</f>
        <v>3.3237541999999995E-2</v>
      </c>
      <c r="D38" s="100">
        <f t="shared" si="2"/>
        <v>-1.0633000000002946E-5</v>
      </c>
      <c r="E38" s="54" t="b">
        <v>1</v>
      </c>
      <c r="G38" s="98"/>
      <c r="H38" s="99"/>
      <c r="M38" s="101"/>
      <c r="N38" s="99"/>
      <c r="O38" s="102"/>
      <c r="P38" s="46"/>
      <c r="Q38" s="101"/>
      <c r="R38" s="99"/>
      <c r="S38" s="102"/>
      <c r="U38" s="98">
        <f t="shared" si="1"/>
        <v>0</v>
      </c>
      <c r="V38" s="102" t="e" cm="1">
        <f t="array" aca="1" ref="V38" ca="1">IF(U38&lt;&gt;"",_xll.aqBondObjectPriceFromBondCurve(U38,SettlementDate,$K$6),"")</f>
        <v>#VALUE!</v>
      </c>
      <c r="W38" s="93" t="e">
        <f ca="1">IF(U38&lt;&gt;"",VLOOKUP(U38,UST_BONDS!L40:T85,7,0),"")</f>
        <v>#N/A</v>
      </c>
      <c r="X38" s="93" t="e">
        <f t="shared" ca="1" si="0"/>
        <v>#VALUE!</v>
      </c>
    </row>
    <row r="39" spans="2:24">
      <c r="B39" s="50" t="e">
        <f ca="1">UST_BONDS!L41</f>
        <v>#VALUE!</v>
      </c>
      <c r="C39" s="51">
        <f>UST_BONDS!M41</f>
        <v>3.3233831999999998E-2</v>
      </c>
      <c r="D39" s="51">
        <f t="shared" si="2"/>
        <v>-3.709999999997049E-6</v>
      </c>
      <c r="E39" s="54" t="b">
        <v>1</v>
      </c>
      <c r="G39" s="50"/>
      <c r="H39" s="51"/>
      <c r="M39" s="52"/>
      <c r="N39" s="51"/>
      <c r="O39" s="53"/>
      <c r="P39" s="46"/>
      <c r="Q39" s="52"/>
      <c r="R39" s="51"/>
      <c r="S39" s="53"/>
      <c r="U39" s="50">
        <f t="shared" si="1"/>
        <v>0</v>
      </c>
      <c r="V39" s="53" t="e" cm="1">
        <f t="array" aca="1" ref="V39" ca="1">IF(U39&lt;&gt;"",_xll.aqBondObjectPriceFromBondCurve(U39,SettlementDate,$K$6),"")</f>
        <v>#VALUE!</v>
      </c>
      <c r="W39" s="28" t="e">
        <f ca="1">IF(U39&lt;&gt;"",VLOOKUP(U39,UST_BONDS!L41:T86,7,0),"")</f>
        <v>#N/A</v>
      </c>
      <c r="X39" s="28" t="e">
        <f t="shared" ca="1" si="0"/>
        <v>#VALUE!</v>
      </c>
    </row>
    <row r="40" spans="2:24">
      <c r="B40" s="98" t="e">
        <f ca="1">UST_BONDS!L42</f>
        <v>#VALUE!</v>
      </c>
      <c r="C40" s="99">
        <f>UST_BONDS!M42</f>
        <v>3.3239160999999996E-2</v>
      </c>
      <c r="D40" s="100">
        <f t="shared" si="2"/>
        <v>5.3289999999983628E-6</v>
      </c>
      <c r="E40" s="54" t="b">
        <v>1</v>
      </c>
      <c r="G40" s="98"/>
      <c r="H40" s="99"/>
      <c r="M40" s="101"/>
      <c r="N40" s="99"/>
      <c r="O40" s="102"/>
      <c r="P40" s="46"/>
      <c r="Q40" s="101"/>
      <c r="R40" s="99"/>
      <c r="S40" s="102"/>
      <c r="U40" s="98">
        <f t="shared" si="1"/>
        <v>0</v>
      </c>
      <c r="V40" s="102" t="e" cm="1">
        <f t="array" aca="1" ref="V40" ca="1">IF(U40&lt;&gt;"",_xll.aqBondObjectPriceFromBondCurve(U40,SettlementDate,$K$6),"")</f>
        <v>#VALUE!</v>
      </c>
      <c r="W40" s="93" t="e">
        <f ca="1">IF(U40&lt;&gt;"",VLOOKUP(U40,UST_BONDS!L42:T87,7,0),"")</f>
        <v>#N/A</v>
      </c>
      <c r="X40" s="93" t="e">
        <f t="shared" ca="1" si="0"/>
        <v>#VALUE!</v>
      </c>
    </row>
    <row r="41" spans="2:24">
      <c r="B41" s="50" t="e">
        <f ca="1">UST_BONDS!L43</f>
        <v>#VALUE!</v>
      </c>
      <c r="C41" s="51">
        <f>UST_BONDS!M43</f>
        <v>3.3238393999999997E-2</v>
      </c>
      <c r="D41" s="51">
        <f t="shared" si="2"/>
        <v>-7.6699999999874091E-7</v>
      </c>
      <c r="E41" s="54" t="b">
        <v>1</v>
      </c>
      <c r="G41" s="50"/>
      <c r="H41" s="51"/>
      <c r="M41" s="52"/>
      <c r="N41" s="51"/>
      <c r="O41" s="53"/>
      <c r="P41" s="46"/>
      <c r="Q41" s="52"/>
      <c r="R41" s="51"/>
      <c r="S41" s="53"/>
      <c r="U41" s="50">
        <f t="shared" si="1"/>
        <v>0</v>
      </c>
      <c r="V41" s="53" t="e" cm="1">
        <f t="array" aca="1" ref="V41" ca="1">IF(U41&lt;&gt;"",_xll.aqBondObjectPriceFromBondCurve(U41,SettlementDate,$K$6),"")</f>
        <v>#VALUE!</v>
      </c>
      <c r="W41" s="28" t="e">
        <f ca="1">IF(U41&lt;&gt;"",VLOOKUP(U41,UST_BONDS!L43:T88,7,0),"")</f>
        <v>#N/A</v>
      </c>
      <c r="X41" s="28" t="e">
        <f t="shared" ca="1" si="0"/>
        <v>#VALUE!</v>
      </c>
    </row>
    <row r="42" spans="2:24">
      <c r="B42" s="98" t="e">
        <f ca="1">UST_BONDS!L44</f>
        <v>#VALUE!</v>
      </c>
      <c r="C42" s="99">
        <f>UST_BONDS!M44</f>
        <v>3.3260105999999998E-2</v>
      </c>
      <c r="D42" s="100">
        <f t="shared" si="2"/>
        <v>2.171200000000012E-5</v>
      </c>
      <c r="E42" s="54" t="b">
        <v>1</v>
      </c>
      <c r="G42" s="98"/>
      <c r="H42" s="99"/>
      <c r="M42" s="101"/>
      <c r="N42" s="99"/>
      <c r="O42" s="102"/>
      <c r="P42" s="46"/>
      <c r="Q42" s="101"/>
      <c r="R42" s="99"/>
      <c r="S42" s="102"/>
      <c r="U42" s="98">
        <f t="shared" si="1"/>
        <v>0</v>
      </c>
      <c r="V42" s="102" t="e" cm="1">
        <f t="array" aca="1" ref="V42" ca="1">IF(U42&lt;&gt;"",_xll.aqBondObjectPriceFromBondCurve(U42,SettlementDate,$K$6),"")</f>
        <v>#VALUE!</v>
      </c>
      <c r="W42" s="93" t="e">
        <f ca="1">IF(U42&lt;&gt;"",VLOOKUP(U42,UST_BONDS!L44:T89,7,0),"")</f>
        <v>#N/A</v>
      </c>
      <c r="X42" s="93" t="e">
        <f t="shared" ca="1" si="0"/>
        <v>#VALUE!</v>
      </c>
    </row>
    <row r="43" spans="2:24">
      <c r="B43" s="50" t="e">
        <f ca="1">UST_BONDS!L45</f>
        <v>#VALUE!</v>
      </c>
      <c r="C43" s="51">
        <f>UST_BONDS!M45</f>
        <v>3.3259548999999999E-2</v>
      </c>
      <c r="D43" s="51">
        <f t="shared" si="2"/>
        <v>-5.5699999999825334E-7</v>
      </c>
      <c r="E43" s="54" t="b">
        <v>1</v>
      </c>
      <c r="G43" s="50"/>
      <c r="H43" s="51"/>
      <c r="M43" s="52"/>
      <c r="N43" s="51"/>
      <c r="O43" s="53"/>
      <c r="P43" s="46"/>
      <c r="Q43" s="52"/>
      <c r="R43" s="51"/>
      <c r="S43" s="53"/>
      <c r="U43" s="50">
        <f t="shared" si="1"/>
        <v>0</v>
      </c>
      <c r="V43" s="53" t="e" cm="1">
        <f t="array" aca="1" ref="V43" ca="1">IF(U43&lt;&gt;"",_xll.aqBondObjectPriceFromBondCurve(U43,SettlementDate,$K$6),"")</f>
        <v>#VALUE!</v>
      </c>
      <c r="W43" s="28" t="e">
        <f ca="1">IF(U43&lt;&gt;"",VLOOKUP(U43,UST_BONDS!L45:T90,7,0),"")</f>
        <v>#N/A</v>
      </c>
      <c r="X43" s="28" t="e">
        <f t="shared" ca="1" si="0"/>
        <v>#VALUE!</v>
      </c>
    </row>
    <row r="44" spans="2:24">
      <c r="B44" s="98" t="e">
        <f ca="1">UST_BONDS!L46</f>
        <v>#VALUE!</v>
      </c>
      <c r="C44" s="99">
        <f>UST_BONDS!M46</f>
        <v>3.3302183999999999E-2</v>
      </c>
      <c r="D44" s="100">
        <f t="shared" si="2"/>
        <v>4.2634999999999201E-5</v>
      </c>
      <c r="E44" s="54" t="b">
        <v>1</v>
      </c>
      <c r="G44" s="98"/>
      <c r="H44" s="99"/>
      <c r="M44" s="101"/>
      <c r="N44" s="99"/>
      <c r="O44" s="102"/>
      <c r="P44" s="46"/>
      <c r="Q44" s="101"/>
      <c r="R44" s="99"/>
      <c r="S44" s="102"/>
      <c r="U44" s="98">
        <f t="shared" si="1"/>
        <v>0</v>
      </c>
      <c r="V44" s="102" t="e" cm="1">
        <f t="array" aca="1" ref="V44" ca="1">IF(U44&lt;&gt;"",_xll.aqBondObjectPriceFromBondCurve(U44,SettlementDate,$K$6),"")</f>
        <v>#VALUE!</v>
      </c>
      <c r="W44" s="93" t="e">
        <f ca="1">IF(U44&lt;&gt;"",VLOOKUP(U44,UST_BONDS!L46:T91,7,0),"")</f>
        <v>#N/A</v>
      </c>
      <c r="X44" s="93" t="e">
        <f t="shared" ca="1" si="0"/>
        <v>#VALUE!</v>
      </c>
    </row>
    <row r="45" spans="2:24">
      <c r="B45" s="50" t="e">
        <f ca="1">UST_BONDS!L47</f>
        <v>#VALUE!</v>
      </c>
      <c r="C45" s="51">
        <f>UST_BONDS!M47</f>
        <v>3.3265649000000001E-2</v>
      </c>
      <c r="D45" s="51">
        <f t="shared" si="2"/>
        <v>-3.6534999999997264E-5</v>
      </c>
      <c r="E45" s="54" t="b">
        <v>1</v>
      </c>
      <c r="G45" s="50"/>
      <c r="H45" s="51"/>
      <c r="M45" s="52"/>
      <c r="N45" s="51"/>
      <c r="O45" s="53"/>
      <c r="P45" s="46"/>
      <c r="Q45" s="52"/>
      <c r="R45" s="51"/>
      <c r="S45" s="53"/>
      <c r="U45" s="50">
        <f t="shared" si="1"/>
        <v>0</v>
      </c>
      <c r="V45" s="53" t="e" cm="1">
        <f t="array" aca="1" ref="V45" ca="1">IF(U45&lt;&gt;"",_xll.aqBondObjectPriceFromBondCurve(U45,SettlementDate,$K$6),"")</f>
        <v>#VALUE!</v>
      </c>
      <c r="W45" s="28" t="e">
        <f ca="1">IF(U45&lt;&gt;"",VLOOKUP(U45,UST_BONDS!L47:T92,7,0),"")</f>
        <v>#N/A</v>
      </c>
      <c r="X45" s="28" t="e">
        <f t="shared" ca="1" si="0"/>
        <v>#VALUE!</v>
      </c>
    </row>
    <row r="46" spans="2:24">
      <c r="B46" s="98" t="e">
        <f ca="1">UST_BONDS!L48</f>
        <v>#VALUE!</v>
      </c>
      <c r="C46" s="99">
        <f>UST_BONDS!M48</f>
        <v>3.3289308000000004E-2</v>
      </c>
      <c r="D46" s="100">
        <f t="shared" si="2"/>
        <v>2.3659000000002262E-5</v>
      </c>
      <c r="E46" s="54" t="b">
        <v>1</v>
      </c>
      <c r="G46" s="98"/>
      <c r="H46" s="99"/>
      <c r="M46" s="101"/>
      <c r="N46" s="99"/>
      <c r="O46" s="102"/>
      <c r="P46" s="46"/>
      <c r="Q46" s="101"/>
      <c r="R46" s="99"/>
      <c r="S46" s="102"/>
      <c r="U46" s="98">
        <f t="shared" si="1"/>
        <v>0</v>
      </c>
      <c r="V46" s="102" t="e" cm="1">
        <f t="array" aca="1" ref="V46" ca="1">IF(U46&lt;&gt;"",_xll.aqBondObjectPriceFromBondCurve(U46,SettlementDate,$K$6),"")</f>
        <v>#VALUE!</v>
      </c>
      <c r="W46" s="93" t="e">
        <f ca="1">IF(U46&lt;&gt;"",VLOOKUP(U46,UST_BONDS!L48:T93,7,0),"")</f>
        <v>#N/A</v>
      </c>
      <c r="X46" s="93" t="e">
        <f t="shared" ca="1" si="0"/>
        <v>#VALUE!</v>
      </c>
    </row>
    <row r="47" spans="2:24">
      <c r="B47" s="50" t="e">
        <f ca="1">UST_BONDS!L49</f>
        <v>#VALUE!</v>
      </c>
      <c r="C47" s="51">
        <f>UST_BONDS!M49</f>
        <v>3.3272266000000002E-2</v>
      </c>
      <c r="D47" s="51">
        <f t="shared" si="2"/>
        <v>-1.7042000000001833E-5</v>
      </c>
      <c r="E47" s="54" t="b">
        <v>1</v>
      </c>
      <c r="G47" s="50"/>
      <c r="H47" s="51"/>
      <c r="M47" s="52"/>
      <c r="N47" s="51"/>
      <c r="O47" s="53"/>
      <c r="P47" s="46"/>
      <c r="Q47" s="52"/>
      <c r="R47" s="51"/>
      <c r="S47" s="53"/>
      <c r="U47" s="50">
        <f t="shared" si="1"/>
        <v>0</v>
      </c>
      <c r="V47" s="53" t="e" cm="1">
        <f t="array" aca="1" ref="V47" ca="1">IF(U47&lt;&gt;"",_xll.aqBondObjectPriceFromBondCurve(U47,SettlementDate,$K$6),"")</f>
        <v>#VALUE!</v>
      </c>
      <c r="W47" s="28" t="e">
        <f ca="1">IF(U47&lt;&gt;"",VLOOKUP(U47,UST_BONDS!L49:T94,7,0),"")</f>
        <v>#N/A</v>
      </c>
      <c r="X47" s="28" t="e">
        <f t="shared" ca="1" si="0"/>
        <v>#VALUE!</v>
      </c>
    </row>
    <row r="48" spans="2:24">
      <c r="B48" s="98" t="e">
        <f ca="1">UST_BONDS!L50</f>
        <v>#VALUE!</v>
      </c>
      <c r="C48" s="99">
        <f>UST_BONDS!M50</f>
        <v>3.3324253999999998E-2</v>
      </c>
      <c r="D48" s="100">
        <f t="shared" si="2"/>
        <v>5.1987999999995871E-5</v>
      </c>
      <c r="E48" s="54" t="b">
        <v>1</v>
      </c>
      <c r="G48" s="98"/>
      <c r="H48" s="99"/>
      <c r="M48" s="101"/>
      <c r="N48" s="99"/>
      <c r="O48" s="102"/>
      <c r="P48" s="46"/>
      <c r="Q48" s="101"/>
      <c r="R48" s="99"/>
      <c r="S48" s="102"/>
      <c r="U48" s="98">
        <f t="shared" si="1"/>
        <v>0</v>
      </c>
      <c r="V48" s="102" t="e" cm="1">
        <f t="array" aca="1" ref="V48" ca="1">IF(U48&lt;&gt;"",_xll.aqBondObjectPriceFromBondCurve(U48,SettlementDate,$K$6),"")</f>
        <v>#VALUE!</v>
      </c>
      <c r="W48" s="93" t="e">
        <f ca="1">IF(U48&lt;&gt;"",VLOOKUP(U48,UST_BONDS!L50:T95,7,0),"")</f>
        <v>#N/A</v>
      </c>
      <c r="X48" s="93" t="e">
        <f t="shared" ca="1" si="0"/>
        <v>#VALUE!</v>
      </c>
    </row>
    <row r="49" spans="2:24">
      <c r="B49" s="50" t="e">
        <f ca="1">UST_BONDS!L51</f>
        <v>#VALUE!</v>
      </c>
      <c r="C49" s="51">
        <f>UST_BONDS!M51</f>
        <v>3.3331265999999998E-2</v>
      </c>
      <c r="D49" s="51">
        <f t="shared" si="2"/>
        <v>7.0120000000006844E-6</v>
      </c>
      <c r="E49" s="54" t="b">
        <v>1</v>
      </c>
      <c r="G49" s="50"/>
      <c r="H49" s="51"/>
      <c r="M49" s="52"/>
      <c r="N49" s="51"/>
      <c r="O49" s="53"/>
      <c r="P49" s="46"/>
      <c r="Q49" s="52"/>
      <c r="R49" s="51"/>
      <c r="S49" s="53"/>
      <c r="U49" s="50">
        <f t="shared" si="1"/>
        <v>0</v>
      </c>
      <c r="V49" s="53" t="e" cm="1">
        <f t="array" aca="1" ref="V49" ca="1">IF(U49&lt;&gt;"",_xll.aqBondObjectPriceFromBondCurve(U49,SettlementDate,$K$6),"")</f>
        <v>#VALUE!</v>
      </c>
      <c r="W49" s="28" t="e">
        <f ca="1">IF(U49&lt;&gt;"",VLOOKUP(U49,UST_BONDS!L51:T96,7,0),"")</f>
        <v>#N/A</v>
      </c>
      <c r="X49" s="28" t="e">
        <f t="shared" ca="1" si="0"/>
        <v>#VALUE!</v>
      </c>
    </row>
    <row r="50" spans="2:24">
      <c r="B50" s="98" t="e">
        <f ca="1">UST_BONDS!L52</f>
        <v>#VALUE!</v>
      </c>
      <c r="C50" s="99">
        <f>UST_BONDS!M52</f>
        <v>3.3330628000000001E-2</v>
      </c>
      <c r="D50" s="100">
        <f t="shared" si="2"/>
        <v>-6.3799999999725188E-7</v>
      </c>
      <c r="E50" s="54" t="b">
        <v>1</v>
      </c>
      <c r="G50" s="98"/>
      <c r="H50" s="99"/>
      <c r="M50" s="101"/>
      <c r="N50" s="99"/>
      <c r="O50" s="102"/>
      <c r="P50" s="46"/>
      <c r="Q50" s="101"/>
      <c r="R50" s="99"/>
      <c r="S50" s="102"/>
      <c r="U50" s="98">
        <f t="shared" si="1"/>
        <v>0</v>
      </c>
      <c r="V50" s="102" t="e" cm="1">
        <f t="array" aca="1" ref="V50" ca="1">IF(U50&lt;&gt;"",_xll.aqBondObjectPriceFromBondCurve(U50,SettlementDate,$K$6),"")</f>
        <v>#VALUE!</v>
      </c>
      <c r="W50" s="93" t="e">
        <f ca="1">IF(U50&lt;&gt;"",VLOOKUP(U50,UST_BONDS!L52:T97,7,0),"")</f>
        <v>#N/A</v>
      </c>
      <c r="X50" s="93" t="e">
        <f t="shared" ca="1" si="0"/>
        <v>#VALUE!</v>
      </c>
    </row>
    <row r="51" spans="2:24">
      <c r="B51" s="50" t="e">
        <f ca="1">UST_BONDS!L53</f>
        <v>#VALUE!</v>
      </c>
      <c r="C51" s="51">
        <f>UST_BONDS!M53</f>
        <v>3.3303112000000003E-2</v>
      </c>
      <c r="D51" s="51">
        <f t="shared" si="2"/>
        <v>-2.7515999999998264E-5</v>
      </c>
      <c r="E51" s="54" t="b">
        <v>1</v>
      </c>
      <c r="G51" s="50"/>
      <c r="H51" s="51"/>
      <c r="M51" s="52"/>
      <c r="N51" s="51"/>
      <c r="O51" s="53"/>
      <c r="P51" s="46"/>
      <c r="Q51" s="52"/>
      <c r="R51" s="51"/>
      <c r="S51" s="53"/>
      <c r="U51" s="50">
        <f t="shared" si="1"/>
        <v>0</v>
      </c>
      <c r="V51" s="53" t="e" cm="1">
        <f t="array" aca="1" ref="V51" ca="1">IF(U51&lt;&gt;"",_xll.aqBondObjectPriceFromBondCurve(U51,SettlementDate,$K$6),"")</f>
        <v>#VALUE!</v>
      </c>
      <c r="W51" s="28" t="e">
        <f ca="1">IF(U51&lt;&gt;"",VLOOKUP(U51,UST_BONDS!L53:T98,7,0),"")</f>
        <v>#N/A</v>
      </c>
      <c r="X51" s="28" t="e">
        <f t="shared" ca="1" si="0"/>
        <v>#VALUE!</v>
      </c>
    </row>
    <row r="52" spans="2:24">
      <c r="C52" s="44"/>
      <c r="D52" s="44"/>
      <c r="H52" s="44"/>
    </row>
    <row r="53" spans="2:24">
      <c r="H53" s="44"/>
    </row>
    <row r="54" spans="2:24">
      <c r="H54" s="44"/>
    </row>
    <row r="55" spans="2:24">
      <c r="H55" s="44"/>
    </row>
  </sheetData>
  <dataValidations count="2">
    <dataValidation type="list" allowBlank="1" showInputMessage="1" showErrorMessage="1" sqref="K10" xr:uid="{EFADE77B-A619-4FC7-8342-D243749B4486}">
      <formula1>"NONE,ISMA,TRUE,SIMPLE"</formula1>
    </dataValidation>
    <dataValidation showInputMessage="1" showErrorMessage="1" sqref="E6:E51" xr:uid="{94E67C37-1D52-4144-B30F-6D00C63CC3CE}"/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E2F4C-AE0F-42F3-9C1B-2F9FC198D605}">
  <dimension ref="B2:M26"/>
  <sheetViews>
    <sheetView showGridLines="0" workbookViewId="0"/>
  </sheetViews>
  <sheetFormatPr defaultRowHeight="15"/>
  <cols>
    <col min="2" max="3" width="20.7109375" customWidth="1"/>
    <col min="5" max="5" width="20.7109375" customWidth="1"/>
    <col min="6" max="6" width="27" bestFit="1" customWidth="1"/>
    <col min="8" max="8" width="20.7109375" customWidth="1"/>
    <col min="9" max="9" width="20.7109375" style="12" customWidth="1"/>
    <col min="10" max="10" width="10.140625" bestFit="1" customWidth="1"/>
  </cols>
  <sheetData>
    <row r="2" spans="2:13">
      <c r="B2" s="5" t="s">
        <v>141</v>
      </c>
      <c r="E2" t="s">
        <v>189</v>
      </c>
      <c r="F2" s="72">
        <f>B24</f>
        <v>0</v>
      </c>
      <c r="H2" s="5" t="s">
        <v>121</v>
      </c>
      <c r="I2" s="59" t="e" cm="1">
        <f t="array" aca="1" ref="I2" ca="1">_xll.aqBondObjectCreateFromGenerator(I5,F2,H5:I13)</f>
        <v>#VALUE!</v>
      </c>
    </row>
    <row r="4" spans="2:13">
      <c r="B4" t="e" cm="1">
        <f t="array" aca="1" ref="B4" ca="1">_xll.aqObjectList(B2)</f>
        <v>#VALUE!</v>
      </c>
      <c r="E4" s="5" t="e" cm="1">
        <f t="array" aca="1" ref="E4" ca="1">_xll.aqBondGeneratorDisplay(F2)</f>
        <v>#VALUE!</v>
      </c>
      <c r="H4" s="5" t="s">
        <v>142</v>
      </c>
    </row>
    <row r="5" spans="2:13">
      <c r="E5" s="98"/>
      <c r="F5" s="55"/>
      <c r="H5" s="106" t="s">
        <v>0</v>
      </c>
      <c r="I5" s="70" t="s">
        <v>188</v>
      </c>
    </row>
    <row r="6" spans="2:13">
      <c r="E6" s="98"/>
      <c r="F6" s="55"/>
      <c r="H6" s="106" t="s">
        <v>1</v>
      </c>
      <c r="I6" s="70" t="s">
        <v>178</v>
      </c>
      <c r="J6" s="12"/>
      <c r="K6" s="12"/>
      <c r="L6" s="12"/>
      <c r="M6" s="12"/>
    </row>
    <row r="7" spans="2:13">
      <c r="E7" s="98"/>
      <c r="F7" s="55"/>
      <c r="H7" s="103" t="s">
        <v>2</v>
      </c>
      <c r="I7" s="71">
        <v>45900</v>
      </c>
      <c r="J7" s="12"/>
      <c r="K7" s="12"/>
      <c r="L7" s="12"/>
      <c r="M7" s="12"/>
    </row>
    <row r="8" spans="2:13">
      <c r="E8" s="98"/>
      <c r="F8" s="55"/>
      <c r="H8" s="103" t="s">
        <v>8</v>
      </c>
      <c r="I8" s="71">
        <v>45900</v>
      </c>
    </row>
    <row r="9" spans="2:13">
      <c r="E9" s="98"/>
      <c r="F9" s="55"/>
      <c r="H9" s="103" t="s">
        <v>7</v>
      </c>
      <c r="I9" s="70" t="s">
        <v>173</v>
      </c>
    </row>
    <row r="10" spans="2:13">
      <c r="F10" s="30"/>
      <c r="H10" s="103" t="s">
        <v>3</v>
      </c>
      <c r="I10" s="71">
        <v>46081</v>
      </c>
    </row>
    <row r="11" spans="2:13">
      <c r="E11" s="5"/>
      <c r="F11" s="30"/>
      <c r="H11" s="103" t="s">
        <v>4</v>
      </c>
      <c r="I11" s="71">
        <v>46812</v>
      </c>
    </row>
    <row r="12" spans="2:13">
      <c r="E12" s="98"/>
      <c r="F12" s="55"/>
      <c r="H12" s="103" t="s">
        <v>6</v>
      </c>
      <c r="I12" s="51">
        <v>4.1250000000000002E-2</v>
      </c>
    </row>
    <row r="13" spans="2:13">
      <c r="E13" s="98"/>
      <c r="F13" s="55"/>
      <c r="H13" s="103" t="s">
        <v>5</v>
      </c>
      <c r="I13" s="71">
        <v>46996</v>
      </c>
    </row>
    <row r="14" spans="2:13">
      <c r="E14" s="98"/>
      <c r="F14" s="60"/>
    </row>
    <row r="15" spans="2:13">
      <c r="E15" s="98"/>
      <c r="F15" s="55"/>
      <c r="H15" s="43" t="s">
        <v>143</v>
      </c>
    </row>
    <row r="16" spans="2:13">
      <c r="E16" s="98"/>
      <c r="F16" s="55"/>
      <c r="H16" s="103" t="s">
        <v>119</v>
      </c>
      <c r="I16" s="62">
        <v>46283</v>
      </c>
    </row>
    <row r="17" spans="5:10">
      <c r="E17" s="98"/>
      <c r="F17" s="55"/>
      <c r="H17" s="103" t="s">
        <v>117</v>
      </c>
      <c r="I17" s="56">
        <v>4.69353394952641E-2</v>
      </c>
    </row>
    <row r="18" spans="5:10">
      <c r="E18" s="98"/>
      <c r="F18" s="55"/>
      <c r="J18" s="47"/>
    </row>
    <row r="19" spans="5:10">
      <c r="E19" s="98"/>
      <c r="F19" s="55"/>
      <c r="H19" s="43" t="s">
        <v>120</v>
      </c>
      <c r="J19" s="47"/>
    </row>
    <row r="20" spans="5:10">
      <c r="E20" s="98"/>
      <c r="F20" s="55"/>
      <c r="H20" s="105" t="s">
        <v>186</v>
      </c>
      <c r="I20" s="108" t="e" cm="1">
        <f t="array" aca="1" ref="I20" ca="1">_xll.aqBondObjectPrice($I$2,$I$16,$I$17)</f>
        <v>#VALUE!</v>
      </c>
    </row>
    <row r="21" spans="5:10">
      <c r="E21" s="98"/>
      <c r="F21" s="55"/>
      <c r="H21" s="105" t="s">
        <v>175</v>
      </c>
      <c r="I21" s="108" t="e" cm="1">
        <f t="array" aca="1" ref="I21" ca="1">_xll.aqBondObjectCleanPrice($I$2,$I$16,$I$17)</f>
        <v>#VALUE!</v>
      </c>
    </row>
    <row r="22" spans="5:10">
      <c r="E22" s="98"/>
      <c r="F22" s="55"/>
      <c r="H22" s="105" t="s">
        <v>187</v>
      </c>
      <c r="I22" s="108" t="e" cm="1">
        <f t="array" aca="1" ref="I22" ca="1">_xll.aqBondObjectDirtyPrice($I$2,$I$16,$I$17)</f>
        <v>#VALUE!</v>
      </c>
    </row>
    <row r="23" spans="5:10">
      <c r="H23" s="42"/>
      <c r="I23" s="45"/>
    </row>
    <row r="24" spans="5:10">
      <c r="H24" s="42"/>
      <c r="I24" s="47"/>
      <c r="J24" s="45"/>
    </row>
    <row r="25" spans="5:10">
      <c r="H25" s="42"/>
      <c r="I25" s="45"/>
    </row>
    <row r="26" spans="5:10">
      <c r="H26" s="42"/>
      <c r="I26" s="4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5D22C-FAB6-4D9D-BEF2-95B0559CC859}">
  <dimension ref="O2:S71"/>
  <sheetViews>
    <sheetView showGridLines="0" tabSelected="1" zoomScaleNormal="100" workbookViewId="0"/>
  </sheetViews>
  <sheetFormatPr defaultRowHeight="15"/>
  <cols>
    <col min="15" max="15" width="16.85546875" customWidth="1"/>
    <col min="16" max="16" width="20.140625" bestFit="1" customWidth="1"/>
    <col min="18" max="18" width="20.7109375" customWidth="1"/>
    <col min="19" max="19" width="12.7109375" bestFit="1" customWidth="1"/>
  </cols>
  <sheetData>
    <row r="2" spans="15:17">
      <c r="O2" t="s">
        <v>111</v>
      </c>
      <c r="P2" s="72" t="s">
        <v>110</v>
      </c>
    </row>
    <row r="3" spans="15:17">
      <c r="Q3" s="48"/>
    </row>
    <row r="4" spans="15:17">
      <c r="O4" s="5" t="s">
        <v>142</v>
      </c>
      <c r="P4" s="12"/>
    </row>
    <row r="5" spans="15:17">
      <c r="O5" s="106" t="s">
        <v>0</v>
      </c>
      <c r="P5" s="70" t="str">
        <f>UPPER("UST-"&amp;P12*100&amp;"-"&amp;TEXT(P13,"MMMYY"))</f>
        <v>UST-4.625-AUG36</v>
      </c>
    </row>
    <row r="6" spans="15:17">
      <c r="O6" s="106" t="s">
        <v>1</v>
      </c>
      <c r="P6" s="70" t="s">
        <v>170</v>
      </c>
    </row>
    <row r="7" spans="15:17">
      <c r="O7" s="103" t="s">
        <v>2</v>
      </c>
      <c r="P7" s="71">
        <v>45884</v>
      </c>
    </row>
    <row r="8" spans="15:17">
      <c r="O8" s="103" t="s">
        <v>8</v>
      </c>
      <c r="P8" s="71">
        <v>45884</v>
      </c>
    </row>
    <row r="9" spans="15:17">
      <c r="O9" s="103" t="s">
        <v>7</v>
      </c>
      <c r="P9" s="70"/>
    </row>
    <row r="10" spans="15:17">
      <c r="O10" s="103" t="s">
        <v>3</v>
      </c>
      <c r="P10" s="71">
        <v>46068</v>
      </c>
    </row>
    <row r="11" spans="15:17">
      <c r="O11" s="103" t="s">
        <v>4</v>
      </c>
      <c r="P11" s="71">
        <v>49720</v>
      </c>
    </row>
    <row r="12" spans="15:17">
      <c r="O12" s="103" t="s">
        <v>6</v>
      </c>
      <c r="P12" s="51">
        <v>4.6249999999999999E-2</v>
      </c>
    </row>
    <row r="13" spans="15:17">
      <c r="O13" s="103" t="s">
        <v>5</v>
      </c>
      <c r="P13" s="71">
        <v>49902</v>
      </c>
    </row>
    <row r="15" spans="15:17">
      <c r="O15" s="43" t="s">
        <v>143</v>
      </c>
      <c r="P15" s="12"/>
    </row>
    <row r="16" spans="15:17">
      <c r="O16" s="103" t="s">
        <v>119</v>
      </c>
      <c r="P16" s="62">
        <v>46283</v>
      </c>
    </row>
    <row r="17" spans="15:19">
      <c r="O17" s="103" t="s">
        <v>117</v>
      </c>
      <c r="P17" s="63">
        <v>4.9538542999999997E-2</v>
      </c>
      <c r="R17" s="68" t="s">
        <v>185</v>
      </c>
      <c r="S17" s="69"/>
    </row>
    <row r="18" spans="15:19">
      <c r="R18" s="68" t="s">
        <v>179</v>
      </c>
      <c r="S18" s="69"/>
    </row>
    <row r="19" spans="15:19">
      <c r="O19" t="s">
        <v>171</v>
      </c>
      <c r="P19" s="61" t="e" cm="1">
        <f t="array" aca="1" ref="P19" ca="1">_xll.aqBondObjectCreateFromGenerator(P5,P2,O5:P13)</f>
        <v>#VALUE!</v>
      </c>
      <c r="R19" s="67" t="s">
        <v>177</v>
      </c>
      <c r="S19" s="64">
        <v>1000000</v>
      </c>
    </row>
    <row r="20" spans="15:19">
      <c r="O20" s="84" t="s">
        <v>172</v>
      </c>
      <c r="P20" s="81" t="e" cm="1">
        <f t="array" aca="1" ref="P20" ca="1">_xll.aqBondObjectPrice(P19,P16,P17)</f>
        <v>#VALUE!</v>
      </c>
      <c r="R20" s="67" t="s">
        <v>176</v>
      </c>
      <c r="S20" s="65" t="e">
        <f ca="1">P20/100*S19</f>
        <v>#VALUE!</v>
      </c>
    </row>
    <row r="21" spans="15:19">
      <c r="O21" s="85" t="s">
        <v>181</v>
      </c>
      <c r="P21" s="82" t="e" cm="1">
        <f t="array" aca="1" ref="P21" ca="1">_xll.aqBondObjectAccruedInterest(P19,P16)</f>
        <v>#VALUE!</v>
      </c>
      <c r="R21" s="67" t="e">
        <f ca="1">"Accrued ("&amp;P22&amp;" Days)"</f>
        <v>#VALUE!</v>
      </c>
      <c r="S21" s="65" t="e">
        <f ca="1">P21</f>
        <v>#VALUE!</v>
      </c>
    </row>
    <row r="22" spans="15:19">
      <c r="O22" s="86" t="s">
        <v>180</v>
      </c>
      <c r="P22" s="83" t="e" cm="1">
        <f t="array" aca="1" ref="P22" ca="1">_xll.aqBondObjectAccruedInterestDays(P19,P16)</f>
        <v>#VALUE!</v>
      </c>
      <c r="R22" s="67" t="s">
        <v>182</v>
      </c>
      <c r="S22" s="66" t="e">
        <f ca="1">S20+S21</f>
        <v>#VALUE!</v>
      </c>
    </row>
    <row r="28" spans="15:19">
      <c r="O28" t="s">
        <v>111</v>
      </c>
      <c r="P28" s="72" t="s">
        <v>110</v>
      </c>
    </row>
    <row r="30" spans="15:19">
      <c r="O30" s="5" t="s">
        <v>142</v>
      </c>
      <c r="P30" s="12"/>
    </row>
    <row r="31" spans="15:19">
      <c r="O31" s="106" t="s">
        <v>0</v>
      </c>
      <c r="P31" s="70" t="str">
        <f>UPPER("UST-"&amp;P38*100&amp;"-"&amp;TEXT(P39,"MMMYY"))</f>
        <v>UST-4.375-AUG31</v>
      </c>
    </row>
    <row r="32" spans="15:19">
      <c r="O32" s="106" t="s">
        <v>1</v>
      </c>
      <c r="P32" s="70" t="s">
        <v>174</v>
      </c>
    </row>
    <row r="33" spans="15:19">
      <c r="O33" s="103" t="s">
        <v>2</v>
      </c>
      <c r="P33" s="71">
        <v>45900</v>
      </c>
    </row>
    <row r="34" spans="15:19">
      <c r="O34" s="103" t="s">
        <v>8</v>
      </c>
      <c r="P34" s="71">
        <v>45900</v>
      </c>
    </row>
    <row r="35" spans="15:19">
      <c r="O35" s="103" t="s">
        <v>7</v>
      </c>
      <c r="P35" s="70" t="s">
        <v>173</v>
      </c>
    </row>
    <row r="36" spans="15:19">
      <c r="O36" s="103" t="s">
        <v>3</v>
      </c>
      <c r="P36" s="71">
        <v>46081</v>
      </c>
    </row>
    <row r="37" spans="15:19">
      <c r="O37" s="103" t="s">
        <v>4</v>
      </c>
      <c r="P37" s="71">
        <v>47907</v>
      </c>
    </row>
    <row r="38" spans="15:19">
      <c r="O38" s="103" t="s">
        <v>6</v>
      </c>
      <c r="P38" s="51">
        <v>4.3749999999999997E-2</v>
      </c>
    </row>
    <row r="39" spans="15:19">
      <c r="O39" s="103" t="s">
        <v>5</v>
      </c>
      <c r="P39" s="71">
        <v>48091</v>
      </c>
    </row>
    <row r="41" spans="15:19">
      <c r="O41" s="43" t="s">
        <v>143</v>
      </c>
      <c r="P41" s="12"/>
    </row>
    <row r="42" spans="15:19">
      <c r="O42" s="103" t="s">
        <v>119</v>
      </c>
      <c r="P42" s="62">
        <v>46283</v>
      </c>
    </row>
    <row r="43" spans="15:19">
      <c r="O43" s="103" t="s">
        <v>117</v>
      </c>
      <c r="P43" s="63">
        <v>4.8054780999999998E-2</v>
      </c>
      <c r="R43" s="68" t="s">
        <v>185</v>
      </c>
      <c r="S43" s="69"/>
    </row>
    <row r="44" spans="15:19">
      <c r="R44" s="68" t="s">
        <v>179</v>
      </c>
      <c r="S44" s="69"/>
    </row>
    <row r="45" spans="15:19">
      <c r="O45" t="s">
        <v>171</v>
      </c>
      <c r="P45" s="61" t="e" cm="1">
        <f t="array" aca="1" ref="P45" ca="1">_xll.aqBondObjectCreateFromGenerator(P31,P28,O31:P39)</f>
        <v>#VALUE!</v>
      </c>
      <c r="R45" s="67" t="s">
        <v>177</v>
      </c>
      <c r="S45" s="64">
        <v>1000000</v>
      </c>
    </row>
    <row r="46" spans="15:19">
      <c r="O46" s="84" t="s">
        <v>172</v>
      </c>
      <c r="P46" s="81" t="e" cm="1">
        <f t="array" aca="1" ref="P46" ca="1">_xll.aqBondObjectPrice(P45,P42,P43)</f>
        <v>#VALUE!</v>
      </c>
      <c r="R46" s="67" t="s">
        <v>176</v>
      </c>
      <c r="S46" s="65" t="e">
        <f ca="1">P46/100*S45</f>
        <v>#VALUE!</v>
      </c>
    </row>
    <row r="47" spans="15:19">
      <c r="O47" s="85" t="s">
        <v>181</v>
      </c>
      <c r="P47" s="82" t="e" cm="1">
        <f t="array" aca="1" ref="P47" ca="1">_xll.aqBondObjectAccruedInterest(P45,P42)</f>
        <v>#VALUE!</v>
      </c>
      <c r="R47" s="67" t="e">
        <f ca="1">"Accrued ("&amp;P48&amp;" Days)"</f>
        <v>#VALUE!</v>
      </c>
      <c r="S47" s="65" t="e">
        <f ca="1">P47</f>
        <v>#VALUE!</v>
      </c>
    </row>
    <row r="48" spans="15:19">
      <c r="O48" s="86" t="s">
        <v>180</v>
      </c>
      <c r="P48" s="83" t="e" cm="1">
        <f t="array" aca="1" ref="P48" ca="1">_xll.aqBondObjectAccruedInterestDays(P45,P42)</f>
        <v>#VALUE!</v>
      </c>
      <c r="R48" s="67" t="s">
        <v>182</v>
      </c>
      <c r="S48" s="66" t="e">
        <f ca="1">S46+S47</f>
        <v>#VALUE!</v>
      </c>
    </row>
    <row r="51" spans="15:16">
      <c r="O51" t="s">
        <v>111</v>
      </c>
      <c r="P51" s="72" t="s">
        <v>110</v>
      </c>
    </row>
    <row r="53" spans="15:16">
      <c r="O53" s="5" t="s">
        <v>142</v>
      </c>
      <c r="P53" s="12"/>
    </row>
    <row r="54" spans="15:16">
      <c r="O54" s="106" t="s">
        <v>0</v>
      </c>
      <c r="P54" s="70" t="str">
        <f>UPPER("UST-"&amp;P61*100&amp;"-"&amp;TEXT(P62,"MMMYY"))</f>
        <v>UST-4.125-AUG28</v>
      </c>
    </row>
    <row r="55" spans="15:16">
      <c r="O55" s="106" t="s">
        <v>1</v>
      </c>
      <c r="P55" s="70" t="s">
        <v>178</v>
      </c>
    </row>
    <row r="56" spans="15:16">
      <c r="O56" s="103" t="s">
        <v>2</v>
      </c>
      <c r="P56" s="71">
        <v>45900</v>
      </c>
    </row>
    <row r="57" spans="15:16">
      <c r="O57" s="103" t="s">
        <v>8</v>
      </c>
      <c r="P57" s="71">
        <v>45900</v>
      </c>
    </row>
    <row r="58" spans="15:16">
      <c r="O58" s="103" t="s">
        <v>7</v>
      </c>
      <c r="P58" s="70" t="s">
        <v>173</v>
      </c>
    </row>
    <row r="59" spans="15:16">
      <c r="O59" s="103" t="s">
        <v>3</v>
      </c>
      <c r="P59" s="71">
        <v>46081</v>
      </c>
    </row>
    <row r="60" spans="15:16">
      <c r="O60" s="103" t="s">
        <v>4</v>
      </c>
      <c r="P60" s="71">
        <v>46812</v>
      </c>
    </row>
    <row r="61" spans="15:16">
      <c r="O61" s="103" t="s">
        <v>6</v>
      </c>
      <c r="P61" s="51">
        <v>4.1250000000000002E-2</v>
      </c>
    </row>
    <row r="62" spans="15:16">
      <c r="O62" s="103" t="s">
        <v>5</v>
      </c>
      <c r="P62" s="71">
        <v>46996</v>
      </c>
    </row>
    <row r="64" spans="15:16">
      <c r="O64" s="43" t="s">
        <v>143</v>
      </c>
      <c r="P64" s="12"/>
    </row>
    <row r="65" spans="15:19">
      <c r="O65" s="103" t="s">
        <v>119</v>
      </c>
      <c r="P65" s="62">
        <v>46283</v>
      </c>
    </row>
    <row r="66" spans="15:19">
      <c r="O66" s="103" t="s">
        <v>117</v>
      </c>
      <c r="P66" s="63">
        <v>4.6896925499999999E-2</v>
      </c>
      <c r="R66" s="68" t="s">
        <v>185</v>
      </c>
      <c r="S66" s="69"/>
    </row>
    <row r="67" spans="15:19">
      <c r="R67" s="68" t="s">
        <v>179</v>
      </c>
      <c r="S67" s="69"/>
    </row>
    <row r="68" spans="15:19">
      <c r="O68" t="s">
        <v>171</v>
      </c>
      <c r="P68" s="61" t="e" cm="1">
        <f t="array" aca="1" ref="P68" ca="1">_xll.aqBondObjectCreateFromGenerator(P54,P51,O54:P62)</f>
        <v>#VALUE!</v>
      </c>
      <c r="R68" s="67" t="s">
        <v>177</v>
      </c>
      <c r="S68" s="64">
        <v>1000000</v>
      </c>
    </row>
    <row r="69" spans="15:19">
      <c r="O69" s="84" t="s">
        <v>172</v>
      </c>
      <c r="P69" s="81" t="e" cm="1">
        <f t="array" aca="1" ref="P69" ca="1">_xll.aqBondObjectPrice(P68,P65,P66)</f>
        <v>#VALUE!</v>
      </c>
      <c r="R69" s="67" t="s">
        <v>176</v>
      </c>
      <c r="S69" s="65" t="e">
        <f ca="1">P69/100*S68</f>
        <v>#VALUE!</v>
      </c>
    </row>
    <row r="70" spans="15:19">
      <c r="O70" s="85" t="s">
        <v>181</v>
      </c>
      <c r="P70" s="82" t="e" cm="1">
        <f t="array" aca="1" ref="P70" ca="1">_xll.aqBondObjectAccruedInterest(P68,P65)</f>
        <v>#VALUE!</v>
      </c>
      <c r="R70" s="67" t="e">
        <f ca="1">"Accrued ("&amp;P71&amp;" Days)"</f>
        <v>#VALUE!</v>
      </c>
      <c r="S70" s="65" t="e">
        <f ca="1">P70</f>
        <v>#VALUE!</v>
      </c>
    </row>
    <row r="71" spans="15:19">
      <c r="O71" s="86" t="s">
        <v>180</v>
      </c>
      <c r="P71" s="83" t="e" cm="1">
        <f t="array" aca="1" ref="P71" ca="1">_xll.aqBondObjectAccruedInterestDays(P68,P65)</f>
        <v>#VALUE!</v>
      </c>
      <c r="R71" s="67" t="s">
        <v>182</v>
      </c>
      <c r="S71" s="66" t="e">
        <f ca="1">S69+S70</f>
        <v>#VALUE!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UST_BONDS</vt:lpstr>
      <vt:lpstr>UST_CURVE</vt:lpstr>
      <vt:lpstr>UST_YIELDS</vt:lpstr>
      <vt:lpstr>BBG_PRICES</vt:lpstr>
      <vt:lpstr>SettlementDate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2018-02-01T10:34:55Z</dcterms:created>
  <dcterms:modified xsi:type="dcterms:W3CDTF">2026-09-18T02:35:21Z</dcterms:modified>
</cp:coreProperties>
</file>