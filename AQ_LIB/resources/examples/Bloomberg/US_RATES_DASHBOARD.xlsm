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10" windowWidth="14880" windowHeight="8325"/>
  </bookViews>
  <sheets>
    <sheet name="Rates" sheetId="1" r:id="rId1"/>
    <sheet name="Sheet2" sheetId="2" state="hidden" r:id="rId2"/>
    <sheet name="Help" sheetId="3" r:id="rId3"/>
  </sheets>
  <functionGroups builtInGroupCount="17"/>
  <definedNames>
    <definedName name="AUD">Rates!$V$85</definedName>
    <definedName name="basisLink">Sheet2!$B$3</definedName>
    <definedName name="BasisSwaps">Rates!$K$47</definedName>
    <definedName name="CAD">Rates!$M$85</definedName>
    <definedName name="CHF">Rates!$S$85</definedName>
    <definedName name="CMSSwaps">Rates!$F$152</definedName>
    <definedName name="Commodities">Rates!$F$117</definedName>
    <definedName name="CPLibor">Rates!$O$47</definedName>
    <definedName name="EquityIndices">Rates!$U$20</definedName>
    <definedName name="EUR">Rates!$G$85</definedName>
    <definedName name="EuriborFutures">Rates!$U$70</definedName>
    <definedName name="EuroFutures1M">Rates!$P$70</definedName>
    <definedName name="EuroFutures3M">Rates!$F$70</definedName>
    <definedName name="FedFundsFutures">Rates!$K$70</definedName>
    <definedName name="FFLibor">Rates!$L$47</definedName>
    <definedName name="FRALink">Sheet2!$B$6</definedName>
    <definedName name="FRAs">Rates!$F$127</definedName>
    <definedName name="Futures">Rates!$U$9</definedName>
    <definedName name="FX">Rates!$F$85</definedName>
    <definedName name="GbP">Rates!$J$85</definedName>
    <definedName name="GlobalBonds">Rates!$AE$9</definedName>
    <definedName name="HLPBRD_IB">Help!$D$40:$R$43</definedName>
    <definedName name="HLPBRD_IR">Help!$S$10:$T$39</definedName>
    <definedName name="HLPBRD_OBR">Help!$U$44:$X$52</definedName>
    <definedName name="IMMSwaps">Rates!$O$127</definedName>
    <definedName name="JPY">Rates!$P$85</definedName>
    <definedName name="Libor">Rates!$F$28</definedName>
    <definedName name="Libor1M3M">Rates!$X$47</definedName>
    <definedName name="Libor1M6M">Rates!$AD$47</definedName>
    <definedName name="Libor3M12M">Rates!$AG$47</definedName>
    <definedName name="Libor3M6M">Rates!$AA$47</definedName>
    <definedName name="LiborPriceLink">Sheet2!$B$8</definedName>
    <definedName name="MaturityLink">Sheet2!$B$7</definedName>
    <definedName name="OIS">Rates!$F$47</definedName>
    <definedName name="OISLink">Sheet2!$B$4</definedName>
    <definedName name="PrimeLibor">Rates!$R$47</definedName>
    <definedName name="rateSpreadLink">Sheet2!$B$2</definedName>
    <definedName name="swapLink">Sheet2!$B$1</definedName>
    <definedName name="Swaps">Rates!$J$28</definedName>
    <definedName name="SwaptionPremiums">Rates!$F$100</definedName>
    <definedName name="SwaptionVols">Rates!$P$100</definedName>
    <definedName name="TbillLibor">Rates!$U$47</definedName>
    <definedName name="UST">Rates!$F$9</definedName>
    <definedName name="VolLink">Sheet2!$B$5</definedName>
  </definedNames>
  <calcPr calcId="145621" calcOnSave="0"/>
</workbook>
</file>

<file path=xl/calcChain.xml><?xml version="1.0" encoding="utf-8"?>
<calcChain xmlns="http://schemas.openxmlformats.org/spreadsheetml/2006/main">
  <c r="U120" i="1" l="1"/>
  <c r="F77" i="1"/>
  <c r="M12" i="1"/>
  <c r="U122" i="1"/>
  <c r="K82" i="1"/>
  <c r="K77" i="1"/>
  <c r="K75" i="1"/>
  <c r="K73" i="1"/>
  <c r="F80" i="1"/>
  <c r="M19" i="1"/>
  <c r="V16" i="1"/>
  <c r="L120" i="1"/>
  <c r="U121" i="1"/>
  <c r="K80" i="1"/>
  <c r="V13" i="1"/>
  <c r="K72" i="1"/>
  <c r="V14" i="1"/>
  <c r="P79" i="1"/>
  <c r="R120" i="1"/>
  <c r="V17" i="1"/>
  <c r="K83" i="1"/>
  <c r="F73" i="1"/>
  <c r="R122" i="1"/>
  <c r="V11" i="1"/>
  <c r="L122" i="1"/>
  <c r="O122" i="1"/>
  <c r="P80" i="1"/>
  <c r="I122" i="1"/>
  <c r="F82" i="1"/>
  <c r="U80" i="1"/>
  <c r="F121" i="1"/>
  <c r="L123" i="1"/>
  <c r="U76" i="1"/>
  <c r="V15" i="1"/>
  <c r="K76" i="1"/>
  <c r="P83" i="1"/>
  <c r="R123" i="1"/>
  <c r="F78" i="1"/>
  <c r="M24" i="1"/>
  <c r="P77" i="1"/>
  <c r="U82" i="1"/>
  <c r="P78" i="1"/>
  <c r="K79" i="1"/>
  <c r="M16" i="1"/>
  <c r="F79" i="1"/>
  <c r="P76" i="1"/>
  <c r="U73" i="1"/>
  <c r="M14" i="1"/>
  <c r="I123" i="1"/>
  <c r="F83" i="1"/>
  <c r="O121" i="1"/>
  <c r="F120" i="1"/>
  <c r="U74" i="1"/>
  <c r="O123" i="1"/>
  <c r="U79" i="1"/>
  <c r="U72" i="1"/>
  <c r="F122" i="1"/>
  <c r="F81" i="1"/>
  <c r="V18" i="1"/>
  <c r="P74" i="1"/>
  <c r="P72" i="1"/>
  <c r="P73" i="1"/>
  <c r="F123" i="1"/>
  <c r="V12" i="1"/>
  <c r="U123" i="1"/>
  <c r="K78" i="1"/>
  <c r="U81" i="1"/>
  <c r="O120" i="1"/>
  <c r="M11" i="1"/>
  <c r="I121" i="1"/>
  <c r="U78" i="1"/>
  <c r="F72" i="1"/>
  <c r="R121" i="1"/>
  <c r="K74" i="1"/>
  <c r="K81" i="1"/>
  <c r="F75" i="1"/>
  <c r="U77" i="1"/>
  <c r="F74" i="1"/>
  <c r="I120" i="1"/>
  <c r="P81" i="1"/>
  <c r="U75" i="1"/>
  <c r="F76" i="1"/>
  <c r="L121" i="1"/>
  <c r="U83" i="1"/>
  <c r="P75" i="1"/>
  <c r="P82" i="1"/>
  <c r="H32" i="1"/>
  <c r="G37" i="1"/>
  <c r="H30" i="1"/>
  <c r="H34" i="1"/>
  <c r="G32" i="1"/>
  <c r="H33" i="1"/>
  <c r="G33" i="1"/>
  <c r="G34" i="1"/>
  <c r="H43" i="1"/>
  <c r="H29" i="1"/>
  <c r="G30" i="1"/>
  <c r="H37" i="1"/>
  <c r="G29" i="1"/>
  <c r="G43" i="1"/>
  <c r="G102" i="1"/>
  <c r="R112" i="1"/>
  <c r="U106" i="1"/>
  <c r="S108" i="1"/>
  <c r="N110" i="1"/>
  <c r="O103" i="1"/>
  <c r="X112" i="1"/>
  <c r="G104" i="1"/>
  <c r="H114" i="1"/>
  <c r="G107" i="1"/>
  <c r="W103" i="1"/>
  <c r="U115" i="1"/>
  <c r="U114" i="1"/>
  <c r="O113" i="1"/>
  <c r="G111" i="1"/>
  <c r="G115" i="1"/>
  <c r="V110" i="1"/>
  <c r="M107" i="1"/>
  <c r="S113" i="1"/>
  <c r="N104" i="1"/>
  <c r="J115" i="1"/>
  <c r="K109" i="1"/>
  <c r="I102" i="1"/>
  <c r="G112" i="1"/>
  <c r="H110" i="1"/>
  <c r="S112" i="1"/>
  <c r="X104" i="1"/>
  <c r="T102" i="1"/>
  <c r="O108" i="1"/>
  <c r="R109" i="1"/>
  <c r="L110" i="1"/>
  <c r="U103" i="1"/>
  <c r="L104" i="1"/>
  <c r="T113" i="1"/>
  <c r="K107" i="1"/>
  <c r="X109" i="1"/>
  <c r="I113" i="1"/>
  <c r="K112" i="1"/>
  <c r="G106" i="1"/>
  <c r="K108" i="1"/>
  <c r="G110" i="1"/>
  <c r="H112" i="1"/>
  <c r="O115" i="1"/>
  <c r="P112" i="1"/>
  <c r="N115" i="1"/>
  <c r="X115" i="1"/>
  <c r="V113" i="1"/>
  <c r="P115" i="1"/>
  <c r="J102" i="1"/>
  <c r="P102" i="1"/>
  <c r="Q113" i="1"/>
  <c r="I115" i="1"/>
  <c r="J108" i="1"/>
  <c r="S115" i="1"/>
  <c r="M105" i="1"/>
  <c r="J105" i="1"/>
  <c r="H115" i="1"/>
  <c r="T111" i="1"/>
  <c r="M113" i="1"/>
  <c r="U108" i="1"/>
  <c r="R107" i="1"/>
  <c r="H106" i="1"/>
  <c r="L102" i="1"/>
  <c r="N105" i="1"/>
  <c r="N106" i="1"/>
  <c r="L105" i="1"/>
  <c r="O102" i="1"/>
  <c r="Q106" i="1"/>
  <c r="P111" i="1"/>
  <c r="V105" i="1"/>
  <c r="P108" i="1"/>
  <c r="S107" i="1"/>
  <c r="Q102" i="1"/>
  <c r="X114" i="1"/>
  <c r="M108" i="1"/>
  <c r="R104" i="1"/>
  <c r="H113" i="1"/>
  <c r="V106" i="1"/>
  <c r="X106" i="1"/>
  <c r="T107" i="1"/>
  <c r="W111" i="1"/>
  <c r="R110" i="1"/>
  <c r="I112" i="1"/>
  <c r="O112" i="1"/>
  <c r="K115" i="1"/>
  <c r="J107" i="1"/>
  <c r="T114" i="1"/>
  <c r="M106" i="1"/>
  <c r="K104" i="1"/>
  <c r="H111" i="1"/>
  <c r="H102" i="1"/>
  <c r="N102" i="1"/>
  <c r="R103" i="1"/>
  <c r="J113" i="1"/>
  <c r="J103" i="1"/>
  <c r="Q114" i="1"/>
  <c r="X113" i="1"/>
  <c r="T108" i="1"/>
  <c r="K105" i="1"/>
  <c r="S111" i="1"/>
  <c r="O109" i="1"/>
  <c r="I106" i="1"/>
  <c r="Q110" i="1"/>
  <c r="Q103" i="1"/>
  <c r="V107" i="1"/>
  <c r="X107" i="1"/>
  <c r="P104" i="1"/>
  <c r="U102" i="1"/>
  <c r="P113" i="1"/>
  <c r="O111" i="1"/>
  <c r="K111" i="1"/>
  <c r="R105" i="1"/>
  <c r="L114" i="1"/>
  <c r="R102" i="1"/>
  <c r="M114" i="1"/>
  <c r="T115" i="1"/>
  <c r="P107" i="1"/>
  <c r="O110" i="1"/>
  <c r="Q107" i="1"/>
  <c r="I107" i="1"/>
  <c r="J109" i="1"/>
  <c r="K110" i="1"/>
  <c r="G113" i="1"/>
  <c r="T105" i="1"/>
  <c r="Q105" i="1"/>
  <c r="O104" i="1"/>
  <c r="Q109" i="1"/>
  <c r="U111" i="1"/>
  <c r="W113" i="1"/>
  <c r="R111" i="1"/>
  <c r="V115" i="1"/>
  <c r="N109" i="1"/>
  <c r="R108" i="1"/>
  <c r="P109" i="1"/>
  <c r="Q115" i="1"/>
  <c r="J114" i="1"/>
  <c r="M109" i="1"/>
  <c r="Q112" i="1"/>
  <c r="J106" i="1"/>
  <c r="N113" i="1"/>
  <c r="H103" i="1"/>
  <c r="K103" i="1"/>
  <c r="L109" i="1"/>
  <c r="K102" i="1"/>
  <c r="M112" i="1"/>
  <c r="N114" i="1"/>
  <c r="V102" i="1"/>
  <c r="W109" i="1"/>
  <c r="M115" i="1"/>
  <c r="X108" i="1"/>
  <c r="V111" i="1"/>
  <c r="N108" i="1"/>
  <c r="K106" i="1"/>
  <c r="V103" i="1"/>
  <c r="R113" i="1"/>
  <c r="K113" i="1"/>
  <c r="W102" i="1"/>
  <c r="G108" i="1"/>
  <c r="S109" i="1"/>
  <c r="T103" i="1"/>
  <c r="W110" i="1"/>
  <c r="W105" i="1"/>
  <c r="G114" i="1"/>
  <c r="T109" i="1"/>
  <c r="R114" i="1"/>
  <c r="W108" i="1"/>
  <c r="L108" i="1"/>
  <c r="N107" i="1"/>
  <c r="L103" i="1"/>
  <c r="Q104" i="1"/>
  <c r="J112" i="1"/>
  <c r="T110" i="1"/>
  <c r="X111" i="1"/>
  <c r="S106" i="1"/>
  <c r="X102" i="1"/>
  <c r="H107" i="1"/>
  <c r="M111" i="1"/>
  <c r="G109" i="1"/>
  <c r="L115" i="1"/>
  <c r="I109" i="1"/>
  <c r="L112" i="1"/>
  <c r="M102" i="1"/>
  <c r="H104" i="1"/>
  <c r="W112" i="1"/>
  <c r="N112" i="1"/>
  <c r="S105" i="1"/>
  <c r="G103" i="1"/>
  <c r="J104" i="1"/>
  <c r="L113" i="1"/>
  <c r="V108" i="1"/>
  <c r="U113" i="1"/>
  <c r="T112" i="1"/>
  <c r="P110" i="1"/>
  <c r="G105" i="1"/>
  <c r="I105" i="1"/>
  <c r="S110" i="1"/>
  <c r="P106" i="1"/>
  <c r="M110" i="1"/>
  <c r="S102" i="1"/>
  <c r="V114" i="1"/>
  <c r="W115" i="1"/>
  <c r="N103" i="1"/>
  <c r="L106" i="1"/>
  <c r="K114" i="1"/>
  <c r="U112" i="1"/>
  <c r="S114" i="1"/>
  <c r="P105" i="1"/>
  <c r="X103" i="1"/>
  <c r="W107" i="1"/>
  <c r="S104" i="1"/>
  <c r="I111" i="1"/>
  <c r="Q111" i="1"/>
  <c r="I104" i="1"/>
  <c r="J111" i="1"/>
  <c r="X105" i="1"/>
  <c r="Q108" i="1"/>
  <c r="U107" i="1"/>
  <c r="X110" i="1"/>
  <c r="U110" i="1"/>
  <c r="L111" i="1"/>
  <c r="H109" i="1"/>
  <c r="U109" i="1"/>
  <c r="H108" i="1"/>
  <c r="W106" i="1"/>
  <c r="W104" i="1"/>
  <c r="V112" i="1"/>
  <c r="O114" i="1"/>
  <c r="P114" i="1"/>
  <c r="W114" i="1"/>
  <c r="O105" i="1"/>
  <c r="I103" i="1"/>
  <c r="P103" i="1"/>
  <c r="T104" i="1"/>
  <c r="M104" i="1"/>
  <c r="S103" i="1"/>
  <c r="U105" i="1"/>
  <c r="J110" i="1"/>
  <c r="V109" i="1"/>
  <c r="O107" i="1"/>
  <c r="I114" i="1"/>
  <c r="O106" i="1"/>
  <c r="R106" i="1"/>
  <c r="U104" i="1"/>
  <c r="I110" i="1"/>
  <c r="R115" i="1"/>
  <c r="M103" i="1"/>
  <c r="L107" i="1"/>
  <c r="I108" i="1"/>
  <c r="V104" i="1"/>
  <c r="T106" i="1"/>
  <c r="H105" i="1"/>
  <c r="N111" i="1"/>
  <c r="V95" i="1"/>
  <c r="O93" i="1"/>
  <c r="I88" i="1"/>
  <c r="X89" i="1"/>
  <c r="AB25" i="1"/>
  <c r="G11" i="1"/>
  <c r="AI17" i="1"/>
  <c r="M89" i="1"/>
  <c r="T88" i="1"/>
  <c r="AI12" i="1"/>
  <c r="K88" i="1"/>
  <c r="Q92" i="1"/>
  <c r="H88" i="1"/>
  <c r="AD22" i="1"/>
  <c r="T90" i="1"/>
  <c r="AH12" i="1"/>
  <c r="X87" i="1"/>
  <c r="M88" i="1"/>
  <c r="P12" i="1"/>
  <c r="N94" i="1"/>
  <c r="O14" i="1"/>
  <c r="S93" i="1"/>
  <c r="O21" i="1"/>
  <c r="I87" i="1"/>
  <c r="AD26" i="1"/>
  <c r="S96" i="1"/>
  <c r="AB26" i="1"/>
  <c r="AF22" i="1"/>
  <c r="Q90" i="1"/>
  <c r="R22" i="1"/>
  <c r="J95" i="1"/>
  <c r="W87" i="1"/>
  <c r="H12" i="1"/>
  <c r="S21" i="1"/>
  <c r="W96" i="1"/>
  <c r="P14" i="1"/>
  <c r="G19" i="1"/>
  <c r="I19" i="1"/>
  <c r="P95" i="1"/>
  <c r="L90" i="1"/>
  <c r="P19" i="1"/>
  <c r="R16" i="1"/>
  <c r="I91" i="1"/>
  <c r="V25" i="1"/>
  <c r="AF15" i="1"/>
  <c r="AF14" i="1"/>
  <c r="R130" i="1"/>
  <c r="T150" i="1"/>
  <c r="T130" i="1"/>
  <c r="V150" i="1"/>
  <c r="Y163" i="1"/>
  <c r="X161" i="1"/>
  <c r="T133" i="1"/>
  <c r="X162" i="1"/>
  <c r="Y158" i="1"/>
  <c r="X129" i="1"/>
  <c r="G163" i="1"/>
  <c r="K163" i="1"/>
  <c r="R160" i="1"/>
  <c r="Z158" i="1"/>
  <c r="T131" i="1"/>
  <c r="M136" i="1"/>
  <c r="G162" i="1"/>
  <c r="V155" i="1"/>
  <c r="K162" i="1"/>
  <c r="P155" i="1"/>
  <c r="W156" i="1"/>
  <c r="G140" i="1"/>
  <c r="I134" i="1"/>
  <c r="U158" i="1"/>
  <c r="G164" i="1"/>
  <c r="G143" i="1"/>
  <c r="K161" i="1"/>
  <c r="R133" i="1"/>
  <c r="X132" i="1"/>
  <c r="M135" i="1"/>
  <c r="M139" i="1"/>
  <c r="G142" i="1"/>
  <c r="X134" i="1"/>
  <c r="L159" i="1"/>
  <c r="W155" i="1"/>
  <c r="G141" i="1"/>
  <c r="V131" i="1"/>
  <c r="N161" i="1"/>
  <c r="T146" i="1"/>
  <c r="J162" i="1"/>
  <c r="G130" i="1"/>
  <c r="P133" i="1"/>
  <c r="G63" i="1"/>
  <c r="H57" i="1"/>
  <c r="H59" i="1"/>
  <c r="H67" i="1"/>
  <c r="G55" i="1"/>
  <c r="Y54" i="1"/>
  <c r="AG60" i="1"/>
  <c r="V54" i="1"/>
  <c r="AA61" i="1"/>
  <c r="P54" i="1"/>
  <c r="R54" i="1"/>
  <c r="U50" i="1"/>
  <c r="AB58" i="1"/>
  <c r="AB61" i="1"/>
  <c r="M59" i="1"/>
  <c r="AE52" i="1"/>
  <c r="S12" i="1"/>
  <c r="U88" i="1"/>
  <c r="V91" i="1"/>
  <c r="H89" i="1"/>
  <c r="X88" i="1"/>
  <c r="AH13" i="1"/>
  <c r="AF26" i="1"/>
  <c r="G88" i="1"/>
  <c r="T95" i="1"/>
  <c r="R92" i="1"/>
  <c r="I90" i="1"/>
  <c r="G96" i="1"/>
  <c r="W23" i="1"/>
  <c r="W88" i="1"/>
  <c r="M90" i="1"/>
  <c r="AI13" i="1"/>
  <c r="G92" i="1"/>
  <c r="AB23" i="1"/>
  <c r="N22" i="1"/>
  <c r="J12" i="1"/>
  <c r="L87" i="1"/>
  <c r="AA22" i="1"/>
  <c r="X95" i="1"/>
  <c r="M93" i="1"/>
  <c r="P11" i="1"/>
  <c r="U89" i="1"/>
  <c r="S19" i="1"/>
  <c r="S88" i="1"/>
  <c r="H90" i="1"/>
  <c r="AH17" i="1"/>
  <c r="U94" i="1"/>
  <c r="O90" i="1"/>
  <c r="W24" i="1"/>
  <c r="H19" i="1"/>
  <c r="Q13" i="1"/>
  <c r="P13" i="1"/>
  <c r="S23" i="1"/>
  <c r="G87" i="1"/>
  <c r="J90" i="1"/>
  <c r="H95" i="1"/>
  <c r="R15" i="1"/>
  <c r="Q18" i="1"/>
  <c r="W90" i="1"/>
  <c r="X25" i="1"/>
  <c r="AG13" i="1"/>
  <c r="L164" i="1"/>
  <c r="W164" i="1"/>
  <c r="Z160" i="1"/>
  <c r="Y161" i="1"/>
  <c r="L155" i="1"/>
  <c r="V132" i="1"/>
  <c r="I139" i="1"/>
  <c r="G159" i="1"/>
  <c r="I132" i="1"/>
  <c r="M157" i="1"/>
  <c r="Q156" i="1"/>
  <c r="O162" i="1"/>
  <c r="O158" i="1"/>
  <c r="P163" i="1"/>
  <c r="Z157" i="1"/>
  <c r="K131" i="1"/>
  <c r="Q158" i="1"/>
  <c r="Y159" i="1"/>
  <c r="R161" i="1"/>
  <c r="P134" i="1"/>
  <c r="O164" i="1"/>
  <c r="Y157" i="1"/>
  <c r="U162" i="1"/>
  <c r="I156" i="1"/>
  <c r="Q163" i="1"/>
  <c r="V133" i="1"/>
  <c r="L162" i="1"/>
  <c r="I162" i="1"/>
  <c r="G136" i="1"/>
  <c r="G158" i="1"/>
  <c r="U161" i="1"/>
  <c r="H160" i="1"/>
  <c r="T149" i="1"/>
  <c r="P146" i="1"/>
  <c r="K132" i="1"/>
  <c r="P129" i="1"/>
  <c r="P159" i="1"/>
  <c r="S155" i="1"/>
  <c r="U164" i="1"/>
  <c r="O161" i="1"/>
  <c r="G139" i="1"/>
  <c r="G137" i="1"/>
  <c r="Y156" i="1"/>
  <c r="G61" i="1"/>
  <c r="G54" i="1"/>
  <c r="H63" i="1"/>
  <c r="H64" i="1"/>
  <c r="H53" i="1"/>
  <c r="R57" i="1"/>
  <c r="U61" i="1"/>
  <c r="S49" i="1"/>
  <c r="Y63" i="1"/>
  <c r="AG55" i="1"/>
  <c r="AA52" i="1"/>
  <c r="Y56" i="1"/>
  <c r="R56" i="1"/>
  <c r="X52" i="1"/>
  <c r="O51" i="1"/>
  <c r="V50" i="1"/>
  <c r="Y51" i="1"/>
  <c r="O63" i="1"/>
  <c r="L51" i="1"/>
  <c r="AE53" i="1"/>
  <c r="L56" i="1"/>
  <c r="AB52" i="1"/>
  <c r="AD64" i="1"/>
  <c r="AA55" i="1"/>
  <c r="AH60" i="1"/>
  <c r="X57" i="1"/>
  <c r="S55" i="1"/>
  <c r="X64" i="1"/>
  <c r="AA63" i="1"/>
  <c r="AE55" i="1"/>
  <c r="L61" i="1"/>
  <c r="M58" i="1"/>
  <c r="U57" i="1"/>
  <c r="AI11" i="1"/>
  <c r="I11" i="1"/>
  <c r="N91" i="1"/>
  <c r="M95" i="1"/>
  <c r="O95" i="1"/>
  <c r="X94" i="1"/>
  <c r="O87" i="1"/>
  <c r="S91" i="1"/>
  <c r="O92" i="1"/>
  <c r="N16" i="1"/>
  <c r="Q22" i="1"/>
  <c r="O12" i="1"/>
  <c r="R19" i="1"/>
  <c r="L88" i="1"/>
  <c r="G93" i="1"/>
  <c r="N19" i="1"/>
  <c r="P93" i="1"/>
  <c r="X23" i="1"/>
  <c r="K94" i="1"/>
  <c r="S24" i="1"/>
  <c r="K87" i="1"/>
  <c r="X90" i="1"/>
  <c r="N93" i="1"/>
  <c r="W95" i="1"/>
  <c r="AE25" i="1"/>
  <c r="O96" i="1"/>
  <c r="V89" i="1"/>
  <c r="M91" i="1"/>
  <c r="K89" i="1"/>
  <c r="S94" i="1"/>
  <c r="S92" i="1"/>
  <c r="W93" i="1"/>
  <c r="P94" i="1"/>
  <c r="S20" i="1"/>
  <c r="Q14" i="1"/>
  <c r="G14" i="1"/>
  <c r="R23" i="1"/>
  <c r="H87" i="1"/>
  <c r="Q95" i="1"/>
  <c r="G91" i="1"/>
  <c r="Q21" i="1"/>
  <c r="R17" i="1"/>
  <c r="V22" i="1"/>
  <c r="X91" i="1"/>
  <c r="AG16" i="1"/>
  <c r="M143" i="1"/>
  <c r="J157" i="1"/>
  <c r="J164" i="1"/>
  <c r="S163" i="1"/>
  <c r="M130" i="1"/>
  <c r="K133" i="1"/>
  <c r="O159" i="1"/>
  <c r="R149" i="1"/>
  <c r="G131" i="1"/>
  <c r="M163" i="1"/>
  <c r="P160" i="1"/>
  <c r="V158" i="1"/>
  <c r="P143" i="1"/>
  <c r="G133" i="1"/>
  <c r="S164" i="1"/>
  <c r="Z163" i="1"/>
  <c r="Q164" i="1"/>
  <c r="T132" i="1"/>
  <c r="X158" i="1"/>
  <c r="T164" i="1"/>
  <c r="Q160" i="1"/>
  <c r="I137" i="1"/>
  <c r="V160" i="1"/>
  <c r="X164" i="1"/>
  <c r="N157" i="1"/>
  <c r="T139" i="1"/>
  <c r="N160" i="1"/>
  <c r="T159" i="1"/>
  <c r="V163" i="1"/>
  <c r="O157" i="1"/>
  <c r="X148" i="1"/>
  <c r="R132" i="1"/>
  <c r="X163" i="1"/>
  <c r="R129" i="1"/>
  <c r="J161" i="1"/>
  <c r="P148" i="1"/>
  <c r="K164" i="1"/>
  <c r="M141" i="1"/>
  <c r="Q159" i="1"/>
  <c r="I136" i="1"/>
  <c r="K134" i="1"/>
  <c r="L163" i="1"/>
  <c r="W157" i="1"/>
  <c r="G67" i="1"/>
  <c r="H58" i="1"/>
  <c r="G58" i="1"/>
  <c r="G66" i="1"/>
  <c r="H52" i="1"/>
  <c r="R53" i="1"/>
  <c r="AH63" i="1"/>
  <c r="O59" i="1"/>
  <c r="AE58" i="1"/>
  <c r="AH59" i="1"/>
  <c r="P63" i="1"/>
  <c r="AG58" i="1"/>
  <c r="AE62" i="1"/>
  <c r="AH62" i="1"/>
  <c r="X51" i="1"/>
  <c r="L64" i="1"/>
  <c r="M56" i="1"/>
  <c r="U52" i="1"/>
  <c r="R51" i="1"/>
  <c r="AB57" i="1"/>
  <c r="P52" i="1"/>
  <c r="V64" i="1"/>
  <c r="P57" i="1"/>
  <c r="U58" i="1"/>
  <c r="U60" i="1"/>
  <c r="AA57" i="1"/>
  <c r="P55" i="1"/>
  <c r="AE57" i="1"/>
  <c r="V49" i="1"/>
  <c r="Y62" i="1"/>
  <c r="AB54" i="1"/>
  <c r="J93" i="1"/>
  <c r="N20" i="1"/>
  <c r="AD25" i="1"/>
  <c r="AA24" i="1"/>
  <c r="R12" i="1"/>
  <c r="K91" i="1"/>
  <c r="AD23" i="1"/>
  <c r="G90" i="1"/>
  <c r="V23" i="1"/>
  <c r="Q12" i="1"/>
  <c r="G12" i="1"/>
  <c r="P96" i="1"/>
  <c r="T91" i="1"/>
  <c r="G89" i="1"/>
  <c r="M96" i="1"/>
  <c r="R89" i="1"/>
  <c r="N96" i="1"/>
  <c r="I96" i="1"/>
  <c r="X93" i="1"/>
  <c r="N87" i="1"/>
  <c r="O94" i="1"/>
  <c r="T93" i="1"/>
  <c r="W89" i="1"/>
  <c r="L92" i="1"/>
  <c r="AE22" i="1"/>
  <c r="M92" i="1"/>
  <c r="AH14" i="1"/>
  <c r="O24" i="1"/>
  <c r="AI14" i="1"/>
  <c r="S87" i="1"/>
  <c r="P88" i="1"/>
  <c r="O19" i="1"/>
  <c r="G94" i="1"/>
  <c r="R21" i="1"/>
  <c r="R13" i="1"/>
  <c r="H14" i="1"/>
  <c r="P23" i="1"/>
  <c r="H24" i="1"/>
  <c r="V26" i="1"/>
  <c r="H91" i="1"/>
  <c r="P17" i="1"/>
  <c r="R18" i="1"/>
  <c r="W25" i="1"/>
  <c r="AG17" i="1"/>
  <c r="AF13" i="1"/>
  <c r="T148" i="1"/>
  <c r="M146" i="1"/>
  <c r="P137" i="1"/>
  <c r="T158" i="1"/>
  <c r="T142" i="1"/>
  <c r="T157" i="1"/>
  <c r="V140" i="1"/>
  <c r="N163" i="1"/>
  <c r="W161" i="1"/>
  <c r="X142" i="1"/>
  <c r="X156" i="1"/>
  <c r="V139" i="1"/>
  <c r="M162" i="1"/>
  <c r="I141" i="1"/>
  <c r="H157" i="1"/>
  <c r="I158" i="1"/>
  <c r="X155" i="1"/>
  <c r="R140" i="1"/>
  <c r="T141" i="1"/>
  <c r="W159" i="1"/>
  <c r="V134" i="1"/>
  <c r="Q161" i="1"/>
  <c r="T136" i="1"/>
  <c r="K135" i="1"/>
  <c r="U155" i="1"/>
  <c r="P135" i="1"/>
  <c r="I135" i="1"/>
  <c r="W162" i="1"/>
  <c r="M161" i="1"/>
  <c r="K130" i="1"/>
  <c r="J156" i="1"/>
  <c r="P147" i="1"/>
  <c r="H156" i="1"/>
  <c r="I159" i="1"/>
  <c r="P130" i="1"/>
  <c r="R143" i="1"/>
  <c r="R135" i="1"/>
  <c r="K157" i="1"/>
  <c r="X143" i="1"/>
  <c r="V148" i="1"/>
  <c r="X159" i="1"/>
  <c r="Y155" i="1"/>
  <c r="U163" i="1"/>
  <c r="G50" i="1"/>
  <c r="H66" i="1"/>
  <c r="H60" i="1"/>
  <c r="H54" i="1"/>
  <c r="H49" i="1"/>
  <c r="AG63" i="1"/>
  <c r="AD57" i="1"/>
  <c r="L60" i="1"/>
  <c r="AG64" i="1"/>
  <c r="J89" i="1"/>
  <c r="O91" i="1"/>
  <c r="I89" i="1"/>
  <c r="Q93" i="1"/>
  <c r="J88" i="1"/>
  <c r="H93" i="1"/>
  <c r="S89" i="1"/>
  <c r="N95" i="1"/>
  <c r="W91" i="1"/>
  <c r="P92" i="1"/>
  <c r="Q87" i="1"/>
  <c r="P90" i="1"/>
  <c r="L95" i="1"/>
  <c r="O11" i="1"/>
  <c r="S95" i="1"/>
  <c r="AA26" i="1"/>
  <c r="V94" i="1"/>
  <c r="Q24" i="1"/>
  <c r="AI16" i="1"/>
  <c r="AE24" i="1"/>
  <c r="P87" i="1"/>
  <c r="J96" i="1"/>
  <c r="O17" i="1"/>
  <c r="AA25" i="1"/>
  <c r="AD24" i="1"/>
  <c r="L91" i="1"/>
  <c r="Q89" i="1"/>
  <c r="V93" i="1"/>
  <c r="R94" i="1"/>
  <c r="N17" i="1"/>
  <c r="Z24" i="1"/>
  <c r="O16" i="1"/>
  <c r="Q20" i="1"/>
  <c r="S13" i="1"/>
  <c r="R24" i="1"/>
  <c r="I14" i="1"/>
  <c r="I24" i="1"/>
  <c r="X26" i="1"/>
  <c r="P15" i="1"/>
  <c r="Q17" i="1"/>
  <c r="P21" i="1"/>
  <c r="W22" i="1"/>
  <c r="AF12" i="1"/>
  <c r="AF16" i="1"/>
  <c r="I160" i="1"/>
  <c r="I164" i="1"/>
  <c r="I138" i="1"/>
  <c r="M134" i="1"/>
  <c r="I155" i="1"/>
  <c r="S156" i="1"/>
  <c r="M133" i="1"/>
  <c r="V146" i="1"/>
  <c r="P142" i="1"/>
  <c r="V129" i="1"/>
  <c r="N159" i="1"/>
  <c r="H164" i="1"/>
  <c r="T135" i="1"/>
  <c r="Q157" i="1"/>
  <c r="R150" i="1"/>
  <c r="M158" i="1"/>
  <c r="I143" i="1"/>
  <c r="S158" i="1"/>
  <c r="S160" i="1"/>
  <c r="S162" i="1"/>
  <c r="G138" i="1"/>
  <c r="I133" i="1"/>
  <c r="V162" i="1"/>
  <c r="T156" i="1"/>
  <c r="S161" i="1"/>
  <c r="P150" i="1"/>
  <c r="M144" i="1"/>
  <c r="O163" i="1"/>
  <c r="U160" i="1"/>
  <c r="V141" i="1"/>
  <c r="J160" i="1"/>
  <c r="J155" i="1"/>
  <c r="R158" i="1"/>
  <c r="P149" i="1"/>
  <c r="V149" i="1"/>
  <c r="L160" i="1"/>
  <c r="P132" i="1"/>
  <c r="W158" i="1"/>
  <c r="G160" i="1"/>
  <c r="Z161" i="1"/>
  <c r="Z156" i="1"/>
  <c r="L157" i="1"/>
  <c r="G56" i="1"/>
  <c r="G49" i="1"/>
  <c r="G52" i="1"/>
  <c r="H62" i="1"/>
  <c r="H55" i="1"/>
  <c r="L63" i="1"/>
  <c r="R52" i="1"/>
  <c r="AE60" i="1"/>
  <c r="R63" i="1"/>
  <c r="AE59" i="1"/>
  <c r="M50" i="1"/>
  <c r="Y52" i="1"/>
  <c r="U51" i="1"/>
  <c r="L52" i="1"/>
  <c r="R61" i="1"/>
  <c r="X53" i="1"/>
  <c r="Y49" i="1"/>
  <c r="O60" i="1"/>
  <c r="V61" i="1"/>
  <c r="AE54" i="1"/>
  <c r="X49" i="1"/>
  <c r="O52" i="1"/>
  <c r="AA56" i="1"/>
  <c r="M53" i="1"/>
  <c r="L59" i="1"/>
  <c r="AD55" i="1"/>
  <c r="P62" i="1"/>
  <c r="AD56" i="1"/>
  <c r="X55" i="1"/>
  <c r="R50" i="1"/>
  <c r="X58" i="1"/>
  <c r="AH55" i="1"/>
  <c r="M49" i="1"/>
  <c r="AB50" i="1"/>
  <c r="S62" i="1"/>
  <c r="N30" i="1"/>
  <c r="Z32" i="1"/>
  <c r="K36" i="1"/>
  <c r="O40" i="1"/>
  <c r="L31" i="1"/>
  <c r="O13" i="1"/>
  <c r="X96" i="1"/>
  <c r="I94" i="1"/>
  <c r="T96" i="1"/>
  <c r="Z25" i="1"/>
  <c r="L96" i="1"/>
  <c r="N89" i="1"/>
  <c r="U95" i="1"/>
  <c r="P24" i="1"/>
  <c r="AB22" i="1"/>
  <c r="J92" i="1"/>
  <c r="R87" i="1"/>
  <c r="R88" i="1"/>
  <c r="R14" i="1"/>
  <c r="J24" i="1"/>
  <c r="R20" i="1"/>
  <c r="J91" i="1"/>
  <c r="T163" i="1"/>
  <c r="P140" i="1"/>
  <c r="U157" i="1"/>
  <c r="R155" i="1"/>
  <c r="T143" i="1"/>
  <c r="P162" i="1"/>
  <c r="V143" i="1"/>
  <c r="R136" i="1"/>
  <c r="M132" i="1"/>
  <c r="U156" i="1"/>
  <c r="Z164" i="1"/>
  <c r="R156" i="1"/>
  <c r="N155" i="1"/>
  <c r="M156" i="1"/>
  <c r="W163" i="1"/>
  <c r="O155" i="1"/>
  <c r="G64" i="1"/>
  <c r="G60" i="1"/>
  <c r="AD60" i="1"/>
  <c r="AH56" i="1"/>
  <c r="U64" i="1"/>
  <c r="S52" i="1"/>
  <c r="V51" i="1"/>
  <c r="U55" i="1"/>
  <c r="X59" i="1"/>
  <c r="P60" i="1"/>
  <c r="R49" i="1"/>
  <c r="Y59" i="1"/>
  <c r="AH64" i="1"/>
  <c r="AD52" i="1"/>
  <c r="R62" i="1"/>
  <c r="AB53" i="1"/>
  <c r="O53" i="1"/>
  <c r="AG52" i="1"/>
  <c r="AG61" i="1"/>
  <c r="L50" i="1"/>
  <c r="K33" i="1"/>
  <c r="Z34" i="1"/>
  <c r="N36" i="1"/>
  <c r="AC38" i="1"/>
  <c r="X34" i="1"/>
  <c r="Q34" i="1"/>
  <c r="AA39" i="1"/>
  <c r="X37" i="1"/>
  <c r="O41" i="1"/>
  <c r="O43" i="1"/>
  <c r="R34" i="1"/>
  <c r="L38" i="1"/>
  <c r="T42" i="1"/>
  <c r="L42" i="1"/>
  <c r="K38" i="1"/>
  <c r="AA32" i="1"/>
  <c r="W42" i="1"/>
  <c r="W36" i="1"/>
  <c r="R31" i="1"/>
  <c r="T36" i="1"/>
  <c r="AC39" i="1"/>
  <c r="T30" i="1"/>
  <c r="W34" i="1"/>
  <c r="P157" i="1"/>
  <c r="V57" i="1"/>
  <c r="AB63" i="1"/>
  <c r="O57" i="1"/>
  <c r="V59" i="1"/>
  <c r="AD32" i="1"/>
  <c r="AA43" i="1"/>
  <c r="U31" i="1"/>
  <c r="O36" i="1"/>
  <c r="Q37" i="1"/>
  <c r="P22" i="1"/>
  <c r="AF24" i="1"/>
  <c r="J19" i="1"/>
  <c r="Q155" i="1"/>
  <c r="O160" i="1"/>
  <c r="S159" i="1"/>
  <c r="S56" i="1"/>
  <c r="AD58" i="1"/>
  <c r="X41" i="1"/>
  <c r="W39" i="1"/>
  <c r="Q38" i="1"/>
  <c r="R32" i="1"/>
  <c r="R91" i="1"/>
  <c r="V87" i="1"/>
  <c r="R96" i="1"/>
  <c r="X24" i="1"/>
  <c r="L93" i="1"/>
  <c r="K95" i="1"/>
  <c r="S22" i="1"/>
  <c r="W92" i="1"/>
  <c r="N23" i="1"/>
  <c r="Q96" i="1"/>
  <c r="V92" i="1"/>
  <c r="R93" i="1"/>
  <c r="N12" i="1"/>
  <c r="H16" i="1"/>
  <c r="K90" i="1"/>
  <c r="Q16" i="1"/>
  <c r="AG15" i="1"/>
  <c r="R148" i="1"/>
  <c r="X146" i="1"/>
  <c r="M164" i="1"/>
  <c r="T147" i="1"/>
  <c r="H162" i="1"/>
  <c r="I142" i="1"/>
  <c r="R141" i="1"/>
  <c r="R162" i="1"/>
  <c r="R164" i="1"/>
  <c r="K156" i="1"/>
  <c r="P161" i="1"/>
  <c r="R159" i="1"/>
  <c r="V156" i="1"/>
  <c r="H161" i="1"/>
  <c r="U159" i="1"/>
  <c r="X133" i="1"/>
  <c r="G59" i="1"/>
  <c r="G65" i="1"/>
  <c r="R60" i="1"/>
  <c r="AD61" i="1"/>
  <c r="M57" i="1"/>
  <c r="X61" i="1"/>
  <c r="AB62" i="1"/>
  <c r="AB56" i="1"/>
  <c r="O49" i="1"/>
  <c r="U54" i="1"/>
  <c r="U59" i="1"/>
  <c r="U62" i="1"/>
  <c r="AA53" i="1"/>
  <c r="AA64" i="1"/>
  <c r="S51" i="1"/>
  <c r="AD54" i="1"/>
  <c r="P50" i="1"/>
  <c r="R58" i="1"/>
  <c r="P56" i="1"/>
  <c r="R36" i="1"/>
  <c r="X31" i="1"/>
  <c r="N38" i="1"/>
  <c r="AA40" i="1"/>
  <c r="AA31" i="1"/>
  <c r="AD36" i="1"/>
  <c r="L35" i="1"/>
  <c r="AD42" i="1"/>
  <c r="L39" i="1"/>
  <c r="T32" i="1"/>
  <c r="AC43" i="1"/>
  <c r="K34" i="1"/>
  <c r="AC35" i="1"/>
  <c r="L41" i="1"/>
  <c r="Z40" i="1"/>
  <c r="Z43" i="1"/>
  <c r="Q36" i="1"/>
  <c r="U32" i="1"/>
  <c r="N43" i="1"/>
  <c r="R39" i="1"/>
  <c r="X35" i="1"/>
  <c r="T35" i="1"/>
  <c r="W40" i="1"/>
  <c r="Q31" i="1"/>
  <c r="K35" i="1"/>
  <c r="K39" i="1"/>
  <c r="U41" i="1"/>
  <c r="L34" i="1"/>
  <c r="K32" i="1"/>
  <c r="AD41" i="1"/>
  <c r="K96" i="1"/>
  <c r="U90" i="1"/>
  <c r="N21" i="1"/>
  <c r="O18" i="1"/>
  <c r="M94" i="1"/>
  <c r="J14" i="1"/>
  <c r="R134" i="1"/>
  <c r="M131" i="1"/>
  <c r="T160" i="1"/>
  <c r="K155" i="1"/>
  <c r="P156" i="1"/>
  <c r="N158" i="1"/>
  <c r="M62" i="1"/>
  <c r="AG62" i="1"/>
  <c r="O54" i="1"/>
  <c r="M52" i="1"/>
  <c r="AA60" i="1"/>
  <c r="AA59" i="1"/>
  <c r="Z31" i="1"/>
  <c r="X32" i="1"/>
  <c r="Z37" i="1"/>
  <c r="R33" i="1"/>
  <c r="T34" i="1"/>
  <c r="N41" i="1"/>
  <c r="AA33" i="1"/>
  <c r="AF23" i="1"/>
  <c r="V88" i="1"/>
  <c r="J94" i="1"/>
  <c r="I16" i="1"/>
  <c r="AF17" i="1"/>
  <c r="V142" i="1"/>
  <c r="G135" i="1"/>
  <c r="L156" i="1"/>
  <c r="S59" i="1"/>
  <c r="AH52" i="1"/>
  <c r="X62" i="1"/>
  <c r="O56" i="1"/>
  <c r="AA38" i="1"/>
  <c r="K42" i="1"/>
  <c r="AD40" i="1"/>
  <c r="Q39" i="1"/>
  <c r="AA35" i="1"/>
  <c r="T37" i="1"/>
  <c r="O22" i="1"/>
  <c r="AA23" i="1"/>
  <c r="N13" i="1"/>
  <c r="I92" i="1"/>
  <c r="Z23" i="1"/>
  <c r="V24" i="1"/>
  <c r="U87" i="1"/>
  <c r="O89" i="1"/>
  <c r="N15" i="1"/>
  <c r="AE26" i="1"/>
  <c r="Q91" i="1"/>
  <c r="K93" i="1"/>
  <c r="G16" i="1"/>
  <c r="R95" i="1"/>
  <c r="S17" i="1"/>
  <c r="AG14" i="1"/>
  <c r="P136" i="1"/>
  <c r="H159" i="1"/>
  <c r="I130" i="1"/>
  <c r="M137" i="1"/>
  <c r="G144" i="1"/>
  <c r="T134" i="1"/>
  <c r="J159" i="1"/>
  <c r="R146" i="1"/>
  <c r="H163" i="1"/>
  <c r="R139" i="1"/>
  <c r="M155" i="1"/>
  <c r="M138" i="1"/>
  <c r="P131" i="1"/>
  <c r="G157" i="1"/>
  <c r="V164" i="1"/>
  <c r="R163" i="1"/>
  <c r="G62" i="1"/>
  <c r="H61" i="1"/>
  <c r="AB55" i="1"/>
  <c r="L57" i="1"/>
  <c r="AB64" i="1"/>
  <c r="V60" i="1"/>
  <c r="O62" i="1"/>
  <c r="AG56" i="1"/>
  <c r="V56" i="1"/>
  <c r="M61" i="1"/>
  <c r="L55" i="1"/>
  <c r="V58" i="1"/>
  <c r="AE61" i="1"/>
  <c r="P58" i="1"/>
  <c r="AE50" i="1"/>
  <c r="AG54" i="1"/>
  <c r="S63" i="1"/>
  <c r="AD50" i="1"/>
  <c r="AD59" i="1"/>
  <c r="N42" i="1"/>
  <c r="L37" i="1"/>
  <c r="AD30" i="1"/>
  <c r="Z33" i="1"/>
  <c r="O32" i="1"/>
  <c r="O39" i="1"/>
  <c r="AD31" i="1"/>
  <c r="R35" i="1"/>
  <c r="N31" i="1"/>
  <c r="R41" i="1"/>
  <c r="Q30" i="1"/>
  <c r="U37" i="1"/>
  <c r="R40" i="1"/>
  <c r="L32" i="1"/>
  <c r="AC30" i="1"/>
  <c r="Q32" i="1"/>
  <c r="R30" i="1"/>
  <c r="W30" i="1"/>
  <c r="L33" i="1"/>
  <c r="R38" i="1"/>
  <c r="AA41" i="1"/>
  <c r="N33" i="1"/>
  <c r="Q33" i="1"/>
  <c r="K30" i="1"/>
  <c r="AC40" i="1"/>
  <c r="Q43" i="1"/>
  <c r="Z39" i="1"/>
  <c r="U42" i="1"/>
  <c r="X30" i="1"/>
  <c r="O33" i="1"/>
  <c r="J11" i="1"/>
  <c r="U92" i="1"/>
  <c r="K92" i="1"/>
  <c r="N90" i="1"/>
  <c r="T89" i="1"/>
  <c r="S18" i="1"/>
  <c r="G95" i="1"/>
  <c r="AF11" i="1"/>
  <c r="V157" i="1"/>
  <c r="R147" i="1"/>
  <c r="T161" i="1"/>
  <c r="H155" i="1"/>
  <c r="L158" i="1"/>
  <c r="P144" i="1"/>
  <c r="M60" i="1"/>
  <c r="S60" i="1"/>
  <c r="O64" i="1"/>
  <c r="P53" i="1"/>
  <c r="P49" i="1"/>
  <c r="O30" i="1"/>
  <c r="T31" i="1"/>
  <c r="X38" i="1"/>
  <c r="Q42" i="1"/>
  <c r="AC33" i="1"/>
  <c r="AD38" i="1"/>
  <c r="Q41" i="1"/>
  <c r="L89" i="1"/>
  <c r="N88" i="1"/>
  <c r="H96" i="1"/>
  <c r="P16" i="1"/>
  <c r="P141" i="1"/>
  <c r="R137" i="1"/>
  <c r="M160" i="1"/>
  <c r="G57" i="1"/>
  <c r="S57" i="1"/>
  <c r="M55" i="1"/>
  <c r="P61" i="1"/>
  <c r="AC36" i="1"/>
  <c r="K43" i="1"/>
  <c r="W33" i="1"/>
  <c r="AA30" i="1"/>
  <c r="X33" i="1"/>
  <c r="P89" i="1"/>
  <c r="AB24" i="1"/>
  <c r="P91" i="1"/>
  <c r="X92" i="1"/>
  <c r="Z22" i="1"/>
  <c r="J87" i="1"/>
  <c r="N18" i="1"/>
  <c r="H94" i="1"/>
  <c r="N24" i="1"/>
  <c r="O15" i="1"/>
  <c r="T94" i="1"/>
  <c r="AE23" i="1"/>
  <c r="P20" i="1"/>
  <c r="Q23" i="1"/>
  <c r="W26" i="1"/>
  <c r="Q19" i="1"/>
  <c r="AG12" i="1"/>
  <c r="P158" i="1"/>
  <c r="I131" i="1"/>
  <c r="W160" i="1"/>
  <c r="T137" i="1"/>
  <c r="X139" i="1"/>
  <c r="V147" i="1"/>
  <c r="V159" i="1"/>
  <c r="N164" i="1"/>
  <c r="N162" i="1"/>
  <c r="N156" i="1"/>
  <c r="X131" i="1"/>
  <c r="R142" i="1"/>
  <c r="M142" i="1"/>
  <c r="X130" i="1"/>
  <c r="Z155" i="1"/>
  <c r="X147" i="1"/>
  <c r="H65" i="1"/>
  <c r="G51" i="1"/>
  <c r="Y61" i="1"/>
  <c r="O55" i="1"/>
  <c r="Y64" i="1"/>
  <c r="M54" i="1"/>
  <c r="AB59" i="1"/>
  <c r="L62" i="1"/>
  <c r="AH57" i="1"/>
  <c r="Y60" i="1"/>
  <c r="L53" i="1"/>
  <c r="M64" i="1"/>
  <c r="AB60" i="1"/>
  <c r="M63" i="1"/>
  <c r="V55" i="1"/>
  <c r="AE63" i="1"/>
  <c r="R64" i="1"/>
  <c r="P59" i="1"/>
  <c r="V63" i="1"/>
  <c r="AC31" i="1"/>
  <c r="T43" i="1"/>
  <c r="T40" i="1"/>
  <c r="L36" i="1"/>
  <c r="AA36" i="1"/>
  <c r="U43" i="1"/>
  <c r="T33" i="1"/>
  <c r="Q40" i="1"/>
  <c r="U40" i="1"/>
  <c r="O34" i="1"/>
  <c r="AC34" i="1"/>
  <c r="O37" i="1"/>
  <c r="O23" i="1"/>
  <c r="Q94" i="1"/>
  <c r="S15" i="1"/>
  <c r="V130" i="1"/>
  <c r="X157" i="1"/>
  <c r="M159" i="1"/>
  <c r="H51" i="1"/>
  <c r="M51" i="1"/>
  <c r="AE64" i="1"/>
  <c r="U49" i="1"/>
  <c r="K31" i="1"/>
  <c r="Z38" i="1"/>
  <c r="N40" i="1"/>
  <c r="L40" i="1"/>
  <c r="W31" i="1"/>
  <c r="T87" i="1"/>
  <c r="AH16" i="1"/>
  <c r="S11" i="1"/>
  <c r="I163" i="1"/>
  <c r="I157" i="1"/>
  <c r="O50" i="1"/>
  <c r="X63" i="1"/>
  <c r="AA54" i="1"/>
  <c r="AC41" i="1"/>
  <c r="W38" i="1"/>
  <c r="X42" i="1"/>
  <c r="S90" i="1"/>
  <c r="U93" i="1"/>
  <c r="I95" i="1"/>
  <c r="I93" i="1"/>
  <c r="Z26" i="1"/>
  <c r="N11" i="1"/>
  <c r="R11" i="1"/>
  <c r="O20" i="1"/>
  <c r="U91" i="1"/>
  <c r="AH11" i="1"/>
  <c r="I12" i="1"/>
  <c r="R90" i="1"/>
  <c r="S14" i="1"/>
  <c r="J16" i="1"/>
  <c r="Q15" i="1"/>
  <c r="X22" i="1"/>
  <c r="AG11" i="1"/>
  <c r="K136" i="1"/>
  <c r="J163" i="1"/>
  <c r="Y160" i="1"/>
  <c r="M140" i="1"/>
  <c r="K159" i="1"/>
  <c r="T129" i="1"/>
  <c r="X140" i="1"/>
  <c r="O156" i="1"/>
  <c r="R131" i="1"/>
  <c r="X160" i="1"/>
  <c r="G132" i="1"/>
  <c r="M145" i="1"/>
  <c r="P139" i="1"/>
  <c r="T140" i="1"/>
  <c r="R157" i="1"/>
  <c r="K158" i="1"/>
  <c r="H50" i="1"/>
  <c r="X60" i="1"/>
  <c r="V53" i="1"/>
  <c r="L54" i="1"/>
  <c r="AD62" i="1"/>
  <c r="S54" i="1"/>
  <c r="S50" i="1"/>
  <c r="L58" i="1"/>
  <c r="V52" i="1"/>
  <c r="Y58" i="1"/>
  <c r="AA62" i="1"/>
  <c r="P51" i="1"/>
  <c r="AH54" i="1"/>
  <c r="Y55" i="1"/>
  <c r="U53" i="1"/>
  <c r="X50" i="1"/>
  <c r="U56" i="1"/>
  <c r="AE56" i="1"/>
  <c r="AH61" i="1"/>
  <c r="N39" i="1"/>
  <c r="L43" i="1"/>
  <c r="T39" i="1"/>
  <c r="K40" i="1"/>
  <c r="N37" i="1"/>
  <c r="W43" i="1"/>
  <c r="U36" i="1"/>
  <c r="N32" i="1"/>
  <c r="W37" i="1"/>
  <c r="N35" i="1"/>
  <c r="U34" i="1"/>
  <c r="AC37" i="1"/>
  <c r="X40" i="1"/>
  <c r="W35" i="1"/>
  <c r="R42" i="1"/>
  <c r="N34" i="1"/>
  <c r="AD37" i="1"/>
  <c r="U39" i="1"/>
  <c r="L30" i="1"/>
  <c r="AD39" i="1"/>
  <c r="Q35" i="1"/>
  <c r="W41" i="1"/>
  <c r="AD34" i="1"/>
  <c r="AC32" i="1"/>
  <c r="O88" i="1"/>
  <c r="AF25" i="1"/>
  <c r="M87" i="1"/>
  <c r="U96" i="1"/>
  <c r="W94" i="1"/>
  <c r="N92" i="1"/>
  <c r="H92" i="1"/>
  <c r="T92" i="1"/>
  <c r="Q11" i="1"/>
  <c r="H11" i="1"/>
  <c r="Q88" i="1"/>
  <c r="L94" i="1"/>
  <c r="V96" i="1"/>
  <c r="G24" i="1"/>
  <c r="P18" i="1"/>
  <c r="V90" i="1"/>
  <c r="K160" i="1"/>
  <c r="T155" i="1"/>
  <c r="L161" i="1"/>
  <c r="G155" i="1"/>
  <c r="J158" i="1"/>
  <c r="S157" i="1"/>
  <c r="X141" i="1"/>
  <c r="P164" i="1"/>
  <c r="Z162" i="1"/>
  <c r="G156" i="1"/>
  <c r="Q162" i="1"/>
  <c r="T162" i="1"/>
  <c r="G161" i="1"/>
  <c r="G134" i="1"/>
  <c r="H158" i="1"/>
  <c r="Y164" i="1"/>
  <c r="H56" i="1"/>
  <c r="G53" i="1"/>
  <c r="AD63" i="1"/>
  <c r="Y57" i="1"/>
  <c r="AH58" i="1"/>
  <c r="S64" i="1"/>
  <c r="R59" i="1"/>
  <c r="AA50" i="1"/>
  <c r="S58" i="1"/>
  <c r="U63" i="1"/>
  <c r="AG57" i="1"/>
  <c r="V62" i="1"/>
  <c r="O58" i="1"/>
  <c r="S61" i="1"/>
  <c r="P64" i="1"/>
  <c r="Y53" i="1"/>
  <c r="S53" i="1"/>
  <c r="AG59" i="1"/>
  <c r="X54" i="1"/>
  <c r="O61" i="1"/>
  <c r="AD33" i="1"/>
  <c r="X43" i="1"/>
  <c r="K41" i="1"/>
  <c r="U38" i="1"/>
  <c r="O38" i="1"/>
  <c r="T41" i="1"/>
  <c r="O31" i="1"/>
  <c r="Z36" i="1"/>
  <c r="O42" i="1"/>
  <c r="Z41" i="1"/>
  <c r="X39" i="1"/>
  <c r="U33" i="1"/>
  <c r="R37" i="1"/>
  <c r="Z30" i="1"/>
  <c r="AA34" i="1"/>
  <c r="AC42" i="1"/>
  <c r="O35" i="1"/>
  <c r="R43" i="1"/>
  <c r="K37" i="1"/>
  <c r="W32" i="1"/>
  <c r="U30" i="1"/>
  <c r="AD35" i="1"/>
  <c r="Z35" i="1"/>
  <c r="U35" i="1"/>
  <c r="N14" i="1"/>
  <c r="S16" i="1"/>
  <c r="I161" i="1"/>
  <c r="Z159" i="1"/>
  <c r="V161" i="1"/>
  <c r="Y162" i="1"/>
  <c r="I140" i="1"/>
  <c r="AA58" i="1"/>
  <c r="Y50" i="1"/>
  <c r="AD53" i="1"/>
  <c r="L49" i="1"/>
  <c r="X56" i="1"/>
  <c r="R55" i="1"/>
  <c r="AA42" i="1"/>
  <c r="T38" i="1"/>
  <c r="AA37" i="1"/>
  <c r="X36" i="1"/>
  <c r="AD43" i="1"/>
  <c r="Z42" i="1"/>
  <c r="K12" i="1" l="1"/>
  <c r="L12" i="1" s="1"/>
  <c r="K11" i="1"/>
  <c r="J20" i="1"/>
  <c r="J18" i="1"/>
  <c r="J17" i="1"/>
  <c r="I13" i="1"/>
  <c r="K14" i="1"/>
  <c r="L14" i="1" s="1"/>
  <c r="I15" i="1"/>
  <c r="K16" i="1"/>
  <c r="L16" i="1" s="1"/>
  <c r="J13" i="1"/>
  <c r="J15" i="1"/>
  <c r="I17" i="1"/>
  <c r="I20" i="1"/>
  <c r="K19" i="1"/>
  <c r="L19" i="1" s="1"/>
  <c r="I18" i="1"/>
  <c r="K24" i="1"/>
  <c r="L24" i="1" s="1"/>
  <c r="I22" i="1"/>
  <c r="J22" i="1"/>
  <c r="I54" i="1"/>
  <c r="I55" i="1"/>
  <c r="I59" i="1"/>
  <c r="I61" i="1"/>
  <c r="I62" i="1"/>
  <c r="I51" i="1"/>
  <c r="I66" i="1"/>
  <c r="I58" i="1"/>
  <c r="I50" i="1"/>
  <c r="I63" i="1"/>
  <c r="I52" i="1"/>
  <c r="I49" i="1"/>
  <c r="I64" i="1"/>
  <c r="I67" i="1"/>
  <c r="I57" i="1"/>
  <c r="I53" i="1"/>
  <c r="I56" i="1"/>
  <c r="I65" i="1"/>
  <c r="I60" i="1"/>
  <c r="N50" i="1"/>
  <c r="T64" i="1"/>
  <c r="T62" i="1"/>
  <c r="AF62" i="1"/>
  <c r="N59" i="1"/>
  <c r="Z54" i="1"/>
  <c r="N55" i="1"/>
  <c r="Q54" i="1"/>
  <c r="W51" i="1"/>
  <c r="AC61" i="1"/>
  <c r="T61" i="1"/>
  <c r="W59" i="1"/>
  <c r="Q61" i="1"/>
  <c r="AC62" i="1"/>
  <c r="Z64" i="1"/>
  <c r="AI62" i="1"/>
  <c r="T63" i="1"/>
  <c r="Z62" i="1"/>
  <c r="T51" i="1"/>
  <c r="Q62" i="1"/>
  <c r="Q53" i="1"/>
  <c r="AF58" i="1"/>
  <c r="N52" i="1"/>
  <c r="N51" i="1"/>
  <c r="AI58" i="1"/>
  <c r="AF56" i="1"/>
  <c r="T49" i="1"/>
  <c r="Q49" i="1"/>
  <c r="N60" i="1"/>
  <c r="Z53" i="1"/>
  <c r="Z50" i="1"/>
  <c r="Z61" i="1"/>
  <c r="Z59" i="1"/>
  <c r="W50" i="1"/>
  <c r="Q59" i="1"/>
  <c r="Z56" i="1"/>
  <c r="AI57" i="1"/>
  <c r="T55" i="1"/>
  <c r="AF64" i="1"/>
  <c r="N61" i="1"/>
  <c r="Q52" i="1"/>
  <c r="N58" i="1"/>
  <c r="W49" i="1"/>
  <c r="Z63" i="1"/>
  <c r="W64" i="1"/>
  <c r="AC59" i="1"/>
  <c r="AF53" i="1"/>
  <c r="Z58" i="1"/>
  <c r="AC64" i="1"/>
  <c r="W52" i="1"/>
  <c r="AF52" i="1"/>
  <c r="Q63" i="1"/>
  <c r="W58" i="1"/>
  <c r="AI54" i="1"/>
  <c r="AC52" i="1"/>
  <c r="AF57" i="1"/>
  <c r="Q64" i="1"/>
  <c r="AF54" i="1"/>
  <c r="T56" i="1"/>
  <c r="N62" i="1"/>
  <c r="T54" i="1"/>
  <c r="T59" i="1"/>
  <c r="Q60" i="1"/>
  <c r="N54" i="1"/>
  <c r="W61" i="1"/>
  <c r="AC55" i="1"/>
  <c r="Z52" i="1"/>
  <c r="N49" i="1"/>
  <c r="AI56" i="1"/>
  <c r="AI60" i="1"/>
  <c r="AC56" i="1"/>
  <c r="AC57" i="1"/>
  <c r="AC58" i="1"/>
  <c r="T60" i="1"/>
  <c r="Z51" i="1"/>
  <c r="AF50" i="1"/>
  <c r="Z57" i="1"/>
  <c r="N56" i="1"/>
  <c r="W55" i="1"/>
  <c r="T52" i="1"/>
  <c r="T50" i="1"/>
  <c r="Q57" i="1"/>
  <c r="Q55" i="1"/>
  <c r="AF60" i="1"/>
  <c r="Q51" i="1"/>
  <c r="T58" i="1"/>
  <c r="W53" i="1"/>
  <c r="AF63" i="1"/>
  <c r="AF59" i="1"/>
  <c r="N53" i="1"/>
  <c r="AC54" i="1"/>
  <c r="AF55" i="1"/>
  <c r="Z49" i="1"/>
  <c r="AC50" i="1"/>
  <c r="AI55" i="1"/>
  <c r="AI63" i="1"/>
  <c r="W62" i="1"/>
  <c r="W57" i="1"/>
  <c r="AC60" i="1"/>
  <c r="W54" i="1"/>
  <c r="T53" i="1"/>
  <c r="AI52" i="1"/>
  <c r="AC53" i="1"/>
  <c r="N57" i="1"/>
  <c r="T57" i="1"/>
  <c r="AI59" i="1"/>
  <c r="AC63" i="1"/>
  <c r="W63" i="1"/>
  <c r="W60" i="1"/>
  <c r="AF61" i="1"/>
  <c r="Z60" i="1"/>
  <c r="W56" i="1"/>
  <c r="N63" i="1"/>
  <c r="Q56" i="1"/>
  <c r="Z55" i="1"/>
  <c r="Q58" i="1"/>
  <c r="N64" i="1"/>
  <c r="AI64" i="1"/>
  <c r="Q50" i="1"/>
  <c r="AI61" i="1"/>
  <c r="M40" i="1"/>
  <c r="V39" i="1"/>
  <c r="V38" i="1"/>
  <c r="AB35" i="1"/>
  <c r="Y35" i="1"/>
  <c r="S38" i="1"/>
  <c r="M43" i="1"/>
  <c r="M42" i="1"/>
  <c r="S35" i="1"/>
  <c r="AE37" i="1"/>
  <c r="S42" i="1"/>
  <c r="AB31" i="1"/>
  <c r="AE32" i="1"/>
  <c r="Y41" i="1"/>
  <c r="AE41" i="1"/>
  <c r="V40" i="1"/>
  <c r="AB38" i="1"/>
  <c r="S39" i="1"/>
  <c r="S30" i="1"/>
  <c r="V34" i="1"/>
  <c r="Y33" i="1"/>
  <c r="P43" i="1"/>
  <c r="AE43" i="1"/>
  <c r="P38" i="1"/>
  <c r="V37" i="1"/>
  <c r="AB42" i="1"/>
  <c r="V31" i="1"/>
  <c r="Y36" i="1"/>
  <c r="M36" i="1"/>
  <c r="S40" i="1"/>
  <c r="AE33" i="1"/>
  <c r="P40" i="1"/>
  <c r="P41" i="1"/>
  <c r="AB41" i="1"/>
  <c r="AB34" i="1"/>
  <c r="V33" i="1"/>
  <c r="S37" i="1"/>
  <c r="P35" i="1"/>
  <c r="S41" i="1"/>
  <c r="Y38" i="1"/>
  <c r="Y31" i="1"/>
  <c r="AB39" i="1"/>
  <c r="M39" i="1"/>
  <c r="AB37" i="1"/>
  <c r="S43" i="1"/>
  <c r="AE40" i="1"/>
  <c r="M31" i="1"/>
  <c r="S32" i="1"/>
  <c r="M32" i="1"/>
  <c r="AB33" i="1"/>
  <c r="Y30" i="1"/>
  <c r="V43" i="1"/>
  <c r="AE30" i="1"/>
  <c r="V32" i="1"/>
  <c r="Y42" i="1"/>
  <c r="AB32" i="1"/>
  <c r="AB43" i="1"/>
  <c r="S33" i="1"/>
  <c r="P33" i="1"/>
  <c r="M30" i="1"/>
  <c r="AB40" i="1"/>
  <c r="AE35" i="1"/>
  <c r="Y37" i="1"/>
  <c r="M33" i="1"/>
  <c r="S34" i="1"/>
  <c r="AE38" i="1"/>
  <c r="P36" i="1"/>
  <c r="Y39" i="1"/>
  <c r="M38" i="1"/>
  <c r="Y40" i="1"/>
  <c r="V35" i="1"/>
  <c r="M34" i="1"/>
  <c r="P39" i="1"/>
  <c r="S31" i="1"/>
  <c r="AE34" i="1"/>
  <c r="M35" i="1"/>
  <c r="AE36" i="1"/>
  <c r="V41" i="1"/>
  <c r="V42" i="1"/>
  <c r="P31" i="1"/>
  <c r="V30" i="1"/>
  <c r="AE39" i="1"/>
  <c r="V36" i="1"/>
  <c r="S36" i="1"/>
  <c r="AE31" i="1"/>
  <c r="AB30" i="1"/>
  <c r="P37" i="1"/>
  <c r="M37" i="1"/>
  <c r="P30" i="1"/>
  <c r="Y34" i="1"/>
  <c r="Y43" i="1"/>
  <c r="M41" i="1"/>
  <c r="AE42" i="1"/>
  <c r="AB36" i="1"/>
  <c r="P42" i="1"/>
  <c r="Y32" i="1"/>
  <c r="P34" i="1"/>
  <c r="P32" i="1"/>
  <c r="M18" i="1"/>
  <c r="M17" i="1"/>
  <c r="L11" i="1"/>
  <c r="M20" i="1"/>
  <c r="M13" i="1"/>
  <c r="M15" i="1"/>
  <c r="M22" i="1"/>
  <c r="P123" i="1"/>
  <c r="L76" i="1"/>
  <c r="AB17" i="1"/>
  <c r="V79" i="1"/>
  <c r="AB11" i="1"/>
  <c r="Y14" i="1"/>
  <c r="V123" i="1"/>
  <c r="AB12" i="1"/>
  <c r="AA16" i="1"/>
  <c r="G122" i="1"/>
  <c r="V120" i="1"/>
  <c r="Z14" i="1"/>
  <c r="AA18" i="1"/>
  <c r="M120" i="1"/>
  <c r="W17" i="1"/>
  <c r="L82" i="1"/>
  <c r="Y11" i="1"/>
  <c r="V75" i="1"/>
  <c r="Y12" i="1"/>
  <c r="S122" i="1"/>
  <c r="Y15" i="1"/>
  <c r="AB15" i="1"/>
  <c r="Q79" i="1"/>
  <c r="Q83" i="1"/>
  <c r="Q73" i="1"/>
  <c r="L73" i="1"/>
  <c r="V72" i="1"/>
  <c r="W15" i="1"/>
  <c r="V121" i="1"/>
  <c r="W18" i="1"/>
  <c r="M123" i="1"/>
  <c r="Q81" i="1"/>
  <c r="Q75" i="1"/>
  <c r="Z18" i="1"/>
  <c r="Q80" i="1"/>
  <c r="AB14" i="1"/>
  <c r="Q77" i="1"/>
  <c r="Z11" i="1"/>
  <c r="V78" i="1"/>
  <c r="Y17" i="1"/>
  <c r="G74" i="1"/>
  <c r="W11" i="1"/>
  <c r="S120" i="1"/>
  <c r="P121" i="1"/>
  <c r="L74" i="1"/>
  <c r="Z15" i="1"/>
  <c r="M122" i="1"/>
  <c r="AA17" i="1"/>
  <c r="AA15" i="1"/>
  <c r="V81" i="1"/>
  <c r="J120" i="1"/>
  <c r="AA14" i="1"/>
  <c r="W13" i="1"/>
  <c r="AA12" i="1"/>
  <c r="G123" i="1"/>
  <c r="AB16" i="1"/>
  <c r="AA11" i="1"/>
  <c r="M121" i="1"/>
  <c r="Y16" i="1"/>
  <c r="G121" i="1"/>
  <c r="L83" i="1"/>
  <c r="Q82" i="1"/>
  <c r="S121" i="1"/>
  <c r="G75" i="1"/>
  <c r="Z16" i="1"/>
  <c r="Z13" i="1"/>
  <c r="G78" i="1"/>
  <c r="G80" i="1"/>
  <c r="G76" i="1"/>
  <c r="Z17" i="1"/>
  <c r="G77" i="1"/>
  <c r="V74" i="1"/>
  <c r="AB18" i="1"/>
  <c r="G79" i="1"/>
  <c r="G81" i="1"/>
  <c r="G72" i="1"/>
  <c r="V76" i="1"/>
  <c r="Y18" i="1"/>
  <c r="G83" i="1"/>
  <c r="Q78" i="1"/>
  <c r="Z12" i="1"/>
  <c r="J123" i="1"/>
  <c r="L78" i="1"/>
  <c r="P120" i="1"/>
  <c r="Y13" i="1"/>
  <c r="L80" i="1"/>
  <c r="V73" i="1"/>
  <c r="W16" i="1"/>
  <c r="P122" i="1"/>
  <c r="V80" i="1"/>
  <c r="V77" i="1"/>
  <c r="Q72" i="1"/>
  <c r="G73" i="1"/>
  <c r="AB13" i="1"/>
  <c r="L72" i="1"/>
  <c r="L79" i="1"/>
  <c r="W14" i="1"/>
  <c r="AA13" i="1"/>
  <c r="V122" i="1"/>
  <c r="L81" i="1"/>
  <c r="L77" i="1"/>
  <c r="W12" i="1"/>
  <c r="Q76" i="1"/>
  <c r="S123" i="1"/>
  <c r="L75" i="1"/>
  <c r="G120" i="1"/>
  <c r="G82" i="1"/>
  <c r="V83" i="1"/>
  <c r="Q74" i="1"/>
  <c r="V82" i="1"/>
  <c r="J122" i="1"/>
  <c r="J121" i="1"/>
  <c r="T123" i="1"/>
  <c r="X72" i="1"/>
  <c r="S74" i="1"/>
  <c r="N77" i="1"/>
  <c r="T75" i="1"/>
  <c r="H79" i="1"/>
  <c r="J74" i="1"/>
  <c r="I83" i="1"/>
  <c r="H73" i="1"/>
  <c r="N72" i="1"/>
  <c r="O83" i="1"/>
  <c r="H76" i="1"/>
  <c r="N76" i="1"/>
  <c r="I82" i="1"/>
  <c r="W78" i="1"/>
  <c r="S82" i="1"/>
  <c r="M73" i="1"/>
  <c r="N123" i="1"/>
  <c r="R82" i="1"/>
  <c r="T80" i="1"/>
  <c r="X13" i="1"/>
  <c r="W75" i="1"/>
  <c r="J83" i="1"/>
  <c r="S80" i="1"/>
  <c r="H82" i="1"/>
  <c r="Q121" i="1"/>
  <c r="I79" i="1"/>
  <c r="W76" i="1"/>
  <c r="J75" i="1"/>
  <c r="O76" i="1"/>
  <c r="R77" i="1"/>
  <c r="T83" i="1"/>
  <c r="I73" i="1"/>
  <c r="X14" i="1"/>
  <c r="T120" i="1"/>
  <c r="W79" i="1"/>
  <c r="T78" i="1"/>
  <c r="S77" i="1"/>
  <c r="N73" i="1"/>
  <c r="S83" i="1"/>
  <c r="X79" i="1"/>
  <c r="W77" i="1"/>
  <c r="Y74" i="1"/>
  <c r="X11" i="1"/>
  <c r="I78" i="1"/>
  <c r="X83" i="1"/>
  <c r="Y80" i="1"/>
  <c r="W73" i="1"/>
  <c r="M80" i="1"/>
  <c r="X76" i="1"/>
  <c r="I81" i="1"/>
  <c r="Y81" i="1"/>
  <c r="J80" i="1"/>
  <c r="K120" i="1"/>
  <c r="R78" i="1"/>
  <c r="Y78" i="1"/>
  <c r="R74" i="1"/>
  <c r="X18" i="1"/>
  <c r="T82" i="1"/>
  <c r="H72" i="1"/>
  <c r="Y75" i="1"/>
  <c r="R72" i="1"/>
  <c r="J72" i="1"/>
  <c r="I80" i="1"/>
  <c r="S81" i="1"/>
  <c r="H80" i="1"/>
  <c r="I77" i="1"/>
  <c r="X16" i="1"/>
  <c r="J82" i="1"/>
  <c r="W72" i="1"/>
  <c r="S78" i="1"/>
  <c r="X15" i="1"/>
  <c r="Y82" i="1"/>
  <c r="J73" i="1"/>
  <c r="X17" i="1"/>
  <c r="S73" i="1"/>
  <c r="T77" i="1"/>
  <c r="M82" i="1"/>
  <c r="X80" i="1"/>
  <c r="O80" i="1"/>
  <c r="K122" i="1"/>
  <c r="W120" i="1"/>
  <c r="W80" i="1"/>
  <c r="I74" i="1"/>
  <c r="X75" i="1"/>
  <c r="Y77" i="1"/>
  <c r="T121" i="1"/>
  <c r="J81" i="1"/>
  <c r="T73" i="1"/>
  <c r="N80" i="1"/>
  <c r="X12" i="1"/>
  <c r="O74" i="1"/>
  <c r="S72" i="1"/>
  <c r="H77" i="1"/>
  <c r="O79" i="1"/>
  <c r="Y73" i="1"/>
  <c r="N79" i="1"/>
  <c r="N74" i="1"/>
  <c r="R80" i="1"/>
  <c r="W122" i="1"/>
  <c r="T74" i="1"/>
  <c r="O72" i="1"/>
  <c r="J78" i="1"/>
  <c r="M76" i="1"/>
  <c r="H75" i="1"/>
  <c r="W82" i="1"/>
  <c r="H81" i="1"/>
  <c r="T79" i="1"/>
  <c r="M72" i="1"/>
  <c r="J79" i="1"/>
  <c r="R76" i="1"/>
  <c r="W123" i="1"/>
  <c r="R79" i="1"/>
  <c r="T76" i="1"/>
  <c r="S76" i="1"/>
  <c r="M74" i="1"/>
  <c r="M75" i="1"/>
  <c r="H123" i="1"/>
  <c r="O82" i="1"/>
  <c r="Q123" i="1"/>
  <c r="N83" i="1"/>
  <c r="N81" i="1"/>
  <c r="T81" i="1"/>
  <c r="Y72" i="1"/>
  <c r="Q122" i="1"/>
  <c r="J77" i="1"/>
  <c r="J76" i="1"/>
  <c r="N120" i="1"/>
  <c r="H122" i="1"/>
  <c r="K121" i="1"/>
  <c r="T72" i="1"/>
  <c r="R75" i="1"/>
  <c r="H120" i="1"/>
  <c r="Y83" i="1"/>
  <c r="M78" i="1"/>
  <c r="N75" i="1"/>
  <c r="M81" i="1"/>
  <c r="H121" i="1"/>
  <c r="R83" i="1"/>
  <c r="X82" i="1"/>
  <c r="S75" i="1"/>
  <c r="Q120" i="1"/>
  <c r="M77" i="1"/>
  <c r="W83" i="1"/>
  <c r="M83" i="1"/>
  <c r="O73" i="1"/>
  <c r="N122" i="1"/>
  <c r="X78" i="1"/>
  <c r="H83" i="1"/>
  <c r="M79" i="1"/>
  <c r="N121" i="1"/>
  <c r="X73" i="1"/>
  <c r="X81" i="1"/>
  <c r="I76" i="1"/>
  <c r="I75" i="1"/>
  <c r="O81" i="1"/>
  <c r="X74" i="1"/>
  <c r="Y76" i="1"/>
  <c r="W81" i="1"/>
  <c r="X77" i="1"/>
  <c r="H78" i="1"/>
  <c r="R81" i="1"/>
  <c r="O75" i="1"/>
  <c r="W121" i="1"/>
  <c r="H74" i="1"/>
  <c r="K123" i="1"/>
  <c r="R73" i="1"/>
  <c r="O78" i="1"/>
  <c r="T122" i="1"/>
  <c r="O77" i="1"/>
  <c r="Y79" i="1"/>
  <c r="S79" i="1"/>
  <c r="I72" i="1"/>
  <c r="W74" i="1"/>
  <c r="N78" i="1"/>
  <c r="N82" i="1"/>
  <c r="K20" i="1" l="1"/>
  <c r="L20" i="1" s="1"/>
  <c r="K18" i="1"/>
  <c r="L18" i="1" s="1"/>
  <c r="K17" i="1"/>
  <c r="L17" i="1" s="1"/>
  <c r="K15" i="1"/>
  <c r="L15" i="1" s="1"/>
  <c r="K13" i="1"/>
  <c r="L13" i="1" s="1"/>
  <c r="J21" i="1"/>
  <c r="J23" i="1"/>
  <c r="K22" i="1"/>
  <c r="L22" i="1" s="1"/>
  <c r="I23" i="1"/>
  <c r="I21" i="1"/>
  <c r="M23" i="1"/>
  <c r="M21" i="1"/>
  <c r="K21" i="1" l="1"/>
  <c r="L21" i="1" s="1"/>
  <c r="K23" i="1"/>
  <c r="L23" i="1" s="1"/>
</calcChain>
</file>

<file path=xl/sharedStrings.xml><?xml version="1.0" encoding="utf-8"?>
<sst xmlns="http://schemas.openxmlformats.org/spreadsheetml/2006/main" count="555" uniqueCount="274">
  <si>
    <t>Maturity</t>
  </si>
  <si>
    <t>Mid Yield</t>
  </si>
  <si>
    <t>US Treasuries</t>
  </si>
  <si>
    <t>Swaps</t>
  </si>
  <si>
    <t>Tenor</t>
  </si>
  <si>
    <t>Bid</t>
  </si>
  <si>
    <t>Ask</t>
  </si>
  <si>
    <t>Mid</t>
  </si>
  <si>
    <t>USD</t>
  </si>
  <si>
    <t>EUR</t>
  </si>
  <si>
    <t>GBP</t>
  </si>
  <si>
    <t>Broker</t>
  </si>
  <si>
    <t>JPY</t>
  </si>
  <si>
    <t>CAD</t>
  </si>
  <si>
    <t>CHF</t>
  </si>
  <si>
    <t>Overnight Index Swaps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</si>
  <si>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</si>
  <si>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</si>
  <si>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</si>
  <si>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</si>
  <si>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</si>
  <si>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</si>
  <si>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</si>
  <si>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</si>
  <si>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</si>
  <si>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</si>
  <si>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</si>
  <si>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</si>
  <si>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15M</t>
  </si>
  <si>
    <t>18M</t>
  </si>
  <si>
    <t>21M</t>
  </si>
  <si>
    <t>24M</t>
  </si>
  <si>
    <t>10M</t>
  </si>
  <si>
    <t>11M</t>
  </si>
  <si>
    <t>12M</t>
  </si>
  <si>
    <t xml:space="preserve">Ask </t>
  </si>
  <si>
    <t>1Y</t>
  </si>
  <si>
    <t>2Y</t>
  </si>
  <si>
    <t>3Y</t>
  </si>
  <si>
    <t>4Y</t>
  </si>
  <si>
    <t>5Y</t>
  </si>
  <si>
    <t>7Y</t>
  </si>
  <si>
    <t>10Y</t>
  </si>
  <si>
    <t>12Y</t>
  </si>
  <si>
    <t>15Y</t>
  </si>
  <si>
    <t>20Y</t>
  </si>
  <si>
    <t>25Y</t>
  </si>
  <si>
    <t>30Y</t>
  </si>
  <si>
    <t>Bid Price</t>
  </si>
  <si>
    <t>Ask Price</t>
  </si>
  <si>
    <t>1M LIBOR vs 3 M LIBOR</t>
  </si>
  <si>
    <t>3M LIBOR vs. 6M LIBOR</t>
  </si>
  <si>
    <t>1M LIBOR vs. 6M LIBOR</t>
  </si>
  <si>
    <t>3M LIBOR vs. 12M LIBOR</t>
  </si>
  <si>
    <t>Bid Yield</t>
  </si>
  <si>
    <t>Ask Yield</t>
  </si>
  <si>
    <t>Bid Swap Spread</t>
  </si>
  <si>
    <t>Ask Swap Spread</t>
  </si>
  <si>
    <t>Contract</t>
  </si>
  <si>
    <t>2 Year</t>
  </si>
  <si>
    <t>5 Year</t>
  </si>
  <si>
    <t>10  Year</t>
  </si>
  <si>
    <t>30 Year</t>
  </si>
  <si>
    <t>Price</t>
  </si>
  <si>
    <t>UST Futures</t>
  </si>
  <si>
    <t>CTD Gross Basis</t>
  </si>
  <si>
    <t>CTD Net Basis</t>
  </si>
  <si>
    <t>Basis Swaps</t>
  </si>
  <si>
    <t>AUD</t>
  </si>
  <si>
    <t>FX</t>
  </si>
  <si>
    <t>CTD Implied RP</t>
  </si>
  <si>
    <t>3M Eurodollar Futures</t>
  </si>
  <si>
    <t>Ticker</t>
  </si>
  <si>
    <t>Fed Funds Futures</t>
  </si>
  <si>
    <t>Exp</t>
  </si>
  <si>
    <t>Last</t>
  </si>
  <si>
    <t>1M Eurodollar Futures</t>
  </si>
  <si>
    <t>3M Euribor Futures</t>
  </si>
  <si>
    <t>O/N</t>
  </si>
  <si>
    <t>T/N</t>
  </si>
  <si>
    <t>1WK</t>
  </si>
  <si>
    <t>1MTH</t>
  </si>
  <si>
    <t>2MTH</t>
  </si>
  <si>
    <t>3MTH</t>
  </si>
  <si>
    <t>6MTH</t>
  </si>
  <si>
    <t>9MTH</t>
  </si>
  <si>
    <t>1YD</t>
  </si>
  <si>
    <t>Spot</t>
  </si>
  <si>
    <t>Swaption Volatilities (USD)</t>
  </si>
  <si>
    <t>1 Wk</t>
  </si>
  <si>
    <t>2 Wk</t>
  </si>
  <si>
    <t>1 M</t>
  </si>
  <si>
    <t>2 M</t>
  </si>
  <si>
    <t>5 M</t>
  </si>
  <si>
    <t>6 M</t>
  </si>
  <si>
    <t>7 M</t>
  </si>
  <si>
    <t>8 M</t>
  </si>
  <si>
    <t>9 M</t>
  </si>
  <si>
    <t>10 M</t>
  </si>
  <si>
    <t>11 M</t>
  </si>
  <si>
    <t>12 M</t>
  </si>
  <si>
    <t xml:space="preserve"> Libor</t>
  </si>
  <si>
    <t>Swaption Premiums (USD)</t>
  </si>
  <si>
    <t>CTD Issue</t>
  </si>
  <si>
    <t>Commodities</t>
  </si>
  <si>
    <t>Oil</t>
  </si>
  <si>
    <t>Gold</t>
  </si>
  <si>
    <t>Nat Gas</t>
  </si>
  <si>
    <t>Wheat</t>
  </si>
  <si>
    <t>Copper</t>
  </si>
  <si>
    <t>SPX</t>
  </si>
  <si>
    <t>NASD</t>
  </si>
  <si>
    <t>S&amp;P TSX</t>
  </si>
  <si>
    <t>MEXBOL</t>
  </si>
  <si>
    <t>BOVESPA</t>
  </si>
  <si>
    <t>FTSE</t>
  </si>
  <si>
    <t>CAC 40</t>
  </si>
  <si>
    <t>DAX</t>
  </si>
  <si>
    <t>NIKKEI</t>
  </si>
  <si>
    <t>HANG SENG</t>
  </si>
  <si>
    <t>S&amp;P ASX 200</t>
  </si>
  <si>
    <t>Rate Locator</t>
  </si>
  <si>
    <t>link cell for cboSwapBroker</t>
  </si>
  <si>
    <t>link cell for Rates/Spreads</t>
  </si>
  <si>
    <t>/</t>
  </si>
  <si>
    <t>link cell for Basis Swaps</t>
  </si>
  <si>
    <t>link cell for OIS</t>
  </si>
  <si>
    <t>link cell for Vols</t>
  </si>
  <si>
    <t>Chg (Pct)</t>
  </si>
  <si>
    <t>SHANGHAI</t>
  </si>
  <si>
    <t>DOW JONES</t>
  </si>
  <si>
    <t>CRB INDEX</t>
  </si>
  <si>
    <t>OIL</t>
  </si>
  <si>
    <t>FRA'S</t>
  </si>
  <si>
    <t>Term</t>
  </si>
  <si>
    <t>Rate</t>
  </si>
  <si>
    <t>0x3</t>
  </si>
  <si>
    <t>1x4</t>
  </si>
  <si>
    <t>2x5</t>
  </si>
  <si>
    <t>3x6</t>
  </si>
  <si>
    <t>4x7</t>
  </si>
  <si>
    <t>5x8</t>
  </si>
  <si>
    <t>6x9</t>
  </si>
  <si>
    <t>7x10</t>
  </si>
  <si>
    <t>8x11</t>
  </si>
  <si>
    <t>9x12</t>
  </si>
  <si>
    <t>10x13</t>
  </si>
  <si>
    <t>11x14</t>
  </si>
  <si>
    <t>12x15</t>
  </si>
  <si>
    <t>15x18</t>
  </si>
  <si>
    <t>18x21</t>
  </si>
  <si>
    <t>0x6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</si>
  <si>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</si>
  <si>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</si>
  <si>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</si>
  <si>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</si>
  <si>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</si>
  <si>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</si>
  <si>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</si>
  <si>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</si>
  <si>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</si>
  <si>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</si>
  <si>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12x18</t>
  </si>
  <si>
    <t>13x19</t>
  </si>
  <si>
    <t>18x24</t>
  </si>
  <si>
    <t>3 Month</t>
  </si>
  <si>
    <t>6 Month</t>
  </si>
  <si>
    <t>9 Month</t>
  </si>
  <si>
    <t>12 Month</t>
  </si>
  <si>
    <t>1x10</t>
  </si>
  <si>
    <t>2x11</t>
  </si>
  <si>
    <t>3x12</t>
  </si>
  <si>
    <t>4x13</t>
  </si>
  <si>
    <t>5x14</t>
  </si>
  <si>
    <t>6x15</t>
  </si>
  <si>
    <t>7x16</t>
  </si>
  <si>
    <t>0x12</t>
  </si>
  <si>
    <t>1x13</t>
  </si>
  <si>
    <t>2x14</t>
  </si>
  <si>
    <t>3x15</t>
  </si>
  <si>
    <t>4x16</t>
  </si>
  <si>
    <t>5x17</t>
  </si>
  <si>
    <t>6x18</t>
  </si>
  <si>
    <t>9x21</t>
  </si>
  <si>
    <t>12x24</t>
  </si>
  <si>
    <t>15x27</t>
  </si>
  <si>
    <t>18x30</t>
  </si>
  <si>
    <t>21x33</t>
  </si>
  <si>
    <t>24x36</t>
  </si>
  <si>
    <t>27x39</t>
  </si>
  <si>
    <t>30x42</t>
  </si>
  <si>
    <t>33x45</t>
  </si>
  <si>
    <t>36x48</t>
  </si>
  <si>
    <t>link cell for FRA's</t>
  </si>
  <si>
    <t>Equity Indicies and Other</t>
  </si>
  <si>
    <t>IMM Swaps</t>
  </si>
  <si>
    <t>Mar-Sep</t>
  </si>
  <si>
    <t>June-Dec</t>
  </si>
  <si>
    <t>Sep-Mar</t>
  </si>
  <si>
    <t>18 Month</t>
  </si>
  <si>
    <t>15 Month</t>
  </si>
  <si>
    <t>21 Month</t>
  </si>
  <si>
    <t>3 Year</t>
  </si>
  <si>
    <t>4 Year</t>
  </si>
  <si>
    <t>6 Year</t>
  </si>
  <si>
    <t>7 Year</t>
  </si>
  <si>
    <t>8 Year</t>
  </si>
  <si>
    <t>9 Year</t>
  </si>
  <si>
    <t>10 Year</t>
  </si>
  <si>
    <t>Dec-Jun</t>
  </si>
  <si>
    <t>Jun-Dec</t>
  </si>
  <si>
    <t>Sep Mar</t>
  </si>
  <si>
    <t>Dec Jun</t>
  </si>
  <si>
    <t>Mar-Dec</t>
  </si>
  <si>
    <t>Jun-Mar</t>
  </si>
  <si>
    <t>Sep-Jun</t>
  </si>
  <si>
    <t>Dec-Sep</t>
  </si>
  <si>
    <t>Mar-Mar</t>
  </si>
  <si>
    <t>Jun-Jun</t>
  </si>
  <si>
    <t>Sep-Sep</t>
  </si>
  <si>
    <t>Dec-Dec</t>
  </si>
  <si>
    <t>Mar-Jun</t>
  </si>
  <si>
    <t>Jun-Sep</t>
  </si>
  <si>
    <t>Sep-Dec</t>
  </si>
  <si>
    <t>Dec-Mar</t>
  </si>
  <si>
    <t>CMS Swaps</t>
  </si>
  <si>
    <t>1 Year</t>
  </si>
  <si>
    <t>6Y</t>
  </si>
  <si>
    <t>8Y</t>
  </si>
  <si>
    <t>9Y</t>
  </si>
  <si>
    <t>Corn</t>
  </si>
  <si>
    <t>Global Bond Yields</t>
  </si>
  <si>
    <t>Germany</t>
  </si>
  <si>
    <t>Japan</t>
  </si>
  <si>
    <t>England</t>
  </si>
  <si>
    <t>Canada</t>
  </si>
  <si>
    <t>Australia</t>
  </si>
  <si>
    <t>Brazil</t>
  </si>
  <si>
    <t>lind cell for GlobalMat</t>
  </si>
  <si>
    <t>CDS</t>
  </si>
  <si>
    <t>USSW</t>
  </si>
  <si>
    <t>single interface. Viewing this data comprehensively often requires numerous broker screens and Bloomberg applications; this spreadsheet, by displaying a large selection of this critical</t>
  </si>
  <si>
    <t>information in one place provides a solution to that problem</t>
  </si>
  <si>
    <t xml:space="preserve">   The US Rates Dashboard is designed to collect and display many of the important interest rates, market indicators, and related information used by rates desk traders and salespersons in a </t>
  </si>
  <si>
    <t xml:space="preserve">   This spreadsheet is self explanatory; the data selections are based on observation over time of the needs of rates traders and salespeople focusing on US markets.</t>
  </si>
  <si>
    <t>While comprehensive, it is certainly not exhaustive. As it is built with BDP links, users can feel free to add data that they view as critical to their business needs</t>
  </si>
  <si>
    <r>
      <t xml:space="preserve">   Given the large amount of information presented, the sheet contains a "</t>
    </r>
    <r>
      <rPr>
        <b/>
        <sz val="11"/>
        <rFont val="Calibri"/>
        <family val="2"/>
      </rPr>
      <t>Locator</t>
    </r>
    <r>
      <rPr>
        <sz val="11"/>
        <rFont val="Calibri"/>
        <family val="2"/>
      </rPr>
      <t>" feature in the upper left; selecting an option from the dropdown will take you to that</t>
    </r>
  </si>
  <si>
    <t>section of the sheet.  The header for that section will appear in blue.</t>
  </si>
  <si>
    <t xml:space="preserve">   Several sections of the sheet contain a dropdown for provider selection. The first choice is always Bloomberg Composite,which is derived from rates from several sources.</t>
  </si>
  <si>
    <t>The dropdowns also contain multiple popular broker choices, such as ICAP, Tullett, Cantor, etc.. It is important to note that all brokers do not provide quotes on all products.</t>
  </si>
  <si>
    <t>Therefore, certain broker selections for a given rate type may result in NA's values. It is also important to note that broker pricing requires permissioning from that broker to</t>
  </si>
  <si>
    <t>view that pricing source. Enablement is the responsibility of the user and must be done by contacting that broker.</t>
  </si>
  <si>
    <t xml:space="preserve"> </t>
  </si>
  <si>
    <t xml:space="preserve">  </t>
  </si>
  <si>
    <t>link cell for Libor Quote Type</t>
  </si>
  <si>
    <t>Quote Type</t>
  </si>
  <si>
    <t>Bid Swap Rate SA</t>
  </si>
  <si>
    <t>Ask Swap Rate SA</t>
  </si>
  <si>
    <t>Bid Swap Rate Ann</t>
  </si>
  <si>
    <t>Ask Swap Rate Ann</t>
  </si>
  <si>
    <t>Delivery Month</t>
  </si>
  <si>
    <t>Chg (Net)</t>
  </si>
  <si>
    <t>US</t>
  </si>
  <si>
    <t>Country</t>
  </si>
  <si>
    <t>FF vs. LIBOR BASIS SWAP</t>
  </si>
  <si>
    <t>CP vs. LIBOR BASIS SWAP</t>
  </si>
  <si>
    <t>PRIME vs LIBOR BASIS SWAP</t>
  </si>
  <si>
    <t>T-BILL vs. 3M LIBOR BASIS SWAP</t>
  </si>
  <si>
    <t xml:space="preserve">Rates / Spreads (USD only)  </t>
  </si>
  <si>
    <t>Chg Close</t>
  </si>
  <si>
    <t>Prev Close</t>
  </si>
  <si>
    <t>Bloomberg Templates</t>
  </si>
  <si>
    <t>Bloomberg Functions</t>
  </si>
  <si>
    <t>LAST_PRICE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</si>
</sst>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"/>
    <numFmt numFmtId="165" formatCode="_(#,##0.000_);_(&quot;$&quot;* \(#,##0.00\);_(&quot;$&quot;* &quot;-&quot;??_);&quot;N/A&quot;"/>
    <numFmt numFmtId="166" formatCode="_(#,##0.00_);_ \(#,##0.00\);_(&quot;$&quot;* &quot;-&quot;??_);&quot;N/A&quot;"/>
    <numFmt numFmtId="167" formatCode="_(#,##0.0_);_ \(#,##0.0\);_(&quot;$&quot;* &quot;-&quot;??_);&quot;N/A&quot;"/>
    <numFmt numFmtId="168" formatCode="m/d;@"/>
    <numFmt numFmtId="169" formatCode="#,##0_);[Red]\(#,##0\);;&quot;N/A&quot;"/>
    <numFmt numFmtId="170" formatCode="0.0"/>
    <numFmt numFmtId="171" formatCode="_(#,##0.00_);_(\(#,##0.00\);_(&quot;$&quot;* &quot;-&quot;??_);&quot;N/A&quot;"/>
    <numFmt numFmtId="172" formatCode="_(#,##0.000_);_ \(#,##0.000\);_(&quot;$&quot;* &quot;-&quot;??_);&quot;N/A&quot;"/>
  </numFmts>
  <fonts count="28" x14ac:knownFonts="1">
    <font>
      <sz val="10"/>
      <name val="Arial"/>
    </font>
    <font>
      <sz val="8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sz val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.5"/>
      <name val="Calibri"/>
      <family val="2"/>
      <scheme val="minor"/>
    </font>
    <font>
      <i/>
      <sz val="12"/>
      <color theme="3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11"/>
      <color indexed="18"/>
      <name val="Calibri"/>
      <family val="2"/>
      <scheme val="minor"/>
    </font>
    <font>
      <sz val="10"/>
      <color theme="3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3"/>
      <name val="Calibri"/>
      <family val="2"/>
      <scheme val="minor"/>
    </font>
    <font>
      <b/>
      <sz val="13"/>
      <color indexed="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name val="Calibri"/>
      <family val="2"/>
      <scheme val="minor"/>
    </font>
    <font>
      <b/>
      <sz val="13"/>
      <color indexed="16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</fills>
  <borders count="43">
    <border>
      <left/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8"/>
      </right>
      <top style="thin">
        <color indexed="64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9"/>
      </bottom>
      <diagonal/>
    </border>
    <border>
      <left style="thin">
        <color indexed="8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 style="thin">
        <color indexed="8"/>
      </right>
      <top style="thin">
        <color indexed="64"/>
      </top>
      <bottom style="thin">
        <color indexed="9"/>
      </bottom>
      <diagonal/>
    </border>
  </borders>
  <cellStyleXfs count="1">
    <xf numFmtId="0" fontId="0" fillId="0" borderId="0"/>
  </cellStyleXfs>
  <cellXfs count="27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9" borderId="1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7" fillId="0" borderId="0" xfId="0" applyFont="1" applyFill="1"/>
    <xf numFmtId="0" fontId="7" fillId="0" borderId="0" xfId="0" applyFont="1" applyFill="1" applyBorder="1"/>
    <xf numFmtId="0" fontId="8" fillId="0" borderId="0" xfId="0" applyFont="1" applyFill="1" applyBorder="1" applyAlignment="1">
      <alignment horizontal="center" wrapText="1"/>
    </xf>
    <xf numFmtId="0" fontId="9" fillId="0" borderId="0" xfId="0" applyFont="1" applyFill="1" applyBorder="1"/>
    <xf numFmtId="0" fontId="4" fillId="9" borderId="2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3" xfId="0" applyFont="1" applyFill="1" applyBorder="1" applyAlignment="1">
      <alignment horizontal="center" vertical="top" wrapText="1"/>
    </xf>
    <xf numFmtId="0" fontId="10" fillId="9" borderId="2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top" wrapText="1"/>
    </xf>
    <xf numFmtId="0" fontId="10" fillId="9" borderId="5" xfId="0" applyFont="1" applyFill="1" applyBorder="1" applyAlignment="1">
      <alignment horizontal="center" vertical="top"/>
    </xf>
    <xf numFmtId="1" fontId="4" fillId="9" borderId="1" xfId="0" applyNumberFormat="1" applyFont="1" applyFill="1" applyBorder="1" applyAlignment="1">
      <alignment horizontal="center" vertical="center"/>
    </xf>
    <xf numFmtId="1" fontId="4" fillId="9" borderId="3" xfId="0" applyNumberFormat="1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164" fontId="11" fillId="10" borderId="8" xfId="0" applyNumberFormat="1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 wrapText="1"/>
    </xf>
    <xf numFmtId="0" fontId="11" fillId="10" borderId="10" xfId="0" applyFont="1" applyFill="1" applyBorder="1" applyAlignment="1">
      <alignment horizontal="center" vertical="center" wrapText="1"/>
    </xf>
    <xf numFmtId="0" fontId="11" fillId="10" borderId="4" xfId="0" applyFont="1" applyFill="1" applyBorder="1" applyAlignment="1">
      <alignment horizontal="center" vertical="center"/>
    </xf>
    <xf numFmtId="2" fontId="11" fillId="10" borderId="4" xfId="0" applyNumberFormat="1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left" vertical="center"/>
    </xf>
    <xf numFmtId="0" fontId="12" fillId="10" borderId="5" xfId="0" applyFont="1" applyFill="1" applyBorder="1" applyAlignment="1">
      <alignment horizontal="center" vertical="center"/>
    </xf>
    <xf numFmtId="2" fontId="4" fillId="9" borderId="6" xfId="0" applyNumberFormat="1" applyFont="1" applyFill="1" applyBorder="1" applyAlignment="1">
      <alignment horizontal="left" vertical="center"/>
    </xf>
    <xf numFmtId="166" fontId="11" fillId="10" borderId="7" xfId="0" applyNumberFormat="1" applyFont="1" applyFill="1" applyBorder="1" applyAlignment="1">
      <alignment vertical="top"/>
    </xf>
    <xf numFmtId="166" fontId="11" fillId="10" borderId="8" xfId="0" applyNumberFormat="1" applyFont="1" applyFill="1" applyBorder="1" applyAlignment="1">
      <alignment vertical="top"/>
    </xf>
    <xf numFmtId="166" fontId="11" fillId="10" borderId="9" xfId="0" applyNumberFormat="1" applyFont="1" applyFill="1" applyBorder="1" applyAlignment="1">
      <alignment vertical="top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164" fontId="11" fillId="11" borderId="8" xfId="0" applyNumberFormat="1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 wrapText="1"/>
    </xf>
    <xf numFmtId="2" fontId="11" fillId="11" borderId="8" xfId="0" applyNumberFormat="1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left" vertical="center"/>
    </xf>
    <xf numFmtId="0" fontId="12" fillId="11" borderId="9" xfId="0" applyFont="1" applyFill="1" applyBorder="1" applyAlignment="1">
      <alignment horizontal="center" vertical="center"/>
    </xf>
    <xf numFmtId="166" fontId="11" fillId="11" borderId="7" xfId="0" applyNumberFormat="1" applyFont="1" applyFill="1" applyBorder="1" applyAlignment="1">
      <alignment vertical="top"/>
    </xf>
    <xf numFmtId="166" fontId="11" fillId="11" borderId="8" xfId="0" applyNumberFormat="1" applyFont="1" applyFill="1" applyBorder="1" applyAlignment="1">
      <alignment vertical="top"/>
    </xf>
    <xf numFmtId="166" fontId="11" fillId="11" borderId="9" xfId="0" applyNumberFormat="1" applyFont="1" applyFill="1" applyBorder="1" applyAlignment="1">
      <alignment vertical="top"/>
    </xf>
    <xf numFmtId="0" fontId="11" fillId="10" borderId="7" xfId="0" applyFont="1" applyFill="1" applyBorder="1" applyAlignment="1">
      <alignment horizontal="center" vertical="center" wrapText="1"/>
    </xf>
    <xf numFmtId="2" fontId="11" fillId="10" borderId="8" xfId="0" applyNumberFormat="1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left" vertical="center"/>
    </xf>
    <xf numFmtId="0" fontId="12" fillId="10" borderId="9" xfId="0" applyFont="1" applyFill="1" applyBorder="1" applyAlignment="1">
      <alignment horizontal="center" vertical="center"/>
    </xf>
    <xf numFmtId="2" fontId="4" fillId="9" borderId="11" xfId="0" applyNumberFormat="1" applyFont="1" applyFill="1" applyBorder="1" applyAlignment="1">
      <alignment horizontal="left" vertical="center"/>
    </xf>
    <xf numFmtId="166" fontId="11" fillId="10" borderId="12" xfId="0" applyNumberFormat="1" applyFont="1" applyFill="1" applyBorder="1" applyAlignment="1">
      <alignment vertical="top"/>
    </xf>
    <xf numFmtId="166" fontId="11" fillId="10" borderId="13" xfId="0" applyNumberFormat="1" applyFont="1" applyFill="1" applyBorder="1" applyAlignment="1">
      <alignment vertical="top"/>
    </xf>
    <xf numFmtId="166" fontId="11" fillId="10" borderId="14" xfId="0" applyNumberFormat="1" applyFont="1" applyFill="1" applyBorder="1" applyAlignment="1">
      <alignment vertical="top"/>
    </xf>
    <xf numFmtId="0" fontId="10" fillId="9" borderId="11" xfId="0" applyFont="1" applyFill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 wrapText="1"/>
    </xf>
    <xf numFmtId="0" fontId="11" fillId="11" borderId="13" xfId="0" applyFont="1" applyFill="1" applyBorder="1" applyAlignment="1">
      <alignment horizontal="center" vertical="center"/>
    </xf>
    <xf numFmtId="2" fontId="11" fillId="11" borderId="13" xfId="0" applyNumberFormat="1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left" vertical="center"/>
    </xf>
    <xf numFmtId="0" fontId="12" fillId="11" borderId="14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top"/>
    </xf>
    <xf numFmtId="1" fontId="4" fillId="9" borderId="1" xfId="0" applyNumberFormat="1" applyFont="1" applyFill="1" applyBorder="1" applyAlignment="1">
      <alignment horizontal="center" vertical="top"/>
    </xf>
    <xf numFmtId="0" fontId="10" fillId="9" borderId="1" xfId="0" applyFont="1" applyFill="1" applyBorder="1" applyAlignment="1">
      <alignment horizontal="center" vertical="top"/>
    </xf>
    <xf numFmtId="1" fontId="4" fillId="9" borderId="3" xfId="0" applyNumberFormat="1" applyFont="1" applyFill="1" applyBorder="1" applyAlignment="1">
      <alignment horizontal="center" vertical="top"/>
    </xf>
    <xf numFmtId="2" fontId="11" fillId="11" borderId="8" xfId="0" applyNumberFormat="1" applyFont="1" applyFill="1" applyBorder="1" applyAlignment="1">
      <alignment vertical="top"/>
    </xf>
    <xf numFmtId="2" fontId="11" fillId="10" borderId="8" xfId="0" applyNumberFormat="1" applyFont="1" applyFill="1" applyBorder="1" applyAlignment="1">
      <alignment vertical="top"/>
    </xf>
    <xf numFmtId="0" fontId="4" fillId="9" borderId="11" xfId="0" applyFont="1" applyFill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164" fontId="11" fillId="11" borderId="13" xfId="0" applyNumberFormat="1" applyFont="1" applyFill="1" applyBorder="1" applyAlignment="1">
      <alignment horizontal="center" vertical="center"/>
    </xf>
    <xf numFmtId="0" fontId="11" fillId="11" borderId="1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/>
    </xf>
    <xf numFmtId="166" fontId="11" fillId="11" borderId="12" xfId="0" applyNumberFormat="1" applyFont="1" applyFill="1" applyBorder="1" applyAlignment="1">
      <alignment vertical="top"/>
    </xf>
    <xf numFmtId="166" fontId="11" fillId="11" borderId="13" xfId="0" applyNumberFormat="1" applyFont="1" applyFill="1" applyBorder="1" applyAlignment="1">
      <alignment vertical="top"/>
    </xf>
    <xf numFmtId="2" fontId="11" fillId="11" borderId="13" xfId="0" applyNumberFormat="1" applyFont="1" applyFill="1" applyBorder="1" applyAlignment="1">
      <alignment vertical="top"/>
    </xf>
    <xf numFmtId="166" fontId="11" fillId="11" borderId="14" xfId="0" applyNumberFormat="1" applyFont="1" applyFill="1" applyBorder="1" applyAlignment="1">
      <alignment vertical="top"/>
    </xf>
    <xf numFmtId="0" fontId="4" fillId="9" borderId="6" xfId="0" applyFont="1" applyFill="1" applyBorder="1" applyAlignment="1">
      <alignment horizontal="center" vertical="top"/>
    </xf>
    <xf numFmtId="0" fontId="11" fillId="10" borderId="7" xfId="0" applyFont="1" applyFill="1" applyBorder="1" applyAlignment="1">
      <alignment vertical="top"/>
    </xf>
    <xf numFmtId="0" fontId="11" fillId="10" borderId="9" xfId="0" applyFont="1" applyFill="1" applyBorder="1" applyAlignment="1">
      <alignment vertical="top"/>
    </xf>
    <xf numFmtId="0" fontId="4" fillId="9" borderId="15" xfId="0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vertical="top"/>
    </xf>
    <xf numFmtId="0" fontId="11" fillId="11" borderId="9" xfId="0" applyFont="1" applyFill="1" applyBorder="1" applyAlignment="1">
      <alignment vertical="top"/>
    </xf>
    <xf numFmtId="0" fontId="4" fillId="9" borderId="17" xfId="0" applyFont="1" applyFill="1" applyBorder="1" applyAlignment="1">
      <alignment horizontal="center" vertical="center"/>
    </xf>
    <xf numFmtId="172" fontId="11" fillId="11" borderId="8" xfId="0" applyNumberFormat="1" applyFont="1" applyFill="1" applyBorder="1" applyAlignment="1">
      <alignment vertical="top"/>
    </xf>
    <xf numFmtId="172" fontId="11" fillId="11" borderId="9" xfId="0" applyNumberFormat="1" applyFont="1" applyFill="1" applyBorder="1" applyAlignment="1">
      <alignment vertical="top"/>
    </xf>
    <xf numFmtId="172" fontId="11" fillId="10" borderId="8" xfId="0" applyNumberFormat="1" applyFont="1" applyFill="1" applyBorder="1" applyAlignment="1">
      <alignment vertical="top"/>
    </xf>
    <xf numFmtId="172" fontId="11" fillId="10" borderId="9" xfId="0" applyNumberFormat="1" applyFont="1" applyFill="1" applyBorder="1" applyAlignment="1">
      <alignment vertical="top"/>
    </xf>
    <xf numFmtId="164" fontId="11" fillId="11" borderId="7" xfId="0" applyNumberFormat="1" applyFont="1" applyFill="1" applyBorder="1" applyAlignment="1">
      <alignment vertical="top"/>
    </xf>
    <xf numFmtId="164" fontId="11" fillId="11" borderId="9" xfId="0" applyNumberFormat="1" applyFont="1" applyFill="1" applyBorder="1" applyAlignment="1">
      <alignment vertical="top"/>
    </xf>
    <xf numFmtId="0" fontId="4" fillId="9" borderId="11" xfId="0" applyFont="1" applyFill="1" applyBorder="1" applyAlignment="1">
      <alignment horizontal="center" vertical="top"/>
    </xf>
    <xf numFmtId="0" fontId="11" fillId="10" borderId="12" xfId="0" applyFont="1" applyFill="1" applyBorder="1" applyAlignment="1">
      <alignment vertical="top"/>
    </xf>
    <xf numFmtId="0" fontId="11" fillId="10" borderId="14" xfId="0" applyFont="1" applyFill="1" applyBorder="1" applyAlignment="1">
      <alignment vertical="top"/>
    </xf>
    <xf numFmtId="0" fontId="4" fillId="9" borderId="18" xfId="0" applyFont="1" applyFill="1" applyBorder="1" applyAlignment="1">
      <alignment horizontal="center" vertical="center"/>
    </xf>
    <xf numFmtId="172" fontId="11" fillId="10" borderId="13" xfId="0" applyNumberFormat="1" applyFont="1" applyFill="1" applyBorder="1" applyAlignment="1">
      <alignment vertical="top"/>
    </xf>
    <xf numFmtId="172" fontId="11" fillId="10" borderId="14" xfId="0" applyNumberFormat="1" applyFont="1" applyFill="1" applyBorder="1" applyAlignment="1">
      <alignment vertical="top"/>
    </xf>
    <xf numFmtId="0" fontId="4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165" fontId="11" fillId="11" borderId="4" xfId="0" applyNumberFormat="1" applyFont="1" applyFill="1" applyBorder="1" applyAlignment="1">
      <alignment vertical="top"/>
    </xf>
    <xf numFmtId="165" fontId="11" fillId="11" borderId="5" xfId="0" applyNumberFormat="1" applyFont="1" applyFill="1" applyBorder="1" applyAlignment="1">
      <alignment vertical="top"/>
    </xf>
    <xf numFmtId="171" fontId="11" fillId="11" borderId="4" xfId="0" applyNumberFormat="1" applyFont="1" applyFill="1" applyBorder="1" applyAlignment="1">
      <alignment vertical="top"/>
    </xf>
    <xf numFmtId="165" fontId="11" fillId="10" borderId="8" xfId="0" applyNumberFormat="1" applyFont="1" applyFill="1" applyBorder="1" applyAlignment="1">
      <alignment vertical="top"/>
    </xf>
    <xf numFmtId="165" fontId="11" fillId="10" borderId="9" xfId="0" applyNumberFormat="1" applyFont="1" applyFill="1" applyBorder="1" applyAlignment="1">
      <alignment vertical="top"/>
    </xf>
    <xf numFmtId="171" fontId="11" fillId="10" borderId="8" xfId="0" applyNumberFormat="1" applyFont="1" applyFill="1" applyBorder="1" applyAlignment="1">
      <alignment vertical="top"/>
    </xf>
    <xf numFmtId="165" fontId="11" fillId="11" borderId="8" xfId="0" applyNumberFormat="1" applyFont="1" applyFill="1" applyBorder="1" applyAlignment="1">
      <alignment vertical="top"/>
    </xf>
    <xf numFmtId="165" fontId="11" fillId="11" borderId="9" xfId="0" applyNumberFormat="1" applyFont="1" applyFill="1" applyBorder="1" applyAlignment="1">
      <alignment vertical="top"/>
    </xf>
    <xf numFmtId="171" fontId="11" fillId="11" borderId="8" xfId="0" applyNumberFormat="1" applyFont="1" applyFill="1" applyBorder="1" applyAlignment="1">
      <alignment vertical="top"/>
    </xf>
    <xf numFmtId="171" fontId="11" fillId="10" borderId="13" xfId="0" applyNumberFormat="1" applyFont="1" applyFill="1" applyBorder="1" applyAlignment="1">
      <alignment vertical="top"/>
    </xf>
    <xf numFmtId="165" fontId="11" fillId="10" borderId="13" xfId="0" applyNumberFormat="1" applyFont="1" applyFill="1" applyBorder="1" applyAlignment="1">
      <alignment vertical="top"/>
    </xf>
    <xf numFmtId="165" fontId="11" fillId="10" borderId="14" xfId="0" applyNumberFormat="1" applyFont="1" applyFill="1" applyBorder="1" applyAlignment="1">
      <alignment vertical="top"/>
    </xf>
    <xf numFmtId="165" fontId="11" fillId="11" borderId="13" xfId="0" applyNumberFormat="1" applyFont="1" applyFill="1" applyBorder="1" applyAlignment="1">
      <alignment vertical="top"/>
    </xf>
    <xf numFmtId="165" fontId="11" fillId="11" borderId="14" xfId="0" applyNumberFormat="1" applyFont="1" applyFill="1" applyBorder="1" applyAlignment="1">
      <alignment vertical="top"/>
    </xf>
    <xf numFmtId="0" fontId="4" fillId="9" borderId="19" xfId="0" applyFont="1" applyFill="1" applyBorder="1" applyAlignment="1">
      <alignment horizontal="center" vertical="center"/>
    </xf>
    <xf numFmtId="168" fontId="11" fillId="10" borderId="4" xfId="0" applyNumberFormat="1" applyFont="1" applyFill="1" applyBorder="1" applyAlignment="1">
      <alignment vertical="top"/>
    </xf>
    <xf numFmtId="166" fontId="11" fillId="10" borderId="4" xfId="0" applyNumberFormat="1" applyFont="1" applyFill="1" applyBorder="1" applyAlignment="1">
      <alignment vertical="top"/>
    </xf>
    <xf numFmtId="166" fontId="11" fillId="10" borderId="5" xfId="0" applyNumberFormat="1" applyFont="1" applyFill="1" applyBorder="1" applyAlignment="1">
      <alignment vertical="top"/>
    </xf>
    <xf numFmtId="168" fontId="11" fillId="11" borderId="8" xfId="0" applyNumberFormat="1" applyFont="1" applyFill="1" applyBorder="1" applyAlignment="1">
      <alignment vertical="top"/>
    </xf>
    <xf numFmtId="168" fontId="11" fillId="10" borderId="8" xfId="0" applyNumberFormat="1" applyFont="1" applyFill="1" applyBorder="1" applyAlignment="1">
      <alignment vertical="top"/>
    </xf>
    <xf numFmtId="168" fontId="11" fillId="11" borderId="13" xfId="0" applyNumberFormat="1" applyFont="1" applyFill="1" applyBorder="1" applyAlignment="1">
      <alignment vertical="top"/>
    </xf>
    <xf numFmtId="0" fontId="4" fillId="9" borderId="20" xfId="0" applyFont="1" applyFill="1" applyBorder="1" applyAlignment="1">
      <alignment horizontal="center" vertical="center"/>
    </xf>
    <xf numFmtId="2" fontId="4" fillId="9" borderId="17" xfId="0" applyNumberFormat="1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vertical="top"/>
    </xf>
    <xf numFmtId="0" fontId="11" fillId="11" borderId="5" xfId="0" applyFont="1" applyFill="1" applyBorder="1" applyAlignment="1">
      <alignment vertical="top"/>
    </xf>
    <xf numFmtId="2" fontId="11" fillId="10" borderId="9" xfId="0" applyNumberFormat="1" applyFont="1" applyFill="1" applyBorder="1" applyAlignment="1">
      <alignment vertical="top"/>
    </xf>
    <xf numFmtId="0" fontId="11" fillId="11" borderId="8" xfId="0" applyFont="1" applyFill="1" applyBorder="1" applyAlignment="1">
      <alignment vertical="top"/>
    </xf>
    <xf numFmtId="2" fontId="4" fillId="9" borderId="18" xfId="0" applyNumberFormat="1" applyFont="1" applyFill="1" applyBorder="1" applyAlignment="1">
      <alignment horizontal="center" vertical="center"/>
    </xf>
    <xf numFmtId="2" fontId="11" fillId="10" borderId="13" xfId="0" applyNumberFormat="1" applyFont="1" applyFill="1" applyBorder="1" applyAlignment="1">
      <alignment vertical="top"/>
    </xf>
    <xf numFmtId="2" fontId="11" fillId="10" borderId="14" xfId="0" applyNumberFormat="1" applyFont="1" applyFill="1" applyBorder="1" applyAlignment="1">
      <alignment vertical="top"/>
    </xf>
    <xf numFmtId="169" fontId="11" fillId="10" borderId="8" xfId="0" applyNumberFormat="1" applyFont="1" applyFill="1" applyBorder="1" applyAlignment="1">
      <alignment vertical="top"/>
    </xf>
    <xf numFmtId="169" fontId="11" fillId="10" borderId="9" xfId="0" applyNumberFormat="1" applyFont="1" applyFill="1" applyBorder="1" applyAlignment="1">
      <alignment vertical="top"/>
    </xf>
    <xf numFmtId="169" fontId="11" fillId="11" borderId="8" xfId="0" applyNumberFormat="1" applyFont="1" applyFill="1" applyBorder="1" applyAlignment="1">
      <alignment vertical="top"/>
    </xf>
    <xf numFmtId="169" fontId="11" fillId="11" borderId="9" xfId="0" applyNumberFormat="1" applyFont="1" applyFill="1" applyBorder="1" applyAlignment="1">
      <alignment vertical="top"/>
    </xf>
    <xf numFmtId="169" fontId="11" fillId="11" borderId="13" xfId="0" applyNumberFormat="1" applyFont="1" applyFill="1" applyBorder="1" applyAlignment="1">
      <alignment vertical="top"/>
    </xf>
    <xf numFmtId="169" fontId="11" fillId="11" borderId="14" xfId="0" applyNumberFormat="1" applyFont="1" applyFill="1" applyBorder="1" applyAlignment="1">
      <alignment vertical="top"/>
    </xf>
    <xf numFmtId="168" fontId="11" fillId="11" borderId="4" xfId="0" applyNumberFormat="1" applyFont="1" applyFill="1" applyBorder="1" applyAlignment="1">
      <alignment vertical="top"/>
    </xf>
    <xf numFmtId="2" fontId="11" fillId="11" borderId="4" xfId="0" applyNumberFormat="1" applyFont="1" applyFill="1" applyBorder="1" applyAlignment="1">
      <alignment vertical="top"/>
    </xf>
    <xf numFmtId="2" fontId="4" fillId="9" borderId="19" xfId="0" applyNumberFormat="1" applyFont="1" applyFill="1" applyBorder="1" applyAlignment="1">
      <alignment horizontal="center" vertical="center"/>
    </xf>
    <xf numFmtId="2" fontId="11" fillId="11" borderId="5" xfId="0" applyNumberFormat="1" applyFont="1" applyFill="1" applyBorder="1" applyAlignment="1">
      <alignment vertical="top"/>
    </xf>
    <xf numFmtId="2" fontId="11" fillId="11" borderId="9" xfId="0" applyNumberFormat="1" applyFont="1" applyFill="1" applyBorder="1" applyAlignment="1">
      <alignment vertical="top"/>
    </xf>
    <xf numFmtId="168" fontId="11" fillId="10" borderId="13" xfId="0" applyNumberFormat="1" applyFont="1" applyFill="1" applyBorder="1" applyAlignment="1">
      <alignment vertical="top"/>
    </xf>
    <xf numFmtId="2" fontId="4" fillId="9" borderId="20" xfId="0" applyNumberFormat="1" applyFont="1" applyFill="1" applyBorder="1" applyAlignment="1">
      <alignment horizontal="center" vertical="center"/>
    </xf>
    <xf numFmtId="2" fontId="11" fillId="10" borderId="6" xfId="0" applyNumberFormat="1" applyFont="1" applyFill="1" applyBorder="1" applyAlignment="1">
      <alignment vertical="top"/>
    </xf>
    <xf numFmtId="2" fontId="11" fillId="11" borderId="6" xfId="0" applyNumberFormat="1" applyFont="1" applyFill="1" applyBorder="1" applyAlignment="1">
      <alignment vertical="top"/>
    </xf>
    <xf numFmtId="0" fontId="12" fillId="10" borderId="8" xfId="0" applyFont="1" applyFill="1" applyBorder="1" applyAlignment="1">
      <alignment vertical="top"/>
    </xf>
    <xf numFmtId="0" fontId="12" fillId="10" borderId="9" xfId="0" applyFont="1" applyFill="1" applyBorder="1" applyAlignment="1">
      <alignment vertical="top"/>
    </xf>
    <xf numFmtId="0" fontId="12" fillId="11" borderId="8" xfId="0" applyFont="1" applyFill="1" applyBorder="1" applyAlignment="1">
      <alignment vertical="top"/>
    </xf>
    <xf numFmtId="0" fontId="12" fillId="11" borderId="9" xfId="0" applyFont="1" applyFill="1" applyBorder="1" applyAlignment="1">
      <alignment vertical="top"/>
    </xf>
    <xf numFmtId="2" fontId="11" fillId="10" borderId="21" xfId="0" applyNumberFormat="1" applyFont="1" applyFill="1" applyBorder="1" applyAlignment="1">
      <alignment vertical="top"/>
    </xf>
    <xf numFmtId="172" fontId="11" fillId="10" borderId="22" xfId="0" applyNumberFormat="1" applyFont="1" applyFill="1" applyBorder="1" applyAlignment="1">
      <alignment vertical="top"/>
    </xf>
    <xf numFmtId="2" fontId="11" fillId="10" borderId="22" xfId="0" applyNumberFormat="1" applyFont="1" applyFill="1" applyBorder="1" applyAlignment="1">
      <alignment vertical="top"/>
    </xf>
    <xf numFmtId="0" fontId="12" fillId="10" borderId="22" xfId="0" applyFont="1" applyFill="1" applyBorder="1" applyAlignment="1">
      <alignment vertical="top"/>
    </xf>
    <xf numFmtId="0" fontId="12" fillId="10" borderId="23" xfId="0" applyFont="1" applyFill="1" applyBorder="1" applyAlignment="1">
      <alignment vertical="top"/>
    </xf>
    <xf numFmtId="2" fontId="11" fillId="10" borderId="15" xfId="0" applyNumberFormat="1" applyFont="1" applyFill="1" applyBorder="1" applyAlignment="1">
      <alignment vertical="top"/>
    </xf>
    <xf numFmtId="172" fontId="11" fillId="10" borderId="4" xfId="0" applyNumberFormat="1" applyFont="1" applyFill="1" applyBorder="1" applyAlignment="1">
      <alignment vertical="top"/>
    </xf>
    <xf numFmtId="2" fontId="11" fillId="10" borderId="4" xfId="0" applyNumberFormat="1" applyFont="1" applyFill="1" applyBorder="1" applyAlignment="1">
      <alignment vertical="top"/>
    </xf>
    <xf numFmtId="172" fontId="11" fillId="10" borderId="5" xfId="0" applyNumberFormat="1" applyFont="1" applyFill="1" applyBorder="1" applyAlignment="1">
      <alignment vertical="top"/>
    </xf>
    <xf numFmtId="2" fontId="11" fillId="11" borderId="21" xfId="0" applyNumberFormat="1" applyFont="1" applyFill="1" applyBorder="1" applyAlignment="1">
      <alignment vertical="top"/>
    </xf>
    <xf numFmtId="172" fontId="11" fillId="11" borderId="22" xfId="0" applyNumberFormat="1" applyFont="1" applyFill="1" applyBorder="1" applyAlignment="1">
      <alignment vertical="top"/>
    </xf>
    <xf numFmtId="0" fontId="12" fillId="11" borderId="22" xfId="0" applyFont="1" applyFill="1" applyBorder="1" applyAlignment="1">
      <alignment vertical="top"/>
    </xf>
    <xf numFmtId="0" fontId="12" fillId="11" borderId="23" xfId="0" applyFont="1" applyFill="1" applyBorder="1" applyAlignment="1">
      <alignment vertical="top"/>
    </xf>
    <xf numFmtId="0" fontId="12" fillId="11" borderId="6" xfId="0" applyFont="1" applyFill="1" applyBorder="1" applyAlignment="1">
      <alignment vertical="top"/>
    </xf>
    <xf numFmtId="2" fontId="11" fillId="11" borderId="15" xfId="0" applyNumberFormat="1" applyFont="1" applyFill="1" applyBorder="1" applyAlignment="1">
      <alignment vertical="top"/>
    </xf>
    <xf numFmtId="172" fontId="11" fillId="11" borderId="4" xfId="0" applyNumberFormat="1" applyFont="1" applyFill="1" applyBorder="1" applyAlignment="1">
      <alignment vertical="top"/>
    </xf>
    <xf numFmtId="172" fontId="11" fillId="11" borderId="5" xfId="0" applyNumberFormat="1" applyFont="1" applyFill="1" applyBorder="1" applyAlignment="1">
      <alignment vertical="top"/>
    </xf>
    <xf numFmtId="0" fontId="12" fillId="10" borderId="6" xfId="0" applyFont="1" applyFill="1" applyBorder="1" applyAlignment="1">
      <alignment vertical="top"/>
    </xf>
    <xf numFmtId="0" fontId="12" fillId="11" borderId="11" xfId="0" applyFont="1" applyFill="1" applyBorder="1" applyAlignment="1">
      <alignment vertical="top"/>
    </xf>
    <xf numFmtId="0" fontId="12" fillId="11" borderId="13" xfId="0" applyFont="1" applyFill="1" applyBorder="1" applyAlignment="1">
      <alignment vertical="top"/>
    </xf>
    <xf numFmtId="0" fontId="12" fillId="11" borderId="14" xfId="0" applyFont="1" applyFill="1" applyBorder="1" applyAlignment="1">
      <alignment vertical="top"/>
    </xf>
    <xf numFmtId="2" fontId="11" fillId="11" borderId="11" xfId="0" applyNumberFormat="1" applyFont="1" applyFill="1" applyBorder="1" applyAlignment="1">
      <alignment vertical="top"/>
    </xf>
    <xf numFmtId="172" fontId="11" fillId="11" borderId="13" xfId="0" applyNumberFormat="1" applyFont="1" applyFill="1" applyBorder="1" applyAlignment="1">
      <alignment vertical="top"/>
    </xf>
    <xf numFmtId="172" fontId="11" fillId="11" borderId="14" xfId="0" applyNumberFormat="1" applyFont="1" applyFill="1" applyBorder="1" applyAlignment="1">
      <alignment vertical="top"/>
    </xf>
    <xf numFmtId="0" fontId="10" fillId="9" borderId="17" xfId="0" applyFont="1" applyFill="1" applyBorder="1" applyAlignment="1">
      <alignment horizontal="center" vertical="center"/>
    </xf>
    <xf numFmtId="2" fontId="4" fillId="9" borderId="24" xfId="0" applyNumberFormat="1" applyFont="1" applyFill="1" applyBorder="1" applyAlignment="1">
      <alignment horizontal="center" vertical="center"/>
    </xf>
    <xf numFmtId="167" fontId="11" fillId="10" borderId="4" xfId="0" applyNumberFormat="1" applyFont="1" applyFill="1" applyBorder="1" applyAlignment="1">
      <alignment vertical="top"/>
    </xf>
    <xf numFmtId="167" fontId="11" fillId="10" borderId="5" xfId="0" applyNumberFormat="1" applyFont="1" applyFill="1" applyBorder="1" applyAlignment="1">
      <alignment vertical="top"/>
    </xf>
    <xf numFmtId="167" fontId="11" fillId="11" borderId="8" xfId="0" applyNumberFormat="1" applyFont="1" applyFill="1" applyBorder="1" applyAlignment="1">
      <alignment vertical="top"/>
    </xf>
    <xf numFmtId="167" fontId="11" fillId="11" borderId="9" xfId="0" applyNumberFormat="1" applyFont="1" applyFill="1" applyBorder="1" applyAlignment="1">
      <alignment vertical="top"/>
    </xf>
    <xf numFmtId="167" fontId="11" fillId="10" borderId="8" xfId="0" applyNumberFormat="1" applyFont="1" applyFill="1" applyBorder="1" applyAlignment="1">
      <alignment vertical="top"/>
    </xf>
    <xf numFmtId="167" fontId="11" fillId="10" borderId="9" xfId="0" applyNumberFormat="1" applyFont="1" applyFill="1" applyBorder="1" applyAlignment="1">
      <alignment vertical="top"/>
    </xf>
    <xf numFmtId="167" fontId="11" fillId="11" borderId="13" xfId="0" applyNumberFormat="1" applyFont="1" applyFill="1" applyBorder="1" applyAlignment="1">
      <alignment vertical="top"/>
    </xf>
    <xf numFmtId="167" fontId="11" fillId="11" borderId="14" xfId="0" applyNumberFormat="1" applyFont="1" applyFill="1" applyBorder="1" applyAlignment="1">
      <alignment vertical="top"/>
    </xf>
    <xf numFmtId="0" fontId="3" fillId="0" borderId="0" xfId="0" applyFont="1" applyFill="1" applyAlignment="1">
      <alignment vertical="center"/>
    </xf>
    <xf numFmtId="14" fontId="7" fillId="0" borderId="0" xfId="0" applyNumberFormat="1" applyFont="1" applyFill="1" applyBorder="1"/>
    <xf numFmtId="0" fontId="2" fillId="0" borderId="0" xfId="0" applyFont="1" applyFill="1" applyAlignment="1">
      <alignment vertical="center"/>
    </xf>
    <xf numFmtId="14" fontId="7" fillId="0" borderId="0" xfId="0" applyNumberFormat="1" applyFont="1" applyFill="1"/>
    <xf numFmtId="0" fontId="5" fillId="0" borderId="0" xfId="0" applyFont="1" applyFill="1"/>
    <xf numFmtId="164" fontId="7" fillId="0" borderId="0" xfId="0" applyNumberFormat="1" applyFont="1" applyFill="1" applyBorder="1" applyAlignment="1">
      <alignment horizontal="left"/>
    </xf>
    <xf numFmtId="0" fontId="14" fillId="0" borderId="0" xfId="0" applyFont="1" applyFill="1"/>
    <xf numFmtId="2" fontId="15" fillId="0" borderId="0" xfId="0" applyNumberFormat="1" applyFont="1" applyFill="1" applyBorder="1"/>
    <xf numFmtId="169" fontId="7" fillId="0" borderId="0" xfId="0" applyNumberFormat="1" applyFont="1" applyFill="1" applyBorder="1" applyAlignment="1">
      <alignment horizontal="left"/>
    </xf>
    <xf numFmtId="170" fontId="7" fillId="0" borderId="0" xfId="0" applyNumberFormat="1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center"/>
    </xf>
    <xf numFmtId="164" fontId="7" fillId="0" borderId="0" xfId="0" applyNumberFormat="1" applyFont="1" applyFill="1" applyAlignment="1">
      <alignment horizontal="center"/>
    </xf>
    <xf numFmtId="164" fontId="7" fillId="0" borderId="0" xfId="0" applyNumberFormat="1" applyFont="1" applyFill="1" applyAlignment="1">
      <alignment horizontal="right"/>
    </xf>
    <xf numFmtId="0" fontId="16" fillId="0" borderId="0" xfId="0" applyFont="1" applyFill="1"/>
    <xf numFmtId="0" fontId="14" fillId="0" borderId="0" xfId="0" applyFont="1" applyFill="1" applyAlignment="1">
      <alignment horizontal="right"/>
    </xf>
    <xf numFmtId="0" fontId="5" fillId="0" borderId="0" xfId="0" applyFont="1" applyFill="1" applyAlignment="1"/>
    <xf numFmtId="164" fontId="7" fillId="0" borderId="0" xfId="0" applyNumberFormat="1" applyFont="1" applyFill="1" applyAlignment="1">
      <alignment horizontal="left"/>
    </xf>
    <xf numFmtId="0" fontId="17" fillId="0" borderId="0" xfId="0" applyFont="1" applyFill="1"/>
    <xf numFmtId="165" fontId="7" fillId="0" borderId="0" xfId="0" applyNumberFormat="1" applyFont="1" applyFill="1" applyAlignment="1">
      <alignment horizontal="left"/>
    </xf>
    <xf numFmtId="0" fontId="18" fillId="0" borderId="0" xfId="0" applyFont="1" applyFill="1"/>
    <xf numFmtId="165" fontId="17" fillId="0" borderId="0" xfId="0" applyNumberFormat="1" applyFont="1" applyFill="1" applyAlignment="1">
      <alignment horizontal="left"/>
    </xf>
    <xf numFmtId="169" fontId="11" fillId="10" borderId="4" xfId="0" applyNumberFormat="1" applyFont="1" applyFill="1" applyBorder="1" applyAlignment="1">
      <alignment vertical="top"/>
    </xf>
    <xf numFmtId="169" fontId="11" fillId="10" borderId="5" xfId="0" applyNumberFormat="1" applyFont="1" applyFill="1" applyBorder="1" applyAlignment="1">
      <alignment vertical="top"/>
    </xf>
    <xf numFmtId="1" fontId="4" fillId="9" borderId="8" xfId="0" applyNumberFormat="1" applyFont="1" applyFill="1" applyBorder="1" applyAlignment="1">
      <alignment horizontal="center" vertical="center"/>
    </xf>
    <xf numFmtId="1" fontId="4" fillId="9" borderId="25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/>
    </xf>
    <xf numFmtId="0" fontId="20" fillId="0" borderId="0" xfId="0" applyFont="1" applyFill="1"/>
    <xf numFmtId="0" fontId="20" fillId="0" borderId="0" xfId="0" applyFont="1" applyFill="1" applyBorder="1" applyAlignment="1">
      <alignment horizontal="center" wrapText="1"/>
    </xf>
    <xf numFmtId="0" fontId="20" fillId="0" borderId="0" xfId="0" applyFont="1" applyFill="1" applyBorder="1"/>
    <xf numFmtId="0" fontId="21" fillId="9" borderId="26" xfId="0" applyFont="1" applyFill="1" applyBorder="1" applyAlignment="1">
      <alignment horizontal="center" vertical="center"/>
    </xf>
    <xf numFmtId="0" fontId="22" fillId="9" borderId="27" xfId="0" applyFont="1" applyFill="1" applyBorder="1" applyAlignment="1">
      <alignment horizontal="center" vertical="center"/>
    </xf>
    <xf numFmtId="0" fontId="22" fillId="9" borderId="28" xfId="0" applyFont="1" applyFill="1" applyBorder="1" applyAlignment="1">
      <alignment horizontal="center" vertical="center"/>
    </xf>
    <xf numFmtId="0" fontId="21" fillId="9" borderId="29" xfId="0" applyFont="1" applyFill="1" applyBorder="1" applyAlignment="1">
      <alignment horizontal="center" vertical="center"/>
    </xf>
    <xf numFmtId="164" fontId="20" fillId="0" borderId="0" xfId="0" applyNumberFormat="1" applyFont="1" applyFill="1" applyBorder="1" applyAlignment="1">
      <alignment horizontal="left"/>
    </xf>
    <xf numFmtId="0" fontId="20" fillId="0" borderId="0" xfId="0" applyFont="1"/>
    <xf numFmtId="0" fontId="21" fillId="9" borderId="30" xfId="0" applyFont="1" applyFill="1" applyBorder="1" applyAlignment="1">
      <alignment horizontal="center" vertical="center" wrapText="1"/>
    </xf>
    <xf numFmtId="0" fontId="23" fillId="0" borderId="0" xfId="0" applyFont="1" applyFill="1"/>
    <xf numFmtId="0" fontId="23" fillId="0" borderId="0" xfId="0" applyFont="1" applyFill="1" applyBorder="1"/>
    <xf numFmtId="0" fontId="22" fillId="9" borderId="30" xfId="0" applyFont="1" applyFill="1" applyBorder="1" applyAlignment="1">
      <alignment horizontal="center" vertical="center"/>
    </xf>
    <xf numFmtId="0" fontId="23" fillId="0" borderId="0" xfId="0" applyFont="1"/>
    <xf numFmtId="1" fontId="4" fillId="9" borderId="9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4" fillId="0" borderId="0" xfId="0" applyFont="1" applyFill="1"/>
    <xf numFmtId="0" fontId="22" fillId="9" borderId="33" xfId="0" applyFont="1" applyFill="1" applyBorder="1" applyAlignment="1">
      <alignment horizontal="left" vertical="center"/>
    </xf>
    <xf numFmtId="0" fontId="22" fillId="9" borderId="34" xfId="0" applyFont="1" applyFill="1" applyBorder="1" applyAlignment="1">
      <alignment horizontal="left" vertical="center"/>
    </xf>
    <xf numFmtId="0" fontId="22" fillId="9" borderId="26" xfId="0" applyFont="1" applyFill="1" applyBorder="1" applyAlignment="1">
      <alignment horizontal="center" vertical="center"/>
    </xf>
    <xf numFmtId="0" fontId="22" fillId="9" borderId="35" xfId="0" applyFont="1" applyFill="1" applyBorder="1" applyAlignment="1">
      <alignment horizontal="center" vertical="center"/>
    </xf>
    <xf numFmtId="0" fontId="22" fillId="9" borderId="28" xfId="0" applyFont="1" applyFill="1" applyBorder="1" applyAlignment="1">
      <alignment horizontal="center" vertical="center"/>
    </xf>
    <xf numFmtId="0" fontId="21" fillId="9" borderId="26" xfId="0" applyFont="1" applyFill="1" applyBorder="1" applyAlignment="1">
      <alignment horizontal="center" vertical="center"/>
    </xf>
    <xf numFmtId="0" fontId="22" fillId="9" borderId="36" xfId="0" applyFont="1" applyFill="1" applyBorder="1" applyAlignment="1">
      <alignment horizontal="center" vertical="center"/>
    </xf>
    <xf numFmtId="0" fontId="21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22" fillId="9" borderId="37" xfId="0" applyFont="1" applyFill="1" applyBorder="1" applyAlignment="1">
      <alignment horizontal="center" vertical="center"/>
    </xf>
    <xf numFmtId="0" fontId="22" fillId="9" borderId="38" xfId="0" applyFont="1" applyFill="1" applyBorder="1" applyAlignment="1">
      <alignment horizontal="center" vertical="center"/>
    </xf>
    <xf numFmtId="0" fontId="22" fillId="9" borderId="41" xfId="0" applyFont="1" applyFill="1" applyBorder="1" applyAlignment="1">
      <alignment horizontal="center" vertical="center"/>
    </xf>
    <xf numFmtId="0" fontId="25" fillId="9" borderId="35" xfId="0" applyFont="1" applyFill="1" applyBorder="1" applyAlignment="1">
      <alignment horizontal="center" vertical="center"/>
    </xf>
    <xf numFmtId="0" fontId="25" fillId="9" borderId="36" xfId="0" applyFont="1" applyFill="1" applyBorder="1" applyAlignment="1">
      <alignment horizontal="center" vertical="center"/>
    </xf>
    <xf numFmtId="0" fontId="22" fillId="9" borderId="27" xfId="0" applyFont="1" applyFill="1" applyBorder="1" applyAlignment="1">
      <alignment horizontal="center" vertical="center"/>
    </xf>
    <xf numFmtId="0" fontId="22" fillId="9" borderId="42" xfId="0" applyFont="1" applyFill="1" applyBorder="1" applyAlignment="1">
      <alignment horizontal="center" vertical="center"/>
    </xf>
    <xf numFmtId="0" fontId="22" fillId="9" borderId="39" xfId="0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0" fontId="4" fillId="9" borderId="23" xfId="0" applyFont="1" applyFill="1" applyBorder="1" applyAlignment="1">
      <alignment horizontal="center" vertical="center"/>
    </xf>
    <xf numFmtId="0" fontId="25" fillId="9" borderId="33" xfId="0" applyFont="1" applyFill="1" applyBorder="1" applyAlignment="1">
      <alignment horizontal="center" vertical="center"/>
    </xf>
    <xf numFmtId="0" fontId="25" fillId="9" borderId="34" xfId="0" applyFont="1" applyFill="1" applyBorder="1" applyAlignment="1">
      <alignment horizontal="center" vertical="center"/>
    </xf>
    <xf numFmtId="0" fontId="26" fillId="9" borderId="32" xfId="0" applyFont="1" applyFill="1" applyBorder="1" applyAlignment="1">
      <alignment horizontal="center" vertical="center"/>
    </xf>
    <xf numFmtId="0" fontId="27" fillId="9" borderId="33" xfId="0" applyFont="1" applyFill="1" applyBorder="1" applyAlignment="1">
      <alignment horizontal="center" vertical="center"/>
    </xf>
    <xf numFmtId="0" fontId="27" fillId="9" borderId="34" xfId="0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2" fontId="4" fillId="9" borderId="23" xfId="0" applyNumberFormat="1" applyFont="1" applyFill="1" applyBorder="1" applyAlignment="1">
      <alignment horizontal="center" vertical="center"/>
    </xf>
    <xf numFmtId="2" fontId="4" fillId="9" borderId="31" xfId="0" applyNumberFormat="1" applyFont="1" applyFill="1" applyBorder="1" applyAlignment="1">
      <alignment horizontal="center" vertical="center"/>
    </xf>
    <xf numFmtId="0" fontId="4" fillId="9" borderId="21" xfId="0" applyFont="1" applyFill="1" applyBorder="1" applyAlignment="1">
      <alignment horizontal="center" vertical="center"/>
    </xf>
    <xf numFmtId="2" fontId="4" fillId="9" borderId="21" xfId="0" applyNumberFormat="1" applyFont="1" applyFill="1" applyBorder="1" applyAlignment="1">
      <alignment horizontal="center" vertical="center"/>
    </xf>
    <xf numFmtId="0" fontId="7" fillId="16" borderId="0" xfId="0" applyFont="1" applyFill="1" applyBorder="1" applyAlignment="1"/>
    <xf numFmtId="0" fontId="0" fillId="0" borderId="0" xfId="0" applyAlignment="1"/>
    <xf numFmtId="0" fontId="7" fillId="17" borderId="0" xfId="0" applyFont="1" applyFill="1" applyBorder="1" applyAlignment="1"/>
    <xf numFmtId="0" fontId="7" fillId="18" borderId="0" xfId="0" applyFont="1" applyFill="1" applyBorder="1" applyAlignment="1"/>
    <xf numFmtId="0" fontId="7" fillId="17" borderId="0" xfId="0" applyFont="1" applyFill="1" applyAlignment="1"/>
    <xf numFmtId="0" fontId="7" fillId="19" borderId="0" xfId="0" applyFont="1" applyFill="1" applyBorder="1" applyAlignment="1"/>
    <xf numFmtId="0" fontId="2" fillId="0" borderId="0" xfId="0" applyFont="1" applyFill="1" applyAlignment="1">
      <alignment vertical="center"/>
    </xf>
    <xf numFmtId="0" fontId="7" fillId="20" borderId="0" xfId="0" applyFont="1" applyFill="1" applyBorder="1" applyAlignment="1"/>
    <xf numFmtId="0" fontId="7" fillId="12" borderId="0" xfId="0" applyFont="1" applyFill="1" applyBorder="1" applyAlignment="1"/>
    <xf numFmtId="0" fontId="7" fillId="13" borderId="0" xfId="0" applyFont="1" applyFill="1" applyAlignment="1"/>
    <xf numFmtId="0" fontId="7" fillId="14" borderId="0" xfId="0" applyFont="1" applyFill="1" applyBorder="1" applyAlignment="1"/>
    <xf numFmtId="0" fontId="7" fillId="15" borderId="0" xfId="0" applyFont="1" applyFill="1" applyAlignment="1"/>
    <xf numFmtId="0" fontId="24" fillId="9" borderId="3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CCCC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1.0940000000000001</v>
        <stp/>
        <stp>##V3_BDPV12</stp>
        <stp>USFR0J1A  curncy</stp>
        <stp>last price</stp>
        <stp>[XMRD US Rates Dashboard.xlsm]Rates!R140C7</stp>
        <tr r="G140" s="1"/>
      </tp>
      <tp>
        <v>1.1460999999999999</v>
        <stp/>
        <stp>##V3_BDPV12</stp>
        <stp>USFR011C  curncy</stp>
        <stp>last price</stp>
        <stp>[XMRD US Rates Dashboard.xlsm]Rates!R142C7</stp>
        <tr r="G142" s="1"/>
      </tp>
      <tp>
        <v>-0.37713999999999998</v>
        <stp/>
        <stp>##V3_BDPV12</stp>
        <stp>EE0001M index</stp>
        <stp>LAST_PRICE</stp>
        <stp>[XMRD US Rates Dashboard.xlsm]Rates!R32C8</stp>
        <tr r="H32" s="1"/>
      </tp>
      <tp>
        <v>0.52956000000000003</v>
        <stp/>
        <stp>##V3_BDPV12</stp>
        <stp>US0001M index</stp>
        <stp>LAST_PRICE</stp>
        <stp>[XMRD US Rates Dashboard.xlsm]Rates!R32C7</stp>
        <tr r="G32" s="1"/>
      </tp>
      <tp t="s">
        <v>#N/A N/A</v>
        <stp/>
        <stp>##V3_BDPV12</stp>
        <stp>USCS029  curncy</stp>
        <stp>bid</stp>
        <stp>[XMRD US Rates Dashboard.xlsm]Rates!R163C9</stp>
        <tr r="I163" s="1"/>
      </tp>
      <tp t="s">
        <v>#N/A N/A</v>
        <stp/>
        <stp>##V3_BDPV12</stp>
        <stp>USCS019  curncy</stp>
        <stp>bid</stp>
        <stp>[XMRD US Rates Dashboard.xlsm]Rates!R163C7</stp>
        <tr r="G163" s="1"/>
      </tp>
      <tp t="s">
        <v>#N/A N/A</v>
        <stp/>
        <stp>##V3_BDPV12</stp>
        <stp>USCS019  curncy</stp>
        <stp>ask</stp>
        <stp>[XMRD US Rates Dashboard.xlsm]Rates!R163C8</stp>
        <tr r="H163" s="1"/>
      </tp>
      <tp>
        <v>97.5625</v>
        <stp/>
        <stp>##V3_BDPV12</stp>
        <stp>GT10 govt</stp>
        <stp>ask</stp>
        <stp>[XMRD US Rates Dashboard.xlsm]Rates!R19C8</stp>
        <tr r="H19" s="1"/>
      </tp>
      <tp>
        <v>-7.886E-2</v>
        <stp/>
        <stp>##V3_BDPV12</stp>
        <stp>EE0012M index</stp>
        <stp>LAST_PRICE</stp>
        <stp>[XMRD US Rates Dashboard.xlsm]Rates!R43C8</stp>
        <tr r="H43" s="1"/>
      </tp>
      <tp>
        <v>-0.34656999999999999</v>
        <stp/>
        <stp>##V3_BDPV12</stp>
        <stp>EE0002M index</stp>
        <stp>LAST_PRICE</stp>
        <stp>[XMRD US Rates Dashboard.xlsm]Rates!R33C8</stp>
        <tr r="H33" s="1"/>
      </tp>
      <tp>
        <v>1.58622</v>
        <stp/>
        <stp>##V3_BDPV12</stp>
        <stp>US0012M index</stp>
        <stp>LAST_PRICE</stp>
        <stp>[XMRD US Rates Dashboard.xlsm]Rates!R43C7</stp>
        <tr r="G43" s="1"/>
      </tp>
      <tp>
        <v>0.65278000000000003</v>
        <stp/>
        <stp>##V3_BDPV12</stp>
        <stp>US0002M index</stp>
        <stp>LAST_PRICE</stp>
        <stp>[XMRD US Rates Dashboard.xlsm]Rates!R33C7</stp>
        <tr r="G33" s="1"/>
      </tp>
      <tp>
        <v>1.6839999999999999</v>
        <stp/>
        <stp>##V3_BDPV12</stp>
        <stp>ussa12 curncy</stp>
        <stp>ask</stp>
        <stp>[XMRD US Rates Dashboard.xlsm]Rates!R20C19</stp>
        <tr r="S20" s="1"/>
      </tp>
      <tp>
        <v>-7</v>
        <stp/>
        <stp>##V3_BDPV12</stp>
        <stp>ussp12 curncy</stp>
        <stp>ask</stp>
        <stp>[XMRD US Rates Dashboard.xlsm]Rates!R20C15</stp>
        <tr r="O20" s="1"/>
      </tp>
      <tp>
        <v>1.7010000000000001</v>
        <stp/>
        <stp>##V3_BDPV12</stp>
        <stp>ussw12 curncy</stp>
        <stp>ask</stp>
        <stp>[XMRD US Rates Dashboard.xlsm]Rates!R20C17</stp>
        <tr r="Q20" s="1"/>
      </tp>
      <tp>
        <v>-7.25</v>
        <stp/>
        <stp>##V3_BDPV12</stp>
        <stp>ussp12 curncy</stp>
        <stp>bid</stp>
        <stp>[XMRD US Rates Dashboard.xlsm]Rates!R20C14</stp>
        <tr r="N20" s="1"/>
      </tp>
      <tp>
        <v>1.6990000000000001</v>
        <stp/>
        <stp>##V3_BDPV12</stp>
        <stp>ussw12 curncy</stp>
        <stp>bid</stp>
        <stp>[XMRD US Rates Dashboard.xlsm]Rates!R20C16</stp>
        <tr r="P20" s="1"/>
      </tp>
      <tp>
        <v>1.6779999999999999</v>
        <stp/>
        <stp>##V3_BDPV12</stp>
        <stp>ussa12 curncy</stp>
        <stp>bid</stp>
        <stp>[XMRD US Rates Dashboard.xlsm]Rates!R20C18</stp>
        <tr r="R20" s="1"/>
      </tp>
      <tp t="s">
        <v>#N/A N/A</v>
        <stp/>
        <stp>##V3_BDPV12</stp>
        <stp>USCS028  curncy</stp>
        <stp>bid</stp>
        <stp>[XMRD US Rates Dashboard.xlsm]Rates!R162C9</stp>
        <tr r="I162" s="1"/>
      </tp>
      <tp t="s">
        <v>#N/A N/A</v>
        <stp/>
        <stp>##V3_BDPV12</stp>
        <stp>USCS018  curncy</stp>
        <stp>bid</stp>
        <stp>[XMRD US Rates Dashboard.xlsm]Rates!R162C7</stp>
        <tr r="G162" s="1"/>
      </tp>
      <tp t="s">
        <v>#N/A N/A</v>
        <stp/>
        <stp>##V3_BDPV12</stp>
        <stp>USCS018  curncy</stp>
        <stp>ask</stp>
        <stp>[XMRD US Rates Dashboard.xlsm]Rates!R162C8</stp>
        <tr r="H162" s="1"/>
      </tp>
      <tp>
        <v>1.1040000000000001</v>
        <stp/>
        <stp>##V3_BDPV12</stp>
        <stp>USFR0K1B  curncy</stp>
        <stp>last price</stp>
        <stp>[XMRD US Rates Dashboard.xlsm]Rates!R141C7</stp>
        <tr r="G141" s="1"/>
      </tp>
      <tp>
        <v>0.55059999999999998</v>
        <stp/>
        <stp>##V3_BDPV12</stp>
        <stp>USSOG  Curncy</stp>
        <stp>Bid</stp>
        <stp>[XMRD US Rates Dashboard.xlsm]Rates!R58C7</stp>
        <tr r="G58" s="1"/>
      </tp>
      <tp>
        <v>-0.38885999999999998</v>
        <stp/>
        <stp>##V3_BDPV12</stp>
        <stp>EE0001W index</stp>
        <stp>LAST_PRICE</stp>
        <stp>[XMRD US Rates Dashboard.xlsm]Rates!R30C8</stp>
        <tr r="H30" s="1"/>
      </tp>
      <tp>
        <v>0.60009956830595756</v>
        <stp/>
        <stp>##V3_BDPV12</stp>
        <stp>FVZ6 comdty</stp>
        <stp xml:space="preserve"> FUT_IMPLIED_REPO_RT</stp>
        <stp>[XMRD US Rates Dashboard.xlsm]Rates!R13C27</stp>
        <tr r="AA13" s="1"/>
      </tp>
      <tp>
        <v>0.77388161069054884</v>
        <stp/>
        <stp>##V3_BDPV12</stp>
        <stp>FVH7 comdty</stp>
        <stp xml:space="preserve"> FUT_IMPLIED_REPO_RT</stp>
        <stp>[XMRD US Rates Dashboard.xlsm]Rates!R14C27</stp>
        <tr r="AA14" s="1"/>
      </tp>
      <tp>
        <v>0.45533000000000001</v>
        <stp/>
        <stp>##V3_BDPV12</stp>
        <stp>US0001W index</stp>
        <stp>LAST_PRICE</stp>
        <stp>[XMRD US Rates Dashboard.xlsm]Rates!R30C7</stp>
        <tr r="G30" s="1"/>
      </tp>
      <tp>
        <v>0.37</v>
        <stp/>
        <stp>##V3_BDPV12</stp>
        <stp>EURON Curncy</stp>
        <stp>ask</stp>
        <stp>[XMRD US Rates Dashboard.xlsm]Rates!R88C8</stp>
        <tr r="H88" s="1"/>
      </tp>
      <tp>
        <v>0.40200000000000002</v>
        <stp/>
        <stp>##V3_BDPV12</stp>
        <stp>USSO3Z  Curncy</stp>
        <stp>Bid</stp>
        <stp>[XMRD US Rates Dashboard.xlsm]Rates!R51C7</stp>
        <tr r="G51" s="1"/>
      </tp>
      <tp t="s">
        <v>#N/A N/A</v>
        <stp/>
        <stp>##V3_BDPV12</stp>
        <stp>USCS027  curncy</stp>
        <stp>bid</stp>
        <stp>[XMRD US Rates Dashboard.xlsm]Rates!R161C9</stp>
        <tr r="I161" s="1"/>
      </tp>
      <tp t="s">
        <v>#N/A N/A</v>
        <stp/>
        <stp>##V3_BDPV12</stp>
        <stp>USCS017  curncy</stp>
        <stp>bid</stp>
        <stp>[XMRD US Rates Dashboard.xlsm]Rates!R161C7</stp>
        <tr r="G161" s="1"/>
      </tp>
      <tp t="s">
        <v>#N/A N/A</v>
        <stp/>
        <stp>##V3_BDPV12</stp>
        <stp>USCS017  curncy</stp>
        <stp>ask</stp>
        <stp>[XMRD US Rates Dashboard.xlsm]Rates!R161C8</stp>
        <tr r="H161" s="1"/>
      </tp>
      <tp>
        <v>94.75</v>
        <stp/>
        <stp>##V3_BDPV12</stp>
        <stp>GT30 govt</stp>
        <stp>bid</stp>
        <stp>[XMRD US Rates Dashboard.xlsm]Rates!R24C7</stp>
        <tr r="G24" s="1"/>
      </tp>
      <tp>
        <v>98.584999999999994</v>
        <stp/>
        <stp>##V3_BDPV12</stp>
        <stp>EDM9 comdty</stp>
        <stp>bid</stp>
        <stp>[XMRD US Rates Dashboard.xlsm]Rates!R82C8</stp>
        <tr r="H82" s="1"/>
      </tp>
      <tp>
        <v>98.795000000000002</v>
        <stp/>
        <stp>##V3_BDPV12</stp>
        <stp>EDH8 comdty</stp>
        <stp>bid</stp>
        <stp>[XMRD US Rates Dashboard.xlsm]Rates!R77C8</stp>
        <tr r="H77" s="1"/>
      </tp>
      <tp>
        <v>1.5974999999999999</v>
        <stp/>
        <stp>##V3_BDPV12</stp>
        <stp>ussa10 curncy</stp>
        <stp>ask</stp>
        <stp>[XMRD US Rates Dashboard.xlsm]Rates!R19C19</stp>
        <tr r="S19" s="1"/>
      </tp>
      <tp>
        <v>1.8680000000000001</v>
        <stp/>
        <stp>##V3_BDPV12</stp>
        <stp>ussa20 curncy</stp>
        <stp>ask</stp>
        <stp>[XMRD US Rates Dashboard.xlsm]Rates!R22C19</stp>
        <tr r="S22" s="1"/>
      </tp>
      <tp>
        <v>1.9330000000000001</v>
        <stp/>
        <stp>##V3_BDPV12</stp>
        <stp>ussa30 curncy</stp>
        <stp>ask</stp>
        <stp>[XMRD US Rates Dashboard.xlsm]Rates!R24C19</stp>
        <tr r="S24" s="1"/>
      </tp>
      <tp>
        <v>-15.45</v>
        <stp/>
        <stp>##V3_BDPV12</stp>
        <stp>ussp10 curncy</stp>
        <stp>ask</stp>
        <stp>[XMRD US Rates Dashboard.xlsm]Rates!R19C15</stp>
        <tr r="O19" s="1"/>
      </tp>
      <tp>
        <v>-24.77</v>
        <stp/>
        <stp>##V3_BDPV12</stp>
        <stp>ussp20 curncy</stp>
        <stp>ask</stp>
        <stp>[XMRD US Rates Dashboard.xlsm]Rates!R22C15</stp>
        <tr r="O22" s="1"/>
      </tp>
      <tp>
        <v>-54.63</v>
        <stp/>
        <stp>##V3_BDPV12</stp>
        <stp>ussp30 curncy</stp>
        <stp>ask</stp>
        <stp>[XMRD US Rates Dashboard.xlsm]Rates!R24C15</stp>
        <tr r="O24" s="1"/>
      </tp>
      <tp>
        <v>1.6154999999999999</v>
        <stp/>
        <stp>##V3_BDPV12</stp>
        <stp>ussw10 curncy</stp>
        <stp>ask</stp>
        <stp>[XMRD US Rates Dashboard.xlsm]Rates!R19C17</stp>
        <tr r="Q19" s="1"/>
      </tp>
      <tp>
        <v>1.8875</v>
        <stp/>
        <stp>##V3_BDPV12</stp>
        <stp>ussw20 curncy</stp>
        <stp>ask</stp>
        <stp>[XMRD US Rates Dashboard.xlsm]Rates!R22C17</stp>
        <tr r="Q22" s="1"/>
      </tp>
      <tp>
        <v>1.9503999999999999</v>
        <stp/>
        <stp>##V3_BDPV12</stp>
        <stp>ussw30 curncy</stp>
        <stp>ask</stp>
        <stp>[XMRD US Rates Dashboard.xlsm]Rates!R24C17</stp>
        <tr r="Q24" s="1"/>
      </tp>
      <tp>
        <v>-55</v>
        <stp/>
        <stp>##V3_BDPV12</stp>
        <stp>ussp30 curncy</stp>
        <stp>bid</stp>
        <stp>[XMRD US Rates Dashboard.xlsm]Rates!R24C14</stp>
        <tr r="N24" s="1"/>
      </tp>
      <tp>
        <v>-25.31</v>
        <stp/>
        <stp>##V3_BDPV12</stp>
        <stp>ussp20 curncy</stp>
        <stp>bid</stp>
        <stp>[XMRD US Rates Dashboard.xlsm]Rates!R22C14</stp>
        <tr r="N22" s="1"/>
      </tp>
      <tp>
        <v>-16</v>
        <stp/>
        <stp>##V3_BDPV12</stp>
        <stp>ussp10 curncy</stp>
        <stp>bid</stp>
        <stp>[XMRD US Rates Dashboard.xlsm]Rates!R19C14</stp>
        <tr r="N19" s="1"/>
      </tp>
      <tp>
        <v>1.9490000000000001</v>
        <stp/>
        <stp>##V3_BDPV12</stp>
        <stp>ussw30 curncy</stp>
        <stp>bid</stp>
        <stp>[XMRD US Rates Dashboard.xlsm]Rates!R24C16</stp>
        <tr r="P24" s="1"/>
      </tp>
      <tp>
        <v>1.8855</v>
        <stp/>
        <stp>##V3_BDPV12</stp>
        <stp>ussw20 curncy</stp>
        <stp>bid</stp>
        <stp>[XMRD US Rates Dashboard.xlsm]Rates!R22C16</stp>
        <tr r="P22" s="1"/>
      </tp>
      <tp>
        <v>1.6134999999999999</v>
        <stp/>
        <stp>##V3_BDPV12</stp>
        <stp>ussw10 curncy</stp>
        <stp>bid</stp>
        <stp>[XMRD US Rates Dashboard.xlsm]Rates!R19C16</stp>
        <tr r="P19" s="1"/>
      </tp>
      <tp>
        <v>1.929</v>
        <stp/>
        <stp>##V3_BDPV12</stp>
        <stp>ussa30 curncy</stp>
        <stp>bid</stp>
        <stp>[XMRD US Rates Dashboard.xlsm]Rates!R24C18</stp>
        <tr r="R24" s="1"/>
      </tp>
      <tp>
        <v>1.863</v>
        <stp/>
        <stp>##V3_BDPV12</stp>
        <stp>ussa20 curncy</stp>
        <stp>bid</stp>
        <stp>[XMRD US Rates Dashboard.xlsm]Rates!R22C18</stp>
        <tr r="R22" s="1"/>
      </tp>
      <tp>
        <v>1.5954999999999999</v>
        <stp/>
        <stp>##V3_BDPV12</stp>
        <stp>ussa10 curncy</stp>
        <stp>bid</stp>
        <stp>[XMRD US Rates Dashboard.xlsm]Rates!R19C18</stp>
        <tr r="R19" s="1"/>
      </tp>
      <tp>
        <v>0.39600000000000002</v>
        <stp/>
        <stp>##V3_BDPV12</stp>
        <stp>USSO2Z  Curncy</stp>
        <stp>Bid</stp>
        <stp>[XMRD US Rates Dashboard.xlsm]Rates!R50C7</stp>
        <tr r="G50" s="1"/>
      </tp>
      <tp t="s">
        <v>#N/A N/A</v>
        <stp/>
        <stp>##V3_BDPV12</stp>
        <stp>USCS026  curncy</stp>
        <stp>bid</stp>
        <stp>[XMRD US Rates Dashboard.xlsm]Rates!R160C9</stp>
        <tr r="I160" s="1"/>
      </tp>
      <tp t="s">
        <v>#N/A N/A</v>
        <stp/>
        <stp>##V3_BDPV12</stp>
        <stp>USCS016  curncy</stp>
        <stp>bid</stp>
        <stp>[XMRD US Rates Dashboard.xlsm]Rates!R160C7</stp>
        <tr r="G160" s="1"/>
      </tp>
      <tp t="s">
        <v>#N/A N/A</v>
        <stp/>
        <stp>##V3_BDPV12</stp>
        <stp>USCS016  curncy</stp>
        <stp>ask</stp>
        <stp>[XMRD US Rates Dashboard.xlsm]Rates!R160C8</stp>
        <tr r="H160" s="1"/>
      </tp>
      <tp t="s">
        <v>#N/A N/A</v>
        <stp/>
        <stp>##V3_BDPV12</stp>
        <stp>USFR1A1G  curncy</stp>
        <stp>last price</stp>
        <stp>[XMRD US Rates Dashboard.xlsm]Rates!R142C9</stp>
        <tr r="I142" s="1"/>
      </tp>
      <tp>
        <v>0.57840000000000003</v>
        <stp/>
        <stp>##V3_BDPV12</stp>
        <stp>USSOI  Curncy</stp>
        <stp>Bid</stp>
        <stp>[XMRD US Rates Dashboard.xlsm]Rates!R60C7</stp>
        <tr r="G60" s="1"/>
      </tp>
      <tp>
        <v>0.60329999999999995</v>
        <stp/>
        <stp>##V3_BDPV12</stp>
        <stp>USSOK  Curncy</stp>
        <stp>Bid</stp>
        <stp>[XMRD US Rates Dashboard.xlsm]Rates!R62C7</stp>
        <tr r="G62" s="1"/>
      </tp>
      <tp>
        <v>31.68</v>
        <stp/>
        <stp>##V3_BDPV12</stp>
        <stp>USSV252  curncy</stp>
        <stp>PX LAST</stp>
        <stp>[XMRD US Rates Dashboard.xlsm]Rates!R114C17</stp>
        <tr r="Q114" s="1"/>
      </tp>
      <tp>
        <v>32.659999999999997</v>
        <stp/>
        <stp>##V3_BDPV12</stp>
        <stp>USSV251  curncy</stp>
        <stp>PX LAST</stp>
        <stp>[XMRD US Rates Dashboard.xlsm]Rates!R114C16</stp>
        <tr r="P114" s="1"/>
      </tp>
      <tp>
        <v>985.94</v>
        <stp/>
        <stp>##V3_BDPV12</stp>
        <stp>USSP257  curncy</stp>
        <stp>PX LAST</stp>
        <stp>[XMRD US Rates Dashboard.xlsm]Rates!R114C10</stp>
        <tr r="J114" s="1"/>
      </tp>
      <tp>
        <v>29.72</v>
        <stp/>
        <stp>##V3_BDPV12</stp>
        <stp>USSV255  curncy</stp>
        <stp>PX LAST</stp>
        <stp>[XMRD US Rates Dashboard.xlsm]Rates!R114C18</stp>
        <tr r="R114" s="1"/>
      </tp>
      <tp>
        <v>30.55</v>
        <stp/>
        <stp>##V3_BDPV12</stp>
        <stp>USSV257  curncy</stp>
        <stp>PX LAST</stp>
        <stp>[XMRD US Rates Dashboard.xlsm]Rates!R114C19</stp>
        <tr r="S114" s="1"/>
      </tp>
      <tp>
        <v>32.99</v>
        <stp/>
        <stp>##V3_BDPV12</stp>
        <stp>USSV202  curncy</stp>
        <stp>PX LAST</stp>
        <stp>[XMRD US Rates Dashboard.xlsm]Rates!R113C17</stp>
        <tr r="Q113" s="1"/>
      </tp>
      <tp>
        <v>1019.64</v>
        <stp/>
        <stp>##V3_BDPV12</stp>
        <stp>USSP207  curncy</stp>
        <stp>PX LAST</stp>
        <stp>[XMRD US Rates Dashboard.xlsm]Rates!R113C10</stp>
        <tr r="J113" s="1"/>
      </tp>
      <tp>
        <v>34.159999999999997</v>
        <stp/>
        <stp>##V3_BDPV12</stp>
        <stp>USSV201  curncy</stp>
        <stp>PX LAST</stp>
        <stp>[XMRD US Rates Dashboard.xlsm]Rates!R113C16</stp>
        <tr r="P113" s="1"/>
      </tp>
      <tp>
        <v>30.21</v>
        <stp/>
        <stp>##V3_BDPV12</stp>
        <stp>USSV205  curncy</stp>
        <stp>PX LAST</stp>
        <stp>[XMRD US Rates Dashboard.xlsm]Rates!R113C18</stp>
        <tr r="R113" s="1"/>
      </tp>
      <tp>
        <v>30.55</v>
        <stp/>
        <stp>##V3_BDPV12</stp>
        <stp>USSV207  curncy</stp>
        <stp>PX LAST</stp>
        <stp>[XMRD US Rates Dashboard.xlsm]Rates!R113C19</stp>
        <tr r="S113" s="1"/>
      </tp>
      <tp t="s">
        <v>#N/A N/A</v>
        <stp/>
        <stp>##V3_BDPV12</stp>
        <stp>USCS023  curncy</stp>
        <stp>bid</stp>
        <stp>[XMRD US Rates Dashboard.xlsm]Rates!R157C9</stp>
        <tr r="I157" s="1"/>
      </tp>
      <tp t="s">
        <v>#N/A N/A</v>
        <stp/>
        <stp>##V3_BDPV12</stp>
        <stp>USCS013  curncy</stp>
        <stp>bid</stp>
        <stp>[XMRD US Rates Dashboard.xlsm]Rates!R157C7</stp>
        <tr r="G157" s="1"/>
      </tp>
      <tp t="s">
        <v>#N/A N/A</v>
        <stp/>
        <stp>##V3_BDPV12</stp>
        <stp>USCS013  curncy</stp>
        <stp>ask</stp>
        <stp>[XMRD US Rates Dashboard.xlsm]Rates!R157C8</stp>
        <tr r="H157" s="1"/>
      </tp>
      <tp>
        <v>1.429</v>
        <stp/>
        <stp>##V3_BDPV12</stp>
        <stp>USFR0J1D  curncy</stp>
        <stp>last price</stp>
        <stp>[XMRD US Rates Dashboard.xlsm]Rates!R140C9</stp>
        <tr r="I140" s="1"/>
      </tp>
      <tp>
        <v>98.625</v>
        <stp/>
        <stp>##V3_BDPV12</stp>
        <stp>EDH9 comdty</stp>
        <stp>bid</stp>
        <stp>[XMRD US Rates Dashboard.xlsm]Rates!R81C8</stp>
        <tr r="H81" s="1"/>
      </tp>
      <tp>
        <v>98.93</v>
        <stp/>
        <stp>##V3_BDPV12</stp>
        <stp>EDM7 comdty</stp>
        <stp>bid</stp>
        <stp>[XMRD US Rates Dashboard.xlsm]Rates!R74C8</stp>
        <tr r="H74" s="1"/>
      </tp>
      <tp>
        <v>33.4</v>
        <stp/>
        <stp>##V3_BDPV12</stp>
        <stp>USSV302  curncy</stp>
        <stp>PX LAST</stp>
        <stp>[XMRD US Rates Dashboard.xlsm]Rates!R115C17</stp>
        <tr r="Q115" s="1"/>
      </tp>
      <tp>
        <v>34.26</v>
        <stp/>
        <stp>##V3_BDPV12</stp>
        <stp>USSV301  curncy</stp>
        <stp>PX LAST</stp>
        <stp>[XMRD US Rates Dashboard.xlsm]Rates!R115C16</stp>
        <tr r="P115" s="1"/>
      </tp>
      <tp>
        <v>947.43</v>
        <stp/>
        <stp>##V3_BDPV12</stp>
        <stp>USSP307  curncy</stp>
        <stp>PX LAST</stp>
        <stp>[XMRD US Rates Dashboard.xlsm]Rates!R115C10</stp>
        <tr r="J115" s="1"/>
      </tp>
      <tp>
        <v>32.119999999999997</v>
        <stp/>
        <stp>##V3_BDPV12</stp>
        <stp>USSV305  curncy</stp>
        <stp>PX LAST</stp>
        <stp>[XMRD US Rates Dashboard.xlsm]Rates!R115C18</stp>
        <tr r="R115" s="1"/>
      </tp>
      <tp>
        <v>31.14</v>
        <stp/>
        <stp>##V3_BDPV12</stp>
        <stp>USSV307  curncy</stp>
        <stp>PX LAST</stp>
        <stp>[XMRD US Rates Dashboard.xlsm]Rates!R115C19</stp>
        <tr r="S115" s="1"/>
      </tp>
      <tp>
        <v>-0.21171000000000001</v>
        <stp/>
        <stp>##V3_BDPV12</stp>
        <stp>EE0006M index</stp>
        <stp>LAST_PRICE</stp>
        <stp>[XMRD US Rates Dashboard.xlsm]Rates!R37C8</stp>
        <tr r="H37" s="1"/>
      </tp>
      <tp>
        <v>1.26033</v>
        <stp/>
        <stp>##V3_BDPV12</stp>
        <stp>US0006M index</stp>
        <stp>LAST_PRICE</stp>
        <stp>[XMRD US Rates Dashboard.xlsm]Rates!R37C7</stp>
        <tr r="G37" s="1"/>
      </tp>
      <tp>
        <v>0.43</v>
        <stp/>
        <stp>##V3_BDPV12</stp>
        <stp>USSO1Z  Curncy</stp>
        <stp>ask</stp>
        <stp>[XMRD US Rates Dashboard.xlsm]Rates!R49C8</stp>
        <tr r="H49" s="1"/>
      </tp>
      <tp t="s">
        <v>#N/A N/A</v>
        <stp/>
        <stp>##V3_BDPV12</stp>
        <stp>USCS022  curncy</stp>
        <stp>bid</stp>
        <stp>[XMRD US Rates Dashboard.xlsm]Rates!R156C9</stp>
        <tr r="I156" s="1"/>
      </tp>
      <tp t="s">
        <v>#N/A N/A</v>
        <stp/>
        <stp>##V3_BDPV12</stp>
        <stp>USCS012  curncy</stp>
        <stp>bid</stp>
        <stp>[XMRD US Rates Dashboard.xlsm]Rates!R156C7</stp>
        <tr r="G156" s="1"/>
      </tp>
      <tp t="s">
        <v>#N/A N/A</v>
        <stp/>
        <stp>##V3_BDPV12</stp>
        <stp>USCS012  curncy</stp>
        <stp>ask</stp>
        <stp>[XMRD US Rates Dashboard.xlsm]Rates!R156C8</stp>
        <tr r="H156" s="1"/>
      </tp>
      <tp>
        <v>0.59240000000000004</v>
        <stp/>
        <stp>##V3_BDPV12</stp>
        <stp>USSOJ  Curncy</stp>
        <stp>Bid</stp>
        <stp>[XMRD US Rates Dashboard.xlsm]Rates!R61C7</stp>
        <tr r="G61" s="1"/>
      </tp>
      <tp>
        <v>47.7</v>
        <stp/>
        <stp>##V3_BDPV12</stp>
        <stp>USSV072  curncy</stp>
        <stp>PX LAST</stp>
        <stp>[XMRD US Rates Dashboard.xlsm]Rates!R110C17</stp>
        <tr r="Q110" s="1"/>
      </tp>
      <tp>
        <v>1075.8800000000001</v>
        <stp/>
        <stp>##V3_BDPV12</stp>
        <stp>USSP077  curncy</stp>
        <stp>PX LAST</stp>
        <stp>[XMRD US Rates Dashboard.xlsm]Rates!R110C10</stp>
        <tr r="J110" s="1"/>
      </tp>
      <tp>
        <v>49.35</v>
        <stp/>
        <stp>##V3_BDPV12</stp>
        <stp>USSV071  curncy</stp>
        <stp>PX LAST</stp>
        <stp>[XMRD US Rates Dashboard.xlsm]Rates!R110C16</stp>
        <tr r="P110" s="1"/>
      </tp>
      <tp>
        <v>43.84</v>
        <stp/>
        <stp>##V3_BDPV12</stp>
        <stp>USSV075  curncy</stp>
        <stp>PX LAST</stp>
        <stp>[XMRD US Rates Dashboard.xlsm]Rates!R110C18</stp>
        <tr r="R110" s="1"/>
      </tp>
      <tp>
        <v>42.32</v>
        <stp/>
        <stp>##V3_BDPV12</stp>
        <stp>USSV077  curncy</stp>
        <stp>PX LAST</stp>
        <stp>[XMRD US Rates Dashboard.xlsm]Rates!R110C19</stp>
        <tr r="S110" s="1"/>
      </tp>
      <tp>
        <v>53.21</v>
        <stp/>
        <stp>##V3_BDPV12</stp>
        <stp>USSV052  curncy</stp>
        <stp>PX LAST</stp>
        <stp>[XMRD US Rates Dashboard.xlsm]Rates!R109C17</stp>
        <tr r="Q109" s="1"/>
      </tp>
      <tp>
        <v>969.09</v>
        <stp/>
        <stp>##V3_BDPV12</stp>
        <stp>USSP057  curncy</stp>
        <stp>PX LAST</stp>
        <stp>[XMRD US Rates Dashboard.xlsm]Rates!R109C10</stp>
        <tr r="J109" s="1"/>
      </tp>
      <tp>
        <v>66.349999999999994</v>
        <stp/>
        <stp>##V3_BDPV12</stp>
        <stp>USSV051  curncy</stp>
        <stp>PX LAST</stp>
        <stp>[XMRD US Rates Dashboard.xlsm]Rates!R109C16</stp>
        <tr r="P109" s="1"/>
      </tp>
      <tp>
        <v>47.99</v>
        <stp/>
        <stp>##V3_BDPV12</stp>
        <stp>USSV055  curncy</stp>
        <stp>PX LAST</stp>
        <stp>[XMRD US Rates Dashboard.xlsm]Rates!R109C18</stp>
        <tr r="R109" s="1"/>
      </tp>
      <tp>
        <v>45.61</v>
        <stp/>
        <stp>##V3_BDPV12</stp>
        <stp>USSV057  curncy</stp>
        <stp>PX LAST</stp>
        <stp>[XMRD US Rates Dashboard.xlsm]Rates!R109C19</stp>
        <tr r="S109" s="1"/>
      </tp>
      <tp>
        <v>55.12</v>
        <stp/>
        <stp>##V3_BDPV12</stp>
        <stp>USSV042  curncy</stp>
        <stp>PX LAST</stp>
        <stp>[XMRD US Rates Dashboard.xlsm]Rates!R108C17</stp>
        <tr r="Q108" s="1"/>
      </tp>
      <tp>
        <v>872.49</v>
        <stp/>
        <stp>##V3_BDPV12</stp>
        <stp>USSP047  curncy</stp>
        <stp>PX LAST</stp>
        <stp>[XMRD US Rates Dashboard.xlsm]Rates!R108C10</stp>
        <tr r="J108" s="1"/>
      </tp>
      <tp>
        <v>58.06</v>
        <stp/>
        <stp>##V3_BDPV12</stp>
        <stp>USSV041  curncy</stp>
        <stp>PX LAST</stp>
        <stp>[XMRD US Rates Dashboard.xlsm]Rates!R108C16</stp>
        <tr r="P108" s="1"/>
      </tp>
      <tp>
        <v>49.19</v>
        <stp/>
        <stp>##V3_BDPV12</stp>
        <stp>USSV045  curncy</stp>
        <stp>PX LAST</stp>
        <stp>[XMRD US Rates Dashboard.xlsm]Rates!R108C18</stp>
        <tr r="R108" s="1"/>
      </tp>
      <tp>
        <v>46.91</v>
        <stp/>
        <stp>##V3_BDPV12</stp>
        <stp>USSV047  curncy</stp>
        <stp>PX LAST</stp>
        <stp>[XMRD US Rates Dashboard.xlsm]Rates!R108C19</stp>
        <tr r="S108" s="1"/>
      </tp>
      <tp>
        <v>56.43</v>
        <stp/>
        <stp>##V3_BDPV12</stp>
        <stp>USSV032  curncy</stp>
        <stp>PX LAST</stp>
        <stp>[XMRD US Rates Dashboard.xlsm]Rates!R107C17</stp>
        <tr r="Q107" s="1"/>
      </tp>
      <tp>
        <v>59.39</v>
        <stp/>
        <stp>##V3_BDPV12</stp>
        <stp>USSV031  curncy</stp>
        <stp>PX LAST</stp>
        <stp>[XMRD US Rates Dashboard.xlsm]Rates!R107C16</stp>
        <tr r="P107" s="1"/>
      </tp>
      <tp>
        <v>751.18</v>
        <stp/>
        <stp>##V3_BDPV12</stp>
        <stp>USSP037  curncy</stp>
        <stp>PX LAST</stp>
        <stp>[XMRD US Rates Dashboard.xlsm]Rates!R107C10</stp>
        <tr r="J107" s="1"/>
      </tp>
      <tp>
        <v>49.95</v>
        <stp/>
        <stp>##V3_BDPV12</stp>
        <stp>USSV035  curncy</stp>
        <stp>PX LAST</stp>
        <stp>[XMRD US Rates Dashboard.xlsm]Rates!R107C18</stp>
        <tr r="R107" s="1"/>
      </tp>
      <tp>
        <v>47.97</v>
        <stp/>
        <stp>##V3_BDPV12</stp>
        <stp>USSV037  curncy</stp>
        <stp>PX LAST</stp>
        <stp>[XMRD US Rates Dashboard.xlsm]Rates!R107C19</stp>
        <tr r="S107" s="1"/>
      </tp>
      <tp>
        <v>58.88</v>
        <stp/>
        <stp>##V3_BDPV12</stp>
        <stp>USSV022  curncy</stp>
        <stp>PX LAST</stp>
        <stp>[XMRD US Rates Dashboard.xlsm]Rates!R106C17</stp>
        <tr r="Q106" s="1"/>
      </tp>
      <tp>
        <v>55.84</v>
        <stp/>
        <stp>##V3_BDPV12</stp>
        <stp>USSV021  curncy</stp>
        <stp>PX LAST</stp>
        <stp>[XMRD US Rates Dashboard.xlsm]Rates!R106C16</stp>
        <tr r="P106" s="1"/>
      </tp>
      <tp>
        <v>590.85</v>
        <stp/>
        <stp>##V3_BDPV12</stp>
        <stp>USSP027  curncy</stp>
        <stp>PX LAST</stp>
        <stp>[XMRD US Rates Dashboard.xlsm]Rates!R106C10</stp>
        <tr r="J106" s="1"/>
      </tp>
      <tp>
        <v>54.95</v>
        <stp/>
        <stp>##V3_BDPV12</stp>
        <stp>USSV025  curncy</stp>
        <stp>PX LAST</stp>
        <stp>[XMRD US Rates Dashboard.xlsm]Rates!R106C18</stp>
        <tr r="R106" s="1"/>
      </tp>
      <tp>
        <v>48.04</v>
        <stp/>
        <stp>##V3_BDPV12</stp>
        <stp>USSV027  curncy</stp>
        <stp>PX LAST</stp>
        <stp>[XMRD US Rates Dashboard.xlsm]Rates!R106C19</stp>
        <tr r="S106" s="1"/>
      </tp>
      <tp>
        <v>47.94</v>
        <stp/>
        <stp>##V3_BDPV12</stp>
        <stp>USSV012  curncy</stp>
        <stp>PX LAST</stp>
        <stp>[XMRD US Rates Dashboard.xlsm]Rates!R105C17</stp>
        <tr r="Q105" s="1"/>
      </tp>
      <tp>
        <v>46.9</v>
        <stp/>
        <stp>##V3_BDPV12</stp>
        <stp>USSV011  curncy</stp>
        <stp>PX LAST</stp>
        <stp>[XMRD US Rates Dashboard.xlsm]Rates!R105C16</stp>
        <tr r="P105" s="1"/>
      </tp>
      <tp>
        <v>441.32</v>
        <stp/>
        <stp>##V3_BDPV12</stp>
        <stp>USSP017  curncy</stp>
        <stp>PX LAST</stp>
        <stp>[XMRD US Rates Dashboard.xlsm]Rates!R105C10</stp>
        <tr r="J105" s="1"/>
      </tp>
      <tp>
        <v>55.49</v>
        <stp/>
        <stp>##V3_BDPV12</stp>
        <stp>USSV015  curncy</stp>
        <stp>PX LAST</stp>
        <stp>[XMRD US Rates Dashboard.xlsm]Rates!R105C18</stp>
        <tr r="R105" s="1"/>
      </tp>
      <tp>
        <v>53.52</v>
        <stp/>
        <stp>##V3_BDPV12</stp>
        <stp>USSV017  curncy</stp>
        <stp>PX LAST</stp>
        <stp>[XMRD US Rates Dashboard.xlsm]Rates!R105C19</stp>
        <tr r="S105" s="1"/>
      </tp>
      <tp>
        <v>-0.32171</v>
        <stp/>
        <stp>##V3_BDPV12</stp>
        <stp>EE0003M index</stp>
        <stp>LAST_PRICE</stp>
        <stp>[XMRD US Rates Dashboard.xlsm]Rates!R34C8</stp>
        <tr r="H34" s="1"/>
      </tp>
      <tp>
        <v>48.6</v>
        <stp/>
        <stp>##V3_BDPV12</stp>
        <stp>USSV0F2  curncy</stp>
        <stp>PX LAST</stp>
        <stp>[XMRD US Rates Dashboard.xlsm]Rates!R104C17</stp>
        <tr r="Q104" s="1"/>
      </tp>
      <tp>
        <v>39.42</v>
        <stp/>
        <stp>##V3_BDPV12</stp>
        <stp>USSV0F1  curncy</stp>
        <stp>PX LAST</stp>
        <stp>[XMRD US Rates Dashboard.xlsm]Rates!R104C16</stp>
        <tr r="P104" s="1"/>
      </tp>
      <tp>
        <v>308.85000000000002</v>
        <stp/>
        <stp>##V3_BDPV12</stp>
        <stp>USSP0F7  curncy</stp>
        <stp>PX LAST</stp>
        <stp>[XMRD US Rates Dashboard.xlsm]Rates!R104C10</stp>
        <tr r="J104" s="1"/>
      </tp>
      <tp>
        <v>55.74</v>
        <stp/>
        <stp>##V3_BDPV12</stp>
        <stp>USSV0F5  curncy</stp>
        <stp>PX LAST</stp>
        <stp>[XMRD US Rates Dashboard.xlsm]Rates!R104C18</stp>
        <tr r="R104" s="1"/>
      </tp>
      <tp>
        <v>54.54</v>
        <stp/>
        <stp>##V3_BDPV12</stp>
        <stp>USSV0F7  curncy</stp>
        <stp>PX LAST</stp>
        <stp>[XMRD US Rates Dashboard.xlsm]Rates!R104C19</stp>
        <tr r="S104" s="1"/>
      </tp>
      <tp>
        <v>47.95</v>
        <stp/>
        <stp>##V3_BDPV12</stp>
        <stp>USSV0C2  curncy</stp>
        <stp>PX LAST</stp>
        <stp>[XMRD US Rates Dashboard.xlsm]Rates!R103C17</stp>
        <tr r="Q103" s="1"/>
      </tp>
      <tp>
        <v>200.9</v>
        <stp/>
        <stp>##V3_BDPV12</stp>
        <stp>USSP0C7  curncy</stp>
        <stp>PX LAST</stp>
        <stp>[XMRD US Rates Dashboard.xlsm]Rates!R103C10</stp>
        <tr r="J103" s="1"/>
      </tp>
      <tp>
        <v>40.590000000000003</v>
        <stp/>
        <stp>##V3_BDPV12</stp>
        <stp>USSV0C1  curncy</stp>
        <stp>PX LAST</stp>
        <stp>[XMRD US Rates Dashboard.xlsm]Rates!R103C16</stp>
        <tr r="P103" s="1"/>
      </tp>
      <tp>
        <v>49.94</v>
        <stp/>
        <stp>##V3_BDPV12</stp>
        <stp>USSV0C5  curncy</stp>
        <stp>PX LAST</stp>
        <stp>[XMRD US Rates Dashboard.xlsm]Rates!R103C18</stp>
        <tr r="R103" s="1"/>
      </tp>
      <tp>
        <v>50.74</v>
        <stp/>
        <stp>##V3_BDPV12</stp>
        <stp>USSV0C7  curncy</stp>
        <stp>PX LAST</stp>
        <stp>[XMRD US Rates Dashboard.xlsm]Rates!R103C19</stp>
        <tr r="S103" s="1"/>
      </tp>
      <tp>
        <v>38.03</v>
        <stp/>
        <stp>##V3_BDPV12</stp>
        <stp>USSV0A2  curncy</stp>
        <stp>PX LAST</stp>
        <stp>[XMRD US Rates Dashboard.xlsm]Rates!R102C17</stp>
        <tr r="Q102" s="1"/>
      </tp>
      <tp>
        <v>121.32</v>
        <stp/>
        <stp>##V3_BDPV12</stp>
        <stp>USSP0A7  curncy</stp>
        <stp>PX LAST</stp>
        <stp>[XMRD US Rates Dashboard.xlsm]Rates!R102C10</stp>
        <tr r="J102" s="1"/>
      </tp>
      <tp>
        <v>30.57</v>
        <stp/>
        <stp>##V3_BDPV12</stp>
        <stp>USSV0A1  curncy</stp>
        <stp>PX LAST</stp>
        <stp>[XMRD US Rates Dashboard.xlsm]Rates!R102C16</stp>
        <tr r="P102" s="1"/>
      </tp>
      <tp>
        <v>51.99</v>
        <stp/>
        <stp>##V3_BDPV12</stp>
        <stp>USSV0A5  curncy</stp>
        <stp>PX LAST</stp>
        <stp>[XMRD US Rates Dashboard.xlsm]Rates!R102C18</stp>
        <tr r="R102" s="1"/>
      </tp>
      <tp>
        <v>50.9</v>
        <stp/>
        <stp>##V3_BDPV12</stp>
        <stp>USSV0A7  curncy</stp>
        <stp>PX LAST</stp>
        <stp>[XMRD US Rates Dashboard.xlsm]Rates!R102C19</stp>
        <tr r="S102" s="1"/>
      </tp>
      <tp>
        <v>0.87388999999999994</v>
        <stp/>
        <stp>##V3_BDPV12</stp>
        <stp>US0003M index</stp>
        <stp>LAST_PRICE</stp>
        <stp>[XMRD US Rates Dashboard.xlsm]Rates!R34C7</stp>
        <tr r="G34" s="1"/>
      </tp>
      <tp>
        <v>1.7735000000000001</v>
        <stp/>
        <stp>##V3_BDPV12</stp>
        <stp>ussa15 curncy</stp>
        <stp>ask</stp>
        <stp>[XMRD US Rates Dashboard.xlsm]Rates!R21C19</stp>
        <tr r="S21" s="1"/>
      </tp>
      <tp>
        <v>1.911</v>
        <stp/>
        <stp>##V3_BDPV12</stp>
        <stp>ussa25 curncy</stp>
        <stp>ask</stp>
        <stp>[XMRD US Rates Dashboard.xlsm]Rates!R23C19</stp>
        <tr r="S23" s="1"/>
      </tp>
      <tp>
        <v>-15.95</v>
        <stp/>
        <stp>##V3_BDPV12</stp>
        <stp>ussp15 curncy</stp>
        <stp>ask</stp>
        <stp>[XMRD US Rates Dashboard.xlsm]Rates!R21C15</stp>
        <tr r="O21" s="1"/>
      </tp>
      <tp>
        <v>-38.72</v>
        <stp/>
        <stp>##V3_BDPV12</stp>
        <stp>ussp25 curncy</stp>
        <stp>ask</stp>
        <stp>[XMRD US Rates Dashboard.xlsm]Rates!R23C15</stp>
        <tr r="O23" s="1"/>
      </tp>
      <tp>
        <v>1.7909999999999999</v>
        <stp/>
        <stp>##V3_BDPV12</stp>
        <stp>ussw15 curncy</stp>
        <stp>ask</stp>
        <stp>[XMRD US Rates Dashboard.xlsm]Rates!R21C17</stp>
        <tr r="Q21" s="1"/>
      </tp>
      <tp>
        <v>1.929</v>
        <stp/>
        <stp>##V3_BDPV12</stp>
        <stp>ussw25 curncy</stp>
        <stp>ask</stp>
        <stp>[XMRD US Rates Dashboard.xlsm]Rates!R23C17</stp>
        <tr r="Q23" s="1"/>
      </tp>
      <tp>
        <v>-39.26</v>
        <stp/>
        <stp>##V3_BDPV12</stp>
        <stp>ussp25 curncy</stp>
        <stp>bid</stp>
        <stp>[XMRD US Rates Dashboard.xlsm]Rates!R23C14</stp>
        <tr r="N23" s="1"/>
      </tp>
      <tp>
        <v>-16.48</v>
        <stp/>
        <stp>##V3_BDPV12</stp>
        <stp>ussp15 curncy</stp>
        <stp>bid</stp>
        <stp>[XMRD US Rates Dashboard.xlsm]Rates!R21C14</stp>
        <tr r="N21" s="1"/>
      </tp>
      <tp>
        <v>1.9285000000000001</v>
        <stp/>
        <stp>##V3_BDPV12</stp>
        <stp>ussw25 curncy</stp>
        <stp>bid</stp>
        <stp>[XMRD US Rates Dashboard.xlsm]Rates!R23C16</stp>
        <tr r="P23" s="1"/>
      </tp>
      <tp>
        <v>1.7907</v>
        <stp/>
        <stp>##V3_BDPV12</stp>
        <stp>ussw15 curncy</stp>
        <stp>bid</stp>
        <stp>[XMRD US Rates Dashboard.xlsm]Rates!R21C16</stp>
        <tr r="P21" s="1"/>
      </tp>
      <tp>
        <v>1.905</v>
        <stp/>
        <stp>##V3_BDPV12</stp>
        <stp>ussa25 curncy</stp>
        <stp>bid</stp>
        <stp>[XMRD US Rates Dashboard.xlsm]Rates!R23C18</stp>
        <tr r="R23" s="1"/>
      </tp>
      <tp>
        <v>1.77</v>
        <stp/>
        <stp>##V3_BDPV12</stp>
        <stp>ussa15 curncy</stp>
        <stp>bid</stp>
        <stp>[XMRD US Rates Dashboard.xlsm]Rates!R21C18</stp>
        <tr r="R21" s="1"/>
      </tp>
      <tp t="s">
        <v>#N/A N/A</v>
        <stp/>
        <stp>##V3_BDPV12</stp>
        <stp>USCS021  curncy</stp>
        <stp>bid</stp>
        <stp>[XMRD US Rates Dashboard.xlsm]Rates!R155C9</stp>
        <tr r="I155" s="1"/>
      </tp>
      <tp t="s">
        <v>#N/A N/A</v>
        <stp/>
        <stp>##V3_BDPV12</stp>
        <stp>USCS011  curncy</stp>
        <stp>bid</stp>
        <stp>[XMRD US Rates Dashboard.xlsm]Rates!R155C7</stp>
        <tr r="G155" s="1"/>
      </tp>
      <tp t="s">
        <v>#N/A N/A</v>
        <stp/>
        <stp>##V3_BDPV12</stp>
        <stp>USCS011  curncy</stp>
        <stp>ask</stp>
        <stp>[XMRD US Rates Dashboard.xlsm]Rates!R155C8</stp>
        <tr r="H155" s="1"/>
      </tp>
      <tp>
        <v>1.381</v>
        <stp/>
        <stp>##V3_BDPV12</stp>
        <stp>USFR0G1A  curncy</stp>
        <stp>last price</stp>
        <stp>[XMRD US Rates Dashboard.xlsm]Rates!R137C9</stp>
        <tr r="I137" s="1"/>
      </tp>
      <tp>
        <v>98.984999999999999</v>
        <stp/>
        <stp>##V3_BDPV12</stp>
        <stp>EDH7 comdty</stp>
        <stp>bid</stp>
        <stp>[XMRD US Rates Dashboard.xlsm]Rates!R73C8</stp>
        <tr r="H73" s="1"/>
      </tp>
      <tp>
        <v>34.78</v>
        <stp/>
        <stp>##V3_BDPV12</stp>
        <stp>USSV152  curncy</stp>
        <stp>PX LAST</stp>
        <stp>[XMRD US Rates Dashboard.xlsm]Rates!R112C17</stp>
        <tr r="Q112" s="1"/>
      </tp>
      <tp>
        <v>1052.19</v>
        <stp/>
        <stp>##V3_BDPV12</stp>
        <stp>USSP157  curncy</stp>
        <stp>PX LAST</stp>
        <stp>[XMRD US Rates Dashboard.xlsm]Rates!R112C10</stp>
        <tr r="J112" s="1"/>
      </tp>
      <tp>
        <v>36.270000000000003</v>
        <stp/>
        <stp>##V3_BDPV12</stp>
        <stp>USSV151  curncy</stp>
        <stp>PX LAST</stp>
        <stp>[XMRD US Rates Dashboard.xlsm]Rates!R112C16</stp>
        <tr r="P112" s="1"/>
      </tp>
      <tp>
        <v>31.04</v>
        <stp/>
        <stp>##V3_BDPV12</stp>
        <stp>USSV155  curncy</stp>
        <stp>PX LAST</stp>
        <stp>[XMRD US Rates Dashboard.xlsm]Rates!R112C18</stp>
        <tr r="R112" s="1"/>
      </tp>
      <tp>
        <v>31.84</v>
        <stp/>
        <stp>##V3_BDPV12</stp>
        <stp>USSV157  curncy</stp>
        <stp>PX LAST</stp>
        <stp>[XMRD US Rates Dashboard.xlsm]Rates!R112C19</stp>
        <tr r="S112" s="1"/>
      </tp>
      <tp>
        <v>39.44</v>
        <stp/>
        <stp>##V3_BDPV12</stp>
        <stp>USSV102  curncy</stp>
        <stp>PX LAST</stp>
        <stp>[XMRD US Rates Dashboard.xlsm]Rates!R111C17</stp>
        <tr r="Q111" s="1"/>
      </tp>
      <tp>
        <v>1073.99</v>
        <stp/>
        <stp>##V3_BDPV12</stp>
        <stp>USSP107  curncy</stp>
        <stp>PX LAST</stp>
        <stp>[XMRD US Rates Dashboard.xlsm]Rates!R111C10</stp>
        <tr r="J111" s="1"/>
      </tp>
      <tp>
        <v>41.68</v>
        <stp/>
        <stp>##V3_BDPV12</stp>
        <stp>USSV101  curncy</stp>
        <stp>PX LAST</stp>
        <stp>[XMRD US Rates Dashboard.xlsm]Rates!R111C16</stp>
        <tr r="P111" s="1"/>
      </tp>
      <tp>
        <v>34.99</v>
        <stp/>
        <stp>##V3_BDPV12</stp>
        <stp>USSV105  curncy</stp>
        <stp>PX LAST</stp>
        <stp>[XMRD US Rates Dashboard.xlsm]Rates!R111C18</stp>
        <tr r="R111" s="1"/>
      </tp>
      <tp>
        <v>34.25</v>
        <stp/>
        <stp>##V3_BDPV12</stp>
        <stp>USSV107  curncy</stp>
        <stp>PX LAST</stp>
        <stp>[XMRD US Rates Dashboard.xlsm]Rates!R111C19</stp>
        <tr r="S111" s="1"/>
      </tp>
    </main>
    <main first="bloomberg.rtd">
      <tp>
        <v>98.754999999999995</v>
        <stp/>
        <stp>##V3_BDPV12</stp>
        <stp>EDM8 comdty</stp>
        <stp>bid</stp>
        <stp>[XMRD US Rates Dashboard.xlsm]Rates!R78C8</stp>
        <tr r="H78" s="1"/>
      </tp>
      <tp>
        <v>-0.21</v>
        <stp/>
        <stp>##V3_BDPV12</stp>
        <stp>CL1 COMDTY</stp>
        <stp>RT_PX_CHG_NET_1D</stp>
        <stp>[XMRD US Rates Dashboard.xlsm]Rates!R26C31</stp>
        <tr r="AE26" s="1"/>
      </tp>
      <tp>
        <v>-0.40895799999999999</v>
        <stp/>
        <stp>##V3_BDPV12</stp>
        <stp>CL1 COMDTY</stp>
        <stp>RT_PX_CHG_PCT_1D</stp>
        <stp>[XMRD US Rates Dashboard.xlsm]Rates!R26C32</stp>
        <tr r="AF26" s="1"/>
      </tp>
      <tp>
        <v>0.46389999999999998</v>
        <stp/>
        <stp>##V3_BDPV12</stp>
        <stp>USSOC  Curncy</stp>
        <stp>Bid</stp>
        <stp>[XMRD US Rates Dashboard.xlsm]Rates!R54C7</stp>
        <tr r="G54" s="1"/>
      </tp>
      <tp>
        <v>0.38</v>
        <stp/>
        <stp>##V3_BDPV12</stp>
        <stp>USSO1Z  Curncy</stp>
        <stp>Bid</stp>
        <stp>[XMRD US Rates Dashboard.xlsm]Rates!R49C7</stp>
        <tr r="G49" s="1"/>
      </tp>
      <tp t="s">
        <v>#N/A N/A</v>
        <stp/>
        <stp>##V3_BDPV12</stp>
        <stp>USCS025  curncy</stp>
        <stp>bid</stp>
        <stp>[XMRD US Rates Dashboard.xlsm]Rates!R159C9</stp>
        <tr r="I159" s="1"/>
      </tp>
      <tp t="s">
        <v>#N/A N/A</v>
        <stp/>
        <stp>##V3_BDPV12</stp>
        <stp>USCS015  curncy</stp>
        <stp>bid</stp>
        <stp>[XMRD US Rates Dashboard.xlsm]Rates!R159C7</stp>
        <tr r="G159" s="1"/>
      </tp>
      <tp t="s">
        <v>#N/A N/A</v>
        <stp/>
        <stp>##V3_BDPV12</stp>
        <stp>USCS015  curncy</stp>
        <stp>ask</stp>
        <stp>[XMRD US Rates Dashboard.xlsm]Rates!R159C8</stp>
        <tr r="H159" s="1"/>
      </tp>
      <tp>
        <v>1.413</v>
        <stp/>
        <stp>##V3_BDPV12</stp>
        <stp>USFR0I1C  curncy</stp>
        <stp>last price</stp>
        <stp>[XMRD US Rates Dashboard.xlsm]Rates!R139C9</stp>
        <tr r="I139" s="1"/>
      </tp>
      <tp>
        <v>1.3959999999999999</v>
        <stp/>
        <stp>##V3_BDPV12</stp>
        <stp>USFR0H1B  curncy</stp>
        <stp>last price</stp>
        <stp>[XMRD US Rates Dashboard.xlsm]Rates!R138C9</stp>
        <tr r="I138" s="1"/>
      </tp>
      <tp>
        <v>1.2056</v>
        <stp/>
        <stp>##V3_BDPV12</stp>
        <stp>USFR1F1I  curncy</stp>
        <stp>last price</stp>
        <stp>[XMRD US Rates Dashboard.xlsm]Rates!R143C7</stp>
        <tr r="G143" s="1"/>
      </tp>
      <tp>
        <v>0.42655999999999999</v>
        <stp/>
        <stp>##V3_BDPV12</stp>
        <stp>US00O/N index</stp>
        <stp>LAST_PRICE</stp>
        <stp>[XMRD US Rates Dashboard.xlsm]Rates!R29C7</stp>
        <tr r="G29" s="1"/>
      </tp>
      <tp>
        <v>-0.40614</v>
        <stp/>
        <stp>##V3_BDPV12</stp>
        <stp>EE00O/N index</stp>
        <stp>LAST_PRICE</stp>
        <stp>[XMRD US Rates Dashboard.xlsm]Rates!R29C8</stp>
        <tr r="H29" s="1"/>
      </tp>
      <tp t="s">
        <v>#N/A N/A</v>
        <stp/>
        <stp>##V3_BDPV12</stp>
        <stp>USCS024  curncy</stp>
        <stp>bid</stp>
        <stp>[XMRD US Rates Dashboard.xlsm]Rates!R158C9</stp>
        <tr r="I158" s="1"/>
      </tp>
      <tp t="s">
        <v>#N/A N/A</v>
        <stp/>
        <stp>##V3_BDPV12</stp>
        <stp>USCS014  curncy</stp>
        <stp>bid</stp>
        <stp>[XMRD US Rates Dashboard.xlsm]Rates!R158C7</stp>
        <tr r="G158" s="1"/>
      </tp>
      <tp t="s">
        <v>#N/A N/A</v>
        <stp/>
        <stp>##V3_BDPV12</stp>
        <stp>USCS014  curncy</stp>
        <stp>ask</stp>
        <stp>[XMRD US Rates Dashboard.xlsm]Rates!R158C8</stp>
        <tr r="H158" s="1"/>
      </tp>
      <tp>
        <v>1.770875</v>
        <stp/>
        <stp>##V3_BDPV12</stp>
        <stp>GTUSD10Y GOVT</stp>
        <stp>last YLD</stp>
        <stp>[XMRD US Rates Dashboard.xlsm]Rates!R11C32</stp>
        <tr r="AF11" s="1"/>
      </tp>
      <tp>
        <v>94.78125</v>
        <stp/>
        <stp>##V3_BDPV12</stp>
        <stp>GT30 govt</stp>
        <stp>ask</stp>
        <stp>[XMRD US Rates Dashboard.xlsm]Rates!R24C8</stp>
        <tr r="H24" s="1"/>
      </tp>
      <tp>
        <v>0.4148</v>
        <stp/>
        <stp>##V3_BDPV12</stp>
        <stp>USSOB  Curncy</stp>
        <stp>Bid</stp>
        <stp>[XMRD US Rates Dashboard.xlsm]Rates!R53C7</stp>
        <tr r="G53" s="1"/>
      </tp>
      <tp>
        <v>0.49359999999999998</v>
        <stp/>
        <stp>##V3_BDPV12</stp>
        <stp>USSOD  Curncy</stp>
        <stp>Bid</stp>
        <stp>[XMRD US Rates Dashboard.xlsm]Rates!R55C7</stp>
        <tr r="G55" s="1"/>
      </tp>
      <tp>
        <v>0.52649999999999997</v>
        <stp/>
        <stp>##V3_BDPV12</stp>
        <stp>USSOF  Curncy</stp>
        <stp>Bid</stp>
        <stp>[XMRD US Rates Dashboard.xlsm]Rates!R57C7</stp>
        <tr r="G57" s="1"/>
      </tp>
      <tp>
        <v>0.54500000000000004</v>
        <stp/>
        <stp>##V3_BDPV12</stp>
        <stp>USSOH  Curncy</stp>
        <stp>Bid</stp>
        <stp>[XMRD US Rates Dashboard.xlsm]Rates!R59C7</stp>
        <tr r="G59" s="1"/>
      </tp>
      <tp>
        <v>0.41399999999999998</v>
        <stp/>
        <stp>##V3_BDPV12</stp>
        <stp>USSO2Z  Curncy</stp>
        <stp>ask</stp>
        <stp>[XMRD US Rates Dashboard.xlsm]Rates!R50C8</stp>
        <tr r="H50" s="1"/>
      </tp>
      <tp>
        <v>97.546875</v>
        <stp/>
        <stp>##V3_BDPV12</stp>
        <stp>GT10 govt</stp>
        <stp>bid</stp>
        <stp>[XMRD US Rates Dashboard.xlsm]Rates!R19C7</stp>
        <tr r="G19" s="1"/>
      </tp>
      <tp>
        <v>0.4083</v>
        <stp/>
        <stp>##V3_BDPV12</stp>
        <stp>USSOA  Curncy</stp>
        <stp>Bid</stp>
        <stp>[XMRD US Rates Dashboard.xlsm]Rates!R52C7</stp>
        <tr r="G52" s="1"/>
      </tp>
      <tp>
        <v>0.51160000000000005</v>
        <stp/>
        <stp>##V3_BDPV12</stp>
        <stp>USSOE  Curncy</stp>
        <stp>Bid</stp>
        <stp>[XMRD US Rates Dashboard.xlsm]Rates!R56C7</stp>
        <tr r="G56" s="1"/>
      </tp>
      <tp>
        <v>1.4390000000000001</v>
        <stp/>
        <stp>##V3_BDPV12</stp>
        <stp>ussa7 curncy</stp>
        <stp>ask</stp>
        <stp>[XMRD US Rates Dashboard.xlsm]Rates!R16C19</stp>
        <tr r="S16" s="1"/>
      </tp>
      <tp>
        <v>1.4557</v>
        <stp/>
        <stp>##V3_BDPV12</stp>
        <stp>ussw7 curncy</stp>
        <stp>ask</stp>
        <stp>[XMRD US Rates Dashboard.xlsm]Rates!R16C17</stp>
        <tr r="Q16" s="1"/>
      </tp>
      <tp>
        <v>-14.25</v>
        <stp/>
        <stp>##V3_BDPV12</stp>
        <stp>ussp7 curncy</stp>
        <stp>ask</stp>
        <stp>[XMRD US Rates Dashboard.xlsm]Rates!R16C15</stp>
        <tr r="O16" s="1"/>
      </tp>
      <tp>
        <v>98.515625</v>
        <stp/>
        <stp>##V3_BDPV12</stp>
        <stp>GT7 govt</stp>
        <stp>bid</stp>
        <stp>[XMRD US Rates Dashboard.xlsm]Rates!R16C7</stp>
        <tr r="G16" s="1"/>
      </tp>
      <tp>
        <v>-14.75</v>
        <stp/>
        <stp>##V3_BDPV12</stp>
        <stp>ussp7 curncy</stp>
        <stp>bid</stp>
        <stp>[XMRD US Rates Dashboard.xlsm]Rates!R16C14</stp>
        <tr r="N16" s="1"/>
      </tp>
      <tp>
        <v>1.454</v>
        <stp/>
        <stp>##V3_BDPV12</stp>
        <stp>ussw7 curncy</stp>
        <stp>bid</stp>
        <stp>[XMRD US Rates Dashboard.xlsm]Rates!R16C16</stp>
        <tr r="P16" s="1"/>
      </tp>
      <tp>
        <v>1.4365000000000001</v>
        <stp/>
        <stp>##V3_BDPV12</stp>
        <stp>ussa7 curncy</stp>
        <stp>bid</stp>
        <stp>[XMRD US Rates Dashboard.xlsm]Rates!R16C18</stp>
        <tr r="R16" s="1"/>
      </tp>
      <tp>
        <v>98.71</v>
        <stp/>
        <stp>##V3_BDPV12</stp>
        <stp>EDU8 comdty</stp>
        <stp>bid</stp>
        <stp>[XMRD US Rates Dashboard.xlsm]Rates!R79C8</stp>
        <tr r="H79" s="1"/>
      </tp>
      <tp>
        <v>98.83</v>
        <stp/>
        <stp>##V3_BDPV12</stp>
        <stp>EDZ7 comdty</stp>
        <stp>bid</stp>
        <stp>[XMRD US Rates Dashboard.xlsm]Rates!R76C8</stp>
        <tr r="H76" s="1"/>
      </tp>
      <tp t="s">
        <v>CLG7</v>
        <stp/>
        <stp>##V3_BDPV12</stp>
        <stp>CL4 comdty</stp>
        <stp>FUT_CUR_GEN_TICKER</stp>
        <stp>[XMRD US Rates Dashboard.xlsm]Rates!R123C6</stp>
        <tr r="F123" s="1"/>
      </tp>
      <tp>
        <v>0.42076605731962669</v>
        <stp/>
        <stp>##V3_BDPV12</stp>
        <stp>TUZ6 comdty</stp>
        <stp xml:space="preserve"> FUT_IMPLIED_REPO_RT</stp>
        <stp>[XMRD US Rates Dashboard.xlsm]Rates!R11C27</stp>
        <tr r="AA11" s="1"/>
      </tp>
      <tp>
        <v>0.71138813257852129</v>
        <stp/>
        <stp>##V3_BDPV12</stp>
        <stp>TUH7 comdty</stp>
        <stp xml:space="preserve"> FUT_IMPLIED_REPO_RT</stp>
        <stp>[XMRD US Rates Dashboard.xlsm]Rates!R12C27</stp>
        <tr r="AA12" s="1"/>
      </tp>
      <tp>
        <v>0.55859664841096401</v>
        <stp/>
        <stp>##V3_BDPV12</stp>
        <stp>TYZ6 comdty</stp>
        <stp xml:space="preserve"> FUT_IMPLIED_REPO_RT</stp>
        <stp>[XMRD US Rates Dashboard.xlsm]Rates!R15C27</stp>
        <tr r="AA15" s="1"/>
      </tp>
      <tp>
        <v>0.94057294899745802</v>
        <stp/>
        <stp>##V3_BDPV12</stp>
        <stp>TYH7 comdty</stp>
        <stp xml:space="preserve"> FUT_IMPLIED_REPO_RT</stp>
        <stp>[XMRD US Rates Dashboard.xlsm]Rates!R16C27</stp>
        <tr r="AA16" s="1"/>
      </tp>
      <tp>
        <v>1929.8</v>
        <stp/>
        <stp>##V3_BDPV12</stp>
        <stp>USSP0230  curncy</stp>
        <stp>PX LAST</stp>
        <stp>[XMRD US Rates Dashboard.xlsm]Rates!R106C15</stp>
        <tr r="O106" s="1"/>
      </tp>
      <tp>
        <v>46.59</v>
        <stp/>
        <stp>##V3_BDPV12</stp>
        <stp>USSV0210  curncy</stp>
        <stp>PX LAST</stp>
        <stp>[XMRD US Rates Dashboard.xlsm]Rates!R106C20</stp>
        <tr r="T106" s="1"/>
      </tp>
      <tp>
        <v>42.4</v>
        <stp/>
        <stp>##V3_BDPV12</stp>
        <stp>USSV0215  curncy</stp>
        <stp>PX LAST</stp>
        <stp>[XMRD US Rates Dashboard.xlsm]Rates!R106C21</stp>
        <tr r="U106" s="1"/>
      </tp>
      <tp>
        <v>1477.3</v>
        <stp/>
        <stp>##V3_BDPV12</stp>
        <stp>USSP0220  curncy</stp>
        <stp>PX LAST</stp>
        <stp>[XMRD US Rates Dashboard.xlsm]Rates!R106C13</stp>
        <tr r="M106" s="1"/>
      </tp>
      <tp>
        <v>1723.71</v>
        <stp/>
        <stp>##V3_BDPV12</stp>
        <stp>USSP0225  curncy</stp>
        <stp>PX LAST</stp>
        <stp>[XMRD US Rates Dashboard.xlsm]Rates!R106C14</stp>
        <tr r="N106" s="1"/>
      </tp>
      <tp>
        <v>1197.79</v>
        <stp/>
        <stp>##V3_BDPV12</stp>
        <stp>USSP0215  curncy</stp>
        <stp>PX LAST</stp>
        <stp>[XMRD US Rates Dashboard.xlsm]Rates!R106C12</stp>
        <tr r="L106" s="1"/>
      </tp>
      <tp>
        <v>39.65</v>
        <stp/>
        <stp>##V3_BDPV12</stp>
        <stp>USSV0220  curncy</stp>
        <stp>PX LAST</stp>
        <stp>[XMRD US Rates Dashboard.xlsm]Rates!R106C22</stp>
        <tr r="V106" s="1"/>
      </tp>
      <tp>
        <v>38.07</v>
        <stp/>
        <stp>##V3_BDPV12</stp>
        <stp>USSV0225  curncy</stp>
        <stp>PX LAST</stp>
        <stp>[XMRD US Rates Dashboard.xlsm]Rates!R106C23</stp>
        <tr r="W106" s="1"/>
      </tp>
      <tp>
        <v>859.65</v>
        <stp/>
        <stp>##V3_BDPV12</stp>
        <stp>USSP0210  curncy</stp>
        <stp>PX LAST</stp>
        <stp>[XMRD US Rates Dashboard.xlsm]Rates!R106C11</stp>
        <tr r="K106" s="1"/>
      </tp>
      <tp>
        <v>36.92</v>
        <stp/>
        <stp>##V3_BDPV12</stp>
        <stp>USSV0230  curncy</stp>
        <stp>PX LAST</stp>
        <stp>[XMRD US Rates Dashboard.xlsm]Rates!R106C24</stp>
        <tr r="X106" s="1"/>
      </tp>
      <tp>
        <v>0.97519999999999996</v>
        <stp/>
        <stp>##V3_BDPV12</stp>
        <stp>USFR0CF  curncy</stp>
        <stp>last price</stp>
        <stp>[XMRD US Rates Dashboard.xlsm]Rates!R133C7</stp>
        <tr r="G133" s="1"/>
      </tp>
      <tp>
        <v>0.89100000000000001</v>
        <stp/>
        <stp>##V3_BDPV12</stp>
        <stp>USFR0AD  curncy</stp>
        <stp>last price</stp>
        <stp>[XMRD US Rates Dashboard.xlsm]Rates!R131C7</stp>
        <tr r="G131" s="1"/>
      </tp>
      <tp>
        <v>1.3759999999999999</v>
        <stp/>
        <stp>##V3_BDPV12</stp>
        <stp>ussa6 curncy</stp>
        <stp>ask</stp>
        <stp>[XMRD US Rates Dashboard.xlsm]Rates!R15C19</stp>
        <tr r="S15" s="1"/>
      </tp>
      <tp>
        <v>1.3906000000000001</v>
        <stp/>
        <stp>##V3_BDPV12</stp>
        <stp>ussw6 curncy</stp>
        <stp>ask</stp>
        <stp>[XMRD US Rates Dashboard.xlsm]Rates!R15C17</stp>
        <tr r="Q15" s="1"/>
      </tp>
      <tp>
        <v>-6.05</v>
        <stp/>
        <stp>##V3_BDPV12</stp>
        <stp>ussp6 curncy</stp>
        <stp>ask</stp>
        <stp>[XMRD US Rates Dashboard.xlsm]Rates!R15C15</stp>
        <tr r="O15" s="1"/>
      </tp>
      <tp>
        <v>-6.55</v>
        <stp/>
        <stp>##V3_BDPV12</stp>
        <stp>ussp6 curncy</stp>
        <stp>bid</stp>
        <stp>[XMRD US Rates Dashboard.xlsm]Rates!R15C14</stp>
        <tr r="N15" s="1"/>
      </tp>
      <tp>
        <v>1.3898999999999999</v>
        <stp/>
        <stp>##V3_BDPV12</stp>
        <stp>ussw6 curncy</stp>
        <stp>bid</stp>
        <stp>[XMRD US Rates Dashboard.xlsm]Rates!R15C16</stp>
        <tr r="P15" s="1"/>
      </tp>
      <tp>
        <v>1.3720000000000001</v>
        <stp/>
        <stp>##V3_BDPV12</stp>
        <stp>ussa6 curncy</stp>
        <stp>bid</stp>
        <stp>[XMRD US Rates Dashboard.xlsm]Rates!R15C18</stp>
        <tr r="R15" s="1"/>
      </tp>
      <tp t="s">
        <v>CLF7</v>
        <stp/>
        <stp>##V3_BDPV12</stp>
        <stp>CL3 comdty</stp>
        <stp>FUT_CUR_GEN_TICKER</stp>
        <stp>[XMRD US Rates Dashboard.xlsm]Rates!R122C6</stp>
        <tr r="F122" s="1"/>
      </tp>
      <tp>
        <v>4.1324166729743345E-2</v>
        <stp/>
        <stp>##V3_BDPV12</stp>
        <stp>USZ6 comdty</stp>
        <stp xml:space="preserve"> FUT_IMPLIED_REPO_RT</stp>
        <stp>[XMRD US Rates Dashboard.xlsm]Rates!R17C27</stp>
        <tr r="AA17" s="1"/>
      </tp>
      <tp>
        <v>0.26209451991997118</v>
        <stp/>
        <stp>##V3_BDPV12</stp>
        <stp>USH7 comdty</stp>
        <stp xml:space="preserve"> FUT_IMPLIED_REPO_RT</stp>
        <stp>[XMRD US Rates Dashboard.xlsm]Rates!R18C27</stp>
        <tr r="AA18" s="1"/>
      </tp>
      <tp>
        <v>2329.48</v>
        <stp/>
        <stp>##V3_BDPV12</stp>
        <stp>USSP0330  curncy</stp>
        <stp>PX LAST</stp>
        <stp>[XMRD US Rates Dashboard.xlsm]Rates!R107C15</stp>
        <tr r="O107" s="1"/>
      </tp>
      <tp>
        <v>45.58</v>
        <stp/>
        <stp>##V3_BDPV12</stp>
        <stp>USSV0310  curncy</stp>
        <stp>PX LAST</stp>
        <stp>[XMRD US Rates Dashboard.xlsm]Rates!R107C20</stp>
        <tr r="T107" s="1"/>
      </tp>
      <tp>
        <v>41.61</v>
        <stp/>
        <stp>##V3_BDPV12</stp>
        <stp>USSV0315  curncy</stp>
        <stp>PX LAST</stp>
        <stp>[XMRD US Rates Dashboard.xlsm]Rates!R107C21</stp>
        <tr r="U107" s="1"/>
      </tp>
      <tp>
        <v>1775.8</v>
        <stp/>
        <stp>##V3_BDPV12</stp>
        <stp>USSP0320  curncy</stp>
        <stp>PX LAST</stp>
        <stp>[XMRD US Rates Dashboard.xlsm]Rates!R107C13</stp>
        <tr r="M107" s="1"/>
      </tp>
      <tp>
        <v>2076.44</v>
        <stp/>
        <stp>##V3_BDPV12</stp>
        <stp>USSP0325  curncy</stp>
        <stp>PX LAST</stp>
        <stp>[XMRD US Rates Dashboard.xlsm]Rates!R107C14</stp>
        <tr r="N107" s="1"/>
      </tp>
      <tp>
        <v>1452.92</v>
        <stp/>
        <stp>##V3_BDPV12</stp>
        <stp>USSP0315  curncy</stp>
        <stp>PX LAST</stp>
        <stp>[XMRD US Rates Dashboard.xlsm]Rates!R107C12</stp>
        <tr r="L107" s="1"/>
      </tp>
      <tp>
        <v>38.9</v>
        <stp/>
        <stp>##V3_BDPV12</stp>
        <stp>USSV0320  curncy</stp>
        <stp>PX LAST</stp>
        <stp>[XMRD US Rates Dashboard.xlsm]Rates!R107C22</stp>
        <tr r="V107" s="1"/>
      </tp>
      <tp>
        <v>37.61</v>
        <stp/>
        <stp>##V3_BDPV12</stp>
        <stp>USSV0325  curncy</stp>
        <stp>PX LAST</stp>
        <stp>[XMRD US Rates Dashboard.xlsm]Rates!R107C23</stp>
        <tr r="W107" s="1"/>
      </tp>
      <tp>
        <v>1051.5999999999999</v>
        <stp/>
        <stp>##V3_BDPV12</stp>
        <stp>USSP0310  curncy</stp>
        <stp>PX LAST</stp>
        <stp>[XMRD US Rates Dashboard.xlsm]Rates!R107C11</stp>
        <tr r="K107" s="1"/>
      </tp>
      <tp>
        <v>36.72</v>
        <stp/>
        <stp>##V3_BDPV12</stp>
        <stp>USSV0330  curncy</stp>
        <stp>PX LAST</stp>
        <stp>[XMRD US Rates Dashboard.xlsm]Rates!R107C24</stp>
        <tr r="X107" s="1"/>
      </tp>
      <tp>
        <v>1.3069999999999999</v>
        <stp/>
        <stp>##V3_BDPV12</stp>
        <stp>ussa5 curncy</stp>
        <stp>ask</stp>
        <stp>[XMRD US Rates Dashboard.xlsm]Rates!R14C19</stp>
        <tr r="S14" s="1"/>
      </tp>
      <tp>
        <v>1.3231999999999999</v>
        <stp/>
        <stp>##V3_BDPV12</stp>
        <stp>ussw5 curncy</stp>
        <stp>ask</stp>
        <stp>[XMRD US Rates Dashboard.xlsm]Rates!R14C17</stp>
        <tr r="Q14" s="1"/>
      </tp>
      <tp>
        <v>1.8</v>
        <stp/>
        <stp>##V3_BDPV12</stp>
        <stp>ussp5 curncy</stp>
        <stp>ask</stp>
        <stp>[XMRD US Rates Dashboard.xlsm]Rates!R14C15</stp>
        <tr r="O14" s="1"/>
      </tp>
      <tp>
        <v>99.1171875</v>
        <stp/>
        <stp>##V3_BDPV12</stp>
        <stp>GT5 govt</stp>
        <stp>bid</stp>
        <stp>[XMRD US Rates Dashboard.xlsm]Rates!R14C7</stp>
        <tr r="G14" s="1"/>
      </tp>
      <tp>
        <v>1.25</v>
        <stp/>
        <stp>##V3_BDPV12</stp>
        <stp>ussp5 curncy</stp>
        <stp>bid</stp>
        <stp>[XMRD US Rates Dashboard.xlsm]Rates!R14C14</stp>
        <tr r="N14" s="1"/>
      </tp>
      <tp>
        <v>1.3218000000000001</v>
        <stp/>
        <stp>##V3_BDPV12</stp>
        <stp>ussw5 curncy</stp>
        <stp>bid</stp>
        <stp>[XMRD US Rates Dashboard.xlsm]Rates!R14C16</stp>
        <tr r="P14" s="1"/>
      </tp>
      <tp>
        <v>1.3049999999999999</v>
        <stp/>
        <stp>##V3_BDPV12</stp>
        <stp>ussa5 curncy</stp>
        <stp>bid</stp>
        <stp>[XMRD US Rates Dashboard.xlsm]Rates!R14C18</stp>
        <tr r="R14" s="1"/>
      </tp>
      <tp>
        <v>2.4511750000000001</v>
        <stp/>
        <stp>##V3_BDPV12</stp>
        <stp>GT30 govt</stp>
        <stp>PRIOR_CLOSE_MID_YLD</stp>
        <stp>[XMRD US Rates Dashboard.xlsm]Rates!R24C13</stp>
        <tr r="M24" s="1"/>
      </tp>
      <tp>
        <v>1.71901875</v>
        <stp/>
        <stp>##V3_BDPV12</stp>
        <stp>GT10 govt</stp>
        <stp>PRIOR_CLOSE_MID_YLD</stp>
        <stp>[XMRD US Rates Dashboard.xlsm]Rates!R19C13</stp>
        <tr r="M19" s="1"/>
      </tp>
    </main>
    <main first="bloomberg.rtd">
      <tp t="s">
        <v>CLZ6</v>
        <stp/>
        <stp>##V3_BDPV12</stp>
        <stp>CL2 comdty</stp>
        <stp>FUT_CUR_GEN_TICKER</stp>
        <stp>[XMRD US Rates Dashboard.xlsm]Rates!R121C6</stp>
        <tr r="F121" s="1"/>
      </tp>
      <tp>
        <v>3023.23</v>
        <stp/>
        <stp>##V3_BDPV12</stp>
        <stp>USSP3030  curncy</stp>
        <stp>PX LAST</stp>
        <stp>[XMRD US Rates Dashboard.xlsm]Rates!R115C15</stp>
        <tr r="O115" s="1"/>
      </tp>
      <tp>
        <v>2931.35</v>
        <stp/>
        <stp>##V3_BDPV12</stp>
        <stp>USSP2030  curncy</stp>
        <stp>PX LAST</stp>
        <stp>[XMRD US Rates Dashboard.xlsm]Rates!R113C15</stp>
        <tr r="O113" s="1"/>
      </tp>
      <tp>
        <v>3134.59</v>
        <stp/>
        <stp>##V3_BDPV12</stp>
        <stp>USSP1030  curncy</stp>
        <stp>PX LAST</stp>
        <stp>[XMRD US Rates Dashboard.xlsm]Rates!R111C15</stp>
        <tr r="O111" s="1"/>
      </tp>
      <tp>
        <v>29.56</v>
        <stp/>
        <stp>##V3_BDPV12</stp>
        <stp>USSV3010  curncy</stp>
        <stp>PX LAST</stp>
        <stp>[XMRD US Rates Dashboard.xlsm]Rates!R115C20</stp>
        <tr r="T115" s="1"/>
      </tp>
      <tp>
        <v>30.07</v>
        <stp/>
        <stp>##V3_BDPV12</stp>
        <stp>USSV2010  curncy</stp>
        <stp>PX LAST</stp>
        <stp>[XMRD US Rates Dashboard.xlsm]Rates!R113C20</stp>
        <tr r="T113" s="1"/>
      </tp>
      <tp>
        <v>36.520000000000003</v>
        <stp/>
        <stp>##V3_BDPV12</stp>
        <stp>USSV1010  curncy</stp>
        <stp>PX LAST</stp>
        <stp>[XMRD US Rates Dashboard.xlsm]Rates!R111C20</stp>
        <tr r="T111" s="1"/>
      </tp>
      <tp>
        <v>2258.41</v>
        <stp/>
        <stp>##V3_BDPV12</stp>
        <stp>USSP3020  curncy</stp>
        <stp>PX LAST</stp>
        <stp>[XMRD US Rates Dashboard.xlsm]Rates!R115C13</stp>
        <tr r="M115" s="1"/>
      </tp>
      <tp>
        <v>2278.02</v>
        <stp/>
        <stp>##V3_BDPV12</stp>
        <stp>USSP2020  curncy</stp>
        <stp>PX LAST</stp>
        <stp>[XMRD US Rates Dashboard.xlsm]Rates!R113C13</stp>
        <tr r="M113" s="1"/>
      </tp>
      <tp>
        <v>2426.9899999999998</v>
        <stp/>
        <stp>##V3_BDPV12</stp>
        <stp>USSP1020  curncy</stp>
        <stp>PX LAST</stp>
        <stp>[XMRD US Rates Dashboard.xlsm]Rates!R111C13</stp>
        <tr r="M111" s="1"/>
      </tp>
      <tp>
        <v>29.27</v>
        <stp/>
        <stp>##V3_BDPV12</stp>
        <stp>USSV3015  curncy</stp>
        <stp>PX LAST</stp>
        <stp>[XMRD US Rates Dashboard.xlsm]Rates!R115C21</stp>
        <tr r="U115" s="1"/>
      </tp>
      <tp>
        <v>27.86</v>
        <stp/>
        <stp>##V3_BDPV12</stp>
        <stp>USSV2015  curncy</stp>
        <stp>PX LAST</stp>
        <stp>[XMRD US Rates Dashboard.xlsm]Rates!R113C21</stp>
        <tr r="U113" s="1"/>
      </tp>
      <tp>
        <v>34.07</v>
        <stp/>
        <stp>##V3_BDPV12</stp>
        <stp>USSV1015  curncy</stp>
        <stp>PX LAST</stp>
        <stp>[XMRD US Rates Dashboard.xlsm]Rates!R111C21</stp>
        <tr r="U111" s="1"/>
      </tp>
      <tp>
        <v>2669.07</v>
        <stp/>
        <stp>##V3_BDPV12</stp>
        <stp>USSP3025  curncy</stp>
        <stp>PX LAST</stp>
        <stp>[XMRD US Rates Dashboard.xlsm]Rates!R115C14</stp>
        <tr r="N115" s="1"/>
      </tp>
      <tp>
        <v>2636.39</v>
        <stp/>
        <stp>##V3_BDPV12</stp>
        <stp>USSP2025  curncy</stp>
        <stp>PX LAST</stp>
        <stp>[XMRD US Rates Dashboard.xlsm]Rates!R113C14</stp>
        <tr r="N113" s="1"/>
      </tp>
      <tp>
        <v>2812.46</v>
        <stp/>
        <stp>##V3_BDPV12</stp>
        <stp>USSP1025  curncy</stp>
        <stp>PX LAST</stp>
        <stp>[XMRD US Rates Dashboard.xlsm]Rates!R111C14</stp>
        <tr r="N111" s="1"/>
      </tp>
      <tp>
        <v>1822.47</v>
        <stp/>
        <stp>##V3_BDPV12</stp>
        <stp>USSP3015  curncy</stp>
        <stp>PX LAST</stp>
        <stp>[XMRD US Rates Dashboard.xlsm]Rates!R115C12</stp>
        <tr r="L115" s="1"/>
      </tp>
      <tp>
        <v>1899.98</v>
        <stp/>
        <stp>##V3_BDPV12</stp>
        <stp>USSP2015  curncy</stp>
        <stp>PX LAST</stp>
        <stp>[XMRD US Rates Dashboard.xlsm]Rates!R113C12</stp>
        <tr r="L113" s="1"/>
      </tp>
      <tp>
        <v>2052.71</v>
        <stp/>
        <stp>##V3_BDPV12</stp>
        <stp>USSP1015  curncy</stp>
        <stp>PX LAST</stp>
        <stp>[XMRD US Rates Dashboard.xlsm]Rates!R111C12</stp>
        <tr r="L111" s="1"/>
      </tp>
      <tp>
        <v>27.83</v>
        <stp/>
        <stp>##V3_BDPV12</stp>
        <stp>USSV3020  curncy</stp>
        <stp>PX LAST</stp>
        <stp>[XMRD US Rates Dashboard.xlsm]Rates!R115C22</stp>
        <tr r="V115" s="1"/>
      </tp>
      <tp>
        <v>26.59</v>
        <stp/>
        <stp>##V3_BDPV12</stp>
        <stp>USSV2020  curncy</stp>
        <stp>PX LAST</stp>
        <stp>[XMRD US Rates Dashboard.xlsm]Rates!R113C22</stp>
        <tr r="V113" s="1"/>
      </tp>
      <tp>
        <v>31.58</v>
        <stp/>
        <stp>##V3_BDPV12</stp>
        <stp>USSV1020  curncy</stp>
        <stp>PX LAST</stp>
        <stp>[XMRD US Rates Dashboard.xlsm]Rates!R111C22</stp>
        <tr r="V111" s="1"/>
      </tp>
      <tp>
        <v>1314.5</v>
        <stp/>
        <stp>##V3_BDPV12</stp>
        <stp>USSP3010  curncy</stp>
        <stp>PX LAST</stp>
        <stp>[XMRD US Rates Dashboard.xlsm]Rates!R115C11</stp>
        <tr r="K115" s="1"/>
      </tp>
      <tp>
        <v>1410.22</v>
        <stp/>
        <stp>##V3_BDPV12</stp>
        <stp>USSP2010  curncy</stp>
        <stp>PX LAST</stp>
        <stp>[XMRD US Rates Dashboard.xlsm]Rates!R113C11</stp>
        <tr r="K113" s="1"/>
      </tp>
      <tp>
        <v>1534.59</v>
        <stp/>
        <stp>##V3_BDPV12</stp>
        <stp>USSP1010  curncy</stp>
        <stp>PX LAST</stp>
        <stp>[XMRD US Rates Dashboard.xlsm]Rates!R111C11</stp>
        <tr r="K111" s="1"/>
      </tp>
      <tp>
        <v>26.72</v>
        <stp/>
        <stp>##V3_BDPV12</stp>
        <stp>USSV3025  curncy</stp>
        <stp>PX LAST</stp>
        <stp>[XMRD US Rates Dashboard.xlsm]Rates!R115C23</stp>
        <tr r="W115" s="1"/>
      </tp>
      <tp>
        <v>26.1</v>
        <stp/>
        <stp>##V3_BDPV12</stp>
        <stp>USSV2025  curncy</stp>
        <stp>PX LAST</stp>
        <stp>[XMRD US Rates Dashboard.xlsm]Rates!R113C23</stp>
        <tr r="W113" s="1"/>
      </tp>
      <tp>
        <v>31.11</v>
        <stp/>
        <stp>##V3_BDPV12</stp>
        <stp>USSV1025  curncy</stp>
        <stp>PX LAST</stp>
        <stp>[XMRD US Rates Dashboard.xlsm]Rates!R111C23</stp>
        <tr r="W111" s="1"/>
      </tp>
      <tp>
        <v>25.78</v>
        <stp/>
        <stp>##V3_BDPV12</stp>
        <stp>USSV3030  curncy</stp>
        <stp>PX LAST</stp>
        <stp>[XMRD US Rates Dashboard.xlsm]Rates!R115C24</stp>
        <tr r="X115" s="1"/>
      </tp>
      <tp>
        <v>25.05</v>
        <stp/>
        <stp>##V3_BDPV12</stp>
        <stp>USSV2030  curncy</stp>
        <stp>PX LAST</stp>
        <stp>[XMRD US Rates Dashboard.xlsm]Rates!R113C24</stp>
        <tr r="X113" s="1"/>
      </tp>
      <tp>
        <v>29.96</v>
        <stp/>
        <stp>##V3_BDPV12</stp>
        <stp>USSV1030  curncy</stp>
        <stp>PX LAST</stp>
        <stp>[XMRD US Rates Dashboard.xlsm]Rates!R111C24</stp>
        <tr r="X111" s="1"/>
      </tp>
      <tp>
        <v>0.94650000000000001</v>
        <stp/>
        <stp>##V3_BDPV12</stp>
        <stp>USFR0BE  curncy</stp>
        <stp>last price</stp>
        <stp>[XMRD US Rates Dashboard.xlsm]Rates!R132C7</stp>
        <tr r="G132" s="1"/>
      </tp>
      <tp>
        <v>1.2390000000000001</v>
        <stp/>
        <stp>##V3_BDPV12</stp>
        <stp>ussa4 curncy</stp>
        <stp>ask</stp>
        <stp>[XMRD US Rates Dashboard.xlsm]Rates!R13C19</stp>
        <tr r="S13" s="1"/>
      </tp>
      <tp>
        <v>1.2519</v>
        <stp/>
        <stp>##V3_BDPV12</stp>
        <stp>ussw4 curncy</stp>
        <stp>ask</stp>
        <stp>[XMRD US Rates Dashboard.xlsm]Rates!R13C17</stp>
        <tr r="Q13" s="1"/>
      </tp>
      <tp>
        <v>8.7899999999999991</v>
        <stp/>
        <stp>##V3_BDPV12</stp>
        <stp>ussp4 curncy</stp>
        <stp>ask</stp>
        <stp>[XMRD US Rates Dashboard.xlsm]Rates!R13C15</stp>
        <tr r="O13" s="1"/>
      </tp>
      <tp>
        <v>8.5</v>
        <stp/>
        <stp>##V3_BDPV12</stp>
        <stp>ussp4 curncy</stp>
        <stp>bid</stp>
        <stp>[XMRD US Rates Dashboard.xlsm]Rates!R13C14</stp>
        <tr r="N13" s="1"/>
      </tp>
      <tp>
        <v>1.2509999999999999</v>
        <stp/>
        <stp>##V3_BDPV12</stp>
        <stp>ussw4 curncy</stp>
        <stp>bid</stp>
        <stp>[XMRD US Rates Dashboard.xlsm]Rates!R13C16</stp>
        <tr r="P13" s="1"/>
      </tp>
      <tp>
        <v>1.234</v>
        <stp/>
        <stp>##V3_BDPV12</stp>
        <stp>ussa4 curncy</stp>
        <stp>bid</stp>
        <stp>[XMRD US Rates Dashboard.xlsm]Rates!R13C18</stp>
        <tr r="R13" s="1"/>
      </tp>
      <tp t="s">
        <v>CLX6</v>
        <stp/>
        <stp>##V3_BDPV12</stp>
        <stp>CL1 comdty</stp>
        <stp>FUT_CUR_GEN_TICKER</stp>
        <stp>[XMRD US Rates Dashboard.xlsm]Rates!R120C6</stp>
        <tr r="F120" s="1"/>
      </tp>
      <tp>
        <v>1.2559125</v>
        <stp/>
        <stp>##V3_BDPV12</stp>
        <stp>GT5 govt</stp>
        <stp>PRIOR_CLOSE_MID_YLD</stp>
        <stp>[XMRD US Rates Dashboard.xlsm]Rates!R14C13</stp>
        <tr r="M14" s="1"/>
      </tp>
      <tp>
        <v>1.54466875</v>
        <stp/>
        <stp>##V3_BDPV12</stp>
        <stp>GT7 govt</stp>
        <stp>PRIOR_CLOSE_MID_YLD</stp>
        <stp>[XMRD US Rates Dashboard.xlsm]Rates!R16C13</stp>
        <tr r="M16" s="1"/>
      </tp>
      <tp>
        <v>0.83211875000000002</v>
        <stp/>
        <stp>##V3_BDPV12</stp>
        <stp>GT2 govt</stp>
        <stp>PRIOR_CLOSE_MID_YLD</stp>
        <stp>[XMRD US Rates Dashboard.xlsm]Rates!R11C13</stp>
        <tr r="M11" s="1"/>
      </tp>
      <tp>
        <v>0.97940625000000003</v>
        <stp/>
        <stp>##V3_BDPV12</stp>
        <stp>GT3 govt</stp>
        <stp>PRIOR_CLOSE_MID_YLD</stp>
        <stp>[XMRD US Rates Dashboard.xlsm]Rates!R12C13</stp>
        <tr r="M12" s="1"/>
      </tp>
      <tp>
        <v>1409.76</v>
        <stp/>
        <stp>##V3_BDPV12</stp>
        <stp>USSP0130  curncy</stp>
        <stp>PX LAST</stp>
        <stp>[XMRD US Rates Dashboard.xlsm]Rates!R105C15</stp>
        <tr r="O105" s="1"/>
      </tp>
      <tp>
        <v>47.45</v>
        <stp/>
        <stp>##V3_BDPV12</stp>
        <stp>USSV0110  curncy</stp>
        <stp>PX LAST</stp>
        <stp>[XMRD US Rates Dashboard.xlsm]Rates!R105C20</stp>
        <tr r="T105" s="1"/>
      </tp>
      <tp>
        <v>42.94</v>
        <stp/>
        <stp>##V3_BDPV12</stp>
        <stp>USSV0115  curncy</stp>
        <stp>PX LAST</stp>
        <stp>[XMRD US Rates Dashboard.xlsm]Rates!R105C21</stp>
        <tr r="U105" s="1"/>
      </tp>
      <tp>
        <v>1061.5899999999999</v>
        <stp/>
        <stp>##V3_BDPV12</stp>
        <stp>USSP0120  curncy</stp>
        <stp>PX LAST</stp>
        <stp>[XMRD US Rates Dashboard.xlsm]Rates!R105C13</stp>
        <tr r="M105" s="1"/>
      </tp>
      <tp>
        <v>1248.6300000000001</v>
        <stp/>
        <stp>##V3_BDPV12</stp>
        <stp>USSP0125  curncy</stp>
        <stp>PX LAST</stp>
        <stp>[XMRD US Rates Dashboard.xlsm]Rates!R105C14</stp>
        <tr r="N105" s="1"/>
      </tp>
      <tp>
        <v>845.9</v>
        <stp/>
        <stp>##V3_BDPV12</stp>
        <stp>USSP0115  curncy</stp>
        <stp>PX LAST</stp>
        <stp>[XMRD US Rates Dashboard.xlsm]Rates!R105C12</stp>
        <tr r="L105" s="1"/>
      </tp>
      <tp>
        <v>40.450000000000003</v>
        <stp/>
        <stp>##V3_BDPV12</stp>
        <stp>USSV0120  curncy</stp>
        <stp>PX LAST</stp>
        <stp>[XMRD US Rates Dashboard.xlsm]Rates!R105C22</stp>
        <tr r="V105" s="1"/>
      </tp>
      <tp>
        <v>38.97</v>
        <stp/>
        <stp>##V3_BDPV12</stp>
        <stp>USSV0125  curncy</stp>
        <stp>PX LAST</stp>
        <stp>[XMRD US Rates Dashboard.xlsm]Rates!R105C23</stp>
        <tr r="W105" s="1"/>
      </tp>
      <tp>
        <v>597.16999999999996</v>
        <stp/>
        <stp>##V3_BDPV12</stp>
        <stp>USSP0110  curncy</stp>
        <stp>PX LAST</stp>
        <stp>[XMRD US Rates Dashboard.xlsm]Rates!R105C11</stp>
        <tr r="K105" s="1"/>
      </tp>
      <tp>
        <v>37.909999999999997</v>
        <stp/>
        <stp>##V3_BDPV12</stp>
        <stp>USSV0130  curncy</stp>
        <stp>PX LAST</stp>
        <stp>[XMRD US Rates Dashboard.xlsm]Rates!R105C24</stp>
        <tr r="X105" s="1"/>
      </tp>
      <tp>
        <v>1.28</v>
        <stp/>
        <stp>##V3_BDPV12</stp>
        <stp>USFR0AG  curncy</stp>
        <stp>last price</stp>
        <stp>[XMRD US Rates Dashboard.xlsm]Rates!R131C9</stp>
        <tr r="I131" s="1"/>
      </tp>
      <tp>
        <v>1.26</v>
        <stp/>
        <stp>##V3_BDPV12</stp>
        <stp>USFR00F  curncy</stp>
        <stp>last price</stp>
        <stp>[XMRD US Rates Dashboard.xlsm]Rates!R130C9</stp>
        <tr r="I130" s="1"/>
      </tp>
      <tp t="s">
        <v>#N/A N/A</v>
        <stp/>
        <stp>##V3_BDPV12</stp>
        <stp>GTUSDBR10Y CORP</stp>
        <stp>last YLD</stp>
        <stp>[XMRD US Rates Dashboard.xlsm]Rates!R17C32</stp>
        <tr r="AF17" s="1"/>
      </tp>
      <tp>
        <v>1.1645000000000001</v>
        <stp/>
        <stp>##V3_BDPV12</stp>
        <stp>ussa3 curncy</stp>
        <stp>ask</stp>
        <stp>[XMRD US Rates Dashboard.xlsm]Rates!R12C19</stp>
        <tr r="S12" s="1"/>
      </tp>
      <tp>
        <v>1.1779999999999999</v>
        <stp/>
        <stp>##V3_BDPV12</stp>
        <stp>ussw3 curncy</stp>
        <stp>ask</stp>
        <stp>[XMRD US Rates Dashboard.xlsm]Rates!R12C17</stp>
        <tr r="Q12" s="1"/>
      </tp>
      <tp>
        <v>15.63</v>
        <stp/>
        <stp>##V3_BDPV12</stp>
        <stp>ussp3 curncy</stp>
        <stp>ask</stp>
        <stp>[XMRD US Rates Dashboard.xlsm]Rates!R12C15</stp>
        <tr r="O12" s="1"/>
      </tp>
      <tp>
        <v>99.5703125</v>
        <stp/>
        <stp>##V3_BDPV12</stp>
        <stp>GT3 govt</stp>
        <stp>bid</stp>
        <stp>[XMRD US Rates Dashboard.xlsm]Rates!R12C7</stp>
        <tr r="G12" s="1"/>
      </tp>
      <tp>
        <v>15.15</v>
        <stp/>
        <stp>##V3_BDPV12</stp>
        <stp>ussp3 curncy</stp>
        <stp>bid</stp>
        <stp>[XMRD US Rates Dashboard.xlsm]Rates!R12C14</stp>
        <tr r="N12" s="1"/>
      </tp>
      <tp>
        <v>1.1754</v>
        <stp/>
        <stp>##V3_BDPV12</stp>
        <stp>ussw3 curncy</stp>
        <stp>bid</stp>
        <stp>[XMRD US Rates Dashboard.xlsm]Rates!R12C16</stp>
        <tr r="P12" s="1"/>
      </tp>
      <tp>
        <v>1.1615</v>
        <stp/>
        <stp>##V3_BDPV12</stp>
        <stp>ussa3 curncy</stp>
        <stp>bid</stp>
        <stp>[XMRD US Rates Dashboard.xlsm]Rates!R12C18</stp>
        <tr r="R12" s="1"/>
      </tp>
      <tp>
        <v>99.04</v>
        <stp/>
        <stp>##V3_BDPV12</stp>
        <stp>EDZ6 comdty</stp>
        <stp>bid</stp>
        <stp>[XMRD US Rates Dashboard.xlsm]Rates!R72C8</stp>
        <tr r="H72" s="1"/>
      </tp>
      <tp t="s">
        <v>NOV 16</v>
        <stp/>
        <stp>##V3_BDPV12</stp>
        <stp>CLX6 comdty</stp>
        <stp>FUT_MONTH_YR</stp>
        <stp>[XMRD US Rates Dashboard.xlsm]Rates!R120C7</stp>
        <tr r="G120" s="1"/>
      </tp>
      <tp>
        <v>-0.05</v>
        <stp/>
        <stp>##V3_BDPV12</stp>
        <stp>GTJPY10Y CORP</stp>
        <stp>last YLD</stp>
        <stp>[XMRD US Rates Dashboard.xlsm]Rates!R13C32</stp>
        <tr r="AF13" s="1"/>
      </tp>
      <tp>
        <v>1.0860000000000001</v>
        <stp/>
        <stp>##V3_BDPV12</stp>
        <stp>ussa2 curncy</stp>
        <stp>ask</stp>
        <stp>[XMRD US Rates Dashboard.xlsm]Rates!R11C19</stp>
        <tr r="S11" s="1"/>
      </tp>
      <tp>
        <v>1.1002000000000001</v>
        <stp/>
        <stp>##V3_BDPV12</stp>
        <stp>ussw2 curncy</stp>
        <stp>ask</stp>
        <stp>[XMRD US Rates Dashboard.xlsm]Rates!R11C17</stp>
        <tr r="Q11" s="1"/>
      </tp>
      <tp>
        <v>23.15</v>
        <stp/>
        <stp>##V3_BDPV12</stp>
        <stp>ussp2 curncy</stp>
        <stp>ask</stp>
        <stp>[XMRD US Rates Dashboard.xlsm]Rates!R11C15</stp>
        <tr r="O11" s="1"/>
      </tp>
      <tp>
        <v>22.88</v>
        <stp/>
        <stp>##V3_BDPV12</stp>
        <stp>ussp2 curncy</stp>
        <stp>bid</stp>
        <stp>[XMRD US Rates Dashboard.xlsm]Rates!R11C14</stp>
        <tr r="N11" s="1"/>
      </tp>
      <tp>
        <v>1.0972</v>
        <stp/>
        <stp>##V3_BDPV12</stp>
        <stp>ussw2 curncy</stp>
        <stp>bid</stp>
        <stp>[XMRD US Rates Dashboard.xlsm]Rates!R11C16</stp>
        <tr r="P11" s="1"/>
      </tp>
      <tp>
        <v>1.0845</v>
        <stp/>
        <stp>##V3_BDPV12</stp>
        <stp>ussa2 curncy</stp>
        <stp>bid</stp>
        <stp>[XMRD US Rates Dashboard.xlsm]Rates!R11C18</stp>
        <tr r="R11" s="1"/>
      </tp>
      <tp t="s">
        <v>DEC 16</v>
        <stp/>
        <stp>##V3_BDPV12</stp>
        <stp>CLZ6 comdty</stp>
        <stp>FUT_MONTH_YR</stp>
        <stp>[XMRD US Rates Dashboard.xlsm]Rates!R121C7</stp>
        <tr r="G121" s="1"/>
      </tp>
      <tp>
        <v>3067.83</v>
        <stp/>
        <stp>##V3_BDPV12</stp>
        <stp>USSP0730  curncy</stp>
        <stp>PX LAST</stp>
        <stp>[XMRD US Rates Dashboard.xlsm]Rates!R110C15</stp>
        <tr r="O110" s="1"/>
      </tp>
      <tp>
        <v>40.33</v>
        <stp/>
        <stp>##V3_BDPV12</stp>
        <stp>USSV0710  curncy</stp>
        <stp>PX LAST</stp>
        <stp>[XMRD US Rates Dashboard.xlsm]Rates!R110C20</stp>
        <tr r="T110" s="1"/>
      </tp>
      <tp>
        <v>2354.4899999999998</v>
        <stp/>
        <stp>##V3_BDPV12</stp>
        <stp>USSP0720  curncy</stp>
        <stp>PX LAST</stp>
        <stp>[XMRD US Rates Dashboard.xlsm]Rates!R110C13</stp>
        <tr r="M110" s="1"/>
      </tp>
      <tp>
        <v>37.409999999999997</v>
        <stp/>
        <stp>##V3_BDPV12</stp>
        <stp>USSV0715  curncy</stp>
        <stp>PX LAST</stp>
        <stp>[XMRD US Rates Dashboard.xlsm]Rates!R110C21</stp>
        <tr r="U110" s="1"/>
      </tp>
      <tp>
        <v>2730.9</v>
        <stp/>
        <stp>##V3_BDPV12</stp>
        <stp>USSP0725  curncy</stp>
        <stp>PX LAST</stp>
        <stp>[XMRD US Rates Dashboard.xlsm]Rates!R110C14</stp>
        <tr r="N110" s="1"/>
      </tp>
      <tp>
        <v>1964.88</v>
        <stp/>
        <stp>##V3_BDPV12</stp>
        <stp>USSP0715  curncy</stp>
        <stp>PX LAST</stp>
        <stp>[XMRD US Rates Dashboard.xlsm]Rates!R110C12</stp>
        <tr r="L110" s="1"/>
      </tp>
      <tp>
        <v>34.950000000000003</v>
        <stp/>
        <stp>##V3_BDPV12</stp>
        <stp>USSV0720  curncy</stp>
        <stp>PX LAST</stp>
        <stp>[XMRD US Rates Dashboard.xlsm]Rates!R110C22</stp>
        <tr r="V110" s="1"/>
      </tp>
      <tp>
        <v>1451.53</v>
        <stp/>
        <stp>##V3_BDPV12</stp>
        <stp>USSP0710  curncy</stp>
        <stp>PX LAST</stp>
        <stp>[XMRD US Rates Dashboard.xlsm]Rates!R110C11</stp>
        <tr r="K110" s="1"/>
      </tp>
      <tp>
        <v>33.229999999999997</v>
        <stp/>
        <stp>##V3_BDPV12</stp>
        <stp>USSV0725  curncy</stp>
        <stp>PX LAST</stp>
        <stp>[XMRD US Rates Dashboard.xlsm]Rates!R110C23</stp>
        <tr r="W110" s="1"/>
      </tp>
      <tp>
        <v>33.4</v>
        <stp/>
        <stp>##V3_BDPV12</stp>
        <stp>USSV0730  curncy</stp>
        <stp>PX LAST</stp>
        <stp>[XMRD US Rates Dashboard.xlsm]Rates!R110C24</stp>
        <tr r="X110" s="1"/>
      </tp>
      <tp>
        <v>98.66</v>
        <stp/>
        <stp>##V3_BDPV12</stp>
        <stp>EDZ8 comdty</stp>
        <stp>bid</stp>
        <stp>[XMRD US Rates Dashboard.xlsm]Rates!R80C8</stp>
        <tr r="H80" s="1"/>
      </tp>
      <tp t="s">
        <v>JAN 17</v>
        <stp/>
        <stp>##V3_BDPV12</stp>
        <stp>CLF7 comdty</stp>
        <stp>FUT_MONTH_YR</stp>
        <stp>[XMRD US Rates Dashboard.xlsm]Rates!R122C7</stp>
        <tr r="G122" s="1"/>
      </tp>
      <tp>
        <v>2633.46</v>
        <stp/>
        <stp>##V3_BDPV12</stp>
        <stp>USSP0430  curncy</stp>
        <stp>PX LAST</stp>
        <stp>[XMRD US Rates Dashboard.xlsm]Rates!R108C15</stp>
        <tr r="O108" s="1"/>
      </tp>
      <tp>
        <v>44.29</v>
        <stp/>
        <stp>##V3_BDPV12</stp>
        <stp>USSV0410  curncy</stp>
        <stp>PX LAST</stp>
        <stp>[XMRD US Rates Dashboard.xlsm]Rates!R108C20</stp>
        <tr r="T108" s="1"/>
      </tp>
      <tp>
        <v>40.74</v>
        <stp/>
        <stp>##V3_BDPV12</stp>
        <stp>USSV0415  curncy</stp>
        <stp>PX LAST</stp>
        <stp>[XMRD US Rates Dashboard.xlsm]Rates!R108C21</stp>
        <tr r="U108" s="1"/>
      </tp>
      <tp>
        <v>2010.81</v>
        <stp/>
        <stp>##V3_BDPV12</stp>
        <stp>USSP0420  curncy</stp>
        <stp>PX LAST</stp>
        <stp>[XMRD US Rates Dashboard.xlsm]Rates!R108C13</stp>
        <tr r="M108" s="1"/>
      </tp>
      <tp>
        <v>2353.2199999999998</v>
        <stp/>
        <stp>##V3_BDPV12</stp>
        <stp>USSP0425  curncy</stp>
        <stp>PX LAST</stp>
        <stp>[XMRD US Rates Dashboard.xlsm]Rates!R108C14</stp>
        <tr r="N108" s="1"/>
      </tp>
      <tp>
        <v>1651.91</v>
        <stp/>
        <stp>##V3_BDPV12</stp>
        <stp>USSP0415  curncy</stp>
        <stp>PX LAST</stp>
        <stp>[XMRD US Rates Dashboard.xlsm]Rates!R108C12</stp>
        <tr r="L108" s="1"/>
      </tp>
      <tp>
        <v>38.24</v>
        <stp/>
        <stp>##V3_BDPV12</stp>
        <stp>USSV0420  curncy</stp>
        <stp>PX LAST</stp>
        <stp>[XMRD US Rates Dashboard.xlsm]Rates!R108C22</stp>
        <tr r="V108" s="1"/>
      </tp>
      <tp>
        <v>37.14</v>
        <stp/>
        <stp>##V3_BDPV12</stp>
        <stp>USSV0425  curncy</stp>
        <stp>PX LAST</stp>
        <stp>[XMRD US Rates Dashboard.xlsm]Rates!R108C23</stp>
        <tr r="W108" s="1"/>
      </tp>
      <tp>
        <v>1200.78</v>
        <stp/>
        <stp>##V3_BDPV12</stp>
        <stp>USSP0410  curncy</stp>
        <stp>PX LAST</stp>
        <stp>[XMRD US Rates Dashboard.xlsm]Rates!R108C11</stp>
        <tr r="K108" s="1"/>
      </tp>
      <tp>
        <v>36.47</v>
        <stp/>
        <stp>##V3_BDPV12</stp>
        <stp>USSV0430  curncy</stp>
        <stp>PX LAST</stp>
        <stp>[XMRD US Rates Dashboard.xlsm]Rates!R108C24</stp>
        <tr r="X108" s="1"/>
      </tp>
      <tp>
        <v>0.68500000000000005</v>
        <stp/>
        <stp>##V3_BDPV12</stp>
        <stp>USSO1I  Curncy</stp>
        <stp>Bid</stp>
        <stp>[XMRD US Rates Dashboard.xlsm]Rates!R66C7</stp>
        <tr r="G66" s="1"/>
      </tp>
      <tp>
        <v>0.98570000000000002</v>
        <stp/>
        <stp>##V3_BDPV12</stp>
        <stp>USFR0DG  curncy</stp>
        <stp>last price</stp>
        <stp>[XMRD US Rates Dashboard.xlsm]Rates!R134C7</stp>
        <tr r="G134" s="1"/>
      </tp>
      <tp>
        <v>1.06</v>
        <stp/>
        <stp>##V3_BDPV12</stp>
        <stp>USFR0HK  curncy</stp>
        <stp>last price</stp>
        <stp>[XMRD US Rates Dashboard.xlsm]Rates!R138C7</stp>
        <tr r="G138" s="1"/>
      </tp>
      <tp>
        <v>99.765625</v>
        <stp/>
        <stp>##V3_BDPV12</stp>
        <stp>GT2 govt</stp>
        <stp>bid</stp>
        <stp>[XMRD US Rates Dashboard.xlsm]Rates!R11C7</stp>
        <tr r="G11" s="1"/>
      </tp>
      <tp t="s">
        <v>FEB 17</v>
        <stp/>
        <stp>##V3_BDPV12</stp>
        <stp>CLG7 comdty</stp>
        <stp>FUT_MONTH_YR</stp>
        <stp>[XMRD US Rates Dashboard.xlsm]Rates!R123C7</stp>
        <tr r="G123" s="1"/>
      </tp>
      <tp>
        <v>3013.33</v>
        <stp/>
        <stp>##V3_BDPV12</stp>
        <stp>USSP2530  curncy</stp>
        <stp>PX LAST</stp>
        <stp>[XMRD US Rates Dashboard.xlsm]Rates!R114C15</stp>
        <tr r="O114" s="1"/>
      </tp>
      <tp>
        <v>3039.2</v>
        <stp/>
        <stp>##V3_BDPV12</stp>
        <stp>USSP1530  curncy</stp>
        <stp>PX LAST</stp>
        <stp>[XMRD US Rates Dashboard.xlsm]Rates!R112C15</stp>
        <tr r="O112" s="1"/>
      </tp>
      <tp>
        <v>2896.06</v>
        <stp/>
        <stp>##V3_BDPV12</stp>
        <stp>USSP0530  curncy</stp>
        <stp>PX LAST</stp>
        <stp>[XMRD US Rates Dashboard.xlsm]Rates!R109C15</stp>
        <tr r="O109" s="1"/>
      </tp>
      <tp>
        <v>43.05</v>
        <stp/>
        <stp>##V3_BDPV12</stp>
        <stp>USSV0510  curncy</stp>
        <stp>PX LAST</stp>
        <stp>[XMRD US Rates Dashboard.xlsm]Rates!R109C20</stp>
        <tr r="T109" s="1"/>
      </tp>
      <tp>
        <v>30.51</v>
        <stp/>
        <stp>##V3_BDPV12</stp>
        <stp>USSV2510  curncy</stp>
        <stp>PX LAST</stp>
        <stp>[XMRD US Rates Dashboard.xlsm]Rates!R114C20</stp>
        <tr r="T114" s="1"/>
      </tp>
      <tp>
        <v>31.97</v>
        <stp/>
        <stp>##V3_BDPV12</stp>
        <stp>USSV1510  curncy</stp>
        <stp>PX LAST</stp>
        <stp>[XMRD US Rates Dashboard.xlsm]Rates!R112C20</stp>
        <tr r="T112" s="1"/>
      </tp>
      <tp>
        <v>39.89</v>
        <stp/>
        <stp>##V3_BDPV12</stp>
        <stp>USSV0515  curncy</stp>
        <stp>PX LAST</stp>
        <stp>[XMRD US Rates Dashboard.xlsm]Rates!R109C21</stp>
        <tr r="U109" s="1"/>
      </tp>
      <tp>
        <v>2285.5</v>
        <stp/>
        <stp>##V3_BDPV12</stp>
        <stp>USSP2520  curncy</stp>
        <stp>PX LAST</stp>
        <stp>[XMRD US Rates Dashboard.xlsm]Rates!R114C13</stp>
        <tr r="M114" s="1"/>
      </tp>
      <tp>
        <v>2355.25</v>
        <stp/>
        <stp>##V3_BDPV12</stp>
        <stp>USSP1520  curncy</stp>
        <stp>PX LAST</stp>
        <stp>[XMRD US Rates Dashboard.xlsm]Rates!R112C13</stp>
        <tr r="M112" s="1"/>
      </tp>
      <tp>
        <v>2200.75</v>
        <stp/>
        <stp>##V3_BDPV12</stp>
        <stp>USSP0520  curncy</stp>
        <stp>PX LAST</stp>
        <stp>[XMRD US Rates Dashboard.xlsm]Rates!R109C13</stp>
        <tr r="M109" s="1"/>
      </tp>
      <tp>
        <v>28.4</v>
        <stp/>
        <stp>##V3_BDPV12</stp>
        <stp>USSV2515  curncy</stp>
        <stp>PX LAST</stp>
        <stp>[XMRD US Rates Dashboard.xlsm]Rates!R114C21</stp>
        <tr r="U114" s="1"/>
      </tp>
      <tp>
        <v>30.03</v>
        <stp/>
        <stp>##V3_BDPV12</stp>
        <stp>USSV1515  curncy</stp>
        <stp>PX LAST</stp>
        <stp>[XMRD US Rates Dashboard.xlsm]Rates!R112C21</stp>
        <tr r="U112" s="1"/>
      </tp>
      <tp>
        <v>2677.97</v>
        <stp/>
        <stp>##V3_BDPV12</stp>
        <stp>USSP2525  curncy</stp>
        <stp>PX LAST</stp>
        <stp>[XMRD US Rates Dashboard.xlsm]Rates!R114C14</stp>
        <tr r="N114" s="1"/>
      </tp>
      <tp>
        <v>2735.1</v>
        <stp/>
        <stp>##V3_BDPV12</stp>
        <stp>USSP1525  curncy</stp>
        <stp>PX LAST</stp>
        <stp>[XMRD US Rates Dashboard.xlsm]Rates!R112C14</stp>
        <tr r="N112" s="1"/>
      </tp>
      <tp>
        <v>2576.61</v>
        <stp/>
        <stp>##V3_BDPV12</stp>
        <stp>USSP0525  curncy</stp>
        <stp>PX LAST</stp>
        <stp>[XMRD US Rates Dashboard.xlsm]Rates!R109C14</stp>
        <tr r="N109" s="1"/>
      </tp>
      <tp>
        <v>1878.79</v>
        <stp/>
        <stp>##V3_BDPV12</stp>
        <stp>USSP2515  curncy</stp>
        <stp>PX LAST</stp>
        <stp>[XMRD US Rates Dashboard.xlsm]Rates!R114C12</stp>
        <tr r="L114" s="1"/>
      </tp>
      <tp>
        <v>1983.39</v>
        <stp/>
        <stp>##V3_BDPV12</stp>
        <stp>USSP1515  curncy</stp>
        <stp>PX LAST</stp>
        <stp>[XMRD US Rates Dashboard.xlsm]Rates!R112C12</stp>
        <tr r="L112" s="1"/>
      </tp>
      <tp>
        <v>1811.99</v>
        <stp/>
        <stp>##V3_BDPV12</stp>
        <stp>USSP0515  curncy</stp>
        <stp>PX LAST</stp>
        <stp>[XMRD US Rates Dashboard.xlsm]Rates!R109C12</stp>
        <tr r="L109" s="1"/>
      </tp>
      <tp>
        <v>37.619999999999997</v>
        <stp/>
        <stp>##V3_BDPV12</stp>
        <stp>USSV0520  curncy</stp>
        <stp>PX LAST</stp>
        <stp>[XMRD US Rates Dashboard.xlsm]Rates!R109C22</stp>
        <tr r="V109" s="1"/>
      </tp>
      <tp>
        <v>27.51</v>
        <stp/>
        <stp>##V3_BDPV12</stp>
        <stp>USSV2520  curncy</stp>
        <stp>PX LAST</stp>
        <stp>[XMRD US Rates Dashboard.xlsm]Rates!R114C22</stp>
        <tr r="V114" s="1"/>
      </tp>
      <tp>
        <v>28.46</v>
        <stp/>
        <stp>##V3_BDPV12</stp>
        <stp>USSV1520  curncy</stp>
        <stp>PX LAST</stp>
        <stp>[XMRD US Rates Dashboard.xlsm]Rates!R112C22</stp>
        <tr r="V112" s="1"/>
      </tp>
      <tp>
        <v>36.71</v>
        <stp/>
        <stp>##V3_BDPV12</stp>
        <stp>USSV0525  curncy</stp>
        <stp>PX LAST</stp>
        <stp>[XMRD US Rates Dashboard.xlsm]Rates!R109C23</stp>
        <tr r="W109" s="1"/>
      </tp>
      <tp>
        <v>1357.79</v>
        <stp/>
        <stp>##V3_BDPV12</stp>
        <stp>USSP2510  curncy</stp>
        <stp>PX LAST</stp>
        <stp>[XMRD US Rates Dashboard.xlsm]Rates!R114C11</stp>
        <tr r="K114" s="1"/>
      </tp>
      <tp>
        <v>1475.68</v>
        <stp/>
        <stp>##V3_BDPV12</stp>
        <stp>USSP1510  curncy</stp>
        <stp>PX LAST</stp>
        <stp>[XMRD US Rates Dashboard.xlsm]Rates!R112C11</stp>
        <tr r="K112" s="1"/>
      </tp>
      <tp>
        <v>1320.93</v>
        <stp/>
        <stp>##V3_BDPV12</stp>
        <stp>USSP0510  curncy</stp>
        <stp>PX LAST</stp>
        <stp>[XMRD US Rates Dashboard.xlsm]Rates!R109C11</stp>
        <tr r="K109" s="1"/>
      </tp>
      <tp>
        <v>26.64</v>
        <stp/>
        <stp>##V3_BDPV12</stp>
        <stp>USSV2525  curncy</stp>
        <stp>PX LAST</stp>
        <stp>[XMRD US Rates Dashboard.xlsm]Rates!R114C23</stp>
        <tr r="W114" s="1"/>
      </tp>
      <tp>
        <v>27.35</v>
        <stp/>
        <stp>##V3_BDPV12</stp>
        <stp>USSV1525  curncy</stp>
        <stp>PX LAST</stp>
        <stp>[XMRD US Rates Dashboard.xlsm]Rates!R112C23</stp>
        <tr r="W112" s="1"/>
      </tp>
      <tp>
        <v>36.25</v>
        <stp/>
        <stp>##V3_BDPV12</stp>
        <stp>USSV0530  curncy</stp>
        <stp>PX LAST</stp>
        <stp>[XMRD US Rates Dashboard.xlsm]Rates!R109C24</stp>
        <tr r="X109" s="1"/>
      </tp>
      <tp>
        <v>25.53</v>
        <stp/>
        <stp>##V3_BDPV12</stp>
        <stp>USSV2530  curncy</stp>
        <stp>PX LAST</stp>
        <stp>[XMRD US Rates Dashboard.xlsm]Rates!R114C24</stp>
        <tr r="X114" s="1"/>
      </tp>
      <tp>
        <v>26.79</v>
        <stp/>
        <stp>##V3_BDPV12</stp>
        <stp>USSV1530  curncy</stp>
        <stp>PX LAST</stp>
        <stp>[XMRD US Rates Dashboard.xlsm]Rates!R112C24</stp>
        <tr r="X112" s="1"/>
      </tp>
      <tp>
        <v>99.7734375</v>
        <stp/>
        <stp>##V3_BDPV12</stp>
        <stp>GT2 govt</stp>
        <stp>ask</stp>
        <stp>[XMRD US Rates Dashboard.xlsm]Rates!R11C8</stp>
        <tr r="H11" s="1"/>
      </tp>
      <tp t="s">
        <v>NGX6</v>
        <stp/>
        <stp>##V3_BDPV12</stp>
        <stp>NG1 comdty</stp>
        <stp>FUT_CUR_GEN_TICKER</stp>
        <stp>[XMRD US Rates Dashboard.xlsm]Rates!R120C9</stp>
        <tr r="I120" s="1"/>
      </tp>
      <tp>
        <v>0.38300000000000001</v>
        <stp/>
        <stp>##V3_BDPV12</stp>
        <stp>EURTN Curncy</stp>
        <stp>ask</stp>
        <stp>[XMRD US Rates Dashboard.xlsm]Rates!R89C8</stp>
        <tr r="H89" s="1"/>
      </tp>
      <tp>
        <v>1.0605</v>
        <stp/>
        <stp>##V3_BDPV12</stp>
        <stp>USFR0GJ  curncy</stp>
        <stp>last price</stp>
        <stp>[XMRD US Rates Dashboard.xlsm]Rates!R137C7</stp>
        <tr r="G137" s="1"/>
      </tp>
      <tp>
        <v>1.0306999999999999</v>
        <stp/>
        <stp>##V3_BDPV12</stp>
        <stp>USFR0EH  curncy</stp>
        <stp>last price</stp>
        <stp>[XMRD US Rates Dashboard.xlsm]Rates!R135C7</stp>
        <tr r="G135" s="1"/>
      </tp>
      <tp t="s">
        <v>NGZ6</v>
        <stp/>
        <stp>##V3_BDPV12</stp>
        <stp>NG2 comdty</stp>
        <stp>FUT_CUR_GEN_TICKER</stp>
        <stp>[XMRD US Rates Dashboard.xlsm]Rates!R121C9</stp>
        <tr r="I121" s="1"/>
      </tp>
      <tp>
        <v>0.98722299999999996</v>
        <stp/>
        <stp>##V3_BDPV12</stp>
        <stp>GTGBP10Y CORP</stp>
        <stp>last YLD</stp>
        <stp>[XMRD US Rates Dashboard.xlsm]Rates!R14C32</stp>
        <tr r="AF14" s="1"/>
      </tp>
      <tp>
        <v>98.54</v>
        <stp/>
        <stp>##V3_BDPV12</stp>
        <stp>EDU9 comdty</stp>
        <stp>bid</stp>
        <stp>[XMRD US Rates Dashboard.xlsm]Rates!R83C8</stp>
        <tr r="H83" s="1"/>
      </tp>
      <tp t="s">
        <v>NGF7</v>
        <stp/>
        <stp>##V3_BDPV12</stp>
        <stp>NG3 comdty</stp>
        <stp>FUT_CUR_GEN_TICKER</stp>
        <stp>[XMRD US Rates Dashboard.xlsm]Rates!R122C9</stp>
        <tr r="I122" s="1"/>
      </tp>
      <tp>
        <v>4.9586999999999999E-2</v>
        <stp/>
        <stp>##V3_BDPV12</stp>
        <stp>GTDEM10Y CORP</stp>
        <stp>last YLD</stp>
        <stp>[XMRD US Rates Dashboard.xlsm]Rates!R12C32</stp>
        <tr r="AF12" s="1"/>
      </tp>
      <tp>
        <v>0.67300000000000004</v>
        <stp/>
        <stp>##V3_BDPV12</stp>
        <stp>USSO1F  Curncy</stp>
        <stp>Bid</stp>
        <stp>[XMRD US Rates Dashboard.xlsm]Rates!R65C7</stp>
        <tr r="G65" s="1"/>
      </tp>
      <tp>
        <v>1.022</v>
        <stp/>
        <stp>##V3_BDPV12</stp>
        <stp>USFR0FI  curncy</stp>
        <stp>last price</stp>
        <stp>[XMRD US Rates Dashboard.xlsm]Rates!R136C7</stp>
        <tr r="G136" s="1"/>
      </tp>
      <tp>
        <v>99.578125</v>
        <stp/>
        <stp>##V3_BDPV12</stp>
        <stp>GT3 govt</stp>
        <stp>ask</stp>
        <stp>[XMRD US Rates Dashboard.xlsm]Rates!R12C8</stp>
        <tr r="H12" s="1"/>
      </tp>
      <tp t="s">
        <v>NGG7</v>
        <stp/>
        <stp>##V3_BDPV12</stp>
        <stp>NG4 comdty</stp>
        <stp>FUT_CUR_GEN_TICKER</stp>
        <stp>[XMRD US Rates Dashboard.xlsm]Rates!R123C9</stp>
        <tr r="I123" s="1"/>
      </tp>
      <tp>
        <v>1.331</v>
        <stp/>
        <stp>##V3_BDPV12</stp>
        <stp>USFR0DJ  curncy</stp>
        <stp>last price</stp>
        <stp>[XMRD US Rates Dashboard.xlsm]Rates!R134C9</stp>
        <tr r="I134" s="1"/>
      </tp>
      <tp>
        <v>1.3380000000000001</v>
        <stp/>
        <stp>##V3_BDPV12</stp>
        <stp>USFR0EK  curncy</stp>
        <stp>last price</stp>
        <stp>[XMRD US Rates Dashboard.xlsm]Rates!R135C9</stp>
        <tr r="I135" s="1"/>
      </tp>
      <tp t="s">
        <v>#N/A N/A</v>
        <stp/>
        <stp>##V3_BDPV12</stp>
        <stp>USFR0E1E  curncy</stp>
        <stp>last price</stp>
        <stp>[XMRD US Rates Dashboard.xlsm]Rates!R135C13</stp>
        <tr r="M135" s="1"/>
      </tp>
      <tp t="s">
        <v>#N/A N/A</v>
        <stp/>
        <stp>##V3_BDPV12</stp>
        <stp>USFR0E1B  curncy</stp>
        <stp>last price</stp>
        <stp>[XMRD US Rates Dashboard.xlsm]Rates!R134C11</stp>
        <tr r="K134" s="1"/>
      </tp>
      <tp t="s">
        <v>#N/A N/A</v>
        <stp/>
        <stp>##V3_BDPV12</stp>
        <stp>USFR0D1D  curncy</stp>
        <stp>last price</stp>
        <stp>[XMRD US Rates Dashboard.xlsm]Rates!R134C13</stp>
        <tr r="M134" s="1"/>
      </tp>
      <tp t="s">
        <v>#N/A N/A</v>
        <stp/>
        <stp>##V3_BDPV12</stp>
        <stp>USFR0D1A  curncy</stp>
        <stp>last price</stp>
        <stp>[XMRD US Rates Dashboard.xlsm]Rates!R133C11</stp>
        <tr r="K133" s="1"/>
      </tp>
      <tp t="s">
        <v>#N/A N/A</v>
        <stp/>
        <stp>##V3_BDPV12</stp>
        <stp>USFR0G1D  curncy</stp>
        <stp>last price</stp>
        <stp>[XMRD US Rates Dashboard.xlsm]Rates!R136C11</stp>
        <tr r="K136" s="1"/>
      </tp>
      <tp t="s">
        <v>#N/A N/A</v>
        <stp/>
        <stp>##V3_BDPV12</stp>
        <stp>USFR0F1F  curncy</stp>
        <stp>last price</stp>
        <stp>[XMRD US Rates Dashboard.xlsm]Rates!R136C13</stp>
        <tr r="M136" s="1"/>
      </tp>
      <tp t="s">
        <v>#N/A N/A</v>
        <stp/>
        <stp>##V3_BDPV12</stp>
        <stp>USFR0F1C  curncy</stp>
        <stp>last price</stp>
        <stp>[XMRD US Rates Dashboard.xlsm]Rates!R135C11</stp>
        <tr r="K135" s="1"/>
      </tp>
      <tp t="s">
        <v>#N/A N/A</v>
        <stp/>
        <stp>##V3_BDPV12</stp>
        <stp>USFR0A1A  curncy</stp>
        <stp>last price</stp>
        <stp>[XMRD US Rates Dashboard.xlsm]Rates!R131C13</stp>
        <tr r="M131" s="1"/>
      </tp>
      <tp t="s">
        <v>#N/A N/A</v>
        <stp/>
        <stp>##V3_BDPV12</stp>
        <stp>USFR0C1C  curncy</stp>
        <stp>last price</stp>
        <stp>[XMRD US Rates Dashboard.xlsm]Rates!R133C13</stp>
        <tr r="M133" s="1"/>
      </tp>
      <tp t="s">
        <v>#N/A N/A</v>
        <stp/>
        <stp>##V3_BDPV12</stp>
        <stp>USFR0B1B  curncy</stp>
        <stp>last price</stp>
        <stp>[XMRD US Rates Dashboard.xlsm]Rates!R132C13</stp>
        <tr r="M132" s="1"/>
      </tp>
      <tp t="s">
        <v>#N/A N/A</v>
        <stp/>
        <stp>##V3_BDPV12</stp>
        <stp>USFR0I1I  curncy</stp>
        <stp>last price</stp>
        <stp>[XMRD US Rates Dashboard.xlsm]Rates!R137C13</stp>
        <tr r="M137" s="1"/>
      </tp>
      <tp>
        <v>98.88</v>
        <stp/>
        <stp>##V3_BDPV12</stp>
        <stp>EDU7 comdty</stp>
        <stp>bid</stp>
        <stp>[XMRD US Rates Dashboard.xlsm]Rates!R75C8</stp>
        <tr r="H75" s="1"/>
      </tp>
      <tp t="s">
        <v>#N/A N/A</v>
        <stp/>
        <stp>##V3_BDPV12</stp>
        <stp>USSA0X2   curncy</stp>
        <stp>last price</stp>
        <stp>[XMRD US Rates Dashboard.xlsm]Rates!R139C18</stp>
        <tr r="R139" s="1"/>
      </tp>
      <tp t="s">
        <v>#N/A N/A</v>
        <stp/>
        <stp>##V3_BDPV12</stp>
        <stp>USSA0X7   curncy</stp>
        <stp>last price</stp>
        <stp>[XMRD US Rates Dashboard.xlsm]Rates!R146C18</stp>
        <tr r="R146" s="1"/>
      </tp>
      <tp t="s">
        <v>#N/A N/A</v>
        <stp/>
        <stp>##V3_BDPV12</stp>
        <stp>USSA0X6   curncy</stp>
        <stp>last price</stp>
        <stp>[XMRD US Rates Dashboard.xlsm]Rates!R146C16</stp>
        <tr r="P146" s="1"/>
      </tp>
      <tp t="s">
        <v>#N/A N/A</v>
        <stp/>
        <stp>##V3_BDPV12</stp>
        <stp>USSA0XF1  curncy</stp>
        <stp>last price</stp>
        <stp>[XMRD US Rates Dashboard.xlsm]Rates!R129C16</stp>
        <tr r="P129" s="1"/>
      </tp>
      <tp t="s">
        <v>#N/A N/A</v>
        <stp/>
        <stp>##V3_BDPV12</stp>
        <stp>USSA0X8   curncy</stp>
        <stp>last price</stp>
        <stp>[XMRD US Rates Dashboard.xlsm]Rates!R146C20</stp>
        <tr r="T146" s="1"/>
      </tp>
      <tp t="s">
        <v>#N/A N/A</v>
        <stp/>
        <stp>##V3_BDPV12</stp>
        <stp>USSA0X9   curncy</stp>
        <stp>last price</stp>
        <stp>[XMRD US Rates Dashboard.xlsm]Rates!R146C22</stp>
        <tr r="V146" s="1"/>
      </tp>
      <tp t="s">
        <v>#N/A N/A</v>
        <stp/>
        <stp>##V3_BDPV12</stp>
        <stp>USSA0X3   curncy</stp>
        <stp>last price</stp>
        <stp>[XMRD US Rates Dashboard.xlsm]Rates!R139C20</stp>
        <tr r="T139" s="1"/>
      </tp>
      <tp t="s">
        <v>#N/A N/A</v>
        <stp/>
        <stp>##V3_BDPV12</stp>
        <stp>USSA0X1   curncy</stp>
        <stp>last price</stp>
        <stp>[XMRD US Rates Dashboard.xlsm]Rates!R129C20</stp>
        <tr r="T129" s="1"/>
      </tp>
      <tp t="s">
        <v>#N/A N/A</v>
        <stp/>
        <stp>##V3_BDPV12</stp>
        <stp>USSA0X5   curncy</stp>
        <stp>last price</stp>
        <stp>[XMRD US Rates Dashboard.xlsm]Rates!R139C24</stp>
        <tr r="X139" s="1"/>
      </tp>
      <tp t="s">
        <v>#N/A N/A</v>
        <stp/>
        <stp>##V3_BDPV12</stp>
        <stp>USSA0X4   curncy</stp>
        <stp>last price</stp>
        <stp>[XMRD US Rates Dashboard.xlsm]Rates!R139C22</stp>
        <tr r="V139" s="1"/>
      </tp>
      <tp t="s">
        <v>#N/A N/A</v>
        <stp/>
        <stp>##V3_BDPV12</stp>
        <stp>USFR0304  curncy</stp>
        <stp>last price</stp>
        <stp>[XMRD US Rates Dashboard.xlsm]Rates!R146C13</stp>
        <tr r="M146" s="1"/>
      </tp>
    </main>
    <main first="bloomberg.rtd">
      <tp>
        <v>99.125</v>
        <stp/>
        <stp>##V3_BDPV12</stp>
        <stp>GT5 govt</stp>
        <stp>ask</stp>
        <stp>[XMRD US Rates Dashboard.xlsm]Rates!R14C8</stp>
        <tr r="H14" s="1"/>
      </tp>
      <tp t="s">
        <v>#N/A N/A</v>
        <stp/>
        <stp>##V3_BDPV12</stp>
        <stp>USFR1F2F  curncy</stp>
        <stp>last price</stp>
        <stp>[XMRD US Rates Dashboard.xlsm]Rates!R140C13</stp>
        <tr r="M140" s="1"/>
      </tp>
      <tp t="s">
        <v>#N/A N/A</v>
        <stp/>
        <stp>##V3_BDPV12</stp>
        <stp>USFR1C2C  curncy</stp>
        <stp>last price</stp>
        <stp>[XMRD US Rates Dashboard.xlsm]Rates!R139C13</stp>
        <tr r="M139" s="1"/>
      </tp>
      <tp t="s">
        <v>#N/A N/A</v>
        <stp/>
        <stp>##V3_BDPV12</stp>
        <stp>USFR1I2I  curncy</stp>
        <stp>last price</stp>
        <stp>[XMRD US Rates Dashboard.xlsm]Rates!R141C13</stp>
        <tr r="M141" s="1"/>
      </tp>
      <tp>
        <v>1.169</v>
        <stp/>
        <stp>##V3_BDPV12</stp>
        <stp>GTCAD10Y CORP</stp>
        <stp>last YLD</stp>
        <stp>[XMRD US Rates Dashboard.xlsm]Rates!R15C32</stp>
        <tr r="AF15" s="1"/>
      </tp>
      <tp>
        <v>1.5485</v>
        <stp/>
        <stp>##V3_BDPV12</stp>
        <stp>ussa9 curncy</stp>
        <stp>ask</stp>
        <stp>[XMRD US Rates Dashboard.xlsm]Rates!R18C19</stp>
        <tr r="S18" s="1"/>
      </tp>
      <tp>
        <v>1.5671999999999999</v>
        <stp/>
        <stp>##V3_BDPV12</stp>
        <stp>ussw9 curncy</stp>
        <stp>ask</stp>
        <stp>[XMRD US Rates Dashboard.xlsm]Rates!R18C17</stp>
        <tr r="Q18" s="1"/>
      </tp>
      <tp>
        <v>-14.49</v>
        <stp/>
        <stp>##V3_BDPV12</stp>
        <stp>ussp9 curncy</stp>
        <stp>ask</stp>
        <stp>[XMRD US Rates Dashboard.xlsm]Rates!R18C15</stp>
        <tr r="O18" s="1"/>
      </tp>
      <tp>
        <v>-15.02</v>
        <stp/>
        <stp>##V3_BDPV12</stp>
        <stp>ussp9 curncy</stp>
        <stp>bid</stp>
        <stp>[XMRD US Rates Dashboard.xlsm]Rates!R18C14</stp>
        <tr r="N18" s="1"/>
      </tp>
      <tp>
        <v>1.5660000000000001</v>
        <stp/>
        <stp>##V3_BDPV12</stp>
        <stp>ussw9 curncy</stp>
        <stp>bid</stp>
        <stp>[XMRD US Rates Dashboard.xlsm]Rates!R18C16</stp>
        <tr r="P18" s="1"/>
      </tp>
      <tp>
        <v>1.5485</v>
        <stp/>
        <stp>##V3_BDPV12</stp>
        <stp>ussa9 curncy</stp>
        <stp>bid</stp>
        <stp>[XMRD US Rates Dashboard.xlsm]Rates!R18C18</stp>
        <tr r="R18" s="1"/>
      </tp>
      <tp t="s">
        <v>#N/A N/A</v>
        <stp/>
        <stp>##V3_BDPV12</stp>
        <stp>USFR2F3F  curncy</stp>
        <stp>last price</stp>
        <stp>[XMRD US Rates Dashboard.xlsm]Rates!R144C13</stp>
        <tr r="M144" s="1"/>
      </tp>
      <tp t="s">
        <v>#N/A N/A</v>
        <stp/>
        <stp>##V3_BDPV12</stp>
        <stp>USFR2C3C  curncy</stp>
        <stp>last price</stp>
        <stp>[XMRD US Rates Dashboard.xlsm]Rates!R143C13</stp>
        <tr r="M143" s="1"/>
      </tp>
      <tp t="s">
        <v>#N/A N/A</v>
        <stp/>
        <stp>##V3_BDPV12</stp>
        <stp>USFR2I3I  curncy</stp>
        <stp>last price</stp>
        <stp>[XMRD US Rates Dashboard.xlsm]Rates!R145C13</stp>
        <tr r="M145" s="1"/>
      </tp>
      <tp>
        <v>0.64600000000000002</v>
        <stp/>
        <stp>##V3_BDPV12</stp>
        <stp>USSO1C  Curncy</stp>
        <stp>Bid</stp>
        <stp>[XMRD US Rates Dashboard.xlsm]Rates!R64C7</stp>
        <tr r="G64" s="1"/>
      </tp>
      <tp>
        <v>1.498</v>
        <stp/>
        <stp>##V3_BDPV12</stp>
        <stp>ussa8 curncy</stp>
        <stp>ask</stp>
        <stp>[XMRD US Rates Dashboard.xlsm]Rates!R17C19</stp>
        <tr r="S17" s="1"/>
      </tp>
      <tp>
        <v>1.5145</v>
        <stp/>
        <stp>##V3_BDPV12</stp>
        <stp>ussw8 curncy</stp>
        <stp>ask</stp>
        <stp>[XMRD US Rates Dashboard.xlsm]Rates!R17C17</stp>
        <tr r="Q17" s="1"/>
      </tp>
      <tp>
        <v>-14.12</v>
        <stp/>
        <stp>##V3_BDPV12</stp>
        <stp>ussp8 curncy</stp>
        <stp>ask</stp>
        <stp>[XMRD US Rates Dashboard.xlsm]Rates!R17C15</stp>
        <tr r="O17" s="1"/>
      </tp>
      <tp>
        <v>98.53125</v>
        <stp/>
        <stp>##V3_BDPV12</stp>
        <stp>GT7 govt</stp>
        <stp>ask</stp>
        <stp>[XMRD US Rates Dashboard.xlsm]Rates!R16C8</stp>
        <tr r="H16" s="1"/>
      </tp>
      <tp>
        <v>-14.6</v>
        <stp/>
        <stp>##V3_BDPV12</stp>
        <stp>ussp8 curncy</stp>
        <stp>bid</stp>
        <stp>[XMRD US Rates Dashboard.xlsm]Rates!R17C14</stp>
        <tr r="N17" s="1"/>
      </tp>
      <tp>
        <v>1.5125</v>
        <stp/>
        <stp>##V3_BDPV12</stp>
        <stp>ussw8 curncy</stp>
        <stp>bid</stp>
        <stp>[XMRD US Rates Dashboard.xlsm]Rates!R17C16</stp>
        <tr r="P17" s="1"/>
      </tp>
      <tp>
        <v>1.4930000000000001</v>
        <stp/>
        <stp>##V3_BDPV12</stp>
        <stp>ussa8 curncy</stp>
        <stp>bid</stp>
        <stp>[XMRD US Rates Dashboard.xlsm]Rates!R17C18</stp>
        <tr r="R17" s="1"/>
      </tp>
      <tp>
        <v>2.2480000000000002</v>
        <stp/>
        <stp>##V3_BDPV12</stp>
        <stp>GTAUD10Y CORP</stp>
        <stp>last YLD</stp>
        <stp>[XMRD US Rates Dashboard.xlsm]Rates!R16C32</stp>
        <tr r="AF16" s="1"/>
      </tp>
      <tp>
        <v>1.306</v>
        <stp/>
        <stp>##V3_BDPV12</stp>
        <stp>USFR0BH  curncy</stp>
        <stp>last price</stp>
        <stp>[XMRD US Rates Dashboard.xlsm]Rates!R132C9</stp>
        <tr r="I132" s="1"/>
      </tp>
      <tp>
        <v>1.32</v>
        <stp/>
        <stp>##V3_BDPV12</stp>
        <stp>USFR0CI  curncy</stp>
        <stp>last price</stp>
        <stp>[XMRD US Rates Dashboard.xlsm]Rates!R133C9</stp>
        <tr r="I133" s="1"/>
      </tp>
      <tp>
        <v>100.33</v>
        <stp/>
        <stp>##V3_BDPV12</stp>
        <stp>ERM8 comdty</stp>
        <stp>ASK</stp>
        <stp>[XMRD US Rates Dashboard.xlsm]Rates!R78C24</stp>
        <tr r="X78" s="1"/>
      </tp>
      <tp>
        <v>100.33</v>
        <stp/>
        <stp>##V3_BDPV12</stp>
        <stp>ERH8 comdty</stp>
        <stp>ASK</stp>
        <stp>[XMRD US Rates Dashboard.xlsm]Rates!R77C24</stp>
        <tr r="X77" s="1"/>
      </tp>
      <tp>
        <v>100.32</v>
        <stp/>
        <stp>##V3_BDPV12</stp>
        <stp>ERU8 comdty</stp>
        <stp>ASK</stp>
        <stp>[XMRD US Rates Dashboard.xlsm]Rates!R79C24</stp>
        <tr r="X79" s="1"/>
      </tp>
      <tp>
        <v>100.30500000000001</v>
        <stp/>
        <stp>##V3_BDPV12</stp>
        <stp>ERZ8 comdty</stp>
        <stp>ASK</stp>
        <stp>[XMRD US Rates Dashboard.xlsm]Rates!R80C24</stp>
        <tr r="X80" s="1"/>
      </tp>
    </main>
    <main first="bloomberg.rtd">
      <tp>
        <v>100.3</v>
        <stp/>
        <stp>##V3_BDPV12</stp>
        <stp>ERZ8 comdty</stp>
        <stp>bid</stp>
        <stp>[XMRD US Rates Dashboard.xlsm]Rates!R80C23</stp>
        <tr r="W80" s="1"/>
      </tp>
      <tp>
        <v>100.325</v>
        <stp/>
        <stp>##V3_BDPV12</stp>
        <stp>ERH8 comdty</stp>
        <stp>bid</stp>
        <stp>[XMRD US Rates Dashboard.xlsm]Rates!R77C23</stp>
        <tr r="W77" s="1"/>
      </tp>
      <tp>
        <v>100.32</v>
        <stp/>
        <stp>##V3_BDPV12</stp>
        <stp>ERM8 comdty</stp>
        <stp>bid</stp>
        <stp>[XMRD US Rates Dashboard.xlsm]Rates!R78C23</stp>
        <tr r="W78" s="1"/>
      </tp>
      <tp>
        <v>100.315</v>
        <stp/>
        <stp>##V3_BDPV12</stp>
        <stp>ERU8 comdty</stp>
        <stp>bid</stp>
        <stp>[XMRD US Rates Dashboard.xlsm]Rates!R79C23</stp>
        <tr r="W79" s="1"/>
      </tp>
      <tp>
        <v>100.3</v>
        <stp/>
        <stp>##V3_BDPV12</stp>
        <stp>ERZ6 comdty</stp>
        <stp>last price</stp>
        <stp>[XMRD US Rates Dashboard.xlsm]Rates!R72C25</stp>
        <tr r="Y72" s="1"/>
      </tp>
      <tp>
        <v>99.325000000000003</v>
        <stp/>
        <stp>##V3_BDPV12</stp>
        <stp>EMZ6 comdty</stp>
        <stp>last price</stp>
        <stp>[XMRD US Rates Dashboard.xlsm]Rates!R74C20</stp>
        <tr r="T74" s="1"/>
      </tp>
      <tp>
        <v>120.6484375</v>
        <stp/>
        <stp>##V3_BDPV12</stp>
        <stp>FVZ6 comdty</stp>
        <stp>last price</stp>
        <stp>[XMRD US Rates Dashboard.xlsm]Rates!R13C24</stp>
        <tr r="X13" s="1"/>
      </tp>
      <tp>
        <v>164.09375</v>
        <stp/>
        <stp>##V3_BDPV12</stp>
        <stp>USZ6 comdty</stp>
        <stp>last price</stp>
        <stp>[XMRD US Rates Dashboard.xlsm]Rates!R17C24</stp>
        <tr r="X17" s="1"/>
      </tp>
      <tp>
        <v>108.96875</v>
        <stp/>
        <stp>##V3_BDPV12</stp>
        <stp>TUZ6 comdty</stp>
        <stp>last price</stp>
        <stp>[XMRD US Rates Dashboard.xlsm]Rates!R11C24</stp>
        <tr r="X11" s="1"/>
      </tp>
      <tp>
        <v>129.703125</v>
        <stp/>
        <stp>##V3_BDPV12</stp>
        <stp>TYZ6 comdty</stp>
        <stp>last price</stp>
        <stp>[XMRD US Rates Dashboard.xlsm]Rates!R15C24</stp>
        <tr r="X15" s="1"/>
      </tp>
      <tp>
        <v>100.325</v>
        <stp/>
        <stp>##V3_BDPV12</stp>
        <stp>ERZ7 comdty</stp>
        <stp>last price</stp>
        <stp>[XMRD US Rates Dashboard.xlsm]Rates!R76C25</stp>
        <tr r="Y76" s="1"/>
      </tp>
      <tp>
        <v>98.83</v>
        <stp/>
        <stp>##V3_BDPV12</stp>
        <stp>EDZ7 comdty</stp>
        <stp>last price</stp>
        <stp>[XMRD US Rates Dashboard.xlsm]Rates!R76C10</stp>
        <tr r="J76" s="1"/>
      </tp>
      <tp>
        <v>99.5</v>
        <stp/>
        <stp>##V3_BDPV12</stp>
        <stp>FFZ6 comdty</stp>
        <stp>last price</stp>
        <stp>[XMRD US Rates Dashboard.xlsm]Rates!R74C15</stp>
        <tr r="O74" s="1"/>
      </tp>
      <tp>
        <v>99.04</v>
        <stp/>
        <stp>##V3_BDPV12</stp>
        <stp>EDZ6 comdty</stp>
        <stp>last price</stp>
        <stp>[XMRD US Rates Dashboard.xlsm]Rates!R72C10</stp>
        <tr r="J72" s="1"/>
      </tp>
      <tp>
        <v>98.66</v>
        <stp/>
        <stp>##V3_BDPV12</stp>
        <stp>EDZ8 comdty</stp>
        <stp>last price</stp>
        <stp>[XMRD US Rates Dashboard.xlsm]Rates!R80C10</stp>
        <tr r="J80" s="1"/>
      </tp>
      <tp>
        <v>100.3</v>
        <stp/>
        <stp>##V3_BDPV12</stp>
        <stp>ERZ8 comdty</stp>
        <stp>last price</stp>
        <stp>[XMRD US Rates Dashboard.xlsm]Rates!R80C25</stp>
        <tr r="Y80" s="1"/>
      </tp>
      <tp>
        <v>100.28</v>
        <stp/>
        <stp>##V3_BDPV12</stp>
        <stp>ERH9 comdty</stp>
        <stp>ASK</stp>
        <stp>[XMRD US Rates Dashboard.xlsm]Rates!R81C24</stp>
        <tr r="X81" s="1"/>
      </tp>
      <tp>
        <v>100.255</v>
        <stp/>
        <stp>##V3_BDPV12</stp>
        <stp>ERM9 comdty</stp>
        <stp>ASK</stp>
        <stp>[XMRD US Rates Dashboard.xlsm]Rates!R82C24</stp>
        <tr r="X82" s="1"/>
      </tp>
      <tp>
        <v>100.22499999999999</v>
        <stp/>
        <stp>##V3_BDPV12</stp>
        <stp>ERU9 comdty</stp>
        <stp>ASK</stp>
        <stp>[XMRD US Rates Dashboard.xlsm]Rates!R83C24</stp>
        <tr r="X83" s="1"/>
      </tp>
      <tp>
        <v>100.25</v>
        <stp/>
        <stp>##V3_BDPV12</stp>
        <stp>ERM9 comdty</stp>
        <stp>bid</stp>
        <stp>[XMRD US Rates Dashboard.xlsm]Rates!R82C23</stp>
        <tr r="W82" s="1"/>
      </tp>
      <tp>
        <v>100.27500000000001</v>
        <stp/>
        <stp>##V3_BDPV12</stp>
        <stp>ERH9 comdty</stp>
        <stp>bid</stp>
        <stp>[XMRD US Rates Dashboard.xlsm]Rates!R81C23</stp>
        <tr r="W81" s="1"/>
      </tp>
      <tp>
        <v>100.22</v>
        <stp/>
        <stp>##V3_BDPV12</stp>
        <stp>ERU9 comdty</stp>
        <stp>bid</stp>
        <stp>[XMRD US Rates Dashboard.xlsm]Rates!R83C23</stp>
        <tr r="W83" s="1"/>
      </tp>
      <tp>
        <v>0.4083</v>
        <stp/>
        <stp>##V3_BDPV12</stp>
        <stp>USSOA  Curncy</stp>
        <stp>ASK</stp>
        <stp>[XMRD US Rates Dashboard.xlsm]Rates!R52C8</stp>
        <tr r="H52" s="1"/>
      </tp>
      <tp>
        <v>0.51160000000000005</v>
        <stp/>
        <stp>##V3_BDPV12</stp>
        <stp>USSOE  Curncy</stp>
        <stp>ASK</stp>
        <stp>[XMRD US Rates Dashboard.xlsm]Rates!R56C8</stp>
        <tr r="H56" s="1"/>
      </tp>
      <tp>
        <v>-4.5</v>
        <stp/>
        <stp>##V3_BDPV12</stp>
        <stp>CT786896 CURNCY</stp>
        <stp>RT_PX_CHG_NET_1D</stp>
        <stp>[XMRD US Rates Dashboard.xlsm]Rates!R11C35</stp>
        <tr r="AI11" s="1"/>
      </tp>
      <tp>
        <v>-9.4E-2</v>
        <stp/>
        <stp>##V3_BDPV12</stp>
        <stp>CT855561 CURNCY</stp>
        <stp>RT_PX_CHG_NET_1D</stp>
        <stp>[XMRD US Rates Dashboard.xlsm]Rates!R16C35</stp>
        <tr r="AI16" s="1"/>
      </tp>
      <tp>
        <v>99.435000000000002</v>
        <stp/>
        <stp>##V3_BDPV12</stp>
        <stp>EMX6 comdty</stp>
        <stp>last price</stp>
        <stp>[XMRD US Rates Dashboard.xlsm]Rates!R73C20</stp>
        <tr r="T73" s="1"/>
      </tp>
      <tp>
        <v>99.58</v>
        <stp/>
        <stp>##V3_BDPV12</stp>
        <stp>FFX6 comdty</stp>
        <stp>last price</stp>
        <stp>[XMRD US Rates Dashboard.xlsm]Rates!R73C15</stp>
        <tr r="O73" s="1"/>
      </tp>
      <tp t="s">
        <v>MAR 18</v>
        <stp/>
        <stp>##V3_BDPV12</stp>
        <stp>EDH8 comdty</stp>
        <stp>FUT_MONTH_YR</stp>
        <stp>[XMRD US Rates Dashboard.xlsm]Rates!R77C7</stp>
        <tr r="G77" s="1"/>
      </tp>
      <tp>
        <v>0.4148</v>
        <stp/>
        <stp>##V3_BDPV12</stp>
        <stp>USSOB  Curncy</stp>
        <stp>ASK</stp>
        <stp>[XMRD US Rates Dashboard.xlsm]Rates!R53C8</stp>
        <tr r="H53" s="1"/>
      </tp>
      <tp>
        <v>0.49719999999999998</v>
        <stp/>
        <stp>##V3_BDPV12</stp>
        <stp>USSOD  Curncy</stp>
        <stp>ASK</stp>
        <stp>[XMRD US Rates Dashboard.xlsm]Rates!R55C8</stp>
        <tr r="H55" s="1"/>
      </tp>
      <tp>
        <v>0.53649999999999998</v>
        <stp/>
        <stp>##V3_BDPV12</stp>
        <stp>USSOF  Curncy</stp>
        <stp>ASK</stp>
        <stp>[XMRD US Rates Dashboard.xlsm]Rates!R57C8</stp>
        <tr r="H57" s="1"/>
      </tp>
      <tp>
        <v>0.58499999999999996</v>
        <stp/>
        <stp>##V3_BDPV12</stp>
        <stp>USSOH  Curncy</stp>
        <stp>ASK</stp>
        <stp>[XMRD US Rates Dashboard.xlsm]Rates!R59C8</stp>
        <tr r="H59" s="1"/>
      </tp>
      <tp>
        <v>48264.959999999999</v>
        <stp/>
        <stp>##V3_BDPV12</stp>
        <stp>MEXBOL index</stp>
        <stp>last price</stp>
        <stp>[XMRD US Rates Dashboard.xlsm]Rates!R26C22</stp>
        <tr r="V26" s="1"/>
      </tp>
      <tp>
        <v>3.5920000000000001</v>
        <stp/>
        <stp>##V3_BDPV12</stp>
        <stp>NGF7 comdty</stp>
        <stp>last price</stp>
        <stp>[XMRD US Rates Dashboard.xlsm]Rates!R122C11</stp>
        <tr r="K122" s="1"/>
      </tp>
      <tp>
        <v>3.5870000000000002</v>
        <stp/>
        <stp>##V3_BDPV12</stp>
        <stp>NGG7 comdty</stp>
        <stp>last price</stp>
        <stp>[XMRD US Rates Dashboard.xlsm]Rates!R123C11</stp>
        <tr r="K123" s="1"/>
      </tp>
      <tp>
        <v>1267.3</v>
        <stp/>
        <stp>##V3_BDPV12</stp>
        <stp>GCJ7 comdty</stp>
        <stp>last price</stp>
        <stp>[XMRD US Rates Dashboard.xlsm]Rates!R123C14</stp>
        <tr r="N123" s="1"/>
      </tp>
      <tp>
        <v>1261.7</v>
        <stp/>
        <stp>##V3_BDPV12</stp>
        <stp>GCG7 comdty</stp>
        <stp>last price</stp>
        <stp>[XMRD US Rates Dashboard.xlsm]Rates!R122C14</stp>
        <tr r="N122" s="1"/>
      </tp>
      <tp>
        <v>38010</v>
        <stp/>
        <stp>##V3_BDPV12</stp>
        <stp>CUF7 comdty</stp>
        <stp>last price</stp>
        <stp>[XMRD US Rates Dashboard.xlsm]Rates!R123C17</stp>
        <tr r="Q123" s="1"/>
      </tp>
      <tp>
        <v>424.5</v>
        <stp/>
        <stp>##V3_BDPV12</stp>
        <stp>W H7 comdty</stp>
        <stp>last price</stp>
        <stp>[XMRD US Rates Dashboard.xlsm]Rates!R121C23</stp>
        <tr r="W121" s="1"/>
      </tp>
      <tp>
        <v>437.5</v>
        <stp/>
        <stp>##V3_BDPV12</stp>
        <stp>W K7 comdty</stp>
        <stp>last price</stp>
        <stp>[XMRD US Rates Dashboard.xlsm]Rates!R122C23</stp>
        <tr r="W122" s="1"/>
      </tp>
      <tp>
        <v>448.75</v>
        <stp/>
        <stp>##V3_BDPV12</stp>
        <stp>W N7 comdty</stp>
        <stp>last price</stp>
        <stp>[XMRD US Rates Dashboard.xlsm]Rates!R123C23</stp>
        <tr r="W123" s="1"/>
      </tp>
      <tp>
        <v>424.5</v>
        <stp/>
        <stp>##V3_BDPV12</stp>
        <stp>W H7 comdty</stp>
        <stp>last price</stp>
        <stp>[XMRD US Rates Dashboard.xlsm]Rates!R121C20</stp>
        <tr r="T121" s="1"/>
      </tp>
      <tp>
        <v>437.5</v>
        <stp/>
        <stp>##V3_BDPV12</stp>
        <stp>W K7 comdty</stp>
        <stp>last price</stp>
        <stp>[XMRD US Rates Dashboard.xlsm]Rates!R122C20</stp>
        <tr r="T122" s="1"/>
      </tp>
      <tp>
        <v>448.75</v>
        <stp/>
        <stp>##V3_BDPV12</stp>
        <stp>W N7 comdty</stp>
        <stp>last price</stp>
        <stp>[XMRD US Rates Dashboard.xlsm]Rates!R123C20</stp>
        <tr r="T123" s="1"/>
      </tp>
      <tp>
        <v>2.2328999999999999</v>
        <stp/>
        <stp>##V3_BDPV12</stp>
        <stp>ADSW8  curncy</stp>
        <stp>bid</stp>
        <stp>[XMRD US Rates Dashboard.xlsm]Rates!R36C29</stp>
        <tr r="AC36" s="1"/>
      </tp>
      <tp>
        <v>2.2814999999999999</v>
        <stp/>
        <stp>##V3_BDPV12</stp>
        <stp>ADSW9  curncy</stp>
        <stp>bid</stp>
        <stp>[XMRD US Rates Dashboard.xlsm]Rates!R37C29</stp>
        <tr r="AC37" s="1"/>
      </tp>
      <tp>
        <v>1.958</v>
        <stp/>
        <stp>##V3_BDPV12</stp>
        <stp>ADSW2  curncy</stp>
        <stp>bid</stp>
        <stp>[XMRD US Rates Dashboard.xlsm]Rates!R30C29</stp>
        <tr r="AC30" s="1"/>
      </tp>
      <tp>
        <v>1.9930000000000001</v>
        <stp/>
        <stp>##V3_BDPV12</stp>
        <stp>ADSW3  curncy</stp>
        <stp>bid</stp>
        <stp>[XMRD US Rates Dashboard.xlsm]Rates!R31C29</stp>
        <tr r="AC31" s="1"/>
      </tp>
      <tp>
        <v>2.1337000000000002</v>
        <stp/>
        <stp>##V3_BDPV12</stp>
        <stp>ADSW6  curncy</stp>
        <stp>bid</stp>
        <stp>[XMRD US Rates Dashboard.xlsm]Rates!R34C29</stp>
        <tr r="AC34" s="1"/>
      </tp>
      <tp>
        <v>2.1806000000000001</v>
        <stp/>
        <stp>##V3_BDPV12</stp>
        <stp>ADSW7  curncy</stp>
        <stp>bid</stp>
        <stp>[XMRD US Rates Dashboard.xlsm]Rates!R35C29</stp>
        <tr r="AC35" s="1"/>
      </tp>
      <tp>
        <v>2.024</v>
        <stp/>
        <stp>##V3_BDPV12</stp>
        <stp>ADSW4  curncy</stp>
        <stp>bid</stp>
        <stp>[XMRD US Rates Dashboard.xlsm]Rates!R32C29</stp>
        <tr r="AC32" s="1"/>
      </tp>
      <tp>
        <v>2.0830000000000002</v>
        <stp/>
        <stp>##V3_BDPV12</stp>
        <stp>ADSW5  curncy</stp>
        <stp>bid</stp>
        <stp>[XMRD US Rates Dashboard.xlsm]Rates!R33C29</stp>
        <tr r="AC33" s="1"/>
      </tp>
      <tp>
        <v>1.2464</v>
        <stp/>
        <stp>##V3_BDPV12</stp>
        <stp>CDSW8  curncy</stp>
        <stp>bid</stp>
        <stp>[XMRD US Rates Dashboard.xlsm]Rates!R36C23</stp>
        <tr r="W36" s="1"/>
      </tp>
      <tp>
        <v>1.3217000000000001</v>
        <stp/>
        <stp>##V3_BDPV12</stp>
        <stp>CDSW9  curncy</stp>
        <stp>bid</stp>
        <stp>[XMRD US Rates Dashboard.xlsm]Rates!R37C23</stp>
        <tr r="W37" s="1"/>
      </tp>
      <tp>
        <v>0.93159999999999998</v>
        <stp/>
        <stp>##V3_BDPV12</stp>
        <stp>CDSW2  curncy</stp>
        <stp>bid</stp>
        <stp>[XMRD US Rates Dashboard.xlsm]Rates!R30C23</stp>
        <tr r="W30" s="1"/>
      </tp>
      <tp>
        <v>0.9738</v>
        <stp/>
        <stp>##V3_BDPV12</stp>
        <stp>CDSW3  curncy</stp>
        <stp>bid</stp>
        <stp>[XMRD US Rates Dashboard.xlsm]Rates!R31C23</stp>
        <tr r="W31" s="1"/>
      </tp>
      <tp>
        <v>1.08</v>
        <stp/>
        <stp>##V3_BDPV12</stp>
        <stp>CDSW6  curncy</stp>
        <stp>bid</stp>
        <stp>[XMRD US Rates Dashboard.xlsm]Rates!R34C23</stp>
        <tr r="W34" s="1"/>
      </tp>
      <tp>
        <v>1.1736</v>
        <stp/>
        <stp>##V3_BDPV12</stp>
        <stp>CDSW7  curncy</stp>
        <stp>bid</stp>
        <stp>[XMRD US Rates Dashboard.xlsm]Rates!R35C23</stp>
        <tr r="W35" s="1"/>
      </tp>
      <tp>
        <v>1.0196000000000001</v>
        <stp/>
        <stp>##V3_BDPV12</stp>
        <stp>CDSW4  curncy</stp>
        <stp>bid</stp>
        <stp>[XMRD US Rates Dashboard.xlsm]Rates!R32C23</stp>
        <tr r="W32" s="1"/>
      </tp>
      <tp>
        <v>1.0653999999999999</v>
        <stp/>
        <stp>##V3_BDPV12</stp>
        <stp>CDSW5  curncy</stp>
        <stp>bid</stp>
        <stp>[XMRD US Rates Dashboard.xlsm]Rates!R33C23</stp>
        <tr r="W33" s="1"/>
      </tp>
      <tp>
        <v>2.0640000000000001</v>
        <stp/>
        <stp>##V3_BDPV12</stp>
        <stp>ADSW4  curncy</stp>
        <stp>ask</stp>
        <stp>[XMRD US Rates Dashboard.xlsm]Rates!R32C30</stp>
        <tr r="AD32" s="1"/>
      </tp>
      <tp>
        <v>2.093</v>
        <stp/>
        <stp>##V3_BDPV12</stp>
        <stp>ADSW5  curncy</stp>
        <stp>ask</stp>
        <stp>[XMRD US Rates Dashboard.xlsm]Rates!R33C30</stp>
        <tr r="AD33" s="1"/>
      </tp>
      <tp>
        <v>1.968</v>
        <stp/>
        <stp>##V3_BDPV12</stp>
        <stp>ADSW2  curncy</stp>
        <stp>ask</stp>
        <stp>[XMRD US Rates Dashboard.xlsm]Rates!R30C30</stp>
        <tr r="AD30" s="1"/>
      </tp>
      <tp>
        <v>2.0030000000000001</v>
        <stp/>
        <stp>##V3_BDPV12</stp>
        <stp>ADSW3  curncy</stp>
        <stp>ask</stp>
        <stp>[XMRD US Rates Dashboard.xlsm]Rates!R31C30</stp>
        <tr r="AD31" s="1"/>
      </tp>
      <tp>
        <v>2.1539999999999999</v>
        <stp/>
        <stp>##V3_BDPV12</stp>
        <stp>ADSW6  curncy</stp>
        <stp>ask</stp>
        <stp>[XMRD US Rates Dashboard.xlsm]Rates!R34C30</stp>
        <tr r="AD34" s="1"/>
      </tp>
      <tp>
        <v>2.2069999999999999</v>
        <stp/>
        <stp>##V3_BDPV12</stp>
        <stp>ADSW7  curncy</stp>
        <stp>ask</stp>
        <stp>[XMRD US Rates Dashboard.xlsm]Rates!R35C30</stp>
        <tr r="AD35" s="1"/>
      </tp>
      <tp>
        <v>2.2578999999999998</v>
        <stp/>
        <stp>##V3_BDPV12</stp>
        <stp>ADSW8  curncy</stp>
        <stp>ask</stp>
        <stp>[XMRD US Rates Dashboard.xlsm]Rates!R36C30</stp>
        <tr r="AD36" s="1"/>
      </tp>
      <tp>
        <v>2.3065000000000002</v>
        <stp/>
        <stp>##V3_BDPV12</stp>
        <stp>ADSW9  curncy</stp>
        <stp>ask</stp>
        <stp>[XMRD US Rates Dashboard.xlsm]Rates!R37C30</stp>
        <tr r="AD37" s="1"/>
      </tp>
      <tp>
        <v>1.0346</v>
        <stp/>
        <stp>##V3_BDPV12</stp>
        <stp>CDSW4  curncy</stp>
        <stp>ask</stp>
        <stp>[XMRD US Rates Dashboard.xlsm]Rates!R32C24</stp>
        <tr r="X32" s="1"/>
      </tp>
      <tp>
        <v>1.0804</v>
        <stp/>
        <stp>##V3_BDPV12</stp>
        <stp>CDSW5  curncy</stp>
        <stp>ask</stp>
        <stp>[XMRD US Rates Dashboard.xlsm]Rates!R33C24</stp>
        <tr r="X33" s="1"/>
      </tp>
      <tp>
        <v>0.93159999999999998</v>
        <stp/>
        <stp>##V3_BDPV12</stp>
        <stp>CDSW2  curncy</stp>
        <stp>ask</stp>
        <stp>[XMRD US Rates Dashboard.xlsm]Rates!R30C24</stp>
        <tr r="X30" s="1"/>
      </tp>
      <tp>
        <v>0.98880000000000001</v>
        <stp/>
        <stp>##V3_BDPV12</stp>
        <stp>CDSW3  curncy</stp>
        <stp>ask</stp>
        <stp>[XMRD US Rates Dashboard.xlsm]Rates!R31C24</stp>
        <tr r="X31" s="1"/>
      </tp>
      <tp>
        <v>1.0900000000000001</v>
        <stp/>
        <stp>##V3_BDPV12</stp>
        <stp>CDSW6  curncy</stp>
        <stp>ask</stp>
        <stp>[XMRD US Rates Dashboard.xlsm]Rates!R34C24</stp>
        <tr r="X34" s="1"/>
      </tp>
      <tp>
        <v>1.1936</v>
        <stp/>
        <stp>##V3_BDPV12</stp>
        <stp>CDSW7  curncy</stp>
        <stp>ask</stp>
        <stp>[XMRD US Rates Dashboard.xlsm]Rates!R35C24</stp>
        <tr r="X35" s="1"/>
      </tp>
      <tp>
        <v>1.2664</v>
        <stp/>
        <stp>##V3_BDPV12</stp>
        <stp>CDSW8  curncy</stp>
        <stp>ask</stp>
        <stp>[XMRD US Rates Dashboard.xlsm]Rates!R36C24</stp>
        <tr r="X36" s="1"/>
      </tp>
      <tp>
        <v>1.3416999999999999</v>
        <stp/>
        <stp>##V3_BDPV12</stp>
        <stp>CDSW9  curncy</stp>
        <stp>ask</stp>
        <stp>[XMRD US Rates Dashboard.xlsm]Rates!R37C24</stp>
        <tr r="X37" s="1"/>
      </tp>
      <tp>
        <v>1.021695</v>
        <stp/>
        <stp>##V3_BDPV12</stp>
        <stp>GT3 govt</stp>
        <stp>ask yld</stp>
        <stp>[XMRD US Rates Dashboard.xlsm]Rates!R12C10</stp>
        <tr r="J12" s="1"/>
      </tp>
      <tp>
        <v>0.86638800000000005</v>
        <stp/>
        <stp>##V3_BDPV12</stp>
        <stp>GT2 govt</stp>
        <stp>ask yld</stp>
        <stp>[XMRD US Rates Dashboard.xlsm]Rates!R11C10</stp>
        <tr r="J11" s="1"/>
      </tp>
      <tp>
        <v>1.598587</v>
        <stp/>
        <stp>##V3_BDPV12</stp>
        <stp>GT7 govt</stp>
        <stp>ask yld</stp>
        <stp>[XMRD US Rates Dashboard.xlsm]Rates!R16C10</stp>
        <tr r="J16" s="1"/>
      </tp>
      <tp>
        <v>1.3074950000000001</v>
        <stp/>
        <stp>##V3_BDPV12</stp>
        <stp>GT5 govt</stp>
        <stp>ask yld</stp>
        <stp>[XMRD US Rates Dashboard.xlsm]Rates!R14C10</stp>
        <tr r="J14" s="1"/>
      </tp>
      <tp>
        <v>0.46929999999999999</v>
        <stp/>
        <stp>##V3_BDPV12</stp>
        <stp>USSOC  Curncy</stp>
        <stp>ASK</stp>
        <stp>[XMRD US Rates Dashboard.xlsm]Rates!R54C8</stp>
        <tr r="H54" s="1"/>
      </tp>
      <tp>
        <v>2.499088</v>
        <stp/>
        <stp>##V3_BDPV12</stp>
        <stp>GT30 govt</stp>
        <stp>ask yld</stp>
        <stp>[XMRD US Rates Dashboard.xlsm]Rates!R24C10</stp>
        <tr r="J24" s="1"/>
      </tp>
      <tp>
        <v>1.770875</v>
        <stp/>
        <stp>##V3_BDPV12</stp>
        <stp>GT10 govt</stp>
        <stp>ask yld</stp>
        <stp>[XMRD US Rates Dashboard.xlsm]Rates!R19C10</stp>
        <tr r="J19" s="1"/>
      </tp>
      <tp>
        <v>3.2959999999999998</v>
        <stp/>
        <stp>##V3_BDPV12</stp>
        <stp>NGX6 comdty</stp>
        <stp>last price</stp>
        <stp>[XMRD US Rates Dashboard.xlsm]Rates!R120C11</stp>
        <tr r="K120" s="1"/>
      </tp>
      <tp>
        <v>3.47</v>
        <stp/>
        <stp>##V3_BDPV12</stp>
        <stp>NGZ6 comdty</stp>
        <stp>last price</stp>
        <stp>[XMRD US Rates Dashboard.xlsm]Rates!R121C11</stp>
        <tr r="K121" s="1"/>
      </tp>
      <tp t="s">
        <v>MAR 19</v>
        <stp/>
        <stp>##V3_BDPV12</stp>
        <stp>EDH9 comdty</stp>
        <stp>FUT_MONTH_YR</stp>
        <stp>[XMRD US Rates Dashboard.xlsm]Rates!R81C7</stp>
        <tr r="G81" s="1"/>
      </tp>
      <tp t="s">
        <v>DEC 18</v>
        <stp/>
        <stp>##V3_BDPV12</stp>
        <stp>EDZ8 comdty</stp>
        <stp>FUT_MONTH_YR</stp>
        <stp>[XMRD US Rates Dashboard.xlsm]Rates!R80C7</stp>
        <tr r="G80" s="1"/>
      </tp>
      <tp>
        <v>1258.3</v>
        <stp/>
        <stp>##V3_BDPV12</stp>
        <stp>GCZ6 comdty</stp>
        <stp>last price</stp>
        <stp>[XMRD US Rates Dashboard.xlsm]Rates!R121C14</stp>
        <tr r="N121" s="1"/>
      </tp>
      <tp>
        <v>1258.9000000000001</v>
        <stp/>
        <stp>##V3_BDPV12</stp>
        <stp>GCV6 comdty</stp>
        <stp>last price</stp>
        <stp>[XMRD US Rates Dashboard.xlsm]Rates!R120C14</stp>
        <tr r="N120" s="1"/>
      </tp>
      <tp>
        <v>38000</v>
        <stp/>
        <stp>##V3_BDPV12</stp>
        <stp>CUZ6 comdty</stp>
        <stp>last price</stp>
        <stp>[XMRD US Rates Dashboard.xlsm]Rates!R122C17</stp>
        <tr r="Q122" s="1"/>
      </tp>
      <tp>
        <v>37980</v>
        <stp/>
        <stp>##V3_BDPV12</stp>
        <stp>CUX6 comdty</stp>
        <stp>last price</stp>
        <stp>[XMRD US Rates Dashboard.xlsm]Rates!R121C17</stp>
        <tr r="Q121" s="1"/>
      </tp>
      <tp>
        <v>37980</v>
        <stp/>
        <stp>##V3_BDPV12</stp>
        <stp>CUV6 comdty</stp>
        <stp>last price</stp>
        <stp>[XMRD US Rates Dashboard.xlsm]Rates!R120C17</stp>
        <tr r="Q120" s="1"/>
      </tp>
      <tp>
        <v>405.25</v>
        <stp/>
        <stp>##V3_BDPV12</stp>
        <stp>W Z6 comdty</stp>
        <stp>last price</stp>
        <stp>[XMRD US Rates Dashboard.xlsm]Rates!R120C23</stp>
        <tr r="W120" s="1"/>
      </tp>
      <tp>
        <v>405.25</v>
        <stp/>
        <stp>##V3_BDPV12</stp>
        <stp>W Z6 comdty</stp>
        <stp>last price</stp>
        <stp>[XMRD US Rates Dashboard.xlsm]Rates!R120C20</stp>
        <tr r="T120" s="1"/>
      </tp>
      <tp>
        <v>98.76</v>
        <stp/>
        <stp>##V3_BDPV12</stp>
        <stp>EDM8 comdty</stp>
        <stp>ASK</stp>
        <stp>[XMRD US Rates Dashboard.xlsm]Rates!R78C9</stp>
        <tr r="I78" s="1"/>
      </tp>
      <tp t="s">
        <v>JUN 19</v>
        <stp/>
        <stp>##V3_BDPV12</stp>
        <stp>EDM9 comdty</stp>
        <stp>FUT_MONTH_YR</stp>
        <stp>[XMRD US Rates Dashboard.xlsm]Rates!R82C7</stp>
        <tr r="G82" s="1"/>
      </tp>
      <tp>
        <v>-0.3175</v>
        <stp/>
        <stp>##V3_BDPV12</stp>
        <stp>SFSW8  curncy</stp>
        <stp>bid</stp>
        <stp>[XMRD US Rates Dashboard.xlsm]Rates!R36C26</stp>
        <tr r="Z36" s="1"/>
      </tp>
      <tp>
        <v>-0.2475</v>
        <stp/>
        <stp>##V3_BDPV12</stp>
        <stp>SFSW9  curncy</stp>
        <stp>bid</stp>
        <stp>[XMRD US Rates Dashboard.xlsm]Rates!R37C26</stp>
        <tr r="Z37" s="1"/>
      </tp>
      <tp>
        <v>-0.67800000000000005</v>
        <stp/>
        <stp>##V3_BDPV12</stp>
        <stp>SFSW2  curncy</stp>
        <stp>bid</stp>
        <stp>[XMRD US Rates Dashboard.xlsm]Rates!R30C26</stp>
        <tr r="Z30" s="1"/>
      </tp>
      <tp>
        <v>-0.66200000000000003</v>
        <stp/>
        <stp>##V3_BDPV12</stp>
        <stp>SFSW3  curncy</stp>
        <stp>bid</stp>
        <stp>[XMRD US Rates Dashboard.xlsm]Rates!R31C26</stp>
        <tr r="Z31" s="1"/>
      </tp>
      <tp>
        <v>-0.46750000000000003</v>
        <stp/>
        <stp>##V3_BDPV12</stp>
        <stp>SFSW6  curncy</stp>
        <stp>bid</stp>
        <stp>[XMRD US Rates Dashboard.xlsm]Rates!R34C26</stp>
        <tr r="Z34" s="1"/>
      </tp>
      <tp>
        <v>-0.38750000000000001</v>
        <stp/>
        <stp>##V3_BDPV12</stp>
        <stp>SFSW7  curncy</stp>
        <stp>bid</stp>
        <stp>[XMRD US Rates Dashboard.xlsm]Rates!R35C26</stp>
        <tr r="Z35" s="1"/>
      </tp>
      <tp>
        <v>-0.60499999999999998</v>
        <stp/>
        <stp>##V3_BDPV12</stp>
        <stp>SFSW4  curncy</stp>
        <stp>bid</stp>
        <stp>[XMRD US Rates Dashboard.xlsm]Rates!R32C26</stp>
        <tr r="Z32" s="1"/>
      </tp>
      <tp>
        <v>-0.54800000000000004</v>
        <stp/>
        <stp>##V3_BDPV12</stp>
        <stp>SFSW5  curncy</stp>
        <stp>bid</stp>
        <stp>[XMRD US Rates Dashboard.xlsm]Rates!R33C26</stp>
        <tr r="Z33" s="1"/>
      </tp>
      <tp>
        <v>-0.58499999999999996</v>
        <stp/>
        <stp>##V3_BDPV12</stp>
        <stp>SFSW4  curncy</stp>
        <stp>ask</stp>
        <stp>[XMRD US Rates Dashboard.xlsm]Rates!R32C27</stp>
        <tr r="AA32" s="1"/>
      </tp>
      <tp>
        <v>-0.51800000000000002</v>
        <stp/>
        <stp>##V3_BDPV12</stp>
        <stp>SFSW5  curncy</stp>
        <stp>ask</stp>
        <stp>[XMRD US Rates Dashboard.xlsm]Rates!R33C27</stp>
        <tr r="AA33" s="1"/>
      </tp>
      <tp>
        <v>-0.65100000000000002</v>
        <stp/>
        <stp>##V3_BDPV12</stp>
        <stp>SFSW2  curncy</stp>
        <stp>ask</stp>
        <stp>[XMRD US Rates Dashboard.xlsm]Rates!R30C27</stp>
        <tr r="AA30" s="1"/>
      </tp>
      <tp>
        <v>-0.622</v>
        <stp/>
        <stp>##V3_BDPV12</stp>
        <stp>SFSW3  curncy</stp>
        <stp>ask</stp>
        <stp>[XMRD US Rates Dashboard.xlsm]Rates!R31C27</stp>
        <tr r="AA31" s="1"/>
      </tp>
      <tp>
        <v>-0.44750000000000001</v>
        <stp/>
        <stp>##V3_BDPV12</stp>
        <stp>SFSW6  curncy</stp>
        <stp>ask</stp>
        <stp>[XMRD US Rates Dashboard.xlsm]Rates!R34C27</stp>
        <tr r="AA34" s="1"/>
      </tp>
      <tp>
        <v>-0.36749999999999999</v>
        <stp/>
        <stp>##V3_BDPV12</stp>
        <stp>SFSW7  curncy</stp>
        <stp>ask</stp>
        <stp>[XMRD US Rates Dashboard.xlsm]Rates!R35C27</stp>
        <tr r="AA35" s="1"/>
      </tp>
      <tp>
        <v>-0.29749999999999999</v>
        <stp/>
        <stp>##V3_BDPV12</stp>
        <stp>SFSW8  curncy</stp>
        <stp>ask</stp>
        <stp>[XMRD US Rates Dashboard.xlsm]Rates!R36C27</stp>
        <tr r="AA36" s="1"/>
      </tp>
      <tp>
        <v>-0.22750000000000001</v>
        <stp/>
        <stp>##V3_BDPV12</stp>
        <stp>SFSW9  curncy</stp>
        <stp>ask</stp>
        <stp>[XMRD US Rates Dashboard.xlsm]Rates!R37C27</stp>
        <tr r="AA37" s="1"/>
      </tp>
      <tp>
        <v>23.241</v>
        <stp/>
        <stp>##V3_BDPV12</stp>
        <stp>CT855561 CURNCY</stp>
        <stp>BID</stp>
        <stp>[XMRD US Rates Dashboard.xlsm]Rates!R16C34</stp>
        <tr r="AH16" s="1"/>
      </tp>
      <tp t="s">
        <v>SEP 19</v>
        <stp/>
        <stp>##V3_BDPV12</stp>
        <stp>EDU9 comdty</stp>
        <stp>FUT_MONTH_YR</stp>
        <stp>[XMRD US Rates Dashboard.xlsm]Rates!R83C7</stp>
        <tr r="G83" s="1"/>
      </tp>
      <tp t="s">
        <v>C Z6</v>
        <stp/>
        <stp>##V3_BDPV12</stp>
        <stp>C 1 comdty</stp>
        <stp>FUT_CUR_GEN_TICKER</stp>
        <stp>[XMRD US Rates Dashboard.xlsm]Rates!R120C21</stp>
        <tr r="U120" s="1"/>
      </tp>
      <tp t="s">
        <v>CUV6</v>
        <stp/>
        <stp>##V3_BDPV12</stp>
        <stp>CU1 comdty</stp>
        <stp>FUT_CUR_GEN_TICKER</stp>
        <stp>[XMRD US Rates Dashboard.xlsm]Rates!R120C15</stp>
        <tr r="O120" s="1"/>
      </tp>
      <tp t="s">
        <v>GCV6</v>
        <stp/>
        <stp>##V3_BDPV12</stp>
        <stp>GC1 comdty</stp>
        <stp>FUT_CUR_GEN_TICKER</stp>
        <stp>[XMRD US Rates Dashboard.xlsm]Rates!R120C12</stp>
        <tr r="L120" s="1"/>
      </tp>
      <tp t="s">
        <v>W Z6</v>
        <stp/>
        <stp>##V3_BDPV12</stp>
        <stp>W 1 comdty</stp>
        <stp>FUT_CUR_GEN_TICKER</stp>
        <stp>[XMRD US Rates Dashboard.xlsm]Rates!R120C18</stp>
        <tr r="R120" s="1"/>
      </tp>
      <tp>
        <v>1.4E-2</v>
        <stp/>
        <stp>##V3_BDPV12</stp>
        <stp>GTJPY10Y CORP</stp>
        <stp>RT_YLD_CHG_NET_1D</stp>
        <stp>[XMRD US Rates Dashboard.xlsm]Rates!R13C33</stp>
        <tr r="AG13" s="1"/>
      </tp>
      <tp>
        <v>9.5000000000000001E-2</v>
        <stp/>
        <stp>##V3_BDPV12</stp>
        <stp>GBPTN Curncy</stp>
        <stp>last price</stp>
        <stp>[XMRD US Rates Dashboard.xlsm]Rates!R89C12</stp>
        <tr r="L89" s="1"/>
      </tp>
      <tp>
        <v>-0.45</v>
        <stp/>
        <stp>##V3_BDPV12</stp>
        <stp>CHFTN Curncy</stp>
        <stp>last price</stp>
        <stp>[XMRD US Rates Dashboard.xlsm]Rates!R89C21</stp>
        <tr r="U89" s="1"/>
      </tp>
      <tp>
        <v>-6.5000000000000002E-2</v>
        <stp/>
        <stp>##V3_BDPV12</stp>
        <stp>CADTN Curncy</stp>
        <stp>last price</stp>
        <stp>[XMRD US Rates Dashboard.xlsm]Rates!R89C15</stp>
        <tr r="O89" s="1"/>
      </tp>
      <tp>
        <v>-0.22500000000000001</v>
        <stp/>
        <stp>##V3_BDPV12</stp>
        <stp>AUDTN Curncy</stp>
        <stp>last price</stp>
        <stp>[XMRD US Rates Dashboard.xlsm]Rates!R89C24</stp>
        <tr r="X89" s="1"/>
      </tp>
      <tp>
        <v>98.99</v>
        <stp/>
        <stp>##V3_BDPV12</stp>
        <stp>EDH7 comdty</stp>
        <stp>ASK</stp>
        <stp>[XMRD US Rates Dashboard.xlsm]Rates!R73C9</stp>
        <tr r="I73" s="1"/>
      </tp>
      <tp>
        <v>-0.32500000000000001</v>
        <stp/>
        <stp>##V3_BDPV12</stp>
        <stp>JPYTN Curncy</stp>
        <stp>last price</stp>
        <stp>[XMRD US Rates Dashboard.xlsm]Rates!R89C18</stp>
        <tr r="R89" s="1"/>
      </tp>
      <tp t="s">
        <v>DEC 16</v>
        <stp/>
        <stp>##V3_BDPV12</stp>
        <stp>CUZ6 comdty</stp>
        <stp>FUT_MONTH_YR</stp>
        <stp>[XMRD US Rates Dashboard.xlsm]Rates!R122C16</stp>
        <tr r="P122" s="1"/>
      </tp>
      <tp t="s">
        <v>NOV 16</v>
        <stp/>
        <stp>##V3_BDPV12</stp>
        <stp>CUX6 comdty</stp>
        <stp>FUT_MONTH_YR</stp>
        <stp>[XMRD US Rates Dashboard.xlsm]Rates!R121C16</stp>
        <tr r="P121" s="1"/>
      </tp>
      <tp t="s">
        <v>OCT 16</v>
        <stp/>
        <stp>##V3_BDPV12</stp>
        <stp>CUV6 comdty</stp>
        <stp>FUT_MONTH_YR</stp>
        <stp>[XMRD US Rates Dashboard.xlsm]Rates!R120C16</stp>
        <tr r="P120" s="1"/>
      </tp>
      <tp t="s">
        <v>JAN 17</v>
        <stp/>
        <stp>##V3_BDPV12</stp>
        <stp>CUF7 comdty</stp>
        <stp>FUT_MONTH_YR</stp>
        <stp>[XMRD US Rates Dashboard.xlsm]Rates!R123C16</stp>
        <tr r="P123" s="1"/>
      </tp>
      <tp>
        <v>0.59240000000000004</v>
        <stp/>
        <stp>##V3_BDPV12</stp>
        <stp>USSOJ  Curncy</stp>
        <stp>ASK</stp>
        <stp>[XMRD US Rates Dashboard.xlsm]Rates!R61C8</stp>
        <tr r="H61" s="1"/>
      </tp>
      <tp>
        <v>14566.26</v>
        <stp/>
        <stp>##V3_BDPV12</stp>
        <stp>SPTSX index</stp>
        <stp>last price</stp>
        <stp>[XMRD US Rates Dashboard.xlsm]Rates!R25C22</stp>
        <tr r="V25" s="1"/>
      </tp>
      <tp t="s">
        <v>MAR 17</v>
        <stp/>
        <stp>##V3_BDPV12</stp>
        <stp>EDH7 comdty</stp>
        <stp>FUT_MONTH_YR</stp>
        <stp>[XMRD US Rates Dashboard.xlsm]Rates!R73C7</stp>
        <tr r="G73" s="1"/>
      </tp>
      <tp t="s">
        <v>DEC 16</v>
        <stp/>
        <stp>##V3_BDPV12</stp>
        <stp>EDZ6 comdty</stp>
        <stp>FUT_MONTH_YR</stp>
        <stp>[XMRD US Rates Dashboard.xlsm]Rates!R72C7</stp>
        <tr r="G72" s="1"/>
      </tp>
      <tp t="s">
        <v>C K7</v>
        <stp/>
        <stp>##V3_BDPV12</stp>
        <stp>C 3 comdty</stp>
        <stp>FUT_CUR_GEN_TICKER</stp>
        <stp>[XMRD US Rates Dashboard.xlsm]Rates!R122C21</stp>
        <tr r="U122" s="1"/>
      </tp>
      <tp t="s">
        <v>CUZ6</v>
        <stp/>
        <stp>##V3_BDPV12</stp>
        <stp>CU3 comdty</stp>
        <stp>FUT_CUR_GEN_TICKER</stp>
        <stp>[XMRD US Rates Dashboard.xlsm]Rates!R122C15</stp>
        <tr r="O122" s="1"/>
      </tp>
      <tp t="s">
        <v>GCG7</v>
        <stp/>
        <stp>##V3_BDPV12</stp>
        <stp>GC3 comdty</stp>
        <stp>FUT_CUR_GEN_TICKER</stp>
        <stp>[XMRD US Rates Dashboard.xlsm]Rates!R122C12</stp>
        <tr r="L122" s="1"/>
      </tp>
      <tp t="s">
        <v>W K7</v>
        <stp/>
        <stp>##V3_BDPV12</stp>
        <stp>W 3 comdty</stp>
        <stp>FUT_CUR_GEN_TICKER</stp>
        <stp>[XMRD US Rates Dashboard.xlsm]Rates!R122C18</stp>
        <tr r="R122" s="1"/>
      </tp>
      <tp>
        <v>98.63</v>
        <stp/>
        <stp>##V3_BDPV12</stp>
        <stp>EDH9 comdty</stp>
        <stp>ASK</stp>
        <stp>[XMRD US Rates Dashboard.xlsm]Rates!R81C9</stp>
        <tr r="I81" s="1"/>
      </tp>
      <tp>
        <v>98.935000000000002</v>
        <stp/>
        <stp>##V3_BDPV12</stp>
        <stp>EDM7 comdty</stp>
        <stp>ASK</stp>
        <stp>[XMRD US Rates Dashboard.xlsm]Rates!R74C9</stp>
        <tr r="I74" s="1"/>
      </tp>
      <tp t="s">
        <v>C H7</v>
        <stp/>
        <stp>##V3_BDPV12</stp>
        <stp>C 2 comdty</stp>
        <stp>FUT_CUR_GEN_TICKER</stp>
        <stp>[XMRD US Rates Dashboard.xlsm]Rates!R121C21</stp>
        <tr r="U121" s="1"/>
      </tp>
      <tp t="s">
        <v>CUX6</v>
        <stp/>
        <stp>##V3_BDPV12</stp>
        <stp>CU2 comdty</stp>
        <stp>FUT_CUR_GEN_TICKER</stp>
        <stp>[XMRD US Rates Dashboard.xlsm]Rates!R121C15</stp>
        <tr r="O121" s="1"/>
      </tp>
      <tp t="s">
        <v>GCZ6</v>
        <stp/>
        <stp>##V3_BDPV12</stp>
        <stp>GC2 comdty</stp>
        <stp>FUT_CUR_GEN_TICKER</stp>
        <stp>[XMRD US Rates Dashboard.xlsm]Rates!R121C12</stp>
        <tr r="L121" s="1"/>
      </tp>
      <tp t="s">
        <v>W H7</v>
        <stp/>
        <stp>##V3_BDPV12</stp>
        <stp>W 2 comdty</stp>
        <stp>FUT_CUR_GEN_TICKER</stp>
        <stp>[XMRD US Rates Dashboard.xlsm]Rates!R121C18</stp>
        <tr r="R121" s="1"/>
      </tp>
      <tp>
        <v>0.57840000000000003</v>
        <stp/>
        <stp>##V3_BDPV12</stp>
        <stp>USSOI  Curncy</stp>
        <stp>ASK</stp>
        <stp>[XMRD US Rates Dashboard.xlsm]Rates!R60C8</stp>
        <tr r="H60" s="1"/>
      </tp>
      <tp>
        <v>0.6069</v>
        <stp/>
        <stp>##V3_BDPV12</stp>
        <stp>USSOK  Curncy</stp>
        <stp>ASK</stp>
        <stp>[XMRD US Rates Dashboard.xlsm]Rates!R62C8</stp>
        <tr r="H62" s="1"/>
      </tp>
      <tp>
        <v>99.15</v>
        <stp/>
        <stp>##V3_BDPV12</stp>
        <stp>EMQ7 comdty</stp>
        <stp>last price</stp>
        <stp>[XMRD US Rates Dashboard.xlsm]Rates!R82C20</stp>
        <tr r="T82" s="1"/>
      </tp>
      <tp>
        <v>99.28</v>
        <stp/>
        <stp>##V3_BDPV12</stp>
        <stp>FFQ7 comdty</stp>
        <stp>last price</stp>
        <stp>[XMRD US Rates Dashboard.xlsm]Rates!R82C15</stp>
        <tr r="O82" s="1"/>
      </tp>
      <tp>
        <v>3.9413729729999432</v>
        <stp/>
        <stp>##V3_BDPV12</stp>
        <stp>FVZ6 comdty</stp>
        <stp>FUT_CTD_GROSS_BASIS</stp>
        <stp>[XMRD US Rates Dashboard.xlsm]Rates!R13C25</stp>
        <tr r="Y13" s="1"/>
      </tp>
      <tp>
        <v>30.512294959999963</v>
        <stp/>
        <stp>##V3_BDPV12</stp>
        <stp>USZ6 comdty</stp>
        <stp>FUT_CTD_GROSS_BASIS</stp>
        <stp>[XMRD US Rates Dashboard.xlsm]Rates!R17C25</stp>
        <tr r="Y17" s="1"/>
      </tp>
      <tp>
        <v>7.0646069740000712</v>
        <stp/>
        <stp>##V3_BDPV12</stp>
        <stp>TUZ6 comdty</stp>
        <stp>FUT_CTD_GROSS_BASIS</stp>
        <stp>[XMRD US Rates Dashboard.xlsm]Rates!R11C25</stp>
        <tr r="Y11" s="1"/>
      </tp>
      <tp>
        <v>13.001124905999859</v>
        <stp/>
        <stp>##V3_BDPV12</stp>
        <stp>TYZ6 comdty</stp>
        <stp>FUT_CTD_GROSS_BASIS</stp>
        <stp>[XMRD US Rates Dashboard.xlsm]Rates!R15C25</stp>
        <tr r="Y15" s="1"/>
      </tp>
      <tp>
        <v>98.59</v>
        <stp/>
        <stp>##V3_BDPV12</stp>
        <stp>EDM9 comdty</stp>
        <stp>ASK</stp>
        <stp>[XMRD US Rates Dashboard.xlsm]Rates!R82C9</stp>
        <tr r="I82" s="1"/>
      </tp>
      <tp>
        <v>98.8</v>
        <stp/>
        <stp>##V3_BDPV12</stp>
        <stp>EDH8 comdty</stp>
        <stp>ASK</stp>
        <stp>[XMRD US Rates Dashboard.xlsm]Rates!R77C9</stp>
        <tr r="I77" s="1"/>
      </tp>
      <tp>
        <v>99.454999999999998</v>
        <stp/>
        <stp>##V3_BDPV12</stp>
        <stp>EMV6 comdty</stp>
        <stp>last price</stp>
        <stp>[XMRD US Rates Dashboard.xlsm]Rates!R72C20</stp>
        <tr r="T72" s="1"/>
      </tp>
      <tp>
        <v>99.605000000000004</v>
        <stp/>
        <stp>##V3_BDPV12</stp>
        <stp>FFV6 comdty</stp>
        <stp>last price</stp>
        <stp>[XMRD US Rates Dashboard.xlsm]Rates!R72C15</stp>
        <tr r="O72" s="1"/>
      </tp>
      <tp t="s">
        <v>DEC 17</v>
        <stp/>
        <stp>##V3_BDPV12</stp>
        <stp>EDZ7 comdty</stp>
        <stp>FUT_MONTH_YR</stp>
        <stp>[XMRD US Rates Dashboard.xlsm]Rates!R76C7</stp>
        <tr r="G76" s="1"/>
      </tp>
      <tp t="s">
        <v>SEP 18</v>
        <stp/>
        <stp>##V3_BDPV12</stp>
        <stp>EDU8 comdty</stp>
        <stp>FUT_MONTH_YR</stp>
        <stp>[XMRD US Rates Dashboard.xlsm]Rates!R79C7</stp>
        <tr r="G79" s="1"/>
      </tp>
      <tp t="s">
        <v>C N7</v>
        <stp/>
        <stp>##V3_BDPV12</stp>
        <stp>C 4 comdty</stp>
        <stp>FUT_CUR_GEN_TICKER</stp>
        <stp>[XMRD US Rates Dashboard.xlsm]Rates!R123C21</stp>
        <tr r="U123" s="1"/>
      </tp>
      <tp t="s">
        <v>CUF7</v>
        <stp/>
        <stp>##V3_BDPV12</stp>
        <stp>CU4 comdty</stp>
        <stp>FUT_CUR_GEN_TICKER</stp>
        <stp>[XMRD US Rates Dashboard.xlsm]Rates!R123C15</stp>
        <tr r="O123" s="1"/>
      </tp>
      <tp t="s">
        <v>GCJ7</v>
        <stp/>
        <stp>##V3_BDPV12</stp>
        <stp>GC4 comdty</stp>
        <stp>FUT_CUR_GEN_TICKER</stp>
        <stp>[XMRD US Rates Dashboard.xlsm]Rates!R123C12</stp>
        <tr r="L123" s="1"/>
      </tp>
      <tp t="s">
        <v>W N7</v>
        <stp/>
        <stp>##V3_BDPV12</stp>
        <stp>W 4 comdty</stp>
        <stp>FUT_CUR_GEN_TICKER</stp>
        <stp>[XMRD US Rates Dashboard.xlsm]Rates!R123C18</stp>
        <tr r="R123" s="1"/>
      </tp>
      <tp>
        <v>9.0390460365001672</v>
        <stp/>
        <stp>##V3_BDPV12</stp>
        <stp>FVH7 comdty</stp>
        <stp>FUT_CTD_GROSS_BASIS</stp>
        <stp>[XMRD US Rates Dashboard.xlsm]Rates!R14C25</stp>
        <tr r="Y14" s="1"/>
      </tp>
      <tp>
        <v>17.5</v>
        <stp/>
        <stp>##V3_BDPV12</stp>
        <stp>CT786896 CURNCY</stp>
        <stp>BID</stp>
        <stp>[XMRD US Rates Dashboard.xlsm]Rates!R11C34</stp>
        <tr r="AH11" s="1"/>
      </tp>
      <tp>
        <v>61.360675007999816</v>
        <stp/>
        <stp>##V3_BDPV12</stp>
        <stp>USH7 comdty</stp>
        <stp>FUT_CTD_GROSS_BASIS</stp>
        <stp>[XMRD US Rates Dashboard.xlsm]Rates!R18C25</stp>
        <tr r="Y18" s="1"/>
      </tp>
      <tp>
        <v>11.826113332249861</v>
        <stp/>
        <stp>##V3_BDPV12</stp>
        <stp>TUH7 comdty</stp>
        <stp>FUT_CTD_GROSS_BASIS</stp>
        <stp>[XMRD US Rates Dashboard.xlsm]Rates!R12C25</stp>
        <tr r="Y12" s="1"/>
      </tp>
      <tp>
        <v>25.873616547999973</v>
        <stp/>
        <stp>##V3_BDPV12</stp>
        <stp>TYH7 comdty</stp>
        <stp>FUT_CTD_GROSS_BASIS</stp>
        <stp>[XMRD US Rates Dashboard.xlsm]Rates!R16C25</stp>
        <tr r="Y16" s="1"/>
      </tp>
      <tp>
        <v>0.55059999999999998</v>
        <stp/>
        <stp>##V3_BDPV12</stp>
        <stp>USSOG  Curncy</stp>
        <stp>ASK</stp>
        <stp>[XMRD US Rates Dashboard.xlsm]Rates!R58C8</stp>
        <tr r="H58" s="1"/>
      </tp>
      <tp>
        <v>6.2E-2</v>
        <stp/>
        <stp>##V3_BDPV12</stp>
        <stp>GTAUD10Y CORP</stp>
        <stp>RT_YLD_CHG_NET_1D</stp>
        <stp>[XMRD US Rates Dashboard.xlsm]Rates!R16C33</stp>
        <tr r="AG16" s="1"/>
      </tp>
      <tp>
        <v>0.34</v>
        <stp/>
        <stp>##V3_BDPV12</stp>
        <stp>EURON Curncy</stp>
        <stp>BID</stp>
        <stp>[XMRD US Rates Dashboard.xlsm]Rates!R88C7</stp>
        <tr r="G88" s="1"/>
      </tp>
      <tp t="s">
        <v>JUN 18</v>
        <stp/>
        <stp>##V3_BDPV12</stp>
        <stp>EDM8 comdty</stp>
        <stp>FUT_MONTH_YR</stp>
        <stp>[XMRD US Rates Dashboard.xlsm]Rates!R78C7</stp>
        <tr r="G78" s="1"/>
      </tp>
      <tp>
        <v>0.40200000000000002</v>
        <stp/>
        <stp>##V3_BDPV12</stp>
        <stp>USSO3Z  Curncy</stp>
        <stp>ASK</stp>
        <stp>[XMRD US Rates Dashboard.xlsm]Rates!R51C8</stp>
        <tr r="H51" s="1"/>
      </tp>
      <tp>
        <v>100.30500000000001</v>
        <stp/>
        <stp>##V3_BDPV12</stp>
        <stp>ERZ6 comdty</stp>
        <stp>ASK</stp>
        <stp>[XMRD US Rates Dashboard.xlsm]Rates!R72C24</stp>
        <tr r="X72" s="1"/>
      </tp>
      <tp>
        <v>99.607500000000002</v>
        <stp/>
        <stp>##V3_BDPV12</stp>
        <stp>FFV6 comdty</stp>
        <stp>ASK</stp>
        <stp>[XMRD US Rates Dashboard.xlsm]Rates!R72C14</stp>
        <tr r="N72" s="1"/>
      </tp>
      <tp>
        <v>99.58</v>
        <stp/>
        <stp>##V3_BDPV12</stp>
        <stp>FFX6 comdty</stp>
        <stp>ASK</stp>
        <stp>[XMRD US Rates Dashboard.xlsm]Rates!R73C14</stp>
        <tr r="N73" s="1"/>
      </tp>
      <tp>
        <v>99.5</v>
        <stp/>
        <stp>##V3_BDPV12</stp>
        <stp>FFZ6 comdty</stp>
        <stp>ASK</stp>
        <stp>[XMRD US Rates Dashboard.xlsm]Rates!R74C14</stp>
        <tr r="N74" s="1"/>
      </tp>
      <tp t="s">
        <v>#N/A N/A</v>
        <stp/>
        <stp>##V3_BDPV12</stp>
        <stp>EMV6 comdty</stp>
        <stp>ASK</stp>
        <stp>[XMRD US Rates Dashboard.xlsm]Rates!R72C19</stp>
        <tr r="S72" s="1"/>
      </tp>
      <tp t="s">
        <v>#N/A N/A</v>
        <stp/>
        <stp>##V3_BDPV12</stp>
        <stp>EMX6 comdty</stp>
        <stp>ASK</stp>
        <stp>[XMRD US Rates Dashboard.xlsm]Rates!R73C19</stp>
        <tr r="S73" s="1"/>
      </tp>
      <tp t="s">
        <v>#N/A N/A</v>
        <stp/>
        <stp>##V3_BDPV12</stp>
        <stp>EMZ6 comdty</stp>
        <stp>ASK</stp>
        <stp>[XMRD US Rates Dashboard.xlsm]Rates!R74C19</stp>
        <tr r="S74" s="1"/>
      </tp>
      <tp>
        <v>3065.25</v>
        <stp/>
        <stp>##V3_BDPV12</stp>
        <stp>SHCOMP index</stp>
        <stp>last price</stp>
        <stp>[XMRD US Rates Dashboard.xlsm]Rates!R23C30</stp>
        <tr r="AD23" s="1"/>
      </tp>
      <tp t="s">
        <v>#N/A N/A</v>
        <stp/>
        <stp>##V3_BDPV12</stp>
        <stp>EMZ6 comdty</stp>
        <stp>bid</stp>
        <stp>[XMRD US Rates Dashboard.xlsm]Rates!R74C18</stp>
        <tr r="R74" s="1"/>
      </tp>
      <tp t="s">
        <v>#N/A N/A</v>
        <stp/>
        <stp>##V3_BDPV12</stp>
        <stp>EMX6 comdty</stp>
        <stp>bid</stp>
        <stp>[XMRD US Rates Dashboard.xlsm]Rates!R73C18</stp>
        <tr r="R73" s="1"/>
      </tp>
      <tp t="s">
        <v>#N/A N/A</v>
        <stp/>
        <stp>##V3_BDPV12</stp>
        <stp>EMV6 comdty</stp>
        <stp>bid</stp>
        <stp>[XMRD US Rates Dashboard.xlsm]Rates!R72C18</stp>
        <tr r="R72" s="1"/>
      </tp>
      <tp>
        <v>99.495000000000005</v>
        <stp/>
        <stp>##V3_BDPV12</stp>
        <stp>FFZ6 comdty</stp>
        <stp>bid</stp>
        <stp>[XMRD US Rates Dashboard.xlsm]Rates!R74C13</stp>
        <tr r="M74" s="1"/>
      </tp>
      <tp>
        <v>99.575000000000003</v>
        <stp/>
        <stp>##V3_BDPV12</stp>
        <stp>FFX6 comdty</stp>
        <stp>bid</stp>
        <stp>[XMRD US Rates Dashboard.xlsm]Rates!R73C13</stp>
        <tr r="M73" s="1"/>
      </tp>
      <tp>
        <v>99.605000000000004</v>
        <stp/>
        <stp>##V3_BDPV12</stp>
        <stp>FFV6 comdty</stp>
        <stp>bid</stp>
        <stp>[XMRD US Rates Dashboard.xlsm]Rates!R72C13</stp>
        <tr r="M72" s="1"/>
      </tp>
      <tp>
        <v>100.3</v>
        <stp/>
        <stp>##V3_BDPV12</stp>
        <stp>ERZ6 comdty</stp>
        <stp>bid</stp>
        <stp>[XMRD US Rates Dashboard.xlsm]Rates!R72C23</stp>
        <tr r="W72" s="1"/>
      </tp>
      <tp t="s">
        <v>JUN 17</v>
        <stp/>
        <stp>##V3_BDPV12</stp>
        <stp>EDM7 comdty</stp>
        <stp>FUT_MONTH_YR</stp>
        <stp>[XMRD US Rates Dashboard.xlsm]Rates!R74C7</stp>
        <tr r="G74" s="1"/>
      </tp>
      <tp>
        <v>100.30500000000001</v>
        <stp/>
        <stp>##V3_BDPV12</stp>
        <stp>ERH7 comdty</stp>
        <stp>ASK</stp>
        <stp>[XMRD US Rates Dashboard.xlsm]Rates!R73C24</stp>
        <tr r="X73" s="1"/>
      </tp>
      <tp>
        <v>100.315</v>
        <stp/>
        <stp>##V3_BDPV12</stp>
        <stp>ERM7 comdty</stp>
        <stp>ASK</stp>
        <stp>[XMRD US Rates Dashboard.xlsm]Rates!R74C24</stp>
        <tr r="X74" s="1"/>
      </tp>
      <tp>
        <v>100.325</v>
        <stp/>
        <stp>##V3_BDPV12</stp>
        <stp>ERU7 comdty</stp>
        <stp>ASK</stp>
        <stp>[XMRD US Rates Dashboard.xlsm]Rates!R75C24</stp>
        <tr r="X75" s="1"/>
      </tp>
      <tp>
        <v>100.33</v>
        <stp/>
        <stp>##V3_BDPV12</stp>
        <stp>ERZ7 comdty</stp>
        <stp>ASK</stp>
        <stp>[XMRD US Rates Dashboard.xlsm]Rates!R76C24</stp>
        <tr r="X76" s="1"/>
      </tp>
      <tp>
        <v>99.43</v>
        <stp/>
        <stp>##V3_BDPV12</stp>
        <stp>FFF7 comdty</stp>
        <stp>ASK</stp>
        <stp>[XMRD US Rates Dashboard.xlsm]Rates!R75C14</stp>
        <tr r="N75" s="1"/>
      </tp>
      <tp>
        <v>99.36</v>
        <stp/>
        <stp>##V3_BDPV12</stp>
        <stp>FFJ7 comdty</stp>
        <stp>ASK</stp>
        <stp>[XMRD US Rates Dashboard.xlsm]Rates!R78C14</stp>
        <tr r="N78" s="1"/>
      </tp>
      <tp>
        <v>99.344999999999999</v>
        <stp/>
        <stp>##V3_BDPV12</stp>
        <stp>FFK7 comdty</stp>
        <stp>ASK</stp>
        <stp>[XMRD US Rates Dashboard.xlsm]Rates!R79C14</stp>
        <tr r="N79" s="1"/>
      </tp>
      <tp>
        <v>99.41</v>
        <stp/>
        <stp>##V3_BDPV12</stp>
        <stp>FFG7 comdty</stp>
        <stp>ASK</stp>
        <stp>[XMRD US Rates Dashboard.xlsm]Rates!R76C14</stp>
        <tr r="N76" s="1"/>
      </tp>
      <tp>
        <v>99.38</v>
        <stp/>
        <stp>##V3_BDPV12</stp>
        <stp>FFH7 comdty</stp>
        <stp>ASK</stp>
        <stp>[XMRD US Rates Dashboard.xlsm]Rates!R77C14</stp>
        <tr r="N77" s="1"/>
      </tp>
      <tp>
        <v>99.295000000000002</v>
        <stp/>
        <stp>##V3_BDPV12</stp>
        <stp>FFN7 comdty</stp>
        <stp>ASK</stp>
        <stp>[XMRD US Rates Dashboard.xlsm]Rates!R81C14</stp>
        <tr r="N81" s="1"/>
      </tp>
      <tp>
        <v>99.314999999999998</v>
        <stp/>
        <stp>##V3_BDPV12</stp>
        <stp>FFM7 comdty</stp>
        <stp>ASK</stp>
        <stp>[XMRD US Rates Dashboard.xlsm]Rates!R80C14</stp>
        <tr r="N80" s="1"/>
      </tp>
      <tp>
        <v>99.284999999999997</v>
        <stp/>
        <stp>##V3_BDPV12</stp>
        <stp>FFQ7 comdty</stp>
        <stp>ASK</stp>
        <stp>[XMRD US Rates Dashboard.xlsm]Rates!R82C14</stp>
        <tr r="N82" s="1"/>
      </tp>
      <tp>
        <v>99.275000000000006</v>
        <stp/>
        <stp>##V3_BDPV12</stp>
        <stp>FFU7 comdty</stp>
        <stp>ASK</stp>
        <stp>[XMRD US Rates Dashboard.xlsm]Rates!R83C14</stp>
        <tr r="N83" s="1"/>
      </tp>
      <tp t="s">
        <v>#N/A N/A</v>
        <stp/>
        <stp>##V3_BDPV12</stp>
        <stp>EMF7 comdty</stp>
        <stp>ASK</stp>
        <stp>[XMRD US Rates Dashboard.xlsm]Rates!R75C19</stp>
        <tr r="S75" s="1"/>
      </tp>
      <tp t="s">
        <v>#N/A N/A</v>
        <stp/>
        <stp>##V3_BDPV12</stp>
        <stp>EMJ7 comdty</stp>
        <stp>ASK</stp>
        <stp>[XMRD US Rates Dashboard.xlsm]Rates!R78C19</stp>
        <tr r="S78" s="1"/>
      </tp>
      <tp t="s">
        <v>#N/A N/A</v>
        <stp/>
        <stp>##V3_BDPV12</stp>
        <stp>EMK7 comdty</stp>
        <stp>ASK</stp>
        <stp>[XMRD US Rates Dashboard.xlsm]Rates!R79C19</stp>
        <tr r="S79" s="1"/>
      </tp>
      <tp t="s">
        <v>#N/A N/A</v>
        <stp/>
        <stp>##V3_BDPV12</stp>
        <stp>EMG7 comdty</stp>
        <stp>ASK</stp>
        <stp>[XMRD US Rates Dashboard.xlsm]Rates!R76C19</stp>
        <tr r="S76" s="1"/>
      </tp>
      <tp t="s">
        <v>#N/A N/A</v>
        <stp/>
        <stp>##V3_BDPV12</stp>
        <stp>EMH7 comdty</stp>
        <stp>ASK</stp>
        <stp>[XMRD US Rates Dashboard.xlsm]Rates!R77C19</stp>
        <tr r="S77" s="1"/>
      </tp>
      <tp t="s">
        <v>#N/A N/A</v>
        <stp/>
        <stp>##V3_BDPV12</stp>
        <stp>EMN7 comdty</stp>
        <stp>ASK</stp>
        <stp>[XMRD US Rates Dashboard.xlsm]Rates!R81C19</stp>
        <tr r="S81" s="1"/>
      </tp>
      <tp t="s">
        <v>#N/A N/A</v>
        <stp/>
        <stp>##V3_BDPV12</stp>
        <stp>EMM7 comdty</stp>
        <stp>ASK</stp>
        <stp>[XMRD US Rates Dashboard.xlsm]Rates!R80C19</stp>
        <tr r="S80" s="1"/>
      </tp>
      <tp t="s">
        <v>#N/A N/A</v>
        <stp/>
        <stp>##V3_BDPV12</stp>
        <stp>EMQ7 comdty</stp>
        <stp>ASK</stp>
        <stp>[XMRD US Rates Dashboard.xlsm]Rates!R82C19</stp>
        <tr r="S82" s="1"/>
      </tp>
      <tp t="s">
        <v>#N/A N/A</v>
        <stp/>
        <stp>##V3_BDPV12</stp>
        <stp>EMU7 comdty</stp>
        <stp>ASK</stp>
        <stp>[XMRD US Rates Dashboard.xlsm]Rates!R83C19</stp>
        <tr r="S83" s="1"/>
      </tp>
      <tp t="s">
        <v>#N/A N/A</v>
        <stp/>
        <stp>##V3_BDPV12</stp>
        <stp>EMM7 comdty</stp>
        <stp>bid</stp>
        <stp>[XMRD US Rates Dashboard.xlsm]Rates!R80C18</stp>
        <tr r="R80" s="1"/>
      </tp>
      <tp t="s">
        <v>#N/A N/A</v>
        <stp/>
        <stp>##V3_BDPV12</stp>
        <stp>EMN7 comdty</stp>
        <stp>bid</stp>
        <stp>[XMRD US Rates Dashboard.xlsm]Rates!R81C18</stp>
        <tr r="R81" s="1"/>
      </tp>
      <tp t="s">
        <v>#N/A N/A</v>
        <stp/>
        <stp>##V3_BDPV12</stp>
        <stp>EMU7 comdty</stp>
        <stp>bid</stp>
        <stp>[XMRD US Rates Dashboard.xlsm]Rates!R83C18</stp>
        <tr r="R83" s="1"/>
      </tp>
      <tp t="s">
        <v>#N/A N/A</v>
        <stp/>
        <stp>##V3_BDPV12</stp>
        <stp>EMQ7 comdty</stp>
        <stp>bid</stp>
        <stp>[XMRD US Rates Dashboard.xlsm]Rates!R82C18</stp>
        <tr r="R82" s="1"/>
      </tp>
      <tp t="s">
        <v>#N/A N/A</v>
        <stp/>
        <stp>##V3_BDPV12</stp>
        <stp>EMH7 comdty</stp>
        <stp>bid</stp>
        <stp>[XMRD US Rates Dashboard.xlsm]Rates!R77C18</stp>
        <tr r="R77" s="1"/>
      </tp>
      <tp t="s">
        <v>#N/A N/A</v>
        <stp/>
        <stp>##V3_BDPV12</stp>
        <stp>EMG7 comdty</stp>
        <stp>bid</stp>
        <stp>[XMRD US Rates Dashboard.xlsm]Rates!R76C18</stp>
        <tr r="R76" s="1"/>
      </tp>
      <tp t="s">
        <v>#N/A N/A</v>
        <stp/>
        <stp>##V3_BDPV12</stp>
        <stp>EMJ7 comdty</stp>
        <stp>bid</stp>
        <stp>[XMRD US Rates Dashboard.xlsm]Rates!R78C18</stp>
        <tr r="R78" s="1"/>
      </tp>
      <tp t="s">
        <v>#N/A N/A</v>
        <stp/>
        <stp>##V3_BDPV12</stp>
        <stp>EMK7 comdty</stp>
        <stp>bid</stp>
        <stp>[XMRD US Rates Dashboard.xlsm]Rates!R79C18</stp>
        <tr r="R79" s="1"/>
      </tp>
      <tp t="s">
        <v>#N/A N/A</v>
        <stp/>
        <stp>##V3_BDPV12</stp>
        <stp>EMF7 comdty</stp>
        <stp>bid</stp>
        <stp>[XMRD US Rates Dashboard.xlsm]Rates!R75C18</stp>
        <tr r="R75" s="1"/>
      </tp>
      <tp>
        <v>99.305000000000007</v>
        <stp/>
        <stp>##V3_BDPV12</stp>
        <stp>FFM7 comdty</stp>
        <stp>bid</stp>
        <stp>[XMRD US Rates Dashboard.xlsm]Rates!R80C13</stp>
        <tr r="M80" s="1"/>
      </tp>
      <tp>
        <v>99.29</v>
        <stp/>
        <stp>##V3_BDPV12</stp>
        <stp>FFN7 comdty</stp>
        <stp>bid</stp>
        <stp>[XMRD US Rates Dashboard.xlsm]Rates!R81C13</stp>
        <tr r="M81" s="1"/>
      </tp>
      <tp>
        <v>99.265000000000001</v>
        <stp/>
        <stp>##V3_BDPV12</stp>
        <stp>FFU7 comdty</stp>
        <stp>bid</stp>
        <stp>[XMRD US Rates Dashboard.xlsm]Rates!R83C13</stp>
        <tr r="M83" s="1"/>
      </tp>
      <tp>
        <v>99.28</v>
        <stp/>
        <stp>##V3_BDPV12</stp>
        <stp>FFQ7 comdty</stp>
        <stp>bid</stp>
        <stp>[XMRD US Rates Dashboard.xlsm]Rates!R82C13</stp>
        <tr r="M82" s="1"/>
      </tp>
      <tp>
        <v>99.375</v>
        <stp/>
        <stp>##V3_BDPV12</stp>
        <stp>FFH7 comdty</stp>
        <stp>bid</stp>
        <stp>[XMRD US Rates Dashboard.xlsm]Rates!R77C13</stp>
        <tr r="M77" s="1"/>
      </tp>
      <tp>
        <v>99.405000000000001</v>
        <stp/>
        <stp>##V3_BDPV12</stp>
        <stp>FFG7 comdty</stp>
        <stp>bid</stp>
        <stp>[XMRD US Rates Dashboard.xlsm]Rates!R76C13</stp>
        <tr r="M76" s="1"/>
      </tp>
      <tp>
        <v>99.355000000000004</v>
        <stp/>
        <stp>##V3_BDPV12</stp>
        <stp>FFJ7 comdty</stp>
        <stp>bid</stp>
        <stp>[XMRD US Rates Dashboard.xlsm]Rates!R78C13</stp>
        <tr r="M78" s="1"/>
      </tp>
      <tp>
        <v>99.334999999999994</v>
        <stp/>
        <stp>##V3_BDPV12</stp>
        <stp>FFK7 comdty</stp>
        <stp>bid</stp>
        <stp>[XMRD US Rates Dashboard.xlsm]Rates!R79C13</stp>
        <tr r="M79" s="1"/>
      </tp>
      <tp>
        <v>99.424999999999997</v>
        <stp/>
        <stp>##V3_BDPV12</stp>
        <stp>FFF7 comdty</stp>
        <stp>bid</stp>
        <stp>[XMRD US Rates Dashboard.xlsm]Rates!R75C13</stp>
        <tr r="M75" s="1"/>
      </tp>
      <tp>
        <v>100.31</v>
        <stp/>
        <stp>##V3_BDPV12</stp>
        <stp>ERM7 comdty</stp>
        <stp>bid</stp>
        <stp>[XMRD US Rates Dashboard.xlsm]Rates!R74C23</stp>
        <tr r="W74" s="1"/>
      </tp>
      <tp>
        <v>100.3</v>
        <stp/>
        <stp>##V3_BDPV12</stp>
        <stp>ERH7 comdty</stp>
        <stp>bid</stp>
        <stp>[XMRD US Rates Dashboard.xlsm]Rates!R73C23</stp>
        <tr r="W73" s="1"/>
      </tp>
      <tp>
        <v>100.325</v>
        <stp/>
        <stp>##V3_BDPV12</stp>
        <stp>ERZ7 comdty</stp>
        <stp>bid</stp>
        <stp>[XMRD US Rates Dashboard.xlsm]Rates!R76C23</stp>
        <tr r="W76" s="1"/>
      </tp>
      <tp>
        <v>100.32</v>
        <stp/>
        <stp>##V3_BDPV12</stp>
        <stp>ERU7 comdty</stp>
        <stp>bid</stp>
        <stp>[XMRD US Rates Dashboard.xlsm]Rates!R75C23</stp>
        <tr r="W75" s="1"/>
      </tp>
      <tp>
        <v>5.2733000000000002E-2</v>
        <stp/>
        <stp>##V3_BDPV12</stp>
        <stp>GTUSD10Y GOVT</stp>
        <stp>RT_YLD_CHG_NET_1D</stp>
        <stp>[XMRD US Rates Dashboard.xlsm]Rates!R11C33</stp>
        <tr r="AG11" s="1"/>
      </tp>
      <tp>
        <v>99.114999999999995</v>
        <stp/>
        <stp>##V3_BDPV12</stp>
        <stp>EMU7 comdty</stp>
        <stp>last price</stp>
        <stp>[XMRD US Rates Dashboard.xlsm]Rates!R83C20</stp>
        <tr r="T83" s="1"/>
      </tp>
      <tp>
        <v>100.32</v>
        <stp/>
        <stp>##V3_BDPV12</stp>
        <stp>ERU7 comdty</stp>
        <stp>last price</stp>
        <stp>[XMRD US Rates Dashboard.xlsm]Rates!R75C25</stp>
        <tr r="Y75" s="1"/>
      </tp>
      <tp>
        <v>99.27</v>
        <stp/>
        <stp>##V3_BDPV12</stp>
        <stp>FFU7 comdty</stp>
        <stp>last price</stp>
        <stp>[XMRD US Rates Dashboard.xlsm]Rates!R83C15</stp>
        <tr r="O83" s="1"/>
      </tp>
      <tp>
        <v>98.885000000000005</v>
        <stp/>
        <stp>##V3_BDPV12</stp>
        <stp>EDU7 comdty</stp>
        <stp>last price</stp>
        <stp>[XMRD US Rates Dashboard.xlsm]Rates!R75C10</stp>
        <tr r="J75" s="1"/>
      </tp>
      <tp>
        <v>98.545000000000002</v>
        <stp/>
        <stp>##V3_BDPV12</stp>
        <stp>EDU9 comdty</stp>
        <stp>last price</stp>
        <stp>[XMRD US Rates Dashboard.xlsm]Rates!R83C10</stp>
        <tr r="J83" s="1"/>
      </tp>
      <tp>
        <v>98.71</v>
        <stp/>
        <stp>##V3_BDPV12</stp>
        <stp>EDU8 comdty</stp>
        <stp>last price</stp>
        <stp>[XMRD US Rates Dashboard.xlsm]Rates!R79C10</stp>
        <tr r="J79" s="1"/>
      </tp>
      <tp>
        <v>100.315</v>
        <stp/>
        <stp>##V3_BDPV12</stp>
        <stp>ERU8 comdty</stp>
        <stp>last price</stp>
        <stp>[XMRD US Rates Dashboard.xlsm]Rates!R79C25</stp>
        <tr r="Y79" s="1"/>
      </tp>
      <tp>
        <v>100.22</v>
        <stp/>
        <stp>##V3_BDPV12</stp>
        <stp>ERU9 comdty</stp>
        <stp>last price</stp>
        <stp>[XMRD US Rates Dashboard.xlsm]Rates!R83C25</stp>
        <tr r="Y83" s="1"/>
      </tp>
      <tp t="s">
        <v>SEP 17</v>
        <stp/>
        <stp>##V3_BDPV12</stp>
        <stp>EDU7 comdty</stp>
        <stp>FUT_MONTH_YR</stp>
        <stp>[XMRD US Rates Dashboard.xlsm]Rates!R75C7</stp>
        <tr r="G75" s="1"/>
      </tp>
      <tp t="s">
        <v>#N/A N/A</v>
        <stp/>
        <stp>##V3_BDPV12</stp>
        <stp>GTUSDBR10Y CORP</stp>
        <stp>RT_YLD_CHG_NET_1D</stp>
        <stp>[XMRD US Rates Dashboard.xlsm]Rates!R17C33</stp>
        <tr r="AG17" s="1"/>
      </tp>
    </main>
    <main first="bloomberg.rtd">
      <tp>
        <v>0.35499999999999998</v>
        <stp/>
        <stp>##V3_BDPV12</stp>
        <stp>EURON Curncy</stp>
        <stp>last price</stp>
        <stp>[XMRD US Rates Dashboard.xlsm]Rates!R88C9</stp>
        <tr r="I88" s="1"/>
      </tp>
      <tp>
        <v>99.23</v>
        <stp/>
        <stp>##V3_BDPV12</stp>
        <stp>EMJ7 comdty</stp>
        <stp>last price</stp>
        <stp>[XMRD US Rates Dashboard.xlsm]Rates!R78C20</stp>
        <tr r="T78" s="1"/>
      </tp>
      <tp>
        <v>99.36</v>
        <stp/>
        <stp>##V3_BDPV12</stp>
        <stp>FFJ7 comdty</stp>
        <stp>last price</stp>
        <stp>[XMRD US Rates Dashboard.xlsm]Rates!R78C15</stp>
        <tr r="O78" s="1"/>
      </tp>
      <tp>
        <v>0.62119999999999997</v>
        <stp/>
        <stp>##V3_BDPV12</stp>
        <stp>BPSW4  curncy</stp>
        <stp>ask</stp>
        <stp>[XMRD US Rates Dashboard.xlsm]Rates!R32C18</stp>
        <tr r="R32" s="1"/>
      </tp>
      <tp>
        <v>0.67800000000000005</v>
        <stp/>
        <stp>##V3_BDPV12</stp>
        <stp>BPSW5  curncy</stp>
        <stp>ask</stp>
        <stp>[XMRD US Rates Dashboard.xlsm]Rates!R33C18</stp>
        <tr r="R33" s="1"/>
      </tp>
      <tp>
        <v>0.54049999999999998</v>
        <stp/>
        <stp>##V3_BDPV12</stp>
        <stp>BPSW2  curncy</stp>
        <stp>ask</stp>
        <stp>[XMRD US Rates Dashboard.xlsm]Rates!R30C18</stp>
        <tr r="R30" s="1"/>
      </tp>
      <tp>
        <v>0.57399999999999995</v>
        <stp/>
        <stp>##V3_BDPV12</stp>
        <stp>BPSW3  curncy</stp>
        <stp>ask</stp>
        <stp>[XMRD US Rates Dashboard.xlsm]Rates!R31C18</stp>
        <tr r="R31" s="1"/>
      </tp>
      <tp>
        <v>0.73570000000000002</v>
        <stp/>
        <stp>##V3_BDPV12</stp>
        <stp>BPSW6  curncy</stp>
        <stp>ask</stp>
        <stp>[XMRD US Rates Dashboard.xlsm]Rates!R34C18</stp>
        <tr r="R34" s="1"/>
      </tp>
      <tp>
        <v>0.79879999999999995</v>
        <stp/>
        <stp>##V3_BDPV12</stp>
        <stp>BPSW7  curncy</stp>
        <stp>ask</stp>
        <stp>[XMRD US Rates Dashboard.xlsm]Rates!R35C18</stp>
        <tr r="R35" s="1"/>
      </tp>
      <tp>
        <v>0.86209999999999998</v>
        <stp/>
        <stp>##V3_BDPV12</stp>
        <stp>BPSW8  curncy</stp>
        <stp>ask</stp>
        <stp>[XMRD US Rates Dashboard.xlsm]Rates!R36C18</stp>
        <tr r="R36" s="1"/>
      </tp>
      <tp>
        <v>0.9234</v>
        <stp/>
        <stp>##V3_BDPV12</stp>
        <stp>BPSW9  curncy</stp>
        <stp>ask</stp>
        <stp>[XMRD US Rates Dashboard.xlsm]Rates!R37C18</stp>
        <tr r="R37" s="1"/>
      </tp>
      <tp>
        <v>0.85299999999999998</v>
        <stp/>
        <stp>##V3_BDPV12</stp>
        <stp>BPSW8  curncy</stp>
        <stp>bid</stp>
        <stp>[XMRD US Rates Dashboard.xlsm]Rates!R36C17</stp>
        <tr r="Q36" s="1"/>
      </tp>
      <tp>
        <v>0.91500000000000004</v>
        <stp/>
        <stp>##V3_BDPV12</stp>
        <stp>BPSW9  curncy</stp>
        <stp>bid</stp>
        <stp>[XMRD US Rates Dashboard.xlsm]Rates!R37C17</stp>
        <tr r="Q37" s="1"/>
      </tp>
      <tp>
        <v>0.52900000000000003</v>
        <stp/>
        <stp>##V3_BDPV12</stp>
        <stp>BPSW2  curncy</stp>
        <stp>bid</stp>
        <stp>[XMRD US Rates Dashboard.xlsm]Rates!R30C17</stp>
        <tr r="Q30" s="1"/>
      </tp>
      <tp>
        <v>0.5635</v>
        <stp/>
        <stp>##V3_BDPV12</stp>
        <stp>BPSW3  curncy</stp>
        <stp>bid</stp>
        <stp>[XMRD US Rates Dashboard.xlsm]Rates!R31C17</stp>
        <tr r="Q31" s="1"/>
      </tp>
      <tp>
        <v>0.72499999999999998</v>
        <stp/>
        <stp>##V3_BDPV12</stp>
        <stp>BPSW6  curncy</stp>
        <stp>bid</stp>
        <stp>[XMRD US Rates Dashboard.xlsm]Rates!R34C17</stp>
        <tr r="Q34" s="1"/>
      </tp>
      <tp>
        <v>0.79</v>
        <stp/>
        <stp>##V3_BDPV12</stp>
        <stp>BPSW7  curncy</stp>
        <stp>bid</stp>
        <stp>[XMRD US Rates Dashboard.xlsm]Rates!R35C17</stp>
        <tr r="Q35" s="1"/>
      </tp>
      <tp>
        <v>0.60619999999999996</v>
        <stp/>
        <stp>##V3_BDPV12</stp>
        <stp>BPSW4  curncy</stp>
        <stp>bid</stp>
        <stp>[XMRD US Rates Dashboard.xlsm]Rates!R32C17</stp>
        <tr r="Q32" s="1"/>
      </tp>
      <tp>
        <v>0.66600000000000004</v>
        <stp/>
        <stp>##V3_BDPV12</stp>
        <stp>BPSW5  curncy</stp>
        <stp>bid</stp>
        <stp>[XMRD US Rates Dashboard.xlsm]Rates!R33C17</stp>
        <tr r="Q33" s="1"/>
      </tp>
      <tp>
        <v>0.36799999999999999</v>
        <stp/>
        <stp>##V3_BDPV12</stp>
        <stp>EURTN Curncy</stp>
        <stp>last price</stp>
        <stp>[XMRD US Rates Dashboard.xlsm]Rates!R89C9</stp>
        <tr r="I89" s="1"/>
      </tp>
      <tp>
        <v>99.21</v>
        <stp/>
        <stp>##V3_BDPV12</stp>
        <stp>EMK7 comdty</stp>
        <stp>last price</stp>
        <stp>[XMRD US Rates Dashboard.xlsm]Rates!R79C20</stp>
        <tr r="T79" s="1"/>
      </tp>
      <tp>
        <v>99.34</v>
        <stp/>
        <stp>##V3_BDPV12</stp>
        <stp>FFK7 comdty</stp>
        <stp>last price</stp>
        <stp>[XMRD US Rates Dashboard.xlsm]Rates!R79C15</stp>
        <tr r="O79" s="1"/>
      </tp>
      <tp>
        <v>0.64600000000000002</v>
        <stp/>
        <stp>##V3_BDPV12</stp>
        <stp>USSO1C  Curncy</stp>
        <stp>ASK</stp>
        <stp>[XMRD US Rates Dashboard.xlsm]Rates!R64C8</stp>
        <tr r="H64" s="1"/>
      </tp>
    </main>
    <main first="bloomberg.rtd">
      <tp>
        <v>100.3</v>
        <stp/>
        <stp>##V3_BDPV12</stp>
        <stp>ERH7 comdty</stp>
        <stp>last price</stp>
        <stp>[XMRD US Rates Dashboard.xlsm]Rates!R73C25</stp>
        <tr r="Y73" s="1"/>
      </tp>
      <tp>
        <v>99.247500000000002</v>
        <stp/>
        <stp>##V3_BDPV12</stp>
        <stp>EMH7 comdty</stp>
        <stp>last price</stp>
        <stp>[XMRD US Rates Dashboard.xlsm]Rates!R77C20</stp>
        <tr r="T77" s="1"/>
      </tp>
      <tp>
        <v>120.328125</v>
        <stp/>
        <stp>##V3_BDPV12</stp>
        <stp>FVH7 comdty</stp>
        <stp>last price</stp>
        <stp>[XMRD US Rates Dashboard.xlsm]Rates!R14C24</stp>
        <tr r="X14" s="1"/>
      </tp>
      <tp>
        <v>162.75</v>
        <stp/>
        <stp>##V3_BDPV12</stp>
        <stp>USH7 comdty</stp>
        <stp>last price</stp>
        <stp>[XMRD US Rates Dashboard.xlsm]Rates!R18C24</stp>
        <tr r="X18" s="1"/>
      </tp>
      <tp>
        <v>108.8984375</v>
        <stp/>
        <stp>##V3_BDPV12</stp>
        <stp>TUH7 comdty</stp>
        <stp>last price</stp>
        <stp>[XMRD US Rates Dashboard.xlsm]Rates!R12C24</stp>
        <tr r="X12" s="1"/>
      </tp>
      <tp>
        <v>129.28125</v>
        <stp/>
        <stp>##V3_BDPV12</stp>
        <stp>TYH7 comdty</stp>
        <stp>last price</stp>
        <stp>[XMRD US Rates Dashboard.xlsm]Rates!R16C24</stp>
        <tr r="X16" s="1"/>
      </tp>
      <tp>
        <v>99.375</v>
        <stp/>
        <stp>##V3_BDPV12</stp>
        <stp>FFH7 comdty</stp>
        <stp>last price</stp>
        <stp>[XMRD US Rates Dashboard.xlsm]Rates!R77C15</stp>
        <tr r="O77" s="1"/>
      </tp>
      <tp>
        <v>98.99</v>
        <stp/>
        <stp>##V3_BDPV12</stp>
        <stp>EDH7 comdty</stp>
        <stp>last price</stp>
        <stp>[XMRD US Rates Dashboard.xlsm]Rates!R73C10</stp>
        <tr r="J73" s="1"/>
      </tp>
      <tp>
        <v>98.63</v>
        <stp/>
        <stp>##V3_BDPV12</stp>
        <stp>EDH9 comdty</stp>
        <stp>last price</stp>
        <stp>[XMRD US Rates Dashboard.xlsm]Rates!R81C10</stp>
        <tr r="J81" s="1"/>
      </tp>
      <tp>
        <v>98.795000000000002</v>
        <stp/>
        <stp>##V3_BDPV12</stp>
        <stp>EDH8 comdty</stp>
        <stp>last price</stp>
        <stp>[XMRD US Rates Dashboard.xlsm]Rates!R77C10</stp>
        <tr r="J77" s="1"/>
      </tp>
      <tp>
        <v>100.33</v>
        <stp/>
        <stp>##V3_BDPV12</stp>
        <stp>ERH8 comdty</stp>
        <stp>last price</stp>
        <stp>[XMRD US Rates Dashboard.xlsm]Rates!R77C25</stp>
        <tr r="Y77" s="1"/>
      </tp>
      <tp>
        <v>100.28</v>
        <stp/>
        <stp>##V3_BDPV12</stp>
        <stp>ERH9 comdty</stp>
        <stp>last price</stp>
        <stp>[XMRD US Rates Dashboard.xlsm]Rates!R81C25</stp>
        <tr r="Y81" s="1"/>
      </tp>
      <tp>
        <v>0.08</v>
        <stp/>
        <stp>##V3_BDPV12</stp>
        <stp>GBPON Curncy</stp>
        <stp>last price</stp>
        <stp>[XMRD US Rates Dashboard.xlsm]Rates!R88C12</stp>
        <tr r="L88" s="1"/>
      </tp>
      <tp>
        <v>-0.41499999999999998</v>
        <stp/>
        <stp>##V3_BDPV12</stp>
        <stp>CHFON Curncy</stp>
        <stp>last price</stp>
        <stp>[XMRD US Rates Dashboard.xlsm]Rates!R88C21</stp>
        <tr r="U88" s="1"/>
      </tp>
      <tp>
        <v>-6.5000000000000002E-2</v>
        <stp/>
        <stp>##V3_BDPV12</stp>
        <stp>CADON Curncy</stp>
        <stp>last price</stp>
        <stp>[XMRD US Rates Dashboard.xlsm]Rates!R88C15</stp>
        <tr r="O88" s="1"/>
      </tp>
      <tp>
        <v>-0.2</v>
        <stp/>
        <stp>##V3_BDPV12</stp>
        <stp>AUDON Curncy</stp>
        <stp>last price</stp>
        <stp>[XMRD US Rates Dashboard.xlsm]Rates!R88C24</stp>
        <tr r="X88" s="1"/>
      </tp>
      <tp>
        <v>98.885000000000005</v>
        <stp/>
        <stp>##V3_BDPV12</stp>
        <stp>EDU7 comdty</stp>
        <stp>ASK</stp>
        <stp>[XMRD US Rates Dashboard.xlsm]Rates!R75C9</stp>
        <tr r="I75" s="1"/>
      </tp>
      <tp>
        <v>-0.318</v>
        <stp/>
        <stp>##V3_BDPV12</stp>
        <stp>JPYON Curncy</stp>
        <stp>last price</stp>
        <stp>[XMRD US Rates Dashboard.xlsm]Rates!R88C18</stp>
        <tr r="R88" s="1"/>
      </tp>
      <tp t="s">
        <v>#N/A N/A</v>
        <stp/>
        <stp>##V3_BDPV12</stp>
        <stp>USBL7  Curncy</stp>
        <stp>Bid</stp>
        <stp>[XMRD US Rates Dashboard.xlsm]Rates!R58C33</stp>
        <tr r="AG58" s="1"/>
      </tp>
      <tp t="s">
        <v>#N/A N/A</v>
        <stp/>
        <stp>##V3_BDPV12</stp>
        <stp>USBL2  Curncy</stp>
        <stp>Bid</stp>
        <stp>[XMRD US Rates Dashboard.xlsm]Rates!R54C33</stp>
        <tr r="AG54" s="1"/>
      </tp>
      <tp t="s">
        <v>#N/A N/A</v>
        <stp/>
        <stp>##V3_BDPV12</stp>
        <stp>USBL3  Curncy</stp>
        <stp>Bid</stp>
        <stp>[XMRD US Rates Dashboard.xlsm]Rates!R55C33</stp>
        <tr r="AG55" s="1"/>
      </tp>
      <tp t="s">
        <v>#N/A N/A</v>
        <stp/>
        <stp>##V3_BDPV12</stp>
        <stp>USBL1  Curncy</stp>
        <stp>Bid</stp>
        <stp>[XMRD US Rates Dashboard.xlsm]Rates!R52C33</stp>
        <tr r="AG52" s="1"/>
      </tp>
      <tp t="s">
        <v>#N/A N/A</v>
        <stp/>
        <stp>##V3_BDPV12</stp>
        <stp>USBL4  Curncy</stp>
        <stp>Bid</stp>
        <stp>[XMRD US Rates Dashboard.xlsm]Rates!R56C33</stp>
        <tr r="AG56" s="1"/>
      </tp>
      <tp t="s">
        <v>#N/A N/A</v>
        <stp/>
        <stp>##V3_BDPV12</stp>
        <stp>USBL5  Curncy</stp>
        <stp>Bid</stp>
        <stp>[XMRD US Rates Dashboard.xlsm]Rates!R57C33</stp>
        <tr r="AG57" s="1"/>
      </tp>
      <tp t="s">
        <v>#N/A N/A</v>
        <stp/>
        <stp>##V3_BDPV12</stp>
        <stp>USBBF  Curncy</stp>
        <stp>Bid</stp>
        <stp>[XMRD US Rates Dashboard.xlsm]Rates!R50C30</stp>
        <tr r="AD50" s="1"/>
      </tp>
      <tp t="s">
        <v>#N/A N/A</v>
        <stp/>
        <stp>##V3_BDPV12</stp>
        <stp>USBB7  Curncy</stp>
        <stp>Bid</stp>
        <stp>[XMRD US Rates Dashboard.xlsm]Rates!R58C30</stp>
        <tr r="AD58" s="1"/>
      </tp>
      <tp t="s">
        <v>#N/A N/A</v>
        <stp/>
        <stp>##V3_BDPV12</stp>
        <stp>USBB2  Curncy</stp>
        <stp>Bid</stp>
        <stp>[XMRD US Rates Dashboard.xlsm]Rates!R54C30</stp>
        <tr r="AD54" s="1"/>
      </tp>
      <tp t="s">
        <v>#N/A N/A</v>
        <stp/>
        <stp>##V3_BDPV12</stp>
        <stp>USBB3  Curncy</stp>
        <stp>Bid</stp>
        <stp>[XMRD US Rates Dashboard.xlsm]Rates!R55C30</stp>
        <tr r="AD55" s="1"/>
      </tp>
      <tp t="s">
        <v>#N/A N/A</v>
        <stp/>
        <stp>##V3_BDPV12</stp>
        <stp>USBB1  Curncy</stp>
        <stp>Bid</stp>
        <stp>[XMRD US Rates Dashboard.xlsm]Rates!R52C30</stp>
        <tr r="AD52" s="1"/>
      </tp>
      <tp t="s">
        <v>#N/A N/A</v>
        <stp/>
        <stp>##V3_BDPV12</stp>
        <stp>USBB4  Curncy</stp>
        <stp>Bid</stp>
        <stp>[XMRD US Rates Dashboard.xlsm]Rates!R56C30</stp>
        <tr r="AD56" s="1"/>
      </tp>
      <tp t="s">
        <v>#N/A N/A</v>
        <stp/>
        <stp>##V3_BDPV12</stp>
        <stp>USBB5  Curncy</stp>
        <stp>Bid</stp>
        <stp>[XMRD US Rates Dashboard.xlsm]Rates!R57C30</stp>
        <tr r="AD57" s="1"/>
      </tp>
      <tp>
        <v>15</v>
        <stp/>
        <stp>##V3_BDPV12</stp>
        <stp>USBEI  Curncy</stp>
        <stp>Bid</stp>
        <stp>[XMRD US Rates Dashboard.xlsm]Rates!R51C21</stp>
        <tr r="U51" s="1"/>
      </tp>
      <tp>
        <v>31.25</v>
        <stp/>
        <stp>##V3_BDPV12</stp>
        <stp>USBCF  Curncy</stp>
        <stp>Bid</stp>
        <stp>[XMRD US Rates Dashboard.xlsm]Rates!R50C27</stp>
        <tr r="AA50" s="1"/>
      </tp>
      <tp>
        <v>14</v>
        <stp/>
        <stp>##V3_BDPV12</stp>
        <stp>USBEF  Curncy</stp>
        <stp>Bid</stp>
        <stp>[XMRD US Rates Dashboard.xlsm]Rates!R50C21</stp>
        <tr r="U50" s="1"/>
      </tp>
      <tp>
        <v>20.375</v>
        <stp/>
        <stp>##V3_BDPV12</stp>
        <stp>USBC7  Curncy</stp>
        <stp>Bid</stp>
        <stp>[XMRD US Rates Dashboard.xlsm]Rates!R58C27</stp>
        <tr r="AA58" s="1"/>
      </tp>
      <tp>
        <v>25</v>
        <stp/>
        <stp>##V3_BDPV12</stp>
        <stp>USBE7  Curncy</stp>
        <stp>Bid</stp>
        <stp>[XMRD US Rates Dashboard.xlsm]Rates!R58C21</stp>
        <tr r="U58" s="1"/>
      </tp>
      <tp>
        <v>26.625</v>
        <stp/>
        <stp>##V3_BDPV12</stp>
        <stp>USBC2  Curncy</stp>
        <stp>Bid</stp>
        <stp>[XMRD US Rates Dashboard.xlsm]Rates!R54C27</stp>
        <tr r="AA54" s="1"/>
      </tp>
      <tp>
        <v>25.375</v>
        <stp/>
        <stp>##V3_BDPV12</stp>
        <stp>USBC3  Curncy</stp>
        <stp>Bid</stp>
        <stp>[XMRD US Rates Dashboard.xlsm]Rates!R55C27</stp>
        <tr r="AA55" s="1"/>
      </tp>
      <tp>
        <v>19</v>
        <stp/>
        <stp>##V3_BDPV12</stp>
        <stp>USBE2  Curncy</stp>
        <stp>Bid</stp>
        <stp>[XMRD US Rates Dashboard.xlsm]Rates!R54C21</stp>
        <tr r="U54" s="1"/>
      </tp>
      <tp>
        <v>20</v>
        <stp/>
        <stp>##V3_BDPV12</stp>
        <stp>USBE3  Curncy</stp>
        <stp>Bid</stp>
        <stp>[XMRD US Rates Dashboard.xlsm]Rates!R55C21</stp>
        <tr r="U55" s="1"/>
      </tp>
      <tp>
        <v>31.25</v>
        <stp/>
        <stp>##V3_BDPV12</stp>
        <stp>USBC1  Curncy</stp>
        <stp>Bid</stp>
        <stp>[XMRD US Rates Dashboard.xlsm]Rates!R52C27</stp>
        <tr r="AA52" s="1"/>
      </tp>
      <tp>
        <v>17</v>
        <stp/>
        <stp>##V3_BDPV12</stp>
        <stp>USBE1  Curncy</stp>
        <stp>Bid</stp>
        <stp>[XMRD US Rates Dashboard.xlsm]Rates!R52C21</stp>
        <tr r="U52" s="1"/>
      </tp>
      <tp>
        <v>23.375</v>
        <stp/>
        <stp>##V3_BDPV12</stp>
        <stp>USBC4  Curncy</stp>
        <stp>Bid</stp>
        <stp>[XMRD US Rates Dashboard.xlsm]Rates!R56C27</stp>
        <tr r="AA56" s="1"/>
      </tp>
      <tp>
        <v>22</v>
        <stp/>
        <stp>##V3_BDPV12</stp>
        <stp>USBC5  Curncy</stp>
        <stp>Bid</stp>
        <stp>[XMRD US Rates Dashboard.xlsm]Rates!R57C27</stp>
        <tr r="AA57" s="1"/>
      </tp>
      <tp>
        <v>21</v>
        <stp/>
        <stp>##V3_BDPV12</stp>
        <stp>USBE4  Curncy</stp>
        <stp>Bid</stp>
        <stp>[XMRD US Rates Dashboard.xlsm]Rates!R56C21</stp>
        <tr r="U56" s="1"/>
      </tp>
      <tp>
        <v>23</v>
        <stp/>
        <stp>##V3_BDPV12</stp>
        <stp>USBE5  Curncy</stp>
        <stp>Bid</stp>
        <stp>[XMRD US Rates Dashboard.xlsm]Rates!R57C21</stp>
        <tr r="U57" s="1"/>
      </tp>
      <tp>
        <v>13</v>
        <stp/>
        <stp>##V3_BDPV12</stp>
        <stp>USBEC  Curncy</stp>
        <stp>Bid</stp>
        <stp>[XMRD US Rates Dashboard.xlsm]Rates!R49C21</stp>
        <tr r="U49" s="1"/>
      </tp>
      <tp>
        <v>15.25</v>
        <stp/>
        <stp>##V3_BDPV12</stp>
        <stp>USBA7  Curncy</stp>
        <stp>Bid</stp>
        <stp>[XMRD US Rates Dashboard.xlsm]Rates!R58C24</stp>
        <tr r="X58" s="1"/>
      </tp>
      <tp>
        <v>21.875</v>
        <stp/>
        <stp>##V3_BDPV12</stp>
        <stp>USBA2  Curncy</stp>
        <stp>Bid</stp>
        <stp>[XMRD US Rates Dashboard.xlsm]Rates!R54C24</stp>
        <tr r="X54" s="1"/>
      </tp>
      <tp>
        <v>20.125</v>
        <stp/>
        <stp>##V3_BDPV12</stp>
        <stp>USBA3  Curncy</stp>
        <stp>Bid</stp>
        <stp>[XMRD US Rates Dashboard.xlsm]Rates!R55C24</stp>
        <tr r="X55" s="1"/>
      </tp>
      <tp>
        <v>24.75</v>
        <stp/>
        <stp>##V3_BDPV12</stp>
        <stp>USBA1  Curncy</stp>
        <stp>Bid</stp>
        <stp>[XMRD US Rates Dashboard.xlsm]Rates!R52C24</stp>
        <tr r="X52" s="1"/>
      </tp>
      <tp>
        <v>18.116</v>
        <stp/>
        <stp>##V3_BDPV12</stp>
        <stp>USBA4  Curncy</stp>
        <stp>Bid</stp>
        <stp>[XMRD US Rates Dashboard.xlsm]Rates!R56C24</stp>
        <tr r="X56" s="1"/>
      </tp>
      <tp>
        <v>17.375</v>
        <stp/>
        <stp>##V3_BDPV12</stp>
        <stp>USBA5  Curncy</stp>
        <stp>Bid</stp>
        <stp>[XMRD US Rates Dashboard.xlsm]Rates!R57C24</stp>
        <tr r="X57" s="1"/>
      </tp>
      <tp>
        <v>44</v>
        <stp/>
        <stp>##V3_BDPV12</stp>
        <stp>USBDF  Curncy</stp>
        <stp>ASK</stp>
        <stp>[XMRD US Rates Dashboard.xlsm]Rates!R50C16</stp>
        <tr r="P50" s="1"/>
      </tp>
      <tp>
        <v>43</v>
        <stp/>
        <stp>##V3_BDPV12</stp>
        <stp>USBDI  Curncy</stp>
        <stp>ASK</stp>
        <stp>[XMRD US Rates Dashboard.xlsm]Rates!R51C16</stp>
        <tr r="P51" s="1"/>
      </tp>
      <tp>
        <v>41</v>
        <stp/>
        <stp>##V3_BDPV12</stp>
        <stp>USBD4  Curncy</stp>
        <stp>ASK</stp>
        <stp>[XMRD US Rates Dashboard.xlsm]Rates!R56C16</stp>
        <tr r="P56" s="1"/>
      </tp>
      <tp>
        <v>42</v>
        <stp/>
        <stp>##V3_BDPV12</stp>
        <stp>USBD5  Curncy</stp>
        <stp>ASK</stp>
        <stp>[XMRD US Rates Dashboard.xlsm]Rates!R57C16</stp>
        <tr r="P57" s="1"/>
      </tp>
      <tp>
        <v>42</v>
        <stp/>
        <stp>##V3_BDPV12</stp>
        <stp>USBD1  Curncy</stp>
        <stp>ASK</stp>
        <stp>[XMRD US Rates Dashboard.xlsm]Rates!R52C16</stp>
        <tr r="P52" s="1"/>
      </tp>
      <tp>
        <v>41</v>
        <stp/>
        <stp>##V3_BDPV12</stp>
        <stp>USBD2  Curncy</stp>
        <stp>ASK</stp>
        <stp>[XMRD US Rates Dashboard.xlsm]Rates!R54C16</stp>
        <tr r="P54" s="1"/>
      </tp>
      <tp>
        <v>40</v>
        <stp/>
        <stp>##V3_BDPV12</stp>
        <stp>USBD3  Curncy</stp>
        <stp>ASK</stp>
        <stp>[XMRD US Rates Dashboard.xlsm]Rates!R55C16</stp>
        <tr r="P55" s="1"/>
      </tp>
      <tp>
        <v>42</v>
        <stp/>
        <stp>##V3_BDPV12</stp>
        <stp>USBD7  Curncy</stp>
        <stp>ASK</stp>
        <stp>[XMRD US Rates Dashboard.xlsm]Rates!R58C16</stp>
        <tr r="P58" s="1"/>
      </tp>
      <tp>
        <v>46</v>
        <stp/>
        <stp>##V3_BDPV12</stp>
        <stp>USBDC  Curncy</stp>
        <stp>ASK</stp>
        <stp>[XMRD US Rates Dashboard.xlsm]Rates!R49C16</stp>
        <tr r="P49" s="1"/>
      </tp>
      <tp>
        <v>41</v>
        <stp/>
        <stp>##V3_BDPV12</stp>
        <stp>USBGF  Curncy</stp>
        <stp>ASK</stp>
        <stp>[XMRD US Rates Dashboard.xlsm]Rates!R50C13</stp>
        <tr r="M50" s="1"/>
      </tp>
      <tp>
        <v>39.625</v>
        <stp/>
        <stp>##V3_BDPV12</stp>
        <stp>USBGI  Curncy</stp>
        <stp>ASK</stp>
        <stp>[XMRD US Rates Dashboard.xlsm]Rates!R51C13</stp>
        <tr r="M51" s="1"/>
      </tp>
      <tp>
        <v>37.125</v>
        <stp/>
        <stp>##V3_BDPV12</stp>
        <stp>USBG4  Curncy</stp>
        <stp>ASK</stp>
        <stp>[XMRD US Rates Dashboard.xlsm]Rates!R56C13</stp>
        <tr r="M56" s="1"/>
      </tp>
      <tp>
        <v>37.125</v>
        <stp/>
        <stp>##V3_BDPV12</stp>
        <stp>USBG5  Curncy</stp>
        <stp>ASK</stp>
        <stp>[XMRD US Rates Dashboard.xlsm]Rates!R57C13</stp>
        <tr r="M57" s="1"/>
      </tp>
      <tp>
        <v>38.875</v>
        <stp/>
        <stp>##V3_BDPV12</stp>
        <stp>USBG1  Curncy</stp>
        <stp>ASK</stp>
        <stp>[XMRD US Rates Dashboard.xlsm]Rates!R52C13</stp>
        <tr r="M52" s="1"/>
      </tp>
      <tp>
        <v>37.5</v>
        <stp/>
        <stp>##V3_BDPV12</stp>
        <stp>USBG2  Curncy</stp>
        <stp>ASK</stp>
        <stp>[XMRD US Rates Dashboard.xlsm]Rates!R54C13</stp>
        <tr r="M54" s="1"/>
      </tp>
      <tp>
        <v>37.25</v>
        <stp/>
        <stp>##V3_BDPV12</stp>
        <stp>USBG3  Curncy</stp>
        <stp>ASK</stp>
        <stp>[XMRD US Rates Dashboard.xlsm]Rates!R55C13</stp>
        <tr r="M55" s="1"/>
      </tp>
      <tp>
        <v>37.125</v>
        <stp/>
        <stp>##V3_BDPV12</stp>
        <stp>USBG7  Curncy</stp>
        <stp>ASK</stp>
        <stp>[XMRD US Rates Dashboard.xlsm]Rates!R58C13</stp>
        <tr r="M58" s="1"/>
      </tp>
      <tp>
        <v>42.625</v>
        <stp/>
        <stp>##V3_BDPV12</stp>
        <stp>USBGC  Curncy</stp>
        <stp>ASK</stp>
        <stp>[XMRD US Rates Dashboard.xlsm]Rates!R49C13</stp>
        <tr r="M49" s="1"/>
      </tp>
      <tp>
        <v>-264</v>
        <stp/>
        <stp>##V3_BDPV12</stp>
        <stp>USBFC  Curncy</stp>
        <stp>ASK</stp>
        <stp>[XMRD US Rates Dashboard.xlsm]Rates!R49C19</stp>
        <tr r="S49" s="1"/>
      </tp>
      <tp>
        <v>-266</v>
        <stp/>
        <stp>##V3_BDPV12</stp>
        <stp>USBFF  Curncy</stp>
        <stp>ASK</stp>
        <stp>[XMRD US Rates Dashboard.xlsm]Rates!R50C19</stp>
        <tr r="S50" s="1"/>
      </tp>
      <tp>
        <v>-267</v>
        <stp/>
        <stp>##V3_BDPV12</stp>
        <stp>USBFI  Curncy</stp>
        <stp>ASK</stp>
        <stp>[XMRD US Rates Dashboard.xlsm]Rates!R51C19</stp>
        <tr r="S51" s="1"/>
      </tp>
      <tp>
        <v>-264</v>
        <stp/>
        <stp>##V3_BDPV12</stp>
        <stp>USBF4  Curncy</stp>
        <stp>ASK</stp>
        <stp>[XMRD US Rates Dashboard.xlsm]Rates!R56C19</stp>
        <tr r="S56" s="1"/>
      </tp>
      <tp>
        <v>-262</v>
        <stp/>
        <stp>##V3_BDPV12</stp>
        <stp>USBF5  Curncy</stp>
        <stp>ASK</stp>
        <stp>[XMRD US Rates Dashboard.xlsm]Rates!R57C19</stp>
        <tr r="S57" s="1"/>
      </tp>
      <tp>
        <v>-268</v>
        <stp/>
        <stp>##V3_BDPV12</stp>
        <stp>USBF1  Curncy</stp>
        <stp>ASK</stp>
        <stp>[XMRD US Rates Dashboard.xlsm]Rates!R52C19</stp>
        <tr r="S52" s="1"/>
      </tp>
      <tp>
        <v>-266</v>
        <stp/>
        <stp>##V3_BDPV12</stp>
        <stp>USBF2  Curncy</stp>
        <stp>ASK</stp>
        <stp>[XMRD US Rates Dashboard.xlsm]Rates!R54C19</stp>
        <tr r="S54" s="1"/>
      </tp>
      <tp>
        <v>-265</v>
        <stp/>
        <stp>##V3_BDPV12</stp>
        <stp>USBF3  Curncy</stp>
        <stp>ASK</stp>
        <stp>[XMRD US Rates Dashboard.xlsm]Rates!R55C19</stp>
        <tr r="S55" s="1"/>
      </tp>
      <tp>
        <v>-260</v>
        <stp/>
        <stp>##V3_BDPV12</stp>
        <stp>USBF7  Curncy</stp>
        <stp>ASK</stp>
        <stp>[XMRD US Rates Dashboard.xlsm]Rates!R58C19</stp>
        <tr r="S58" s="1"/>
      </tp>
      <tp>
        <v>-277</v>
        <stp/>
        <stp>##V3_BDPV12</stp>
        <stp>USBFI  Curncy</stp>
        <stp>Bid</stp>
        <stp>[XMRD US Rates Dashboard.xlsm]Rates!R51C18</stp>
        <tr r="R51" s="1"/>
      </tp>
      <tp>
        <v>-276</v>
        <stp/>
        <stp>##V3_BDPV12</stp>
        <stp>USBFF  Curncy</stp>
        <stp>Bid</stp>
        <stp>[XMRD US Rates Dashboard.xlsm]Rates!R50C18</stp>
        <tr r="R50" s="1"/>
      </tp>
      <tp>
        <v>-270</v>
        <stp/>
        <stp>##V3_BDPV12</stp>
        <stp>USBF7  Curncy</stp>
        <stp>Bid</stp>
        <stp>[XMRD US Rates Dashboard.xlsm]Rates!R58C18</stp>
        <tr r="R58" s="1"/>
      </tp>
      <tp>
        <v>-276</v>
        <stp/>
        <stp>##V3_BDPV12</stp>
        <stp>USBF2  Curncy</stp>
        <stp>Bid</stp>
        <stp>[XMRD US Rates Dashboard.xlsm]Rates!R54C18</stp>
        <tr r="R54" s="1"/>
      </tp>
      <tp>
        <v>-275</v>
        <stp/>
        <stp>##V3_BDPV12</stp>
        <stp>USBF3  Curncy</stp>
        <stp>Bid</stp>
        <stp>[XMRD US Rates Dashboard.xlsm]Rates!R55C18</stp>
        <tr r="R55" s="1"/>
      </tp>
      <tp>
        <v>-278</v>
        <stp/>
        <stp>##V3_BDPV12</stp>
        <stp>USBF1  Curncy</stp>
        <stp>Bid</stp>
        <stp>[XMRD US Rates Dashboard.xlsm]Rates!R52C18</stp>
        <tr r="R52" s="1"/>
      </tp>
      <tp>
        <v>-274</v>
        <stp/>
        <stp>##V3_BDPV12</stp>
        <stp>USBF4  Curncy</stp>
        <stp>Bid</stp>
        <stp>[XMRD US Rates Dashboard.xlsm]Rates!R56C18</stp>
        <tr r="R56" s="1"/>
      </tp>
      <tp>
        <v>-272</v>
        <stp/>
        <stp>##V3_BDPV12</stp>
        <stp>USBF5  Curncy</stp>
        <stp>Bid</stp>
        <stp>[XMRD US Rates Dashboard.xlsm]Rates!R57C18</stp>
        <tr r="R57" s="1"/>
      </tp>
      <tp>
        <v>-274</v>
        <stp/>
        <stp>##V3_BDPV12</stp>
        <stp>USBFC  Curncy</stp>
        <stp>Bid</stp>
        <stp>[XMRD US Rates Dashboard.xlsm]Rates!R49C18</stp>
        <tr r="R49" s="1"/>
      </tp>
      <tp>
        <v>36</v>
        <stp/>
        <stp>##V3_BDPV12</stp>
        <stp>USBDC  Curncy</stp>
        <stp>Bid</stp>
        <stp>[XMRD US Rates Dashboard.xlsm]Rates!R49C15</stp>
        <tr r="O49" s="1"/>
      </tp>
      <tp>
        <v>33</v>
        <stp/>
        <stp>##V3_BDPV12</stp>
        <stp>USBDI  Curncy</stp>
        <stp>Bid</stp>
        <stp>[XMRD US Rates Dashboard.xlsm]Rates!R51C15</stp>
        <tr r="O51" s="1"/>
      </tp>
      <tp>
        <v>34</v>
        <stp/>
        <stp>##V3_BDPV12</stp>
        <stp>USBDF  Curncy</stp>
        <stp>Bid</stp>
        <stp>[XMRD US Rates Dashboard.xlsm]Rates!R50C15</stp>
        <tr r="O50" s="1"/>
      </tp>
      <tp>
        <v>32</v>
        <stp/>
        <stp>##V3_BDPV12</stp>
        <stp>USBD7  Curncy</stp>
        <stp>Bid</stp>
        <stp>[XMRD US Rates Dashboard.xlsm]Rates!R58C15</stp>
        <tr r="O58" s="1"/>
      </tp>
      <tp>
        <v>31</v>
        <stp/>
        <stp>##V3_BDPV12</stp>
        <stp>USBD2  Curncy</stp>
        <stp>Bid</stp>
        <stp>[XMRD US Rates Dashboard.xlsm]Rates!R54C15</stp>
        <tr r="O54" s="1"/>
      </tp>
      <tp>
        <v>30</v>
        <stp/>
        <stp>##V3_BDPV12</stp>
        <stp>USBD3  Curncy</stp>
        <stp>Bid</stp>
        <stp>[XMRD US Rates Dashboard.xlsm]Rates!R55C15</stp>
        <tr r="O55" s="1"/>
      </tp>
      <tp>
        <v>32</v>
        <stp/>
        <stp>##V3_BDPV12</stp>
        <stp>USBD1  Curncy</stp>
        <stp>Bid</stp>
        <stp>[XMRD US Rates Dashboard.xlsm]Rates!R52C15</stp>
        <tr r="O52" s="1"/>
      </tp>
      <tp>
        <v>31</v>
        <stp/>
        <stp>##V3_BDPV12</stp>
        <stp>USBD4  Curncy</stp>
        <stp>Bid</stp>
        <stp>[XMRD US Rates Dashboard.xlsm]Rates!R56C15</stp>
        <tr r="O56" s="1"/>
      </tp>
      <tp>
        <v>32</v>
        <stp/>
        <stp>##V3_BDPV12</stp>
        <stp>USBD5  Curncy</stp>
        <stp>Bid</stp>
        <stp>[XMRD US Rates Dashboard.xlsm]Rates!R57C15</stp>
        <tr r="O57" s="1"/>
      </tp>
      <tp>
        <v>39.625</v>
        <stp/>
        <stp>##V3_BDPV12</stp>
        <stp>USBGC  Curncy</stp>
        <stp>Bid</stp>
        <stp>[XMRD US Rates Dashboard.xlsm]Rates!R49C12</stp>
        <tr r="L49" s="1"/>
      </tp>
      <tp>
        <v>36.625</v>
        <stp/>
        <stp>##V3_BDPV12</stp>
        <stp>USBGI  Curncy</stp>
        <stp>Bid</stp>
        <stp>[XMRD US Rates Dashboard.xlsm]Rates!R51C12</stp>
        <tr r="L51" s="1"/>
      </tp>
      <tp>
        <v>38</v>
        <stp/>
        <stp>##V3_BDPV12</stp>
        <stp>USBGF  Curncy</stp>
        <stp>Bid</stp>
        <stp>[XMRD US Rates Dashboard.xlsm]Rates!R50C12</stp>
        <tr r="L50" s="1"/>
      </tp>
      <tp>
        <v>34.25</v>
        <stp/>
        <stp>##V3_BDPV12</stp>
        <stp>USBG7  Curncy</stp>
        <stp>Bid</stp>
        <stp>[XMRD US Rates Dashboard.xlsm]Rates!R58C12</stp>
        <tr r="L58" s="1"/>
      </tp>
      <tp>
        <v>34.625</v>
        <stp/>
        <stp>##V3_BDPV12</stp>
        <stp>USBG2  Curncy</stp>
        <stp>Bid</stp>
        <stp>[XMRD US Rates Dashboard.xlsm]Rates!R54C12</stp>
        <tr r="L54" s="1"/>
      </tp>
      <tp>
        <v>34.25</v>
        <stp/>
        <stp>##V3_BDPV12</stp>
        <stp>USBG3  Curncy</stp>
        <stp>Bid</stp>
        <stp>[XMRD US Rates Dashboard.xlsm]Rates!R55C12</stp>
        <tr r="L55" s="1"/>
      </tp>
      <tp>
        <v>36.125</v>
        <stp/>
        <stp>##V3_BDPV12</stp>
        <stp>USBG1  Curncy</stp>
        <stp>Bid</stp>
        <stp>[XMRD US Rates Dashboard.xlsm]Rates!R52C12</stp>
        <tr r="L52" s="1"/>
      </tp>
      <tp>
        <v>34.25</v>
        <stp/>
        <stp>##V3_BDPV12</stp>
        <stp>USBG4  Curncy</stp>
        <stp>Bid</stp>
        <stp>[XMRD US Rates Dashboard.xlsm]Rates!R56C12</stp>
        <tr r="L56" s="1"/>
      </tp>
      <tp>
        <v>34.125</v>
        <stp/>
        <stp>##V3_BDPV12</stp>
        <stp>USBG5  Curncy</stp>
        <stp>Bid</stp>
        <stp>[XMRD US Rates Dashboard.xlsm]Rates!R57C12</stp>
        <tr r="L57" s="1"/>
      </tp>
      <tp>
        <v>20.116</v>
        <stp/>
        <stp>##V3_BDPV12</stp>
        <stp>USBA4  Curncy</stp>
        <stp>ASK</stp>
        <stp>[XMRD US Rates Dashboard.xlsm]Rates!R56C25</stp>
        <tr r="Y56" s="1"/>
      </tp>
      <tp>
        <v>18.375</v>
        <stp/>
        <stp>##V3_BDPV12</stp>
        <stp>USBA5  Curncy</stp>
        <stp>ASK</stp>
        <stp>[XMRD US Rates Dashboard.xlsm]Rates!R57C25</stp>
        <tr r="Y57" s="1"/>
      </tp>
      <tp>
        <v>25.7</v>
        <stp/>
        <stp>##V3_BDPV12</stp>
        <stp>USBA1  Curncy</stp>
        <stp>ASK</stp>
        <stp>[XMRD US Rates Dashboard.xlsm]Rates!R52C25</stp>
        <tr r="Y52" s="1"/>
      </tp>
      <tp>
        <v>22.875</v>
        <stp/>
        <stp>##V3_BDPV12</stp>
        <stp>USBA2  Curncy</stp>
        <stp>ASK</stp>
        <stp>[XMRD US Rates Dashboard.xlsm]Rates!R54C25</stp>
        <tr r="Y54" s="1"/>
      </tp>
      <tp>
        <v>21.125</v>
        <stp/>
        <stp>##V3_BDPV12</stp>
        <stp>USBA3  Curncy</stp>
        <stp>ASK</stp>
        <stp>[XMRD US Rates Dashboard.xlsm]Rates!R55C25</stp>
        <tr r="Y55" s="1"/>
      </tp>
      <tp>
        <v>16.25</v>
        <stp/>
        <stp>##V3_BDPV12</stp>
        <stp>USBA7  Curncy</stp>
        <stp>ASK</stp>
        <stp>[XMRD US Rates Dashboard.xlsm]Rates!R58C25</stp>
        <tr r="Y58" s="1"/>
      </tp>
      <tp>
        <v>25</v>
        <stp/>
        <stp>##V3_BDPV12</stp>
        <stp>USBEC  Curncy</stp>
        <stp>ASK</stp>
        <stp>[XMRD US Rates Dashboard.xlsm]Rates!R49C22</stp>
        <tr r="V49" s="1"/>
      </tp>
      <tp>
        <v>26</v>
        <stp/>
        <stp>##V3_BDPV12</stp>
        <stp>USBEF  Curncy</stp>
        <stp>ASK</stp>
        <stp>[XMRD US Rates Dashboard.xlsm]Rates!R50C22</stp>
        <tr r="V50" s="1"/>
      </tp>
      <tp>
        <v>27</v>
        <stp/>
        <stp>##V3_BDPV12</stp>
        <stp>USBEI  Curncy</stp>
        <stp>ASK</stp>
        <stp>[XMRD US Rates Dashboard.xlsm]Rates!R51C22</stp>
        <tr r="V51" s="1"/>
      </tp>
      <tp>
        <v>33</v>
        <stp/>
        <stp>##V3_BDPV12</stp>
        <stp>USBE4  Curncy</stp>
        <stp>ASK</stp>
        <stp>[XMRD US Rates Dashboard.xlsm]Rates!R56C22</stp>
        <tr r="V56" s="1"/>
      </tp>
      <tp>
        <v>35</v>
        <stp/>
        <stp>##V3_BDPV12</stp>
        <stp>USBE5  Curncy</stp>
        <stp>ASK</stp>
        <stp>[XMRD US Rates Dashboard.xlsm]Rates!R57C22</stp>
        <tr r="V57" s="1"/>
      </tp>
      <tp>
        <v>29</v>
        <stp/>
        <stp>##V3_BDPV12</stp>
        <stp>USBE1  Curncy</stp>
        <stp>ASK</stp>
        <stp>[XMRD US Rates Dashboard.xlsm]Rates!R52C22</stp>
        <tr r="V52" s="1"/>
      </tp>
      <tp>
        <v>31</v>
        <stp/>
        <stp>##V3_BDPV12</stp>
        <stp>USBE2  Curncy</stp>
        <stp>ASK</stp>
        <stp>[XMRD US Rates Dashboard.xlsm]Rates!R54C22</stp>
        <tr r="V54" s="1"/>
      </tp>
      <tp>
        <v>32</v>
        <stp/>
        <stp>##V3_BDPV12</stp>
        <stp>USBE3  Curncy</stp>
        <stp>ASK</stp>
        <stp>[XMRD US Rates Dashboard.xlsm]Rates!R55C22</stp>
        <tr r="V55" s="1"/>
      </tp>
      <tp>
        <v>37</v>
        <stp/>
        <stp>##V3_BDPV12</stp>
        <stp>USBE7  Curncy</stp>
        <stp>ASK</stp>
        <stp>[XMRD US Rates Dashboard.xlsm]Rates!R58C22</stp>
        <tr r="V58" s="1"/>
      </tp>
      <tp>
        <v>35.25</v>
        <stp/>
        <stp>##V3_BDPV12</stp>
        <stp>USBCF  Curncy</stp>
        <stp>ASK</stp>
        <stp>[XMRD US Rates Dashboard.xlsm]Rates!R50C28</stp>
        <tr r="AB50" s="1"/>
      </tp>
      <tp>
        <v>24.375</v>
        <stp/>
        <stp>##V3_BDPV12</stp>
        <stp>USBC4  Curncy</stp>
        <stp>ASK</stp>
        <stp>[XMRD US Rates Dashboard.xlsm]Rates!R56C28</stp>
        <tr r="AB56" s="1"/>
      </tp>
      <tp>
        <v>23</v>
        <stp/>
        <stp>##V3_BDPV12</stp>
        <stp>USBC5  Curncy</stp>
        <stp>ASK</stp>
        <stp>[XMRD US Rates Dashboard.xlsm]Rates!R57C28</stp>
        <tr r="AB57" s="1"/>
      </tp>
      <tp>
        <v>32.25</v>
        <stp/>
        <stp>##V3_BDPV12</stp>
        <stp>USBC1  Curncy</stp>
        <stp>ASK</stp>
        <stp>[XMRD US Rates Dashboard.xlsm]Rates!R52C28</stp>
        <tr r="AB52" s="1"/>
      </tp>
      <tp>
        <v>30.625</v>
        <stp/>
        <stp>##V3_BDPV12</stp>
        <stp>USBC2  Curncy</stp>
        <stp>ASK</stp>
        <stp>[XMRD US Rates Dashboard.xlsm]Rates!R54C28</stp>
        <tr r="AB54" s="1"/>
      </tp>
      <tp>
        <v>26.375</v>
        <stp/>
        <stp>##V3_BDPV12</stp>
        <stp>USBC3  Curncy</stp>
        <stp>ASK</stp>
        <stp>[XMRD US Rates Dashboard.xlsm]Rates!R55C28</stp>
        <tr r="AB55" s="1"/>
      </tp>
      <tp>
        <v>21.375</v>
        <stp/>
        <stp>##V3_BDPV12</stp>
        <stp>USBC7  Curncy</stp>
        <stp>ASK</stp>
        <stp>[XMRD US Rates Dashboard.xlsm]Rates!R58C28</stp>
        <tr r="AB58" s="1"/>
      </tp>
      <tp t="s">
        <v>#N/A N/A</v>
        <stp/>
        <stp>##V3_BDPV12</stp>
        <stp>USBBF  Curncy</stp>
        <stp>ASK</stp>
        <stp>[XMRD US Rates Dashboard.xlsm]Rates!R50C31</stp>
        <tr r="AE50" s="1"/>
      </tp>
      <tp t="s">
        <v>#N/A N/A</v>
        <stp/>
        <stp>##V3_BDPV12</stp>
        <stp>USBB4  Curncy</stp>
        <stp>ASK</stp>
        <stp>[XMRD US Rates Dashboard.xlsm]Rates!R56C31</stp>
        <tr r="AE56" s="1"/>
      </tp>
      <tp t="s">
        <v>#N/A N/A</v>
        <stp/>
        <stp>##V3_BDPV12</stp>
        <stp>USBB5  Curncy</stp>
        <stp>ASK</stp>
        <stp>[XMRD US Rates Dashboard.xlsm]Rates!R57C31</stp>
        <tr r="AE57" s="1"/>
      </tp>
      <tp t="s">
        <v>#N/A N/A</v>
        <stp/>
        <stp>##V3_BDPV12</stp>
        <stp>USBB1  Curncy</stp>
        <stp>ASK</stp>
        <stp>[XMRD US Rates Dashboard.xlsm]Rates!R52C31</stp>
        <tr r="AE52" s="1"/>
      </tp>
      <tp t="s">
        <v>#N/A N/A</v>
        <stp/>
        <stp>##V3_BDPV12</stp>
        <stp>USBB2  Curncy</stp>
        <stp>ASK</stp>
        <stp>[XMRD US Rates Dashboard.xlsm]Rates!R54C31</stp>
        <tr r="AE54" s="1"/>
      </tp>
      <tp t="s">
        <v>#N/A N/A</v>
        <stp/>
        <stp>##V3_BDPV12</stp>
        <stp>USBB3  Curncy</stp>
        <stp>ASK</stp>
        <stp>[XMRD US Rates Dashboard.xlsm]Rates!R55C31</stp>
        <tr r="AE55" s="1"/>
      </tp>
      <tp t="s">
        <v>#N/A N/A</v>
        <stp/>
        <stp>##V3_BDPV12</stp>
        <stp>USBB7  Curncy</stp>
        <stp>ASK</stp>
        <stp>[XMRD US Rates Dashboard.xlsm]Rates!R58C31</stp>
        <tr r="AE58" s="1"/>
      </tp>
      <tp t="s">
        <v>#N/A N/A</v>
        <stp/>
        <stp>##V3_BDPV12</stp>
        <stp>USBL4  Curncy</stp>
        <stp>ASK</stp>
        <stp>[XMRD US Rates Dashboard.xlsm]Rates!R56C34</stp>
        <tr r="AH56" s="1"/>
      </tp>
      <tp t="s">
        <v>#N/A N/A</v>
        <stp/>
        <stp>##V3_BDPV12</stp>
        <stp>USBL5  Curncy</stp>
        <stp>ASK</stp>
        <stp>[XMRD US Rates Dashboard.xlsm]Rates!R57C34</stp>
        <tr r="AH57" s="1"/>
      </tp>
      <tp t="s">
        <v>#N/A N/A</v>
        <stp/>
        <stp>##V3_BDPV12</stp>
        <stp>USBL1  Curncy</stp>
        <stp>ASK</stp>
        <stp>[XMRD US Rates Dashboard.xlsm]Rates!R52C34</stp>
        <tr r="AH52" s="1"/>
      </tp>
      <tp t="s">
        <v>#N/A N/A</v>
        <stp/>
        <stp>##V3_BDPV12</stp>
        <stp>USBL2  Curncy</stp>
        <stp>ASK</stp>
        <stp>[XMRD US Rates Dashboard.xlsm]Rates!R54C34</stp>
        <tr r="AH54" s="1"/>
      </tp>
      <tp t="s">
        <v>#N/A N/A</v>
        <stp/>
        <stp>##V3_BDPV12</stp>
        <stp>USBL3  Curncy</stp>
        <stp>ASK</stp>
        <stp>[XMRD US Rates Dashboard.xlsm]Rates!R55C34</stp>
        <tr r="AH55" s="1"/>
      </tp>
      <tp t="s">
        <v>#N/A N/A</v>
        <stp/>
        <stp>##V3_BDPV12</stp>
        <stp>USBL7  Curncy</stp>
        <stp>ASK</stp>
        <stp>[XMRD US Rates Dashboard.xlsm]Rates!R58C34</stp>
        <tr r="AH58" s="1"/>
      </tp>
      <tp>
        <v>1.1002000000000001</v>
        <stp/>
        <stp>##V3_BDPV12</stp>
        <stp>USSW2  curncy</stp>
        <stp>ask</stp>
        <stp>[XMRD US Rates Dashboard.xlsm]Rates!R30C12</stp>
        <tr r="L30" s="1"/>
      </tp>
      <tp>
        <v>1.1779999999999999</v>
        <stp/>
        <stp>##V3_BDPV12</stp>
        <stp>USSW3  curncy</stp>
        <stp>ask</stp>
        <stp>[XMRD US Rates Dashboard.xlsm]Rates!R31C12</stp>
        <tr r="L31" s="1"/>
      </tp>
      <tp>
        <v>1.3906000000000001</v>
        <stp/>
        <stp>##V3_BDPV12</stp>
        <stp>USSW6  curncy</stp>
        <stp>ask</stp>
        <stp>[XMRD US Rates Dashboard.xlsm]Rates!R34C12</stp>
        <tr r="L34" s="1"/>
      </tp>
      <tp>
        <v>1.4557</v>
        <stp/>
        <stp>##V3_BDPV12</stp>
        <stp>USSW7  curncy</stp>
        <stp>ask</stp>
        <stp>[XMRD US Rates Dashboard.xlsm]Rates!R35C12</stp>
        <tr r="L35" s="1"/>
      </tp>
      <tp>
        <v>1.2519</v>
        <stp/>
        <stp>##V3_BDPV12</stp>
        <stp>USSW4  curncy</stp>
        <stp>ask</stp>
        <stp>[XMRD US Rates Dashboard.xlsm]Rates!R32C12</stp>
        <tr r="L32" s="1"/>
      </tp>
      <tp>
        <v>1.3231999999999999</v>
        <stp/>
        <stp>##V3_BDPV12</stp>
        <stp>USSW5  curncy</stp>
        <stp>ask</stp>
        <stp>[XMRD US Rates Dashboard.xlsm]Rates!R33C12</stp>
        <tr r="L33" s="1"/>
      </tp>
      <tp>
        <v>1.5145</v>
        <stp/>
        <stp>##V3_BDPV12</stp>
        <stp>USSW8  curncy</stp>
        <stp>ask</stp>
        <stp>[XMRD US Rates Dashboard.xlsm]Rates!R36C12</stp>
        <tr r="L36" s="1"/>
      </tp>
      <tp>
        <v>1.5671999999999999</v>
        <stp/>
        <stp>##V3_BDPV12</stp>
        <stp>USSW9  curncy</stp>
        <stp>ask</stp>
        <stp>[XMRD US Rates Dashboard.xlsm]Rates!R37C12</stp>
        <tr r="L37" s="1"/>
      </tp>
      <tp>
        <v>1.5125</v>
        <stp/>
        <stp>##V3_BDPV12</stp>
        <stp>USSW8  curncy</stp>
        <stp>bid</stp>
        <stp>[XMRD US Rates Dashboard.xlsm]Rates!R36C11</stp>
        <tr r="K36" s="1"/>
      </tp>
      <tp>
        <v>1.5660000000000001</v>
        <stp/>
        <stp>##V3_BDPV12</stp>
        <stp>USSW9  curncy</stp>
        <stp>bid</stp>
        <stp>[XMRD US Rates Dashboard.xlsm]Rates!R37C11</stp>
        <tr r="K37" s="1"/>
      </tp>
      <tp>
        <v>1.2509999999999999</v>
        <stp/>
        <stp>##V3_BDPV12</stp>
        <stp>USSW4  curncy</stp>
        <stp>bid</stp>
        <stp>[XMRD US Rates Dashboard.xlsm]Rates!R32C11</stp>
        <tr r="K32" s="1"/>
      </tp>
      <tp>
        <v>1.3218000000000001</v>
        <stp/>
        <stp>##V3_BDPV12</stp>
        <stp>USSW5  curncy</stp>
        <stp>bid</stp>
        <stp>[XMRD US Rates Dashboard.xlsm]Rates!R33C11</stp>
        <tr r="K33" s="1"/>
      </tp>
      <tp>
        <v>1.0972</v>
        <stp/>
        <stp>##V3_BDPV12</stp>
        <stp>USSW2  curncy</stp>
        <stp>bid</stp>
        <stp>[XMRD US Rates Dashboard.xlsm]Rates!R30C11</stp>
        <tr r="K30" s="1"/>
      </tp>
      <tp>
        <v>1.1754</v>
        <stp/>
        <stp>##V3_BDPV12</stp>
        <stp>USSW3  curncy</stp>
        <stp>bid</stp>
        <stp>[XMRD US Rates Dashboard.xlsm]Rates!R31C11</stp>
        <tr r="K31" s="1"/>
      </tp>
      <tp>
        <v>1.3898999999999999</v>
        <stp/>
        <stp>##V3_BDPV12</stp>
        <stp>USSW6  curncy</stp>
        <stp>bid</stp>
        <stp>[XMRD US Rates Dashboard.xlsm]Rates!R34C11</stp>
        <tr r="K34" s="1"/>
      </tp>
      <tp>
        <v>1.454</v>
        <stp/>
        <stp>##V3_BDPV12</stp>
        <stp>USSW7  curncy</stp>
        <stp>bid</stp>
        <stp>[XMRD US Rates Dashboard.xlsm]Rates!R35C11</stp>
        <tr r="K35" s="1"/>
      </tp>
      <tp>
        <v>99.157499999999999</v>
        <stp/>
        <stp>##V3_BDPV12</stp>
        <stp>EMN7 comdty</stp>
        <stp>last price</stp>
        <stp>[XMRD US Rates Dashboard.xlsm]Rates!R81C20</stp>
        <tr r="T81" s="1"/>
      </tp>
      <tp>
        <v>99.295000000000002</v>
        <stp/>
        <stp>##V3_BDPV12</stp>
        <stp>FFN7 comdty</stp>
        <stp>last price</stp>
        <stp>[XMRD US Rates Dashboard.xlsm]Rates!R81C15</stp>
        <tr r="O81" s="1"/>
      </tp>
      <tp>
        <v>98.545000000000002</v>
        <stp/>
        <stp>##V3_BDPV12</stp>
        <stp>EDU9 comdty</stp>
        <stp>ASK</stp>
        <stp>[XMRD US Rates Dashboard.xlsm]Rates!R83C9</stp>
        <tr r="I83" s="1"/>
      </tp>
      <tp>
        <v>0.68</v>
        <stp/>
        <stp>##V3_BDPV12</stp>
        <stp>USSO1F  Curncy</stp>
        <stp>ASK</stp>
        <stp>[XMRD US Rates Dashboard.xlsm]Rates!R65C8</stp>
        <tr r="H65" s="1"/>
      </tp>
      <tp>
        <v>-0.17399999999999999</v>
        <stp/>
        <stp>##V3_BDPV12</stp>
        <stp>EUSA3  curncy</stp>
        <stp>ask</stp>
        <stp>[XMRD US Rates Dashboard.xlsm]Rates!R30C15</stp>
        <tr r="O30" s="1"/>
      </tp>
      <tp>
        <v>0.12180000000000001</v>
        <stp/>
        <stp>##V3_BDPV12</stp>
        <stp>EUSA7  curncy</stp>
        <stp>ask</stp>
        <stp>[XMRD US Rates Dashboard.xlsm]Rates!R34C15</stp>
        <tr r="O34" s="1"/>
      </tp>
      <tp>
        <v>-6.0499999999999998E-2</v>
        <stp/>
        <stp>##V3_BDPV12</stp>
        <stp>EUSA5  curncy</stp>
        <stp>ask</stp>
        <stp>[XMRD US Rates Dashboard.xlsm]Rates!R32C15</stp>
        <tr r="O32" s="1"/>
      </tp>
      <tp>
        <v>-0.13100000000000001</v>
        <stp/>
        <stp>##V3_BDPV12</stp>
        <stp>EUSA4  curncy</stp>
        <stp>ask</stp>
        <stp>[XMRD US Rates Dashboard.xlsm]Rates!R31C15</stp>
        <tr r="O31" s="1"/>
      </tp>
      <tp>
        <v>2.2499999999999999E-2</v>
        <stp/>
        <stp>##V3_BDPV12</stp>
        <stp>EUSA6  curncy</stp>
        <stp>ask</stp>
        <stp>[XMRD US Rates Dashboard.xlsm]Rates!R33C15</stp>
        <tr r="O33" s="1"/>
      </tp>
      <tp>
        <v>0.33279999999999998</v>
        <stp/>
        <stp>##V3_BDPV12</stp>
        <stp>EUSA9  curncy</stp>
        <stp>ask</stp>
        <stp>[XMRD US Rates Dashboard.xlsm]Rates!R36C15</stp>
        <tr r="O36" s="1"/>
      </tp>
      <tp>
        <v>0.23</v>
        <stp/>
        <stp>##V3_BDPV12</stp>
        <stp>EUSA8  curncy</stp>
        <stp>ask</stp>
        <stp>[XMRD US Rates Dashboard.xlsm]Rates!R35C15</stp>
        <tr r="O35" s="1"/>
      </tp>
      <tp>
        <v>0.22500000000000001</v>
        <stp/>
        <stp>##V3_BDPV12</stp>
        <stp>EUSA8  curncy</stp>
        <stp>bid</stp>
        <stp>[XMRD US Rates Dashboard.xlsm]Rates!R36C14</stp>
        <tr r="N36" s="1"/>
      </tp>
      <tp>
        <v>0.33050000000000002</v>
        <stp/>
        <stp>##V3_BDPV12</stp>
        <stp>EUSA9  curncy</stp>
        <stp>bid</stp>
        <stp>[XMRD US Rates Dashboard.xlsm]Rates!R37C14</stp>
        <tr r="N37" s="1"/>
      </tp>
      <tp>
        <v>-0.13100000000000001</v>
        <stp/>
        <stp>##V3_BDPV12</stp>
        <stp>EUSA4  curncy</stp>
        <stp>bid</stp>
        <stp>[XMRD US Rates Dashboard.xlsm]Rates!R32C14</stp>
        <tr r="N32" s="1"/>
      </tp>
      <tp>
        <v>-6.5500000000000003E-2</v>
        <stp/>
        <stp>##V3_BDPV12</stp>
        <stp>EUSA5  curncy</stp>
        <stp>bid</stp>
        <stp>[XMRD US Rates Dashboard.xlsm]Rates!R33C14</stp>
        <tr r="N33" s="1"/>
      </tp>
      <tp>
        <v>-0.2</v>
        <stp/>
        <stp>##V3_BDPV12</stp>
        <stp>EUSA2  curncy</stp>
        <stp>bid</stp>
        <stp>[XMRD US Rates Dashboard.xlsm]Rates!R30C14</stp>
        <tr r="N30" s="1"/>
      </tp>
      <tp>
        <v>-0.17699999999999999</v>
        <stp/>
        <stp>##V3_BDPV12</stp>
        <stp>EUSA3  curncy</stp>
        <stp>bid</stp>
        <stp>[XMRD US Rates Dashboard.xlsm]Rates!R31C14</stp>
        <tr r="N31" s="1"/>
      </tp>
      <tp>
        <v>2.1100000000000001E-2</v>
        <stp/>
        <stp>##V3_BDPV12</stp>
        <stp>EUSA6  curncy</stp>
        <stp>bid</stp>
        <stp>[XMRD US Rates Dashboard.xlsm]Rates!R34C14</stp>
        <tr r="N34" s="1"/>
      </tp>
      <tp>
        <v>0.1195</v>
        <stp/>
        <stp>##V3_BDPV12</stp>
        <stp>EUSA7  curncy</stp>
        <stp>bid</stp>
        <stp>[XMRD US Rates Dashboard.xlsm]Rates!R35C14</stp>
        <tr r="N35" s="1"/>
      </tp>
      <tp>
        <v>0.876</v>
        <stp/>
        <stp>##V3_BDPV12</stp>
        <stp>USFR00c  curncy</stp>
        <stp>last price</stp>
        <stp>[XMRD US Rates Dashboard.xlsm]Rates!R130C7</stp>
        <tr r="G130" s="1"/>
      </tp>
      <tp>
        <v>6.3600000000000004E-2</v>
        <stp/>
        <stp>##V3_BDPV12</stp>
        <stp>EUSA  curncy</stp>
        <stp>ask</stp>
        <stp>[XMRD US Rates Dashboard.xlsm]Rates!R43C15</stp>
        <tr r="O43" s="1"/>
      </tp>
      <tp>
        <v>99.167500000000004</v>
        <stp/>
        <stp>##V3_BDPV12</stp>
        <stp>EMM7 comdty</stp>
        <stp>last price</stp>
        <stp>[XMRD US Rates Dashboard.xlsm]Rates!R80C20</stp>
        <tr r="T80" s="1"/>
      </tp>
      <tp>
        <v>100.31</v>
        <stp/>
        <stp>##V3_BDPV12</stp>
        <stp>ERM7 comdty</stp>
        <stp>last price</stp>
        <stp>[XMRD US Rates Dashboard.xlsm]Rates!R74C25</stp>
        <tr r="Y74" s="1"/>
      </tp>
      <tp>
        <v>99.31</v>
        <stp/>
        <stp>##V3_BDPV12</stp>
        <stp>FFM7 comdty</stp>
        <stp>last price</stp>
        <stp>[XMRD US Rates Dashboard.xlsm]Rates!R80C15</stp>
        <tr r="O80" s="1"/>
      </tp>
      <tp>
        <v>98.93</v>
        <stp/>
        <stp>##V3_BDPV12</stp>
        <stp>EDM7 comdty</stp>
        <stp>last price</stp>
        <stp>[XMRD US Rates Dashboard.xlsm]Rates!R74C10</stp>
        <tr r="J74" s="1"/>
      </tp>
      <tp>
        <v>98.584999999999994</v>
        <stp/>
        <stp>##V3_BDPV12</stp>
        <stp>EDM9 comdty</stp>
        <stp>last price</stp>
        <stp>[XMRD US Rates Dashboard.xlsm]Rates!R82C10</stp>
        <tr r="J82" s="1"/>
      </tp>
      <tp>
        <v>98.754999999999995</v>
        <stp/>
        <stp>##V3_BDPV12</stp>
        <stp>EDM8 comdty</stp>
        <stp>last price</stp>
        <stp>[XMRD US Rates Dashboard.xlsm]Rates!R78C10</stp>
        <tr r="J78" s="1"/>
      </tp>
      <tp>
        <v>0.35299999999999998</v>
        <stp/>
        <stp>##V3_BDPV12</stp>
        <stp>EURTN Curncy</stp>
        <stp>BID</stp>
        <stp>[XMRD US Rates Dashboard.xlsm]Rates!R89C7</stp>
        <tr r="G89" s="1"/>
      </tp>
      <tp>
        <v>100.325</v>
        <stp/>
        <stp>##V3_BDPV12</stp>
        <stp>ERM8 comdty</stp>
        <stp>last price</stp>
        <stp>[XMRD US Rates Dashboard.xlsm]Rates!R78C25</stp>
        <tr r="Y78" s="1"/>
      </tp>
      <tp>
        <v>100.25</v>
        <stp/>
        <stp>##V3_BDPV12</stp>
        <stp>ERM9 comdty</stp>
        <stp>last price</stp>
        <stp>[XMRD US Rates Dashboard.xlsm]Rates!R82C25</stp>
        <tr r="Y82" s="1"/>
      </tp>
    </main>
    <main first="bloomberg.rtd">
      <tp>
        <v>2.7</v>
        <stp/>
        <stp>##V3_BDPV12</stp>
        <stp>EUR1W Curncy</stp>
        <stp>last price</stp>
        <stp>[XMRD US Rates Dashboard.xlsm]Rates!R90C9</stp>
        <tr r="I90" s="1"/>
      </tp>
      <tp>
        <v>98.665000000000006</v>
        <stp/>
        <stp>##V3_BDPV12</stp>
        <stp>EDZ8 comdty</stp>
        <stp>ASK</stp>
        <stp>[XMRD US Rates Dashboard.xlsm]Rates!R80C9</stp>
        <tr r="I80" s="1"/>
      </tp>
      <tp>
        <v>0</v>
        <stp/>
        <stp>##V3_BDPV12</stp>
        <stp>GTCAD10Y CORP</stp>
        <stp>RT_YLD_CHG_NET_1D</stp>
        <stp>[XMRD US Rates Dashboard.xlsm]Rates!R15C33</stp>
        <tr r="AG15" s="1"/>
      </tp>
      <tp>
        <v>13.86</v>
        <stp/>
        <stp>##V3_BDPV12</stp>
        <stp>EUR1M Curncy</stp>
        <stp>last price</stp>
        <stp>[XMRD US Rates Dashboard.xlsm]Rates!R91C9</stp>
        <tr r="I91" s="1"/>
      </tp>
      <tp>
        <v>0.71499999999999997</v>
        <stp/>
        <stp>##V3_BDPV12</stp>
        <stp>USSO1I  Curncy</stp>
        <stp>ASK</stp>
        <stp>[XMRD US Rates Dashboard.xlsm]Rates!R66C8</stp>
        <tr r="H66" s="1"/>
      </tp>
      <tp>
        <v>-8.6249999999999993E-2</v>
        <stp/>
        <stp>##V3_BDPV12</stp>
        <stp>JYSW2  curncy</stp>
        <stp>bid</stp>
        <stp>[XMRD US Rates Dashboard.xlsm]Rates!R30C20</stp>
        <tr r="T30" s="1"/>
      </tp>
      <tp>
        <v>-0.1</v>
        <stp/>
        <stp>##V3_BDPV12</stp>
        <stp>JYSW3  curncy</stp>
        <stp>bid</stp>
        <stp>[XMRD US Rates Dashboard.xlsm]Rates!R31C20</stp>
        <tr r="T31" s="1"/>
      </tp>
      <tp>
        <v>-0.06</v>
        <stp/>
        <stp>##V3_BDPV12</stp>
        <stp>JYSW6  curncy</stp>
        <stp>bid</stp>
        <stp>[XMRD US Rates Dashboard.xlsm]Rates!R34C20</stp>
        <tr r="T34" s="1"/>
      </tp>
      <tp>
        <v>-3.3750000000000002E-2</v>
        <stp/>
        <stp>##V3_BDPV12</stp>
        <stp>JYSW7  curncy</stp>
        <stp>bid</stp>
        <stp>[XMRD US Rates Dashboard.xlsm]Rates!R35C20</stp>
        <tr r="T35" s="1"/>
      </tp>
      <tp>
        <v>-9.5000000000000001E-2</v>
        <stp/>
        <stp>##V3_BDPV12</stp>
        <stp>JYSW4  curncy</stp>
        <stp>bid</stp>
        <stp>[XMRD US Rates Dashboard.xlsm]Rates!R32C20</stp>
        <tr r="T32" s="1"/>
      </tp>
      <tp>
        <v>-8.1250000000000003E-2</v>
        <stp/>
        <stp>##V3_BDPV12</stp>
        <stp>JYSW5  curncy</stp>
        <stp>bid</stp>
        <stp>[XMRD US Rates Dashboard.xlsm]Rates!R33C20</stp>
        <tr r="T33" s="1"/>
      </tp>
      <tp>
        <v>-3.7499999999999999E-2</v>
        <stp/>
        <stp>##V3_BDPV12</stp>
        <stp>JYSW8  curncy</stp>
        <stp>bid</stp>
        <stp>[XMRD US Rates Dashboard.xlsm]Rates!R36C20</stp>
        <tr r="T36" s="1"/>
      </tp>
      <tp>
        <v>3.125E-2</v>
        <stp/>
        <stp>##V3_BDPV12</stp>
        <stp>JYSW9  curncy</stp>
        <stp>bid</stp>
        <stp>[XMRD US Rates Dashboard.xlsm]Rates!R37C20</stp>
        <tr r="T37" s="1"/>
      </tp>
      <tp>
        <v>2.75E-2</v>
        <stp/>
        <stp>##V3_BDPV12</stp>
        <stp>JYSW8  curncy</stp>
        <stp>ask</stp>
        <stp>[XMRD US Rates Dashboard.xlsm]Rates!R36C21</stp>
        <tr r="U36" s="1"/>
      </tp>
      <tp>
        <v>6.1249999999999999E-2</v>
        <stp/>
        <stp>##V3_BDPV12</stp>
        <stp>JYSW9  curncy</stp>
        <stp>ask</stp>
        <stp>[XMRD US Rates Dashboard.xlsm]Rates!R37C21</stp>
        <tr r="U37" s="1"/>
      </tp>
      <tp>
        <v>-6.5000000000000002E-2</v>
        <stp/>
        <stp>##V3_BDPV12</stp>
        <stp>JYSW4  curncy</stp>
        <stp>ask</stp>
        <stp>[XMRD US Rates Dashboard.xlsm]Rates!R32C21</stp>
        <tr r="U32" s="1"/>
      </tp>
      <tp>
        <v>-5.1249999999999997E-2</v>
        <stp/>
        <stp>##V3_BDPV12</stp>
        <stp>JYSW5  curncy</stp>
        <stp>ask</stp>
        <stp>[XMRD US Rates Dashboard.xlsm]Rates!R33C21</stp>
        <tr r="U33" s="1"/>
      </tp>
      <tp>
        <v>-5.6250000000000001E-2</v>
        <stp/>
        <stp>##V3_BDPV12</stp>
        <stp>JYSW2  curncy</stp>
        <stp>ask</stp>
        <stp>[XMRD US Rates Dashboard.xlsm]Rates!R30C21</stp>
        <tr r="U30" s="1"/>
      </tp>
      <tp>
        <v>-7.0000000000000007E-2</v>
        <stp/>
        <stp>##V3_BDPV12</stp>
        <stp>JYSW3  curncy</stp>
        <stp>ask</stp>
        <stp>[XMRD US Rates Dashboard.xlsm]Rates!R31C21</stp>
        <tr r="U31" s="1"/>
      </tp>
      <tp>
        <v>-0.03</v>
        <stp/>
        <stp>##V3_BDPV12</stp>
        <stp>JYSW6  curncy</stp>
        <stp>ask</stp>
        <stp>[XMRD US Rates Dashboard.xlsm]Rates!R34C21</stp>
        <tr r="U34" s="1"/>
      </tp>
      <tp>
        <v>-3.7499999999999999E-3</v>
        <stp/>
        <stp>##V3_BDPV12</stp>
        <stp>JYSW7  curncy</stp>
        <stp>ask</stp>
        <stp>[XMRD US Rates Dashboard.xlsm]Rates!R35C21</stp>
        <tr r="U35" s="1"/>
      </tp>
      <tp>
        <v>-3.3977E-2</v>
        <stp/>
        <stp>##V3_BDPV12</stp>
        <stp>GTGBP10Y CORP</stp>
        <stp>RT_YLD_CHG_NET_1D</stp>
        <stp>[XMRD US Rates Dashboard.xlsm]Rates!R14C33</stp>
        <tr r="AG14" s="1"/>
      </tp>
      <tp>
        <v>26.25</v>
        <stp/>
        <stp>##V3_BDPV12</stp>
        <stp>EUR2M Curncy</stp>
        <stp>last price</stp>
        <stp>[XMRD US Rates Dashboard.xlsm]Rates!R92C9</stp>
        <tr r="I92" s="1"/>
      </tp>
      <tp t="s">
        <v>DEC 16</v>
        <stp/>
        <stp>##V3_BDPV12</stp>
        <stp>NGZ6 comdty</stp>
        <stp>FUT_MONTH_YR</stp>
        <stp>[XMRD US Rates Dashboard.xlsm]Rates!R121C10</stp>
        <tr r="J121" s="1"/>
      </tp>
      <tp t="s">
        <v>NOV 16</v>
        <stp/>
        <stp>##V3_BDPV12</stp>
        <stp>NGX6 comdty</stp>
        <stp>FUT_MONTH_YR</stp>
        <stp>[XMRD US Rates Dashboard.xlsm]Rates!R120C10</stp>
        <tr r="J120" s="1"/>
      </tp>
      <tp t="s">
        <v>JAN 17</v>
        <stp/>
        <stp>##V3_BDPV12</stp>
        <stp>NGF7 comdty</stp>
        <stp>FUT_MONTH_YR</stp>
        <stp>[XMRD US Rates Dashboard.xlsm]Rates!R122C10</stp>
        <tr r="J122" s="1"/>
      </tp>
      <tp t="s">
        <v>FEB 17</v>
        <stp/>
        <stp>##V3_BDPV12</stp>
        <stp>NGG7 comdty</stp>
        <stp>FUT_MONTH_YR</stp>
        <stp>[XMRD US Rates Dashboard.xlsm]Rates!R123C10</stp>
        <tr r="J123" s="1"/>
      </tp>
      <tp>
        <v>99.045000000000002</v>
        <stp/>
        <stp>##V3_BDPV12</stp>
        <stp>EDZ6 comdty</stp>
        <stp>ASK</stp>
        <stp>[XMRD US Rates Dashboard.xlsm]Rates!R72C9</stp>
        <tr r="I72" s="1"/>
      </tp>
      <tp>
        <v>7.9811000000000007E-2</v>
        <stp/>
        <stp>##V3_BDPV12</stp>
        <stp>AS51 index</stp>
        <stp>RT_PX_CHG_PCT_1D</stp>
        <stp>[XMRD US Rates Dashboard.xlsm]Rates!R24C32</stp>
        <tr r="AF24" s="1"/>
      </tp>
      <tp>
        <v>4.37</v>
        <stp/>
        <stp>##V3_BDPV12</stp>
        <stp>AS51 index</stp>
        <stp>RT_PX_CHG_NET_1D</stp>
        <stp>[XMRD US Rates Dashboard.xlsm]Rates!R24C31</stp>
        <tr r="AE24" s="1"/>
      </tp>
      <tp>
        <v>44.99</v>
        <stp/>
        <stp>##V3_BDPV12</stp>
        <stp>EUR3M Curncy</stp>
        <stp>last price</stp>
        <stp>[XMRD US Rates Dashboard.xlsm]Rates!R93C9</stp>
        <tr r="I93" s="1"/>
      </tp>
      <tp>
        <v>91.39</v>
        <stp/>
        <stp>##V3_BDPV12</stp>
        <stp>EUR6M Curncy</stp>
        <stp>last price</stp>
        <stp>[XMRD US Rates Dashboard.xlsm]Rates!R94C9</stp>
        <tr r="I94" s="1"/>
      </tp>
      <tp>
        <v>99.307500000000005</v>
        <stp/>
        <stp>##V3_BDPV12</stp>
        <stp>EMF7 comdty</stp>
        <stp>last price</stp>
        <stp>[XMRD US Rates Dashboard.xlsm]Rates!R75C20</stp>
        <tr r="T75" s="1"/>
      </tp>
      <tp>
        <v>99.43</v>
        <stp/>
        <stp>##V3_BDPV12</stp>
        <stp>FFF7 comdty</stp>
        <stp>last price</stp>
        <stp>[XMRD US Rates Dashboard.xlsm]Rates!R75C15</stp>
        <tr r="O75" s="1"/>
      </tp>
      <tp>
        <v>-4.4130000000000003E-3</v>
        <stp/>
        <stp>##V3_BDPV12</stp>
        <stp>GTDEM10Y CORP</stp>
        <stp>RT_YLD_CHG_NET_1D</stp>
        <stp>[XMRD US Rates Dashboard.xlsm]Rates!R12C33</stp>
        <tr r="AG12" s="1"/>
      </tp>
      <tp>
        <v>138.87</v>
        <stp/>
        <stp>##V3_BDPV12</stp>
        <stp>EUR9M Curncy</stp>
        <stp>last price</stp>
        <stp>[XMRD US Rates Dashboard.xlsm]Rates!R95C9</stp>
        <tr r="I95" s="1"/>
      </tp>
      <tp>
        <v>99.3</v>
        <stp/>
        <stp>##V3_BDPV12</stp>
        <stp>EMG7 comdty</stp>
        <stp>last price</stp>
        <stp>[XMRD US Rates Dashboard.xlsm]Rates!R76C20</stp>
        <tr r="T76" s="1"/>
      </tp>
      <tp>
        <v>99.41</v>
        <stp/>
        <stp>##V3_BDPV12</stp>
        <stp>FFG7 comdty</stp>
        <stp>last price</stp>
        <stp>[XMRD US Rates Dashboard.xlsm]Rates!R76C15</stp>
        <tr r="O76" s="1"/>
      </tp>
      <tp t="s">
        <v>DEC 16</v>
        <stp/>
        <stp>##V3_BDPV12</stp>
        <stp>GCZ6 comdty</stp>
        <stp>FUT_MONTH_YR</stp>
        <stp>[XMRD US Rates Dashboard.xlsm]Rates!R121C13</stp>
        <tr r="M121" s="1"/>
      </tp>
      <tp t="s">
        <v>OCT 16</v>
        <stp/>
        <stp>##V3_BDPV12</stp>
        <stp>GCV6 comdty</stp>
        <stp>FUT_MONTH_YR</stp>
        <stp>[XMRD US Rates Dashboard.xlsm]Rates!R120C13</stp>
        <tr r="M120" s="1"/>
      </tp>
      <tp t="s">
        <v>APR 17</v>
        <stp/>
        <stp>##V3_BDPV12</stp>
        <stp>GCJ7 comdty</stp>
        <stp>FUT_MONTH_YR</stp>
        <stp>[XMRD US Rates Dashboard.xlsm]Rates!R123C13</stp>
        <tr r="M123" s="1"/>
      </tp>
      <tp t="s">
        <v>FEB 17</v>
        <stp/>
        <stp>##V3_BDPV12</stp>
        <stp>GCG7 comdty</stp>
        <stp>FUT_MONTH_YR</stp>
        <stp>[XMRD US Rates Dashboard.xlsm]Rates!R122C13</stp>
        <tr r="M122" s="1"/>
      </tp>
      <tp>
        <v>98.715000000000003</v>
        <stp/>
        <stp>##V3_BDPV12</stp>
        <stp>EDU8 comdty</stp>
        <stp>ASK</stp>
        <stp>[XMRD US Rates Dashboard.xlsm]Rates!R79C9</stp>
        <tr r="I79" s="1"/>
      </tp>
      <tp>
        <v>98.834999999999994</v>
        <stp/>
        <stp>##V3_BDPV12</stp>
        <stp>EDZ7 comdty</stp>
        <stp>ASK</stp>
        <stp>[XMRD US Rates Dashboard.xlsm]Rates!R76C9</stp>
        <tr r="I76" s="1"/>
      </tp>
      <tp>
        <v>264.19</v>
        <stp/>
        <stp>##V3_BDPV12</stp>
        <stp>USSP042  curncy</stp>
        <stp>PX LAST</stp>
        <stp>[XMRD US Rates Dashboard.xlsm]Rates!R108C8</stp>
        <tr r="H108" s="1"/>
      </tp>
      <tp>
        <v>635.33000000000004</v>
        <stp/>
        <stp>##V3_BDPV12</stp>
        <stp>USSP045  curncy</stp>
        <stp>PX LAST</stp>
        <stp>[XMRD US Rates Dashboard.xlsm]Rates!R108C9</stp>
        <tr r="I108" s="1"/>
      </tp>
      <tp>
        <v>133.55000000000001</v>
        <stp/>
        <stp>##V3_BDPV12</stp>
        <stp>USSP041  curncy</stp>
        <stp>PX LAST</stp>
        <stp>[XMRD US Rates Dashboard.xlsm]Rates!R108C7</stp>
        <tr r="G108" s="1"/>
      </tp>
      <tp>
        <v>189.3</v>
        <stp/>
        <stp>##V3_BDPV12</stp>
        <stp>EUR12M Curncy</stp>
        <stp>last price</stp>
        <stp>[XMRD US Rates Dashboard.xlsm]Rates!R96C9</stp>
        <tr r="I96" s="1"/>
      </tp>
      <tp>
        <v>712.58</v>
        <stp/>
        <stp>##V3_BDPV12</stp>
        <stp>USSP055  curncy</stp>
        <stp>PX LAST</stp>
        <stp>[XMRD US Rates Dashboard.xlsm]Rates!R109C9</stp>
        <tr r="I109" s="1"/>
      </tp>
      <tp>
        <v>298.42</v>
        <stp/>
        <stp>##V3_BDPV12</stp>
        <stp>USSP052  curncy</stp>
        <stp>PX LAST</stp>
        <stp>[XMRD US Rates Dashboard.xlsm]Rates!R109C8</stp>
        <tr r="H109" s="1"/>
      </tp>
      <tp>
        <v>151.24</v>
        <stp/>
        <stp>##V3_BDPV12</stp>
        <stp>USSP051  curncy</stp>
        <stp>PX LAST</stp>
        <stp>[XMRD US Rates Dashboard.xlsm]Rates!R109C7</stp>
        <tr r="G109" s="1"/>
      </tp>
      <tp t="s">
        <v>EMN7</v>
        <stp/>
        <stp>##V3_BDPV12</stp>
        <stp>EM10 comdty</stp>
        <stp>FUT_CUR_GEN_TICKER</stp>
        <stp>[XMRD US Rates Dashboard.xlsm]Rates!R81C16</stp>
        <tr r="P81" s="1"/>
      </tp>
      <tp t="s">
        <v>FFN7</v>
        <stp/>
        <stp>##V3_BDPV12</stp>
        <stp>FF10 comdty</stp>
        <stp>FUT_CUR_GEN_TICKER</stp>
        <stp>[XMRD US Rates Dashboard.xlsm]Rates!R81C11</stp>
        <tr r="K81" s="1"/>
      </tp>
      <tp t="s">
        <v>EMQ7</v>
        <stp/>
        <stp>##V3_BDPV12</stp>
        <stp>EM11 comdty</stp>
        <stp>FUT_CUR_GEN_TICKER</stp>
        <stp>[XMRD US Rates Dashboard.xlsm]Rates!R82C16</stp>
        <tr r="P82" s="1"/>
      </tp>
      <tp t="s">
        <v>FFQ7</v>
        <stp/>
        <stp>##V3_BDPV12</stp>
        <stp>FF11 comdty</stp>
        <stp>FUT_CUR_GEN_TICKER</stp>
        <stp>[XMRD US Rates Dashboard.xlsm]Rates!R82C11</stp>
        <tr r="K82" s="1"/>
      </tp>
      <tp t="s">
        <v>ERU9</v>
        <stp/>
        <stp>##V3_BDPV12</stp>
        <stp>ER12 comdty</stp>
        <stp>FUT_CUR_GEN_TICKER</stp>
        <stp>[XMRD US Rates Dashboard.xlsm]Rates!R83C21</stp>
        <tr r="U83" s="1"/>
      </tp>
      <tp t="s">
        <v>EMU7</v>
        <stp/>
        <stp>##V3_BDPV12</stp>
        <stp>EM12 comdty</stp>
        <stp>FUT_CUR_GEN_TICKER</stp>
        <stp>[XMRD US Rates Dashboard.xlsm]Rates!R83C16</stp>
        <tr r="P83" s="1"/>
      </tp>
      <tp t="s">
        <v>FFU7</v>
        <stp/>
        <stp>##V3_BDPV12</stp>
        <stp>FF12 comdty</stp>
        <stp>FUT_CUR_GEN_TICKER</stp>
        <stp>[XMRD US Rates Dashboard.xlsm]Rates!R83C11</stp>
        <tr r="K83" s="1"/>
      </tp>
      <tp t="s">
        <v>ERM9</v>
        <stp/>
        <stp>##V3_BDPV12</stp>
        <stp>ER11 comdty</stp>
        <stp>FUT_CUR_GEN_TICKER</stp>
        <stp>[XMRD US Rates Dashboard.xlsm]Rates!R82C21</stp>
        <tr r="U82" s="1"/>
      </tp>
      <tp t="s">
        <v>ERH9</v>
        <stp/>
        <stp>##V3_BDPV12</stp>
        <stp>ER10 comdty</stp>
        <stp>FUT_CUR_GEN_TICKER</stp>
        <stp>[XMRD US Rates Dashboard.xlsm]Rates!R81C21</stp>
        <tr r="U81" s="1"/>
      </tp>
      <tp>
        <v>0.8</v>
        <stp/>
        <stp>##V3_BDPV12</stp>
        <stp>GBP1W Curncy</stp>
        <stp>BID</stp>
        <stp>[XMRD US Rates Dashboard.xlsm]Rates!R90C10</stp>
        <tr r="J90" s="1"/>
      </tp>
    </main>
    <main first="bloomberg.rtd">
      <tp t="s">
        <v>DEC 16</v>
        <stp/>
        <stp>##V3_BDPV12</stp>
        <stp>FVZ6 COMDTY</stp>
        <stp>FUT MONTH YR</stp>
        <stp>[XMRD US Rates Dashboard.xlsm]Rates!R13C23</stp>
        <tr r="W13" s="1"/>
      </tp>
      <tp t="s">
        <v>MAR 17</v>
        <stp/>
        <stp>##V3_BDPV12</stp>
        <stp>FVH7 COMDTY</stp>
        <stp>FUT MONTH YR</stp>
        <stp>[XMRD US Rates Dashboard.xlsm]Rates!R14C23</stp>
        <tr r="W14" s="1"/>
      </tp>
      <tp>
        <v>1.1399999999999999</v>
        <stp/>
        <stp>##V3_BDPV12</stp>
        <stp>GBP1W Curncy</stp>
        <stp>ask</stp>
        <stp>[XMRD US Rates Dashboard.xlsm]Rates!R90C11</stp>
        <tr r="K90" s="1"/>
      </tp>
      <tp>
        <v>33.655000000000001</v>
        <stp/>
        <stp>##V3_BDPV12</stp>
        <stp>CUKT1U5 CURNCY</stp>
        <stp>BID</stp>
        <stp>[XMRD US Rates Dashboard.xlsm]Rates!R14C34</stp>
        <tr r="AH14" s="1"/>
      </tp>
      <tp>
        <v>-1.45</v>
        <stp/>
        <stp>##V3_BDPV12</stp>
        <stp>AUD1W Curncy</stp>
        <stp>BID</stp>
        <stp>[XMRD US Rates Dashboard.xlsm]Rates!R90C22</stp>
        <tr r="V90" s="1"/>
      </tp>
      <tp>
        <v>-1.36</v>
        <stp/>
        <stp>##V3_BDPV12</stp>
        <stp>AUD1W Curncy</stp>
        <stp>ask</stp>
        <stp>[XMRD US Rates Dashboard.xlsm]Rates!R90C23</stp>
        <tr r="W90" s="1"/>
      </tp>
      <tp>
        <v>668.36</v>
        <stp/>
        <stp>##V3_BDPV12</stp>
        <stp>MEXBOL index</stp>
        <stp>RT_PX_CHG_NET_1D</stp>
        <stp>[XMRD US Rates Dashboard.xlsm]Rates!R26C23</stp>
        <tr r="W26" s="1"/>
      </tp>
      <tp>
        <v>1.40422</v>
        <stp/>
        <stp>##V3_BDPV12</stp>
        <stp>MEXBOL index</stp>
        <stp>RT_PX_CHG_PCT_1D</stp>
        <stp>[XMRD US Rates Dashboard.xlsm]Rates!R26C24</stp>
        <tr r="X26" s="1"/>
      </tp>
      <tp>
        <v>68.709999999999994</v>
        <stp/>
        <stp>##V3_BDPV12</stp>
        <stp>GBP9M Curncy</stp>
        <stp>last price</stp>
        <stp>[XMRD US Rates Dashboard.xlsm]Rates!R95C12</stp>
        <tr r="L95" s="1"/>
      </tp>
      <tp>
        <v>-47.8</v>
        <stp/>
        <stp>##V3_BDPV12</stp>
        <stp>AUD9M Curncy</stp>
        <stp>last price</stp>
        <stp>[XMRD US Rates Dashboard.xlsm]Rates!R95C24</stp>
        <tr r="X95" s="1"/>
      </tp>
      <tp>
        <v>-27.29</v>
        <stp/>
        <stp>##V3_BDPV12</stp>
        <stp>CAD9M Curncy</stp>
        <stp>last price</stp>
        <stp>[XMRD US Rates Dashboard.xlsm]Rates!R95C15</stp>
        <tr r="O95" s="1"/>
      </tp>
      <tp>
        <v>-160.68</v>
        <stp/>
        <stp>##V3_BDPV12</stp>
        <stp>CHF9M Curncy</stp>
        <stp>last price</stp>
        <stp>[XMRD US Rates Dashboard.xlsm]Rates!R95C21</stp>
        <tr r="U95" s="1"/>
      </tp>
      <tp>
        <v>-131.88</v>
        <stp/>
        <stp>##V3_BDPV12</stp>
        <stp>JPY9M Curncy</stp>
        <stp>last price</stp>
        <stp>[XMRD US Rates Dashboard.xlsm]Rates!R95C18</stp>
        <tr r="R95" s="1"/>
      </tp>
      <tp>
        <v>103.89</v>
        <stp/>
        <stp>##V3_BDPV12</stp>
        <stp>JPY curncy</stp>
        <stp>ask</stp>
        <stp>[XMRD US Rates Dashboard.xlsm]Rates!R87C17</stp>
        <tr r="Q87" s="1"/>
      </tp>
      <tp>
        <v>103.88</v>
        <stp/>
        <stp>##V3_BDPV12</stp>
        <stp>JPY curncy</stp>
        <stp>bid</stp>
        <stp>[XMRD US Rates Dashboard.xlsm]Rates!R87C16</stp>
        <tr r="P87" s="1"/>
      </tp>
      <tp>
        <v>-219.49</v>
        <stp/>
        <stp>##V3_BDPV12</stp>
        <stp>CHF12M Curncy</stp>
        <stp>BID</stp>
        <stp>[XMRD US Rates Dashboard.xlsm]Rates!R96C19</stp>
        <tr r="S96" s="1"/>
      </tp>
      <tp>
        <v>-214.51</v>
        <stp/>
        <stp>##V3_BDPV12</stp>
        <stp>CHF12M Curncy</stp>
        <stp>ask</stp>
        <stp>[XMRD US Rates Dashboard.xlsm]Rates!R96C20</stp>
        <tr r="T96" s="1"/>
      </tp>
      <tp>
        <v>-0.6</v>
        <stp/>
        <stp>##V3_BDPV12</stp>
        <stp>CAD1W Curncy</stp>
        <stp>BID</stp>
        <stp>[XMRD US Rates Dashboard.xlsm]Rates!R90C13</stp>
        <tr r="M90" s="1"/>
      </tp>
      <tp>
        <v>-3.25</v>
        <stp/>
        <stp>##V3_BDPV12</stp>
        <stp>CHF1W Curncy</stp>
        <stp>BID</stp>
        <stp>[XMRD US Rates Dashboard.xlsm]Rates!R90C19</stp>
        <tr r="S90" s="1"/>
      </tp>
      <tp>
        <v>-0.18</v>
        <stp/>
        <stp>##V3_BDPV12</stp>
        <stp>CAD1W Curncy</stp>
        <stp>ask</stp>
        <stp>[XMRD US Rates Dashboard.xlsm]Rates!R90C14</stp>
        <tr r="N90" s="1"/>
      </tp>
      <tp t="s">
        <v>#N/A N/A</v>
        <stp/>
        <stp>##V3_BDPV12</stp>
        <stp>CJGB1U5 CURNCY</stp>
        <stp>RT_PX_CHG_NET_1D</stp>
        <stp>[XMRD US Rates Dashboard.xlsm]Rates!R13C35</stp>
        <tr r="AI13" s="1"/>
      </tp>
      <tp>
        <v>-3.05</v>
        <stp/>
        <stp>##V3_BDPV12</stp>
        <stp>CHF1W Curncy</stp>
        <stp>ask</stp>
        <stp>[XMRD US Rates Dashboard.xlsm]Rates!R90C20</stp>
        <tr r="T90" s="1"/>
      </tp>
      <tp>
        <v>1.1108</v>
        <stp/>
        <stp>##V3_BDPV12</stp>
        <stp>EUR curncy</stp>
        <stp>last price</stp>
        <stp>[XMRD US Rates Dashboard.xlsm]Rates!R87C9</stp>
        <tr r="I87" s="1"/>
      </tp>
      <tp>
        <v>796.92</v>
        <stp/>
        <stp>##V3_BDPV12</stp>
        <stp>USSP075  curncy</stp>
        <stp>PX LAST</stp>
        <stp>[XMRD US Rates Dashboard.xlsm]Rates!R110C9</stp>
        <tr r="I110" s="1"/>
      </tp>
      <tp>
        <v>335.87</v>
        <stp/>
        <stp>##V3_BDPV12</stp>
        <stp>USSP072  curncy</stp>
        <stp>PX LAST</stp>
        <stp>[XMRD US Rates Dashboard.xlsm]Rates!R110C8</stp>
        <tr r="H110" s="1"/>
      </tp>
      <tp>
        <v>155.09</v>
        <stp/>
        <stp>##V3_BDPV12</stp>
        <stp>USSP071  curncy</stp>
        <stp>PX LAST</stp>
        <stp>[XMRD US Rates Dashboard.xlsm]Rates!R110C7</stp>
        <tr r="G110" s="1"/>
      </tp>
      <tp>
        <v>9.92</v>
        <stp/>
        <stp>##V3_BDPV12</stp>
        <stp>SPX index</stp>
        <stp>RT_PX_CHG_NET_1D</stp>
        <stp>[XMRD US Rates Dashboard.xlsm]Rates!R22C23</stp>
        <tr r="W22" s="1"/>
      </tp>
      <tp>
        <v>-4.5180000000000003E-3</v>
        <stp/>
        <stp>##V3_BDPV12</stp>
        <stp>DAX index</stp>
        <stp>RT_PX_CHG_PCT_1D</stp>
        <stp>[XMRD US Rates Dashboard.xlsm]Rates!R25C28</stp>
        <tr r="AB25" s="1"/>
      </tp>
      <tp>
        <v>5.75</v>
        <stp/>
        <stp>##V3_BDPV12</stp>
        <stp>UKX index</stp>
        <stp>RT_PX_CHG_NET_1D</stp>
        <stp>[XMRD US Rates Dashboard.xlsm]Rates!R23C27</stp>
        <tr r="AA23" s="1"/>
      </tp>
      <tp>
        <v>-0.48</v>
        <stp/>
        <stp>##V3_BDPV12</stp>
        <stp>DAX index</stp>
        <stp>RT_PX_CHG_NET_1D</stp>
        <stp>[XMRD US Rates Dashboard.xlsm]Rates!R25C27</stp>
        <tr r="AA25" s="1"/>
      </tp>
      <tp>
        <v>8.1014000000000003E-2</v>
        <stp/>
        <stp>##V3_BDPV12</stp>
        <stp>UKX index</stp>
        <stp>RT_PX_CHG_PCT_1D</stp>
        <stp>[XMRD US Rates Dashboard.xlsm]Rates!R23C28</stp>
        <tr r="AB23" s="1"/>
      </tp>
      <tp>
        <v>0.460594</v>
        <stp/>
        <stp>##V3_BDPV12</stp>
        <stp>SPX index</stp>
        <stp>RT_PX_CHG_PCT_1D</stp>
        <stp>[XMRD US Rates Dashboard.xlsm]Rates!R22C24</stp>
        <tr r="X22" s="1"/>
      </tp>
      <tp>
        <v>333.61</v>
        <stp/>
        <stp>##V3_BDPV12</stp>
        <stp>USSP102  curncy</stp>
        <stp>PX LAST</stp>
        <stp>[XMRD US Rates Dashboard.xlsm]Rates!R111C8</stp>
        <tr r="H111" s="1"/>
      </tp>
      <tp>
        <v>767.64</v>
        <stp/>
        <stp>##V3_BDPV12</stp>
        <stp>USSP105  curncy</stp>
        <stp>PX LAST</stp>
        <stp>[XMRD US Rates Dashboard.xlsm]Rates!R111C9</stp>
        <tr r="I111" s="1"/>
      </tp>
      <tp>
        <v>179.14</v>
        <stp/>
        <stp>##V3_BDPV12</stp>
        <stp>USSP101  curncy</stp>
        <stp>PX LAST</stp>
        <stp>[XMRD US Rates Dashboard.xlsm]Rates!R111C7</stp>
        <tr r="G111" s="1"/>
      </tp>
      <tp>
        <v>0.97668500000000003</v>
        <stp/>
        <stp>##V3_BDPV12</stp>
        <stp>NKY index</stp>
        <stp>RT_PX_CHG_PCT_1D</stp>
        <stp>[XMRD US Rates Dashboard.xlsm]Rates!R26C28</stp>
        <tr r="AB26" s="1"/>
      </tp>
      <tp>
        <v>164.67</v>
        <stp/>
        <stp>##V3_BDPV12</stp>
        <stp>NKY index</stp>
        <stp>RT_PX_CHG_NET_1D</stp>
        <stp>[XMRD US Rates Dashboard.xlsm]Rates!R26C27</stp>
        <tr r="AA26" s="1"/>
      </tp>
      <tp>
        <v>1.0417099999999999</v>
        <stp/>
        <stp>##V3_BDPV12</stp>
        <stp>CRY index</stp>
        <stp>RT_PX_CHG_PCT_1D</stp>
        <stp>[XMRD US Rates Dashboard.xlsm]Rates!R25C32</stp>
        <tr r="AF25" s="1"/>
      </tp>
      <tp>
        <v>1.9617</v>
        <stp/>
        <stp>##V3_BDPV12</stp>
        <stp>CRY index</stp>
        <stp>RT_PX_CHG_NET_1D</stp>
        <stp>[XMRD US Rates Dashboard.xlsm]Rates!R25C31</stp>
        <tr r="AE25" s="1"/>
      </tp>
      <tp>
        <v>188.3</v>
        <stp/>
        <stp>##V3_BDPV12</stp>
        <stp>EUR12M Curncy</stp>
        <stp>BID</stp>
        <stp>[XMRD US Rates Dashboard.xlsm]Rates!R96C7</stp>
        <tr r="G96" s="1"/>
      </tp>
      <tp>
        <v>81.72</v>
        <stp/>
        <stp>##V3_BDPV12</stp>
        <stp>USSP0A5  curncy</stp>
        <stp>PX LAST</stp>
        <stp>[XMRD US Rates Dashboard.xlsm]Rates!R102C9</stp>
        <tr r="I102" s="1"/>
      </tp>
      <tp>
        <v>13.3</v>
        <stp/>
        <stp>##V3_BDPV12</stp>
        <stp>USSP0A2  curncy</stp>
        <stp>PX LAST</stp>
        <stp>[XMRD US Rates Dashboard.xlsm]Rates!R102C8</stp>
        <tr r="H102" s="1"/>
      </tp>
      <tp>
        <v>4.5599999999999996</v>
        <stp/>
        <stp>##V3_BDPV12</stp>
        <stp>USSP0A1  curncy</stp>
        <stp>PX LAST</stp>
        <stp>[XMRD US Rates Dashboard.xlsm]Rates!R102C7</stp>
        <tr r="G102" s="1"/>
      </tp>
      <tp>
        <v>763.77</v>
        <stp/>
        <stp>##V3_BDPV12</stp>
        <stp>USSP155  curncy</stp>
        <stp>PX LAST</stp>
        <stp>[XMRD US Rates Dashboard.xlsm]Rates!R112C9</stp>
        <tr r="I112" s="1"/>
      </tp>
      <tp>
        <v>333</v>
        <stp/>
        <stp>##V3_BDPV12</stp>
        <stp>USSP152  curncy</stp>
        <stp>PX LAST</stp>
        <stp>[XMRD US Rates Dashboard.xlsm]Rates!R112C8</stp>
        <tr r="H112" s="1"/>
      </tp>
      <tp>
        <v>170.89</v>
        <stp/>
        <stp>##V3_BDPV12</stp>
        <stp>USSP151  curncy</stp>
        <stp>PX LAST</stp>
        <stp>[XMRD US Rates Dashboard.xlsm]Rates!R112C7</stp>
        <tr r="G112" s="1"/>
      </tp>
      <tp>
        <v>44.14</v>
        <stp/>
        <stp>##V3_BDPV12</stp>
        <stp>GBP6M Curncy</stp>
        <stp>last price</stp>
        <stp>[XMRD US Rates Dashboard.xlsm]Rates!R94C12</stp>
        <tr r="L94" s="1"/>
      </tp>
      <tp>
        <v>-32.5</v>
        <stp/>
        <stp>##V3_BDPV12</stp>
        <stp>AUD6M Curncy</stp>
        <stp>last price</stp>
        <stp>[XMRD US Rates Dashboard.xlsm]Rates!R94C24</stp>
        <tr r="X94" s="1"/>
      </tp>
      <tp>
        <v>-16.989999999999998</v>
        <stp/>
        <stp>##V3_BDPV12</stp>
        <stp>CAD6M Curncy</stp>
        <stp>last price</stp>
        <stp>[XMRD US Rates Dashboard.xlsm]Rates!R94C15</stp>
        <tr r="O94" s="1"/>
      </tp>
      <tp>
        <v>-105.65</v>
        <stp/>
        <stp>##V3_BDPV12</stp>
        <stp>CHF6M Curncy</stp>
        <stp>last price</stp>
        <stp>[XMRD US Rates Dashboard.xlsm]Rates!R94C21</stp>
        <tr r="U94" s="1"/>
      </tp>
      <tp>
        <v>-85.7</v>
        <stp/>
        <stp>##V3_BDPV12</stp>
        <stp>JPY6M Curncy</stp>
        <stp>last price</stp>
        <stp>[XMRD US Rates Dashboard.xlsm]Rates!R94C18</stp>
        <tr r="R94" s="1"/>
      </tp>
      <tp>
        <v>315.94</v>
        <stp/>
        <stp>##V3_BDPV12</stp>
        <stp>USSP202  curncy</stp>
        <stp>PX LAST</stp>
        <stp>[XMRD US Rates Dashboard.xlsm]Rates!R113C8</stp>
        <tr r="H113" s="1"/>
      </tp>
      <tp>
        <v>746.18</v>
        <stp/>
        <stp>##V3_BDPV12</stp>
        <stp>USSP205  curncy</stp>
        <stp>PX LAST</stp>
        <stp>[XMRD US Rates Dashboard.xlsm]Rates!R113C9</stp>
        <tr r="I113" s="1"/>
      </tp>
      <tp>
        <v>160.63999999999999</v>
        <stp/>
        <stp>##V3_BDPV12</stp>
        <stp>USSP201  curncy</stp>
        <stp>PX LAST</stp>
        <stp>[XMRD US Rates Dashboard.xlsm]Rates!R113C7</stp>
        <tr r="G113" s="1"/>
      </tp>
      <tp>
        <v>130.78</v>
        <stp/>
        <stp>##V3_BDPV12</stp>
        <stp>USSP0C5  curncy</stp>
        <stp>PX LAST</stp>
        <stp>[XMRD US Rates Dashboard.xlsm]Rates!R103C9</stp>
        <tr r="I103" s="1"/>
      </tp>
      <tp>
        <v>44.81</v>
        <stp/>
        <stp>##V3_BDPV12</stp>
        <stp>USSP0C2  curncy</stp>
        <stp>PX LAST</stp>
        <stp>[XMRD US Rates Dashboard.xlsm]Rates!R103C8</stp>
        <tr r="H103" s="1"/>
      </tp>
      <tp>
        <v>17.190000000000001</v>
        <stp/>
        <stp>##V3_BDPV12</stp>
        <stp>USSP0C1  curncy</stp>
        <stp>PX LAST</stp>
        <stp>[XMRD US Rates Dashboard.xlsm]Rates!R103C7</stp>
        <tr r="G103" s="1"/>
      </tp>
      <tp>
        <v>17.158000000000001</v>
        <stp/>
        <stp>##V3_BDPV12</stp>
        <stp>CDBR1U5 CURNCY</stp>
        <stp>BID</stp>
        <stp>[XMRD US Rates Dashboard.xlsm]Rates!R12C34</stp>
        <tr r="AH12" s="1"/>
      </tp>
      <tp>
        <v>725.94</v>
        <stp/>
        <stp>##V3_BDPV12</stp>
        <stp>USSP255  curncy</stp>
        <stp>PX LAST</stp>
        <stp>[XMRD US Rates Dashboard.xlsm]Rates!R114C9</stp>
        <tr r="I114" s="1"/>
      </tp>
      <tp>
        <v>301.43</v>
        <stp/>
        <stp>##V3_BDPV12</stp>
        <stp>USSP252  curncy</stp>
        <stp>PX LAST</stp>
        <stp>[XMRD US Rates Dashboard.xlsm]Rates!R114C8</stp>
        <tr r="H114" s="1"/>
      </tp>
      <tp>
        <v>152.24</v>
        <stp/>
        <stp>##V3_BDPV12</stp>
        <stp>USSP251  curncy</stp>
        <stp>PX LAST</stp>
        <stp>[XMRD US Rates Dashboard.xlsm]Rates!R114C7</stp>
        <tr r="G114" s="1"/>
      </tp>
      <tp>
        <v>32.700000000000003</v>
        <stp/>
        <stp>##V3_BDPV12</stp>
        <stp>USSP0F2  curncy</stp>
        <stp>PX LAST</stp>
        <stp>[XMRD US Rates Dashboard.xlsm]Rates!R104C8</stp>
        <tr r="H104" s="1"/>
      </tp>
      <tp>
        <v>209.72</v>
        <stp/>
        <stp>##V3_BDPV12</stp>
        <stp>USSP0F5  curncy</stp>
        <stp>PX LAST</stp>
        <stp>[XMRD US Rates Dashboard.xlsm]Rates!R104C9</stp>
        <tr r="I104" s="1"/>
      </tp>
      <tp>
        <v>12.36</v>
        <stp/>
        <stp>##V3_BDPV12</stp>
        <stp>USSP0F1  curncy</stp>
        <stp>PX LAST</stp>
        <stp>[XMRD US Rates Dashboard.xlsm]Rates!R104C7</stp>
        <tr r="G104" s="1"/>
      </tp>
      <tp>
        <v>1.2301</v>
        <stp/>
        <stp>##V3_BDPV12</stp>
        <stp>GBP curncy</stp>
        <stp>ask</stp>
        <stp>[XMRD US Rates Dashboard.xlsm]Rates!R87C11</stp>
        <tr r="K87" s="1"/>
      </tp>
      <tp>
        <v>1.23</v>
        <stp/>
        <stp>##V3_BDPV12</stp>
        <stp>GBP curncy</stp>
        <stp>bid</stp>
        <stp>[XMRD US Rates Dashboard.xlsm]Rates!R87C10</stp>
        <tr r="J87" s="1"/>
      </tp>
      <tp>
        <v>-40.58</v>
        <stp/>
        <stp>##V3_BDPV12</stp>
        <stp>CAD12M Curncy</stp>
        <stp>BID</stp>
        <stp>[XMRD US Rates Dashboard.xlsm]Rates!R96C13</stp>
        <tr r="M96" s="1"/>
      </tp>
      <tp>
        <v>-35.92</v>
        <stp/>
        <stp>##V3_BDPV12</stp>
        <stp>CAD12M Curncy</stp>
        <stp>ask</stp>
        <stp>[XMRD US Rates Dashboard.xlsm]Rates!R96C14</stp>
        <tr r="N96" s="1"/>
      </tp>
      <tp>
        <v>280.33999999999997</v>
        <stp/>
        <stp>##V3_BDPV12</stp>
        <stp>USSP302  curncy</stp>
        <stp>PX LAST</stp>
        <stp>[XMRD US Rates Dashboard.xlsm]Rates!R115C8</stp>
        <tr r="H115" s="1"/>
      </tp>
      <tp>
        <v>689.8</v>
        <stp/>
        <stp>##V3_BDPV12</stp>
        <stp>USSP305  curncy</stp>
        <stp>PX LAST</stp>
        <stp>[XMRD US Rates Dashboard.xlsm]Rates!R115C9</stp>
        <tr r="I115" s="1"/>
      </tp>
      <tp>
        <v>140.44</v>
        <stp/>
        <stp>##V3_BDPV12</stp>
        <stp>USSP301  curncy</stp>
        <stp>PX LAST</stp>
        <stp>[XMRD US Rates Dashboard.xlsm]Rates!R115C7</stp>
        <tr r="G115" s="1"/>
      </tp>
      <tp>
        <v>306.10000000000002</v>
        <stp/>
        <stp>##V3_BDPV12</stp>
        <stp>USSP015  curncy</stp>
        <stp>PX LAST</stp>
        <stp>[XMRD US Rates Dashboard.xlsm]Rates!R105C9</stp>
        <tr r="I105" s="1"/>
      </tp>
      <tp>
        <v>98.5</v>
        <stp/>
        <stp>##V3_BDPV12</stp>
        <stp>USSP012  curncy</stp>
        <stp>PX LAST</stp>
        <stp>[XMRD US Rates Dashboard.xlsm]Rates!R105C8</stp>
        <tr r="H105" s="1"/>
      </tp>
      <tp>
        <v>43.5</v>
        <stp/>
        <stp>##V3_BDPV12</stp>
        <stp>USSP011  curncy</stp>
        <stp>PX LAST</stp>
        <stp>[XMRD US Rates Dashboard.xlsm]Rates!R105C7</stp>
        <tr r="G105" s="1"/>
      </tp>
      <tp>
        <v>5.59</v>
        <stp/>
        <stp>##V3_BDPV12</stp>
        <stp>GBP1M Curncy</stp>
        <stp>last price</stp>
        <stp>[XMRD US Rates Dashboard.xlsm]Rates!R91C12</stp>
        <tr r="L91" s="1"/>
      </tp>
      <tp>
        <v>52.16</v>
        <stp/>
        <stp>##V3_BDPV12</stp>
        <stp>CLF7 comdty</stp>
        <stp>last price</stp>
        <stp>[XMRD US Rates Dashboard.xlsm]Rates!R122C8</stp>
        <tr r="H122" s="1"/>
      </tp>
      <tp>
        <v>52.56</v>
        <stp/>
        <stp>##V3_BDPV12</stp>
        <stp>CLG7 comdty</stp>
        <stp>last price</stp>
        <stp>[XMRD US Rates Dashboard.xlsm]Rates!R123C8</stp>
        <tr r="H123" s="1"/>
      </tp>
      <tp>
        <v>-6.23</v>
        <stp/>
        <stp>##V3_BDPV12</stp>
        <stp>AUD1M Curncy</stp>
        <stp>last price</stp>
        <stp>[XMRD US Rates Dashboard.xlsm]Rates!R91C24</stp>
        <tr r="X91" s="1"/>
      </tp>
      <tp>
        <v>-2.0499999999999998</v>
        <stp/>
        <stp>##V3_BDPV12</stp>
        <stp>CAD1M Curncy</stp>
        <stp>last price</stp>
        <stp>[XMRD US Rates Dashboard.xlsm]Rates!R91C15</stp>
        <tr r="O91" s="1"/>
      </tp>
      <tp>
        <v>-15.11</v>
        <stp/>
        <stp>##V3_BDPV12</stp>
        <stp>CHF1M Curncy</stp>
        <stp>last price</stp>
        <stp>[XMRD US Rates Dashboard.xlsm]Rates!R91C21</stp>
        <tr r="U91" s="1"/>
      </tp>
      <tp>
        <v>-11.6</v>
        <stp/>
        <stp>##V3_BDPV12</stp>
        <stp>JPY1M Curncy</stp>
        <stp>last price</stp>
        <stp>[XMRD US Rates Dashboard.xlsm]Rates!R91C18</stp>
        <tr r="R91" s="1"/>
      </tp>
      <tp>
        <v>-2.1800000000000002</v>
        <stp/>
        <stp>##V3_BDPV12</stp>
        <stp>JPY1W Curncy</stp>
        <stp>last price</stp>
        <stp>[XMRD US Rates Dashboard.xlsm]Rates!R90C18</stp>
        <tr r="R90" s="1"/>
      </tp>
      <tp>
        <v>0.97</v>
        <stp/>
        <stp>##V3_BDPV12</stp>
        <stp>GBP1W Curncy</stp>
        <stp>last price</stp>
        <stp>[XMRD US Rates Dashboard.xlsm]Rates!R90C12</stp>
        <tr r="L90" s="1"/>
      </tp>
      <tp>
        <v>-3.15</v>
        <stp/>
        <stp>##V3_BDPV12</stp>
        <stp>CHF1W Curncy</stp>
        <stp>last price</stp>
        <stp>[XMRD US Rates Dashboard.xlsm]Rates!R90C21</stp>
        <tr r="U90" s="1"/>
      </tp>
      <tp>
        <v>-1.41</v>
        <stp/>
        <stp>##V3_BDPV12</stp>
        <stp>AUD1W Curncy</stp>
        <stp>last price</stp>
        <stp>[XMRD US Rates Dashboard.xlsm]Rates!R90C24</stp>
        <tr r="X90" s="1"/>
      </tp>
      <tp>
        <v>-0.39</v>
        <stp/>
        <stp>##V3_BDPV12</stp>
        <stp>CAD1W Curncy</stp>
        <stp>last price</stp>
        <stp>[XMRD US Rates Dashboard.xlsm]Rates!R90C15</stp>
        <tr r="O90" s="1"/>
      </tp>
      <tp>
        <v>174.09</v>
        <stp/>
        <stp>##V3_BDPV12</stp>
        <stp>USSP022  curncy</stp>
        <stp>PX LAST</stp>
        <stp>[XMRD US Rates Dashboard.xlsm]Rates!R106C8</stp>
        <tr r="H106" s="1"/>
      </tp>
      <tp>
        <v>402.49</v>
        <stp/>
        <stp>##V3_BDPV12</stp>
        <stp>USSP025  curncy</stp>
        <stp>PX LAST</stp>
        <stp>[XMRD US Rates Dashboard.xlsm]Rates!R106C9</stp>
        <tr r="I106" s="1"/>
      </tp>
      <tp>
        <v>78.989999999999995</v>
        <stp/>
        <stp>##V3_BDPV12</stp>
        <stp>USSP021  curncy</stp>
        <stp>PX LAST</stp>
        <stp>[XMRD US Rates Dashboard.xlsm]Rates!R106C7</stp>
        <tr r="G106" s="1"/>
      </tp>
      <tp>
        <v>10.56</v>
        <stp/>
        <stp>##V3_BDPV12</stp>
        <stp>GBP2M Curncy</stp>
        <stp>last price</stp>
        <stp>[XMRD US Rates Dashboard.xlsm]Rates!R92C12</stp>
        <tr r="L92" s="1"/>
      </tp>
      <tp>
        <v>-11.8</v>
        <stp/>
        <stp>##V3_BDPV12</stp>
        <stp>AUD2M Curncy</stp>
        <stp>last price</stp>
        <stp>[XMRD US Rates Dashboard.xlsm]Rates!R92C24</stp>
        <tr r="X92" s="1"/>
      </tp>
      <tp>
        <v>-3.88</v>
        <stp/>
        <stp>##V3_BDPV12</stp>
        <stp>CAD2M Curncy</stp>
        <stp>last price</stp>
        <stp>[XMRD US Rates Dashboard.xlsm]Rates!R92C15</stp>
        <tr r="O92" s="1"/>
      </tp>
      <tp>
        <v>-29.7</v>
        <stp/>
        <stp>##V3_BDPV12</stp>
        <stp>CHF2M Curncy</stp>
        <stp>last price</stp>
        <stp>[XMRD US Rates Dashboard.xlsm]Rates!R92C21</stp>
        <tr r="U92" s="1"/>
      </tp>
      <tp>
        <v>-22.25</v>
        <stp/>
        <stp>##V3_BDPV12</stp>
        <stp>JPY2M Curncy</stp>
        <stp>last price</stp>
        <stp>[XMRD US Rates Dashboard.xlsm]Rates!R92C18</stp>
        <tr r="R92" s="1"/>
      </tp>
      <tp>
        <v>30</v>
        <stp/>
        <stp>##V3_BDPV12</stp>
        <stp>CJGB1U5 CURNCY</stp>
        <stp>BID</stp>
        <stp>[XMRD US Rates Dashboard.xlsm]Rates!R13C34</stp>
        <tr r="AH13" s="1"/>
      </tp>
      <tp>
        <v>-2.67</v>
        <stp/>
        <stp>##V3_BDPV12</stp>
        <stp>JPY1W Curncy</stp>
        <stp>BID</stp>
        <stp>[XMRD US Rates Dashboard.xlsm]Rates!R90C16</stp>
        <tr r="P90" s="1"/>
      </tp>
      <tp>
        <v>536.91</v>
        <stp/>
        <stp>##V3_BDPV12</stp>
        <stp>USSP035  curncy</stp>
        <stp>PX LAST</stp>
        <stp>[XMRD US Rates Dashboard.xlsm]Rates!R107C9</stp>
        <tr r="I107" s="1"/>
      </tp>
      <tp>
        <v>220.27</v>
        <stp/>
        <stp>##V3_BDPV12</stp>
        <stp>USSP032  curncy</stp>
        <stp>PX LAST</stp>
        <stp>[XMRD US Rates Dashboard.xlsm]Rates!R107C8</stp>
        <tr r="H107" s="1"/>
      </tp>
      <tp>
        <v>110.81</v>
        <stp/>
        <stp>##V3_BDPV12</stp>
        <stp>USSP031  curncy</stp>
        <stp>PX LAST</stp>
        <stp>[XMRD US Rates Dashboard.xlsm]Rates!R107C7</stp>
        <tr r="G107" s="1"/>
      </tp>
      <tp>
        <v>21.89</v>
        <stp/>
        <stp>##V3_BDPV12</stp>
        <stp>GBP3M Curncy</stp>
        <stp>last price</stp>
        <stp>[XMRD US Rates Dashboard.xlsm]Rates!R93C12</stp>
        <tr r="L93" s="1"/>
      </tp>
      <tp>
        <v>-1.69</v>
        <stp/>
        <stp>##V3_BDPV12</stp>
        <stp>JPY1W Curncy</stp>
        <stp>ask</stp>
        <stp>[XMRD US Rates Dashboard.xlsm]Rates!R90C17</stp>
        <tr r="Q90" s="1"/>
      </tp>
      <tp>
        <v>-17.18</v>
        <stp/>
        <stp>##V3_BDPV12</stp>
        <stp>AUD3M Curncy</stp>
        <stp>last price</stp>
        <stp>[XMRD US Rates Dashboard.xlsm]Rates!R93C24</stp>
        <tr r="X93" s="1"/>
      </tp>
      <tp>
        <v>-7.16</v>
        <stp/>
        <stp>##V3_BDPV12</stp>
        <stp>CAD3M Curncy</stp>
        <stp>last price</stp>
        <stp>[XMRD US Rates Dashboard.xlsm]Rates!R93C15</stp>
        <tr r="O93" s="1"/>
      </tp>
      <tp>
        <v>-51.76</v>
        <stp/>
        <stp>##V3_BDPV12</stp>
        <stp>CHF3M Curncy</stp>
        <stp>last price</stp>
        <stp>[XMRD US Rates Dashboard.xlsm]Rates!R93C21</stp>
        <tr r="U93" s="1"/>
      </tp>
      <tp>
        <v>-41.9</v>
        <stp/>
        <stp>##V3_BDPV12</stp>
        <stp>JPY3M Curncy</stp>
        <stp>last price</stp>
        <stp>[XMRD US Rates Dashboard.xlsm]Rates!R93C18</stp>
        <tr r="R93" s="1"/>
      </tp>
      <tp>
        <v>93.65</v>
        <stp/>
        <stp>##V3_BDPV12</stp>
        <stp>GBP12M Curncy</stp>
        <stp>BID</stp>
        <stp>[XMRD US Rates Dashboard.xlsm]Rates!R96C10</stp>
        <tr r="J96" s="1"/>
      </tp>
      <tp>
        <v>96.46</v>
        <stp/>
        <stp>##V3_BDPV12</stp>
        <stp>GBP12M Curncy</stp>
        <stp>ask</stp>
        <stp>[XMRD US Rates Dashboard.xlsm]Rates!R96C11</stp>
        <tr r="K96" s="1"/>
      </tp>
    </main>
    <main first="bloomberg.rtd">
      <tp t="s">
        <v>DEC 16</v>
        <stp/>
        <stp>##V3_BDPV12</stp>
        <stp>TUZ6 COMDTY</stp>
        <stp>FUT MONTH YR</stp>
        <stp>[XMRD US Rates Dashboard.xlsm]Rates!R11C23</stp>
        <tr r="W11" s="1"/>
      </tp>
      <tp t="s">
        <v>MAR 17</v>
        <stp/>
        <stp>##V3_BDPV12</stp>
        <stp>TUH7 COMDTY</stp>
        <stp>FUT MONTH YR</stp>
        <stp>[XMRD US Rates Dashboard.xlsm]Rates!R12C23</stp>
        <tr r="W12" s="1"/>
      </tp>
      <tp t="s">
        <v>DEC 16</v>
        <stp/>
        <stp>##V3_BDPV12</stp>
        <stp>TYZ6 COMDTY</stp>
        <stp>FUT MONTH YR</stp>
        <stp>[XMRD US Rates Dashboard.xlsm]Rates!R15C23</stp>
        <tr r="W15" s="1"/>
      </tp>
      <tp t="s">
        <v>MAR 17</v>
        <stp/>
        <stp>##V3_BDPV12</stp>
        <stp>TYH7 COMDTY</stp>
        <stp>FUT MONTH YR</stp>
        <stp>[XMRD US Rates Dashboard.xlsm]Rates!R16C23</stp>
        <tr r="W16" s="1"/>
      </tp>
      <tp>
        <v>0.61839999999999995</v>
        <stp/>
        <stp>##V3_BDPV12</stp>
        <stp>USSO1  Curncy</stp>
        <stp>ASK</stp>
        <stp>[XMRD US Rates Dashboard.xlsm]Rates!R63C8</stp>
        <tr r="H63" s="1"/>
      </tp>
      <tp>
        <v>0.35899999999999999</v>
        <stp/>
        <stp>##V3_BDPV12</stp>
        <stp>CUKT1U5 CURNCY</stp>
        <stp>RT_PX_CHG_NET_1D</stp>
        <stp>[XMRD US Rates Dashboard.xlsm]Rates!R14C35</stp>
        <tr r="AI14" s="1"/>
      </tp>
      <tp t="s">
        <v>DEC 16</v>
        <stp/>
        <stp>##V3_BDPV12</stp>
        <stp>USZ6 COMDTY</stp>
        <stp>FUT MONTH YR</stp>
        <stp>[XMRD US Rates Dashboard.xlsm]Rates!R17C23</stp>
        <tr r="W17" s="1"/>
      </tp>
      <tp t="s">
        <v>MAR 17</v>
        <stp/>
        <stp>##V3_BDPV12</stp>
        <stp>USH7 COMDTY</stp>
        <stp>FUT MONTH YR</stp>
        <stp>[XMRD US Rates Dashboard.xlsm]Rates!R18C23</stp>
        <tr r="W18" s="1"/>
      </tp>
      <tp>
        <v>51.14</v>
        <stp/>
        <stp>##V3_BDPV12</stp>
        <stp>CLX6 comdty</stp>
        <stp>last price</stp>
        <stp>[XMRD US Rates Dashboard.xlsm]Rates!R120C8</stp>
        <tr r="H120" s="1"/>
      </tp>
    </main>
    <main first="bloomberg.rtd">
      <tp>
        <v>51.62</v>
        <stp/>
        <stp>##V3_BDPV12</stp>
        <stp>CLZ6 comdty</stp>
        <stp>last price</stp>
        <stp>[XMRD US Rates Dashboard.xlsm]Rates!R121C8</stp>
        <tr r="H121" s="1"/>
      </tp>
      <tp>
        <v>0.126966</v>
        <stp/>
        <stp>##V3_BDPV12</stp>
        <stp>CAC index</stp>
        <stp>RT_PX_CHG_PCT_1D</stp>
        <stp>[XMRD US Rates Dashboard.xlsm]Rates!R24C28</stp>
        <tr r="AB24" s="1"/>
      </tp>
      <tp>
        <v>5.71</v>
        <stp/>
        <stp>##V3_BDPV12</stp>
        <stp>CAC index</stp>
        <stp>RT_PX_CHG_NET_1D</stp>
        <stp>[XMRD US Rates Dashboard.xlsm]Rates!R24C27</stp>
        <tr r="AA24" s="1"/>
      </tp>
      <tp>
        <v>17.106999999999999</v>
        <stp/>
        <stp>##V3_BDPV12</stp>
        <stp>SHCOMP index</stp>
        <stp>RT_PX_CHG_NET_1D</stp>
        <stp>[XMRD US Rates Dashboard.xlsm]Rates!R23C31</stp>
        <tr r="AE23" s="1"/>
      </tp>
      <tp>
        <v>0.56122700000000003</v>
        <stp/>
        <stp>##V3_BDPV12</stp>
        <stp>SHCOMP index</stp>
        <stp>RT_PX_CHG_PCT_1D</stp>
        <stp>[XMRD US Rates Dashboard.xlsm]Rates!R23C32</stp>
        <tr r="AF23" s="1"/>
      </tp>
      <tp>
        <v>-132.71</v>
        <stp/>
        <stp>##V3_BDPV12</stp>
        <stp>JPY9M Curncy</stp>
        <stp>BID</stp>
        <stp>[XMRD US Rates Dashboard.xlsm]Rates!R95C16</stp>
        <tr r="P95" s="1"/>
      </tp>
      <tp>
        <v>-86.21</v>
        <stp/>
        <stp>##V3_BDPV12</stp>
        <stp>JPY6M Curncy</stp>
        <stp>BID</stp>
        <stp>[XMRD US Rates Dashboard.xlsm]Rates!R94C16</stp>
        <tr r="P94" s="1"/>
      </tp>
      <tp>
        <v>-11.8</v>
        <stp/>
        <stp>##V3_BDPV12</stp>
        <stp>JPY1M Curncy</stp>
        <stp>BID</stp>
        <stp>[XMRD US Rates Dashboard.xlsm]Rates!R91C16</stp>
        <tr r="P91" s="1"/>
      </tp>
      <tp>
        <v>-22.36</v>
        <stp/>
        <stp>##V3_BDPV12</stp>
        <stp>JPY2M Curncy</stp>
        <stp>BID</stp>
        <stp>[XMRD US Rates Dashboard.xlsm]Rates!R92C16</stp>
        <tr r="P92" s="1"/>
      </tp>
      <tp>
        <v>-42.15</v>
        <stp/>
        <stp>##V3_BDPV12</stp>
        <stp>JPY3M Curncy</stp>
        <stp>BID</stp>
        <stp>[XMRD US Rates Dashboard.xlsm]Rates!R93C16</stp>
        <tr r="P93" s="1"/>
      </tp>
      <tp>
        <v>-11.4</v>
        <stp/>
        <stp>##V3_BDPV12</stp>
        <stp>JPY1M Curncy</stp>
        <stp>ask</stp>
        <stp>[XMRD US Rates Dashboard.xlsm]Rates!R91C17</stp>
        <tr r="Q91" s="1"/>
      </tp>
      <tp>
        <v>-22.14</v>
        <stp/>
        <stp>##V3_BDPV12</stp>
        <stp>JPY2M Curncy</stp>
        <stp>ask</stp>
        <stp>[XMRD US Rates Dashboard.xlsm]Rates!R92C17</stp>
        <tr r="Q92" s="1"/>
      </tp>
      <tp>
        <v>-41.65</v>
        <stp/>
        <stp>##V3_BDPV12</stp>
        <stp>JPY3M Curncy</stp>
        <stp>ask</stp>
        <stp>[XMRD US Rates Dashboard.xlsm]Rates!R93C17</stp>
        <tr r="Q93" s="1"/>
      </tp>
      <tp>
        <v>-85.19</v>
        <stp/>
        <stp>##V3_BDPV12</stp>
        <stp>JPY6M Curncy</stp>
        <stp>ask</stp>
        <stp>[XMRD US Rates Dashboard.xlsm]Rates!R94C17</stp>
        <tr r="Q94" s="1"/>
      </tp>
      <tp>
        <v>-131.04</v>
        <stp/>
        <stp>##V3_BDPV12</stp>
        <stp>JPY9M Curncy</stp>
        <stp>ask</stp>
        <stp>[XMRD US Rates Dashboard.xlsm]Rates!R95C17</stp>
        <tr r="Q95" s="1"/>
      </tp>
      <tp>
        <v>-29.24</v>
        <stp/>
        <stp>##V3_BDPV12</stp>
        <stp>SPTSX index</stp>
        <stp>RT_PX_CHG_NET_1D</stp>
        <stp>[XMRD US Rates Dashboard.xlsm]Rates!R25C23</stp>
        <tr r="W25" s="1"/>
      </tp>
      <tp>
        <v>-0.20033599999999999</v>
        <stp/>
        <stp>##V3_BDPV12</stp>
        <stp>SPTSX index</stp>
        <stp>RT_PX_CHG_PCT_1D</stp>
        <stp>[XMRD US Rates Dashboard.xlsm]Rates!R25C24</stp>
        <tr r="X25" s="1"/>
      </tp>
      <tp>
        <v>-0.36899999999999999</v>
        <stp/>
        <stp>##V3_BDPV12</stp>
        <stp>JPYON Curncy</stp>
        <stp>BID</stp>
        <stp>[XMRD US Rates Dashboard.xlsm]Rates!R88C16</stp>
        <tr r="P88" s="1"/>
      </tp>
      <tp>
        <v>-0.36799999999999999</v>
        <stp/>
        <stp>##V3_BDPV12</stp>
        <stp>JPYTN Curncy</stp>
        <stp>BID</stp>
        <stp>[XMRD US Rates Dashboard.xlsm]Rates!R89C16</stp>
        <tr r="P89" s="1"/>
      </tp>
      <tp>
        <v>-0.26700000000000002</v>
        <stp/>
        <stp>##V3_BDPV12</stp>
        <stp>JPYON Curncy</stp>
        <stp>ask</stp>
        <stp>[XMRD US Rates Dashboard.xlsm]Rates!R88C17</stp>
        <tr r="Q88" s="1"/>
      </tp>
      <tp>
        <v>-0.28199999999999997</v>
        <stp/>
        <stp>##V3_BDPV12</stp>
        <stp>JPYTN Curncy</stp>
        <stp>ask</stp>
        <stp>[XMRD US Rates Dashboard.xlsm]Rates!R89C17</stp>
        <tr r="Q89" s="1"/>
      </tp>
      <tp>
        <v>-180.88</v>
        <stp/>
        <stp>##V3_BDPV12</stp>
        <stp>JPY12M Curncy</stp>
        <stp>last price</stp>
        <stp>[XMRD US Rates Dashboard.xlsm]Rates!R96C18</stp>
        <tr r="R96" s="1"/>
      </tp>
      <tp>
        <v>0.32700000000000001</v>
        <stp/>
        <stp>##V3_BDPV12</stp>
        <stp>CDBR1U5 CURNCY</stp>
        <stp>RT_PX_CHG_NET_1D</stp>
        <stp>[XMRD US Rates Dashboard.xlsm]Rates!R12C35</stp>
        <tr r="AI12" s="1"/>
      </tp>
      <tp>
        <v>137.54</v>
        <stp/>
        <stp>##V3_BDPV12</stp>
        <stp>EUR9M Curncy</stp>
        <stp>BID</stp>
        <stp>[XMRD US Rates Dashboard.xlsm]Rates!R95C7</stp>
        <tr r="G95" s="1"/>
      </tp>
      <tp>
        <v>0.72299999999999998</v>
        <stp/>
        <stp>##V3_BDPV12</stp>
        <stp>USSO2  Curncy</stp>
        <stp>ASK</stp>
        <stp>[XMRD US Rates Dashboard.xlsm]Rates!R67C8</stp>
        <tr r="H67" s="1"/>
      </tp>
      <tp>
        <v>1.1109</v>
        <stp/>
        <stp>##V3_BDPV12</stp>
        <stp>EUR curncy</stp>
        <stp>ask</stp>
        <stp>[XMRD US Rates Dashboard.xlsm]Rates!R87C8</stp>
        <tr r="H87" s="1"/>
      </tp>
      <tp>
        <v>67.61</v>
        <stp/>
        <stp>##V3_BDPV12</stp>
        <stp>GBP9M Curncy</stp>
        <stp>BID</stp>
        <stp>[XMRD US Rates Dashboard.xlsm]Rates!R95C10</stp>
        <tr r="J95" s="1"/>
      </tp>
      <tp>
        <v>43.48</v>
        <stp/>
        <stp>##V3_BDPV12</stp>
        <stp>GBP6M Curncy</stp>
        <stp>BID</stp>
        <stp>[XMRD US Rates Dashboard.xlsm]Rates!R94C10</stp>
        <tr r="J94" s="1"/>
      </tp>
      <tp>
        <v>5.44</v>
        <stp/>
        <stp>##V3_BDPV12</stp>
        <stp>GBP1M Curncy</stp>
        <stp>BID</stp>
        <stp>[XMRD US Rates Dashboard.xlsm]Rates!R91C10</stp>
        <tr r="J91" s="1"/>
      </tp>
      <tp>
        <v>10.050000000000001</v>
        <stp/>
        <stp>##V3_BDPV12</stp>
        <stp>GBP2M Curncy</stp>
        <stp>BID</stp>
        <stp>[XMRD US Rates Dashboard.xlsm]Rates!R92C10</stp>
        <tr r="J92" s="1"/>
      </tp>
      <tp>
        <v>21.53</v>
        <stp/>
        <stp>##V3_BDPV12</stp>
        <stp>GBP3M Curncy</stp>
        <stp>BID</stp>
        <stp>[XMRD US Rates Dashboard.xlsm]Rates!R93C10</stp>
        <tr r="J93" s="1"/>
      </tp>
      <tp>
        <v>5.74</v>
        <stp/>
        <stp>##V3_BDPV12</stp>
        <stp>GBP1M Curncy</stp>
        <stp>ask</stp>
        <stp>[XMRD US Rates Dashboard.xlsm]Rates!R91C11</stp>
        <tr r="K91" s="1"/>
      </tp>
      <tp>
        <v>11.07</v>
        <stp/>
        <stp>##V3_BDPV12</stp>
        <stp>GBP2M Curncy</stp>
        <stp>ask</stp>
        <stp>[XMRD US Rates Dashboard.xlsm]Rates!R92C11</stp>
        <tr r="K92" s="1"/>
      </tp>
      <tp>
        <v>22.25</v>
        <stp/>
        <stp>##V3_BDPV12</stp>
        <stp>GBP3M Curncy</stp>
        <stp>ask</stp>
        <stp>[XMRD US Rates Dashboard.xlsm]Rates!R93C11</stp>
        <tr r="K93" s="1"/>
      </tp>
      <tp>
        <v>44.8</v>
        <stp/>
        <stp>##V3_BDPV12</stp>
        <stp>GBP6M Curncy</stp>
        <stp>ask</stp>
        <stp>[XMRD US Rates Dashboard.xlsm]Rates!R94C11</stp>
        <tr r="K94" s="1"/>
      </tp>
      <tp>
        <v>69.81</v>
        <stp/>
        <stp>##V3_BDPV12</stp>
        <stp>GBP9M Curncy</stp>
        <stp>ask</stp>
        <stp>[XMRD US Rates Dashboard.xlsm]Rates!R95C11</stp>
        <tr r="K95" s="1"/>
      </tp>
      <tp>
        <v>0.75490000000000002</v>
        <stp/>
        <stp>##V3_BDPV12</stp>
        <stp>AUD curncy</stp>
        <stp>bid</stp>
        <stp>[XMRD US Rates Dashboard.xlsm]Rates!R87C22</stp>
        <tr r="V87" s="1"/>
      </tp>
      <tp>
        <v>1.3211999999999999</v>
        <stp/>
        <stp>##V3_BDPV12</stp>
        <stp>CAD curncy</stp>
        <stp>ask</stp>
        <stp>[XMRD US Rates Dashboard.xlsm]Rates!R87C14</stp>
        <tr r="N87" s="1"/>
      </tp>
      <tp>
        <v>1.3210999999999999</v>
        <stp/>
        <stp>##V3_BDPV12</stp>
        <stp>CAD curncy</stp>
        <stp>bid</stp>
        <stp>[XMRD US Rates Dashboard.xlsm]Rates!R87C13</stp>
        <tr r="M87" s="1"/>
      </tp>
      <tp>
        <v>0.755</v>
        <stp/>
        <stp>##V3_BDPV12</stp>
        <stp>AUD curncy</stp>
        <stp>ask</stp>
        <stp>[XMRD US Rates Dashboard.xlsm]Rates!R87C23</stp>
        <tr r="W87" s="1"/>
      </tp>
      <tp>
        <v>-63.49</v>
        <stp/>
        <stp>##V3_BDPV12</stp>
        <stp>AUD12M Curncy</stp>
        <stp>BID</stp>
        <stp>[XMRD US Rates Dashboard.xlsm]Rates!R96C22</stp>
        <tr r="V96" s="1"/>
      </tp>
      <tp>
        <v>1.1108</v>
        <stp/>
        <stp>##V3_BDPV12</stp>
        <stp>EUR curncy</stp>
        <stp>bid</stp>
        <stp>[XMRD US Rates Dashboard.xlsm]Rates!R87C7</stp>
        <tr r="G87" s="1"/>
      </tp>
      <tp>
        <v>90.87</v>
        <stp/>
        <stp>##V3_BDPV12</stp>
        <stp>EUR6M Curncy</stp>
        <stp>BID</stp>
        <stp>[XMRD US Rates Dashboard.xlsm]Rates!R94C7</stp>
        <tr r="G94" s="1"/>
      </tp>
      <tp>
        <v>-61.51</v>
        <stp/>
        <stp>##V3_BDPV12</stp>
        <stp>AUD12M Curncy</stp>
        <stp>ask</stp>
        <stp>[XMRD US Rates Dashboard.xlsm]Rates!R96C23</stp>
        <tr r="W96" s="1"/>
      </tp>
      <tp>
        <v>-1.2674099999999999</v>
        <stp/>
        <stp>##V3_BDPV12</stp>
        <stp>HSI index</stp>
        <stp>RT_PX_CHG_PCT_1D</stp>
        <stp>[XMRD US Rates Dashboard.xlsm]Rates!R22C32</stp>
        <tr r="AF22" s="1"/>
      </tp>
      <tp>
        <v>-302.3</v>
        <stp/>
        <stp>##V3_BDPV12</stp>
        <stp>HSI index</stp>
        <stp>RT_PX_CHG_NET_1D</stp>
        <stp>[XMRD US Rates Dashboard.xlsm]Rates!R22C31</stp>
        <tr r="AE22" s="1"/>
      </tp>
      <tp>
        <v>0.9859</v>
        <stp/>
        <stp>##V3_BDPV12</stp>
        <stp>CHF curncy</stp>
        <stp>bid</stp>
        <stp>[XMRD US Rates Dashboard.xlsm]Rates!R87C19</stp>
        <tr r="S87" s="1"/>
      </tp>
      <tp>
        <v>0.98609999999999998</v>
        <stp/>
        <stp>##V3_BDPV12</stp>
        <stp>CHF curncy</stp>
        <stp>ask</stp>
        <stp>[XMRD US Rates Dashboard.xlsm]Rates!R87C20</stp>
        <tr r="T87" s="1"/>
      </tp>
      <tp>
        <v>36.271000000000001</v>
        <stp/>
        <stp>##V3_BDPV12</stp>
        <stp>CCMP index</stp>
        <stp>RT_PX_CHG_NET_1D</stp>
        <stp>[XMRD US Rates Dashboard.xlsm]Rates!R24C23</stp>
        <tr r="W24" s="1"/>
      </tp>
      <tp>
        <v>0.68534099999999998</v>
        <stp/>
        <stp>##V3_BDPV12</stp>
        <stp>CCMP index</stp>
        <stp>RT_PX_CHG_PCT_1D</stp>
        <stp>[XMRD US Rates Dashboard.xlsm]Rates!R24C24</stp>
        <tr r="X24" s="1"/>
      </tp>
      <tp>
        <v>13.68</v>
        <stp/>
        <stp>##V3_BDPV12</stp>
        <stp>EUR1M Curncy</stp>
        <stp>BID</stp>
        <stp>[XMRD US Rates Dashboard.xlsm]Rates!R91C7</stp>
        <tr r="G91" s="1"/>
      </tp>
      <tp>
        <v>25.99</v>
        <stp/>
        <stp>##V3_BDPV12</stp>
        <stp>EUR2M Curncy</stp>
        <stp>BID</stp>
        <stp>[XMRD US Rates Dashboard.xlsm]Rates!R92C7</stp>
        <tr r="G92" s="1"/>
      </tp>
      <tp>
        <v>44.76</v>
        <stp/>
        <stp>##V3_BDPV12</stp>
        <stp>EUR3M Curncy</stp>
        <stp>BID</stp>
        <stp>[XMRD US Rates Dashboard.xlsm]Rates!R93C7</stp>
        <tr r="G93" s="1"/>
      </tp>
      <tp>
        <v>2.1000000000000001E-2</v>
        <stp/>
        <stp>##V3_BDPV12</stp>
        <stp>GBPON Curncy</stp>
        <stp>BID</stp>
        <stp>[XMRD US Rates Dashboard.xlsm]Rates!R88C10</stp>
        <tr r="J88" s="1"/>
      </tp>
      <tp>
        <v>6.9000000000000006E-2</v>
        <stp/>
        <stp>##V3_BDPV12</stp>
        <stp>GBPTN Curncy</stp>
        <stp>BID</stp>
        <stp>[XMRD US Rates Dashboard.xlsm]Rates!R89C10</stp>
        <tr r="J89" s="1"/>
      </tp>
      <tp>
        <v>0.13900000000000001</v>
        <stp/>
        <stp>##V3_BDPV12</stp>
        <stp>GBPON Curncy</stp>
        <stp>ask</stp>
        <stp>[XMRD US Rates Dashboard.xlsm]Rates!R88C11</stp>
        <tr r="K88" s="1"/>
      </tp>
      <tp>
        <v>0.121</v>
        <stp/>
        <stp>##V3_BDPV12</stp>
        <stp>GBPTN Curncy</stp>
        <stp>ask</stp>
        <stp>[XMRD US Rates Dashboard.xlsm]Rates!R89C11</stp>
        <tr r="K89" s="1"/>
      </tp>
      <tp>
        <v>95.06</v>
        <stp/>
        <stp>##V3_BDPV12</stp>
        <stp>GBP12M Curncy</stp>
        <stp>last price</stp>
        <stp>[XMRD US Rates Dashboard.xlsm]Rates!R96C12</stp>
        <tr r="L96" s="1"/>
      </tp>
      <tp>
        <v>2.59</v>
        <stp/>
        <stp>##V3_BDPV12</stp>
        <stp>EUR1W Curncy</stp>
        <stp>BID</stp>
        <stp>[XMRD US Rates Dashboard.xlsm]Rates!R90C7</stp>
        <tr r="G90" s="1"/>
      </tp>
      <tp>
        <v>269</v>
        <stp/>
        <stp>##V3_BDPV12</stp>
        <stp>CBRZ1U5 CURNCY</stp>
        <stp>BID</stp>
        <stp>[XMRD US Rates Dashboard.xlsm]Rates!R17C34</stp>
        <tr r="AH17" s="1"/>
      </tp>
      <tp t="s">
        <v>DEC 16</v>
        <stp/>
        <stp>##V3_BDPV12</stp>
        <stp>W Z6 comdty</stp>
        <stp>FUT_MONTH_YR</stp>
        <stp>[XMRD US Rates Dashboard.xlsm]Rates!R120C19</stp>
        <tr r="S120" s="1"/>
      </tp>
      <tp t="s">
        <v>DEC 16</v>
        <stp/>
        <stp>##V3_BDPV12</stp>
        <stp>W Z6 comdty</stp>
        <stp>FUT_MONTH_YR</stp>
        <stp>[XMRD US Rates Dashboard.xlsm]Rates!R120C22</stp>
        <tr r="V120" s="1"/>
      </tp>
      <tp t="s">
        <v>JUL 17</v>
        <stp/>
        <stp>##V3_BDPV12</stp>
        <stp>W N7 comdty</stp>
        <stp>FUT_MONTH_YR</stp>
        <stp>[XMRD US Rates Dashboard.xlsm]Rates!R123C19</stp>
        <tr r="S123" s="1"/>
      </tp>
      <tp>
        <v>-28.98</v>
        <stp/>
        <stp>##V3_BDPV12</stp>
        <stp>CAD9M Curncy</stp>
        <stp>BID</stp>
        <stp>[XMRD US Rates Dashboard.xlsm]Rates!R95C13</stp>
        <tr r="M95" s="1"/>
      </tp>
      <tp>
        <v>-18.579999999999998</v>
        <stp/>
        <stp>##V3_BDPV12</stp>
        <stp>CAD6M Curncy</stp>
        <stp>BID</stp>
        <stp>[XMRD US Rates Dashboard.xlsm]Rates!R94C13</stp>
        <tr r="M94" s="1"/>
      </tp>
      <tp>
        <v>-2.52</v>
        <stp/>
        <stp>##V3_BDPV12</stp>
        <stp>CAD1M Curncy</stp>
        <stp>BID</stp>
        <stp>[XMRD US Rates Dashboard.xlsm]Rates!R91C13</stp>
        <tr r="M91" s="1"/>
      </tp>
      <tp>
        <v>-4.1399999999999997</v>
        <stp/>
        <stp>##V3_BDPV12</stp>
        <stp>CAD2M Curncy</stp>
        <stp>BID</stp>
        <stp>[XMRD US Rates Dashboard.xlsm]Rates!R92C13</stp>
        <tr r="M92" s="1"/>
      </tp>
      <tp>
        <v>-7.48</v>
        <stp/>
        <stp>##V3_BDPV12</stp>
        <stp>CAD3M Curncy</stp>
        <stp>BID</stp>
        <stp>[XMRD US Rates Dashboard.xlsm]Rates!R93C13</stp>
        <tr r="M93" s="1"/>
      </tp>
      <tp t="s">
        <v>JUL 17</v>
        <stp/>
        <stp>##V3_BDPV12</stp>
        <stp>W N7 comdty</stp>
        <stp>FUT_MONTH_YR</stp>
        <stp>[XMRD US Rates Dashboard.xlsm]Rates!R123C22</stp>
        <tr r="V123" s="1"/>
      </tp>
      <tp t="s">
        <v>MAY 17</v>
        <stp/>
        <stp>##V3_BDPV12</stp>
        <stp>W K7 comdty</stp>
        <stp>FUT_MONTH_YR</stp>
        <stp>[XMRD US Rates Dashboard.xlsm]Rates!R122C19</stp>
        <tr r="S122" s="1"/>
      </tp>
      <tp t="s">
        <v>MAR 17</v>
        <stp/>
        <stp>##V3_BDPV12</stp>
        <stp>W H7 comdty</stp>
        <stp>FUT_MONTH_YR</stp>
        <stp>[XMRD US Rates Dashboard.xlsm]Rates!R121C22</stp>
        <tr r="V121" s="1"/>
      </tp>
      <tp t="s">
        <v>MAR 17</v>
        <stp/>
        <stp>##V3_BDPV12</stp>
        <stp>W H7 comdty</stp>
        <stp>FUT_MONTH_YR</stp>
        <stp>[XMRD US Rates Dashboard.xlsm]Rates!R121C19</stp>
        <tr r="S121" s="1"/>
      </tp>
      <tp t="s">
        <v>MAY 17</v>
        <stp/>
        <stp>##V3_BDPV12</stp>
        <stp>W K7 comdty</stp>
        <stp>FUT_MONTH_YR</stp>
        <stp>[XMRD US Rates Dashboard.xlsm]Rates!R122C22</stp>
        <tr r="V122" s="1"/>
      </tp>
      <tp>
        <v>-162.41999999999999</v>
        <stp/>
        <stp>##V3_BDPV12</stp>
        <stp>CHF9M Curncy</stp>
        <stp>BID</stp>
        <stp>[XMRD US Rates Dashboard.xlsm]Rates!R95C19</stp>
        <tr r="S95" s="1"/>
      </tp>
      <tp>
        <v>-106.63</v>
        <stp/>
        <stp>##V3_BDPV12</stp>
        <stp>CHF6M Curncy</stp>
        <stp>BID</stp>
        <stp>[XMRD US Rates Dashboard.xlsm]Rates!R94C19</stp>
        <tr r="S94" s="1"/>
      </tp>
      <tp>
        <v>-15.31</v>
        <stp/>
        <stp>##V3_BDPV12</stp>
        <stp>CHF1M Curncy</stp>
        <stp>BID</stp>
        <stp>[XMRD US Rates Dashboard.xlsm]Rates!R91C19</stp>
        <tr r="S91" s="1"/>
      </tp>
      <tp>
        <v>-29.96</v>
        <stp/>
        <stp>##V3_BDPV12</stp>
        <stp>CHF2M Curncy</stp>
        <stp>BID</stp>
        <stp>[XMRD US Rates Dashboard.xlsm]Rates!R92C19</stp>
        <tr r="S92" s="1"/>
      </tp>
      <tp>
        <v>-52.06</v>
        <stp/>
        <stp>##V3_BDPV12</stp>
        <stp>CHF3M Curncy</stp>
        <stp>BID</stp>
        <stp>[XMRD US Rates Dashboard.xlsm]Rates!R93C19</stp>
        <tr r="S93" s="1"/>
      </tp>
      <tp>
        <v>-1.58</v>
        <stp/>
        <stp>##V3_BDPV12</stp>
        <stp>CAD1M Curncy</stp>
        <stp>ask</stp>
        <stp>[XMRD US Rates Dashboard.xlsm]Rates!R91C14</stp>
        <tr r="N91" s="1"/>
      </tp>
      <tp>
        <v>-3.62</v>
        <stp/>
        <stp>##V3_BDPV12</stp>
        <stp>CAD2M Curncy</stp>
        <stp>ask</stp>
        <stp>[XMRD US Rates Dashboard.xlsm]Rates!R92C14</stp>
        <tr r="N92" s="1"/>
      </tp>
      <tp>
        <v>-6.85</v>
        <stp/>
        <stp>##V3_BDPV12</stp>
        <stp>CAD3M Curncy</stp>
        <stp>ask</stp>
        <stp>[XMRD US Rates Dashboard.xlsm]Rates!R93C14</stp>
        <tr r="N93" s="1"/>
      </tp>
      <tp>
        <v>-15.41</v>
        <stp/>
        <stp>##V3_BDPV12</stp>
        <stp>CAD6M Curncy</stp>
        <stp>ask</stp>
        <stp>[XMRD US Rates Dashboard.xlsm]Rates!R94C14</stp>
        <tr r="N94" s="1"/>
      </tp>
      <tp>
        <v>-25.59</v>
        <stp/>
        <stp>##V3_BDPV12</stp>
        <stp>CAD9M Curncy</stp>
        <stp>ask</stp>
        <stp>[XMRD US Rates Dashboard.xlsm]Rates!R95C14</stp>
        <tr r="N95" s="1"/>
      </tp>
      <tp>
        <v>-14.91</v>
        <stp/>
        <stp>##V3_BDPV12</stp>
        <stp>CHF1M Curncy</stp>
        <stp>ask</stp>
        <stp>[XMRD US Rates Dashboard.xlsm]Rates!R91C20</stp>
        <tr r="T91" s="1"/>
      </tp>
      <tp>
        <v>-29.44</v>
        <stp/>
        <stp>##V3_BDPV12</stp>
        <stp>CHF2M Curncy</stp>
        <stp>ask</stp>
        <stp>[XMRD US Rates Dashboard.xlsm]Rates!R92C20</stp>
        <tr r="T92" s="1"/>
      </tp>
      <tp>
        <v>-51.46</v>
        <stp/>
        <stp>##V3_BDPV12</stp>
        <stp>CHF3M Curncy</stp>
        <stp>ask</stp>
        <stp>[XMRD US Rates Dashboard.xlsm]Rates!R93C20</stp>
        <tr r="T93" s="1"/>
      </tp>
      <tp>
        <v>-104.67</v>
        <stp/>
        <stp>##V3_BDPV12</stp>
        <stp>CHF6M Curncy</stp>
        <stp>ask</stp>
        <stp>[XMRD US Rates Dashboard.xlsm]Rates!R94C20</stp>
        <tr r="T94" s="1"/>
      </tp>
      <tp>
        <v>-158.94</v>
        <stp/>
        <stp>##V3_BDPV12</stp>
        <stp>CHF9M Curncy</stp>
        <stp>ask</stp>
        <stp>[XMRD US Rates Dashboard.xlsm]Rates!R95C20</stp>
        <tr r="T95" s="1"/>
      </tp>
      <tp>
        <v>559.35</v>
        <stp/>
        <stp>##V3_BDPV12</stp>
        <stp>IBOV index</stp>
        <stp>RT_PX_CHG_NET_1D</stp>
        <stp>[XMRD US Rates Dashboard.xlsm]Rates!R22C27</stp>
        <tr r="AA22" s="1"/>
      </tp>
      <tp>
        <v>0.91533200000000003</v>
        <stp/>
        <stp>##V3_BDPV12</stp>
        <stp>IBOV index</stp>
        <stp>RT_PX_CHG_PCT_1D</stp>
        <stp>[XMRD US Rates Dashboard.xlsm]Rates!R22C28</stp>
        <tr r="AB22" s="1"/>
      </tp>
      <tp>
        <v>-0.36699999999999999</v>
        <stp/>
        <stp>##V3_BDPV12</stp>
        <stp>AUDON Curncy</stp>
        <stp>BID</stp>
        <stp>[XMRD US Rates Dashboard.xlsm]Rates!R88C22</stp>
        <tr r="V88" s="1"/>
      </tp>
      <tp>
        <v>-0.25</v>
        <stp/>
        <stp>##V3_BDPV12</stp>
        <stp>AUDTN Curncy</stp>
        <stp>BID</stp>
        <stp>[XMRD US Rates Dashboard.xlsm]Rates!R89C22</stp>
        <tr r="V89" s="1"/>
      </tp>
      <tp>
        <v>-62.5</v>
        <stp/>
        <stp>##V3_BDPV12</stp>
        <stp>AUD12M Curncy</stp>
        <stp>last price</stp>
        <stp>[XMRD US Rates Dashboard.xlsm]Rates!R96C24</stp>
        <tr r="X96" s="1"/>
      </tp>
      <tp>
        <v>-3.3000000000000002E-2</v>
        <stp/>
        <stp>##V3_BDPV12</stp>
        <stp>AUDON Curncy</stp>
        <stp>ask</stp>
        <stp>[XMRD US Rates Dashboard.xlsm]Rates!R88C23</stp>
        <tr r="W88" s="1"/>
      </tp>
      <tp>
        <v>-0.2</v>
        <stp/>
        <stp>##V3_BDPV12</stp>
        <stp>AUDTN Curncy</stp>
        <stp>ask</stp>
        <stp>[XMRD US Rates Dashboard.xlsm]Rates!R89C23</stp>
        <tr r="W89" s="1"/>
      </tp>
      <tp>
        <v>-181.53</v>
        <stp/>
        <stp>##V3_BDPV12</stp>
        <stp>JPY12M Curncy</stp>
        <stp>BID</stp>
        <stp>[XMRD US Rates Dashboard.xlsm]Rates!R96C16</stp>
        <tr r="P96" s="1"/>
      </tp>
      <tp>
        <v>-180.23</v>
        <stp/>
        <stp>##V3_BDPV12</stp>
        <stp>JPY12M Curncy</stp>
        <stp>ask</stp>
        <stp>[XMRD US Rates Dashboard.xlsm]Rates!R96C17</stp>
        <tr r="Q96" s="1"/>
      </tp>
      <tp>
        <v>-48.48</v>
        <stp/>
        <stp>##V3_BDPV12</stp>
        <stp>AUD9M Curncy</stp>
        <stp>BID</stp>
        <stp>[XMRD US Rates Dashboard.xlsm]Rates!R95C22</stp>
        <tr r="V95" s="1"/>
      </tp>
      <tp>
        <v>-32.93</v>
        <stp/>
        <stp>##V3_BDPV12</stp>
        <stp>AUD6M Curncy</stp>
        <stp>BID</stp>
        <stp>[XMRD US Rates Dashboard.xlsm]Rates!R94C22</stp>
        <tr r="V94" s="1"/>
      </tp>
      <tp>
        <v>-6.31</v>
        <stp/>
        <stp>##V3_BDPV12</stp>
        <stp>AUD1M Curncy</stp>
        <stp>BID</stp>
        <stp>[XMRD US Rates Dashboard.xlsm]Rates!R91C22</stp>
        <tr r="V91" s="1"/>
      </tp>
      <tp>
        <v>-11.9</v>
        <stp/>
        <stp>##V3_BDPV12</stp>
        <stp>AUD2M Curncy</stp>
        <stp>BID</stp>
        <stp>[XMRD US Rates Dashboard.xlsm]Rates!R92C22</stp>
        <tr r="V92" s="1"/>
      </tp>
      <tp>
        <v>-17.309999999999999</v>
        <stp/>
        <stp>##V3_BDPV12</stp>
        <stp>AUD3M Curncy</stp>
        <stp>BID</stp>
        <stp>[XMRD US Rates Dashboard.xlsm]Rates!R93C22</stp>
        <tr r="V93" s="1"/>
      </tp>
      <tp>
        <v>-6.16</v>
        <stp/>
        <stp>##V3_BDPV12</stp>
        <stp>AUD1M Curncy</stp>
        <stp>ask</stp>
        <stp>[XMRD US Rates Dashboard.xlsm]Rates!R91C23</stp>
        <tr r="W91" s="1"/>
      </tp>
      <tp>
        <v>-11.7</v>
        <stp/>
        <stp>##V3_BDPV12</stp>
        <stp>AUD2M Curncy</stp>
        <stp>ask</stp>
        <stp>[XMRD US Rates Dashboard.xlsm]Rates!R92C23</stp>
        <tr r="W92" s="1"/>
      </tp>
      <tp>
        <v>-17.04</v>
        <stp/>
        <stp>##V3_BDPV12</stp>
        <stp>AUD3M Curncy</stp>
        <stp>ask</stp>
        <stp>[XMRD US Rates Dashboard.xlsm]Rates!R93C23</stp>
        <tr r="W93" s="1"/>
      </tp>
      <tp>
        <v>-32.07</v>
        <stp/>
        <stp>##V3_BDPV12</stp>
        <stp>AUD6M Curncy</stp>
        <stp>ask</stp>
        <stp>[XMRD US Rates Dashboard.xlsm]Rates!R94C23</stp>
        <tr r="W94" s="1"/>
      </tp>
      <tp>
        <v>-47.12</v>
        <stp/>
        <stp>##V3_BDPV12</stp>
        <stp>AUD9M Curncy</stp>
        <stp>ask</stp>
        <stp>[XMRD US Rates Dashboard.xlsm]Rates!R95C23</stp>
        <tr r="W95" s="1"/>
      </tp>
      <tp>
        <v>-3.5</v>
        <stp/>
        <stp>##V3_BDPV12</stp>
        <stp>CBRZ1U5 CURNCY</stp>
        <stp>RT_PX_CHG_NET_1D</stp>
        <stp>[XMRD US Rates Dashboard.xlsm]Rates!R17C35</stp>
        <tr r="AI17" s="1"/>
      </tp>
      <tp>
        <v>-0.104</v>
        <stp/>
        <stp>##V3_BDPV12</stp>
        <stp>CADON Curncy</stp>
        <stp>BID</stp>
        <stp>[XMRD US Rates Dashboard.xlsm]Rates!R88C13</stp>
        <tr r="M88" s="1"/>
      </tp>
      <tp>
        <v>-9.4E-2</v>
        <stp/>
        <stp>##V3_BDPV12</stp>
        <stp>CADTN Curncy</stp>
        <stp>BID</stp>
        <stp>[XMRD US Rates Dashboard.xlsm]Rates!R89C13</stp>
        <tr r="M89" s="1"/>
      </tp>
      <tp>
        <v>-0.46100000000000002</v>
        <stp/>
        <stp>##V3_BDPV12</stp>
        <stp>CHFON Curncy</stp>
        <stp>BID</stp>
        <stp>[XMRD US Rates Dashboard.xlsm]Rates!R88C19</stp>
        <tr r="S88" s="1"/>
      </tp>
      <tp>
        <v>-0.48</v>
        <stp/>
        <stp>##V3_BDPV12</stp>
        <stp>CHFTN Curncy</stp>
        <stp>BID</stp>
        <stp>[XMRD US Rates Dashboard.xlsm]Rates!R89C19</stp>
        <tr r="S89" s="1"/>
      </tp>
      <tp>
        <v>-2.5999999999999999E-2</v>
        <stp/>
        <stp>##V3_BDPV12</stp>
        <stp>CADON Curncy</stp>
        <stp>ask</stp>
        <stp>[XMRD US Rates Dashboard.xlsm]Rates!R88C14</stp>
        <tr r="N88" s="1"/>
      </tp>
      <tp>
        <v>-3.5999999999999997E-2</v>
        <stp/>
        <stp>##V3_BDPV12</stp>
        <stp>CADTN Curncy</stp>
        <stp>ask</stp>
        <stp>[XMRD US Rates Dashboard.xlsm]Rates!R89C14</stp>
        <tr r="N89" s="1"/>
      </tp>
      <tp>
        <v>-38.25</v>
        <stp/>
        <stp>##V3_BDPV12</stp>
        <stp>CAD12M Curncy</stp>
        <stp>last price</stp>
        <stp>[XMRD US Rates Dashboard.xlsm]Rates!R96C15</stp>
        <tr r="O96" s="1"/>
      </tp>
      <tp>
        <v>-0.36899999999999999</v>
        <stp/>
        <stp>##V3_BDPV12</stp>
        <stp>CHFON Curncy</stp>
        <stp>ask</stp>
        <stp>[XMRD US Rates Dashboard.xlsm]Rates!R88C20</stp>
        <tr r="T88" s="1"/>
      </tp>
      <tp>
        <v>-0.42</v>
        <stp/>
        <stp>##V3_BDPV12</stp>
        <stp>CHFTN Curncy</stp>
        <stp>ask</stp>
        <stp>[XMRD US Rates Dashboard.xlsm]Rates!R89C20</stp>
        <tr r="T89" s="1"/>
      </tp>
      <tp>
        <v>-217</v>
        <stp/>
        <stp>##V3_BDPV12</stp>
        <stp>CHF12M Curncy</stp>
        <stp>last price</stp>
        <stp>[XMRD US Rates Dashboard.xlsm]Rates!R96C21</stp>
        <tr r="U96" s="1"/>
      </tp>
      <tp>
        <v>88.55</v>
        <stp/>
        <stp>##V3_BDPV12</stp>
        <stp>INDU index</stp>
        <stp>RT_PX_CHG_NET_1D</stp>
        <stp>[XMRD US Rates Dashboard.xlsm]Rates!R23C23</stp>
        <tr r="W23" s="1"/>
      </tp>
      <tp>
        <v>0.485458</v>
        <stp/>
        <stp>##V3_BDPV12</stp>
        <stp>INDU index</stp>
        <stp>RT_PX_CHG_PCT_1D</stp>
        <stp>[XMRD US Rates Dashboard.xlsm]Rates!R23C24</stp>
        <tr r="X23" s="1"/>
      </tp>
      <tp t="s">
        <v>#N/A N/A</v>
        <stp/>
        <stp>##V3_BDPV12</stp>
        <stp>USSA0X1I   curncy</stp>
        <stp>last price</stp>
        <stp>[XMRD US Rates Dashboard.xlsm]Rates!R139C16</stp>
        <tr r="P139" s="1"/>
      </tp>
      <tp t="s">
        <v>#N/A N/A</v>
        <stp/>
        <stp>##V3_BDPV12</stp>
        <stp>USCS0210  curncy</stp>
        <stp>ask</stp>
        <stp>[XMRD US Rates Dashboard.xlsm]Rates!R164C10</stp>
        <tr r="J164" s="1"/>
      </tp>
      <tp t="s">
        <v>#N/A N/A</v>
        <stp/>
        <stp>##V3_BDPV12</stp>
        <stp>USSA0X10   curncy</stp>
        <stp>last price</stp>
        <stp>[XMRD US Rates Dashboard.xlsm]Rates!R146C24</stp>
        <tr r="X146" s="1"/>
      </tp>
      <tp t="s">
        <v>#N/A N/A</v>
        <stp/>
        <stp>##V3_BDPV12</stp>
        <stp>USSA0X1C   curncy</stp>
        <stp>last price</stp>
        <stp>[XMRD US Rates Dashboard.xlsm]Rates!R129C22</stp>
        <tr r="V129" s="1"/>
      </tp>
      <tp t="s">
        <v>#N/A N/A</v>
        <stp/>
        <stp>##V3_BDPV12</stp>
        <stp>USSA0X1F   curncy</stp>
        <stp>last price</stp>
        <stp>[XMRD US Rates Dashboard.xlsm]Rates!R129C24</stp>
        <tr r="X129" s="1"/>
      </tp>
      <tp t="s">
        <v>#N/A N/A</v>
        <stp/>
        <stp>##V3_BDPV12</stp>
        <stp>USCS0110  curncy</stp>
        <stp>bid</stp>
        <stp>[XMRD US Rates Dashboard.xlsm]Rates!R164C7</stp>
        <tr r="G164" s="1"/>
      </tp>
      <tp t="s">
        <v>#N/A N/A</v>
        <stp/>
        <stp>##V3_BDPV12</stp>
        <stp>USCS0110  curncy</stp>
        <stp>ask</stp>
        <stp>[XMRD US Rates Dashboard.xlsm]Rates!R164C8</stp>
        <tr r="H164" s="1"/>
      </tp>
      <tp t="s">
        <v>#N/A N/A</v>
        <stp/>
        <stp>##V3_BDPV12</stp>
        <stp>USCS0210  curncy</stp>
        <stp>bid</stp>
        <stp>[XMRD US Rates Dashboard.xlsm]Rates!R164C9</stp>
        <tr r="I164" s="1"/>
      </tp>
      <tp t="s">
        <v>#N/A N/A</v>
        <stp/>
        <stp>##V3_BDPV12</stp>
        <stp>USSA0XI1   curncy</stp>
        <stp>last price</stp>
        <stp>[XMRD US Rates Dashboard.xlsm]Rates!R129C18</stp>
        <tr r="R129" s="1"/>
      </tp>
      <tp t="s">
        <v>#N/A N/A</v>
        <stp/>
        <stp>##V3_BDPV12</stp>
        <stp>USSAJXM21  curncy</stp>
        <stp>last price</stp>
        <stp>[XMRD US Rates Dashboard.xlsm]Rates!R135C18</stp>
        <tr r="R135" s="1"/>
      </tp>
      <tp>
        <v>2163.66</v>
        <stp/>
        <stp>##V3_BDPV12</stp>
        <stp>SPX index</stp>
        <stp>last price</stp>
        <stp>[XMRD US Rates Dashboard.xlsm]Rates!R22C22</stp>
        <tr r="V22" s="1"/>
      </tp>
      <tp t="s">
        <v>#N/A N/A</v>
        <stp/>
        <stp>##V3_BDPV12</stp>
        <stp>USSAMXD1   curncy</stp>
        <stp>last price</stp>
        <stp>[XMRD US Rates Dashboard.xlsm]Rates!R130C18</stp>
        <tr r="R130" s="1"/>
      </tp>
      <tp t="s">
        <v>#N/A N/A</v>
        <stp/>
        <stp>##V3_BDPV12</stp>
        <stp>USCS0310  curncy</stp>
        <stp>ask</stp>
        <stp>[XMRD US Rates Dashboard.xlsm]Rates!R164C12</stp>
        <tr r="L164" s="1"/>
      </tp>
      <tp t="s">
        <v>#N/A N/A</v>
        <stp/>
        <stp>##V3_BDPV12</stp>
        <stp>USCS1010  curncy</stp>
        <stp>bid</stp>
        <stp>[XMRD US Rates Dashboard.xlsm]Rates!R164C25</stp>
        <tr r="Y164" s="1"/>
      </tp>
      <tp t="s">
        <v>#N/A N/A</v>
        <stp/>
        <stp>##V3_BDPV12</stp>
        <stp>USSAMD1I  curncy</stp>
        <stp>last price</stp>
        <stp>[XMRD US Rates Dashboard.xlsm]Rates!R142C16</stp>
        <tr r="P142" s="1"/>
      </tp>
      <tp t="s">
        <v>#N/A N/A</v>
        <stp/>
        <stp>##V3_BDPV12</stp>
        <stp>USSAMJ1C  curncy</stp>
        <stp>last price</stp>
        <stp>[XMRD US Rates Dashboard.xlsm]Rates!R130C22</stp>
        <tr r="V130" s="1"/>
      </tp>
      <tp t="s">
        <v>#N/A N/A</v>
        <stp/>
        <stp>##V3_BDPV12</stp>
        <stp>USSAMR8   curncy</stp>
        <stp>last price</stp>
        <stp>[XMRD US Rates Dashboard.xlsm]Rates!R149C20</stp>
        <tr r="T149" s="1"/>
      </tp>
      <tp t="s">
        <v>#N/A N/A</v>
        <stp/>
        <stp>##V3_BDPV12</stp>
        <stp>USSAMR9   curncy</stp>
        <stp>last price</stp>
        <stp>[XMRD US Rates Dashboard.xlsm]Rates!R149C22</stp>
        <tr r="V149" s="1"/>
      </tp>
      <tp t="s">
        <v>#N/A N/A</v>
        <stp/>
        <stp>##V3_BDPV12</stp>
        <stp>USSAMR4   curncy</stp>
        <stp>last price</stp>
        <stp>[XMRD US Rates Dashboard.xlsm]Rates!R142C22</stp>
        <tr r="V142" s="1"/>
      </tp>
      <tp t="s">
        <v>#N/A N/A</v>
        <stp/>
        <stp>##V3_BDPV12</stp>
        <stp>USSAMR5   curncy</stp>
        <stp>last price</stp>
        <stp>[XMRD US Rates Dashboard.xlsm]Rates!R142C24</stp>
        <tr r="X142" s="1"/>
      </tp>
      <tp t="s">
        <v>#N/A N/A</v>
        <stp/>
        <stp>##V3_BDPV12</stp>
        <stp>USSAMR3   curncy</stp>
        <stp>last price</stp>
        <stp>[XMRD US Rates Dashboard.xlsm]Rates!R142C20</stp>
        <tr r="T142" s="1"/>
      </tp>
      <tp t="s">
        <v>#N/A N/A</v>
        <stp/>
        <stp>##V3_BDPV12</stp>
        <stp>USSAMS1F  curncy</stp>
        <stp>last price</stp>
        <stp>[XMRD US Rates Dashboard.xlsm]Rates!R130C24</stp>
        <tr r="X130" s="1"/>
      </tp>
      <tp t="s">
        <v>#N/A N/A</v>
        <stp/>
        <stp>##V3_BDPV12</stp>
        <stp>USSAMR7   curncy</stp>
        <stp>last price</stp>
        <stp>[XMRD US Rates Dashboard.xlsm]Rates!R149C18</stp>
        <tr r="R149" s="1"/>
      </tp>
      <tp t="s">
        <v>#N/A N/A</v>
        <stp/>
        <stp>##V3_BDPV12</stp>
        <stp>USSAMR6   curncy</stp>
        <stp>last price</stp>
        <stp>[XMRD US Rates Dashboard.xlsm]Rates!R149C16</stp>
        <tr r="P149" s="1"/>
      </tp>
      <tp t="s">
        <v>#N/A N/A</v>
        <stp/>
        <stp>##V3_BDPV12</stp>
        <stp>USSAMXD2  curncy</stp>
        <stp>last price</stp>
        <stp>[XMRD US Rates Dashboard.xlsm]Rates!R134C18</stp>
        <tr r="R134" s="1"/>
      </tp>
      <tp t="s">
        <v>#N/A N/A</v>
        <stp/>
        <stp>##V3_BDPV12</stp>
        <stp>USSAMXS1  curncy</stp>
        <stp>last price</stp>
        <stp>[XMRD US Rates Dashboard.xlsm]Rates!R130C16</stp>
        <tr r="P130" s="1"/>
      </tp>
      <tp t="s">
        <v>#N/A N/A</v>
        <stp/>
        <stp>##V3_BDPV12</stp>
        <stp>USSAMXS2  curncy</stp>
        <stp>last price</stp>
        <stp>[XMRD US Rates Dashboard.xlsm]Rates!R134C16</stp>
        <tr r="P134" s="1"/>
      </tp>
      <tp t="s">
        <v>AUG 17</v>
        <stp/>
        <stp>##V3_BDPV12</stp>
        <stp>EMQ7 comdty</stp>
        <stp>FUT_MONTH_YR</stp>
        <stp>[XMRD US Rates Dashboard.xlsm]Rates!R82C17</stp>
        <tr r="Q82" s="1"/>
      </tp>
      <tp t="s">
        <v>SEP 17</v>
        <stp/>
        <stp>##V3_BDPV12</stp>
        <stp>EMU7 comdty</stp>
        <stp>FUT_MONTH_YR</stp>
        <stp>[XMRD US Rates Dashboard.xlsm]Rates!R83C17</stp>
        <tr r="Q83" s="1"/>
      </tp>
      <tp t="s">
        <v>DEC 16</v>
        <stp/>
        <stp>##V3_BDPV12</stp>
        <stp>EMZ6 comdty</stp>
        <stp>FUT_MONTH_YR</stp>
        <stp>[XMRD US Rates Dashboard.xlsm]Rates!R74C17</stp>
        <tr r="Q74" s="1"/>
      </tp>
      <tp t="s">
        <v>NOV 16</v>
        <stp/>
        <stp>##V3_BDPV12</stp>
        <stp>EMX6 comdty</stp>
        <stp>FUT_MONTH_YR</stp>
        <stp>[XMRD US Rates Dashboard.xlsm]Rates!R73C17</stp>
        <tr r="Q73" s="1"/>
      </tp>
      <tp t="s">
        <v>OCT 16</v>
        <stp/>
        <stp>##V3_BDPV12</stp>
        <stp>EMV6 comdty</stp>
        <stp>FUT_MONTH_YR</stp>
        <stp>[XMRD US Rates Dashboard.xlsm]Rates!R72C17</stp>
        <tr r="Q72" s="1"/>
      </tp>
      <tp t="s">
        <v>APR 17</v>
        <stp/>
        <stp>##V3_BDPV12</stp>
        <stp>EMJ7 comdty</stp>
        <stp>FUT_MONTH_YR</stp>
        <stp>[XMRD US Rates Dashboard.xlsm]Rates!R78C17</stp>
        <tr r="Q78" s="1"/>
      </tp>
      <tp t="s">
        <v>MAY 17</v>
        <stp/>
        <stp>##V3_BDPV12</stp>
        <stp>EMK7 comdty</stp>
        <stp>FUT_MONTH_YR</stp>
        <stp>[XMRD US Rates Dashboard.xlsm]Rates!R79C17</stp>
        <tr r="Q79" s="1"/>
      </tp>
      <tp t="s">
        <v>MAR 17</v>
        <stp/>
        <stp>##V3_BDPV12</stp>
        <stp>EMH7 comdty</stp>
        <stp>FUT_MONTH_YR</stp>
        <stp>[XMRD US Rates Dashboard.xlsm]Rates!R77C17</stp>
        <tr r="Q77" s="1"/>
      </tp>
      <tp t="s">
        <v>JAN 17</v>
        <stp/>
        <stp>##V3_BDPV12</stp>
        <stp>EMF7 comdty</stp>
        <stp>FUT_MONTH_YR</stp>
        <stp>[XMRD US Rates Dashboard.xlsm]Rates!R75C17</stp>
        <tr r="Q75" s="1"/>
      </tp>
      <tp t="s">
        <v>FEB 17</v>
        <stp/>
        <stp>##V3_BDPV12</stp>
        <stp>EMG7 comdty</stp>
        <stp>FUT_MONTH_YR</stp>
        <stp>[XMRD US Rates Dashboard.xlsm]Rates!R76C17</stp>
        <tr r="Q76" s="1"/>
      </tp>
      <tp t="s">
        <v>JUN 17</v>
        <stp/>
        <stp>##V3_BDPV12</stp>
        <stp>EMM7 comdty</stp>
        <stp>FUT_MONTH_YR</stp>
        <stp>[XMRD US Rates Dashboard.xlsm]Rates!R80C17</stp>
        <tr r="Q80" s="1"/>
      </tp>
      <tp t="s">
        <v>JUL 17</v>
        <stp/>
        <stp>##V3_BDPV12</stp>
        <stp>EMN7 comdty</stp>
        <stp>FUT_MONTH_YR</stp>
        <stp>[XMRD US Rates Dashboard.xlsm]Rates!R81C17</stp>
        <tr r="Q81" s="1"/>
      </tp>
      <tp t="s">
        <v>EMM7</v>
        <stp/>
        <stp>##V3_BDPV12</stp>
        <stp>EM9 comdty</stp>
        <stp>FUT_CUR_GEN_TICKER</stp>
        <stp>[XMRD US Rates Dashboard.xlsm]Rates!R80C16</stp>
        <tr r="P80" s="1"/>
      </tp>
      <tp t="s">
        <v>EMK7</v>
        <stp/>
        <stp>##V3_BDPV12</stp>
        <stp>EM8 comdty</stp>
        <stp>FUT_CUR_GEN_TICKER</stp>
        <stp>[XMRD US Rates Dashboard.xlsm]Rates!R79C16</stp>
        <tr r="P79" s="1"/>
      </tp>
      <tp t="s">
        <v>#N/A N/A</v>
        <stp/>
        <stp>##V3_BDPV12</stp>
        <stp>USSAM1F2  curncy</stp>
        <stp>last price</stp>
        <stp>[XMRD US Rates Dashboard.xlsm]Rates!R134C24</stp>
        <tr r="X134" s="1"/>
      </tp>
      <tp t="s">
        <v>EMZ6</v>
        <stp/>
        <stp>##V3_BDPV12</stp>
        <stp>EM3 comdty</stp>
        <stp>FUT_CUR_GEN_TICKER</stp>
        <stp>[XMRD US Rates Dashboard.xlsm]Rates!R74C16</stp>
        <tr r="P74" s="1"/>
      </tp>
      <tp t="s">
        <v>EMX6</v>
        <stp/>
        <stp>##V3_BDPV12</stp>
        <stp>EM2 comdty</stp>
        <stp>FUT_CUR_GEN_TICKER</stp>
        <stp>[XMRD US Rates Dashboard.xlsm]Rates!R73C16</stp>
        <tr r="P73" s="1"/>
      </tp>
      <tp t="s">
        <v>EMV6</v>
        <stp/>
        <stp>##V3_BDPV12</stp>
        <stp>EM1 comdty</stp>
        <stp>FUT_CUR_GEN_TICKER</stp>
        <stp>[XMRD US Rates Dashboard.xlsm]Rates!R72C16</stp>
        <tr r="P72" s="1"/>
      </tp>
      <tp t="s">
        <v>EMJ7</v>
        <stp/>
        <stp>##V3_BDPV12</stp>
        <stp>EM7 comdty</stp>
        <stp>FUT_CUR_GEN_TICKER</stp>
        <stp>[XMRD US Rates Dashboard.xlsm]Rates!R78C16</stp>
        <tr r="P78" s="1"/>
      </tp>
      <tp t="s">
        <v>EMH7</v>
        <stp/>
        <stp>##V3_BDPV12</stp>
        <stp>EM6 comdty</stp>
        <stp>FUT_CUR_GEN_TICKER</stp>
        <stp>[XMRD US Rates Dashboard.xlsm]Rates!R77C16</stp>
        <tr r="P77" s="1"/>
      </tp>
      <tp t="s">
        <v>EMG7</v>
        <stp/>
        <stp>##V3_BDPV12</stp>
        <stp>EM5 comdty</stp>
        <stp>FUT_CUR_GEN_TICKER</stp>
        <stp>[XMRD US Rates Dashboard.xlsm]Rates!R76C16</stp>
        <tr r="P76" s="1"/>
      </tp>
      <tp t="s">
        <v>SEP 19</v>
        <stp/>
        <stp>##V3_BDPV12</stp>
        <stp>ERU9 comdty</stp>
        <stp>FUT_MONTH_YR</stp>
        <stp>[XMRD US Rates Dashboard.xlsm]Rates!R83C22</stp>
        <tr r="V83" s="1"/>
      </tp>
      <tp t="s">
        <v>DEC 16</v>
        <stp/>
        <stp>##V3_BDPV12</stp>
        <stp>ERZ6 comdty</stp>
        <stp>FUT_MONTH_YR</stp>
        <stp>[XMRD US Rates Dashboard.xlsm]Rates!R72C22</stp>
        <tr r="V72" s="1"/>
      </tp>
      <tp t="s">
        <v>DEC 17</v>
        <stp/>
        <stp>##V3_BDPV12</stp>
        <stp>ERZ7 comdty</stp>
        <stp>FUT_MONTH_YR</stp>
        <stp>[XMRD US Rates Dashboard.xlsm]Rates!R76C22</stp>
        <tr r="V76" s="1"/>
      </tp>
      <tp t="s">
        <v>EMF7</v>
        <stp/>
        <stp>##V3_BDPV12</stp>
        <stp>EM4 comdty</stp>
        <stp>FUT_CUR_GEN_TICKER</stp>
        <stp>[XMRD US Rates Dashboard.xlsm]Rates!R75C16</stp>
        <tr r="P75" s="1"/>
      </tp>
      <tp t="s">
        <v>DEC 18</v>
        <stp/>
        <stp>##V3_BDPV12</stp>
        <stp>ERZ8 comdty</stp>
        <stp>FUT_MONTH_YR</stp>
        <stp>[XMRD US Rates Dashboard.xlsm]Rates!R80C22</stp>
        <tr r="V80" s="1"/>
      </tp>
      <tp t="s">
        <v>SEP 18</v>
        <stp/>
        <stp>##V3_BDPV12</stp>
        <stp>ERU8 comdty</stp>
        <stp>FUT_MONTH_YR</stp>
        <stp>[XMRD US Rates Dashboard.xlsm]Rates!R79C22</stp>
        <tr r="V79" s="1"/>
      </tp>
      <tp t="s">
        <v>SEP 17</v>
        <stp/>
        <stp>##V3_BDPV12</stp>
        <stp>ERU7 comdty</stp>
        <stp>FUT_MONTH_YR</stp>
        <stp>[XMRD US Rates Dashboard.xlsm]Rates!R75C22</stp>
        <tr r="V75" s="1"/>
      </tp>
      <tp t="s">
        <v>MAR 18</v>
        <stp/>
        <stp>##V3_BDPV12</stp>
        <stp>ERH8 comdty</stp>
        <stp>FUT_MONTH_YR</stp>
        <stp>[XMRD US Rates Dashboard.xlsm]Rates!R77C22</stp>
        <tr r="V77" s="1"/>
      </tp>
      <tp t="s">
        <v>MAR 17</v>
        <stp/>
        <stp>##V3_BDPV12</stp>
        <stp>ERH7 comdty</stp>
        <stp>FUT_MONTH_YR</stp>
        <stp>[XMRD US Rates Dashboard.xlsm]Rates!R73C22</stp>
        <tr r="V73" s="1"/>
      </tp>
      <tp t="s">
        <v>JUN 18</v>
        <stp/>
        <stp>##V3_BDPV12</stp>
        <stp>ERM8 comdty</stp>
        <stp>FUT_MONTH_YR</stp>
        <stp>[XMRD US Rates Dashboard.xlsm]Rates!R78C22</stp>
        <tr r="V78" s="1"/>
      </tp>
      <tp t="s">
        <v>JUN 17</v>
        <stp/>
        <stp>##V3_BDPV12</stp>
        <stp>ERM7 comdty</stp>
        <stp>FUT_MONTH_YR</stp>
        <stp>[XMRD US Rates Dashboard.xlsm]Rates!R74C22</stp>
        <tr r="V74" s="1"/>
      </tp>
      <tp t="s">
        <v>JUN 19</v>
        <stp/>
        <stp>##V3_BDPV12</stp>
        <stp>ERM9 comdty</stp>
        <stp>FUT_MONTH_YR</stp>
        <stp>[XMRD US Rates Dashboard.xlsm]Rates!R82C22</stp>
        <tr r="V82" s="1"/>
      </tp>
      <tp t="s">
        <v>MAR 19</v>
        <stp/>
        <stp>##V3_BDPV12</stp>
        <stp>ERH9 comdty</stp>
        <stp>FUT_MONTH_YR</stp>
        <stp>[XMRD US Rates Dashboard.xlsm]Rates!R81C22</stp>
        <tr r="V81" s="1"/>
      </tp>
      <tp>
        <v>690.51</v>
        <stp/>
        <stp>##V3_BDPV12</stp>
        <stp>USSP0C30  curncy</stp>
        <stp>PX LAST</stp>
        <stp>[XMRD US Rates Dashboard.xlsm]Rates!R103C15</stp>
        <tr r="O103" s="1"/>
      </tp>
      <tp>
        <v>46.35</v>
        <stp/>
        <stp>##V3_BDPV12</stp>
        <stp>USSV0C10  curncy</stp>
        <stp>PX LAST</stp>
        <stp>[XMRD US Rates Dashboard.xlsm]Rates!R103C20</stp>
        <tr r="T103" s="1"/>
      </tp>
      <tp>
        <v>41.49</v>
        <stp/>
        <stp>##V3_BDPV12</stp>
        <stp>USSV0C15  curncy</stp>
        <stp>PX LAST</stp>
        <stp>[XMRD US Rates Dashboard.xlsm]Rates!R103C21</stp>
        <tr r="U103" s="1"/>
      </tp>
      <tp>
        <v>511.8</v>
        <stp/>
        <stp>##V3_BDPV12</stp>
        <stp>USSP0C20  curncy</stp>
        <stp>PX LAST</stp>
        <stp>[XMRD US Rates Dashboard.xlsm]Rates!R103C13</stp>
        <tr r="M103" s="1"/>
      </tp>
      <tp>
        <v>606.66999999999996</v>
        <stp/>
        <stp>##V3_BDPV12</stp>
        <stp>USSP0C25  curncy</stp>
        <stp>PX LAST</stp>
        <stp>[XMRD US Rates Dashboard.xlsm]Rates!R103C14</stp>
        <tr r="N103" s="1"/>
      </tp>
      <tp>
        <v>404.76</v>
        <stp/>
        <stp>##V3_BDPV12</stp>
        <stp>USSP0C15  curncy</stp>
        <stp>PX LAST</stp>
        <stp>[XMRD US Rates Dashboard.xlsm]Rates!R103C12</stp>
        <tr r="L103" s="1"/>
      </tp>
      <tp>
        <v>39.04</v>
        <stp/>
        <stp>##V3_BDPV12</stp>
        <stp>USSV0C20  curncy</stp>
        <stp>PX LAST</stp>
        <stp>[XMRD US Rates Dashboard.xlsm]Rates!R103C22</stp>
        <tr r="V103" s="1"/>
      </tp>
      <tp>
        <v>37.74</v>
        <stp/>
        <stp>##V3_BDPV12</stp>
        <stp>USSV0C25  curncy</stp>
        <stp>PX LAST</stp>
        <stp>[XMRD US Rates Dashboard.xlsm]Rates!R103C23</stp>
        <tr r="W103" s="1"/>
      </tp>
      <tp>
        <v>283.68</v>
        <stp/>
        <stp>##V3_BDPV12</stp>
        <stp>USSP0C10  curncy</stp>
        <stp>PX LAST</stp>
        <stp>[XMRD US Rates Dashboard.xlsm]Rates!R103C11</stp>
        <tr r="K103" s="1"/>
      </tp>
      <tp>
        <v>36.880000000000003</v>
        <stp/>
        <stp>##V3_BDPV12</stp>
        <stp>USSV0C30  curncy</stp>
        <stp>PX LAST</stp>
        <stp>[XMRD US Rates Dashboard.xlsm]Rates!R103C24</stp>
        <tr r="X103" s="1"/>
      </tp>
      <tp t="s">
        <v>#N/A N/A</v>
        <stp/>
        <stp>##V3_BDPV12</stp>
        <stp>USCS1010  curncy</stp>
        <stp>ask</stp>
        <stp>[XMRD US Rates Dashboard.xlsm]Rates!R164C26</stp>
        <tr r="Z164" s="1"/>
      </tp>
      <tp t="s">
        <v>#N/A N/A</v>
        <stp/>
        <stp>##V3_BDPV12</stp>
        <stp>USCS0310  curncy</stp>
        <stp>bid</stp>
        <stp>[XMRD US Rates Dashboard.xlsm]Rates!R164C11</stp>
        <tr r="K164" s="1"/>
      </tp>
      <tp>
        <v>5328.6760000000004</v>
        <stp/>
        <stp>##V3_BDPV12</stp>
        <stp>CCMP index</stp>
        <stp>last price</stp>
        <stp>[XMRD US Rates Dashboard.xlsm]Rates!R24C22</stp>
        <tr r="V24" s="1"/>
      </tp>
      <tp t="s">
        <v>SEP 17</v>
        <stp/>
        <stp>##V3_BDPV12</stp>
        <stp>FFU7 comdty</stp>
        <stp>FUT_MONTH_YR</stp>
        <stp>[XMRD US Rates Dashboard.xlsm]Rates!R83C12</stp>
        <tr r="L83" s="1"/>
      </tp>
      <tp t="s">
        <v>DEC 16</v>
        <stp/>
        <stp>##V3_BDPV12</stp>
        <stp>FFZ6 comdty</stp>
        <stp>FUT_MONTH_YR</stp>
        <stp>[XMRD US Rates Dashboard.xlsm]Rates!R74C12</stp>
        <tr r="L74" s="1"/>
      </tp>
      <tp t="s">
        <v>NOV 16</v>
        <stp/>
        <stp>##V3_BDPV12</stp>
        <stp>FFX6 comdty</stp>
        <stp>FUT_MONTH_YR</stp>
        <stp>[XMRD US Rates Dashboard.xlsm]Rates!R73C12</stp>
        <tr r="L73" s="1"/>
      </tp>
      <tp t="s">
        <v>AUG 17</v>
        <stp/>
        <stp>##V3_BDPV12</stp>
        <stp>FFQ7 comdty</stp>
        <stp>FUT_MONTH_YR</stp>
        <stp>[XMRD US Rates Dashboard.xlsm]Rates!R82C12</stp>
        <tr r="L82" s="1"/>
      </tp>
      <tp t="s">
        <v>OCT 16</v>
        <stp/>
        <stp>##V3_BDPV12</stp>
        <stp>FFV6 comdty</stp>
        <stp>FUT_MONTH_YR</stp>
        <stp>[XMRD US Rates Dashboard.xlsm]Rates!R72C12</stp>
        <tr r="L72" s="1"/>
      </tp>
      <tp t="s">
        <v>MAY 17</v>
        <stp/>
        <stp>##V3_BDPV12</stp>
        <stp>FFK7 comdty</stp>
        <stp>FUT_MONTH_YR</stp>
        <stp>[XMRD US Rates Dashboard.xlsm]Rates!R79C12</stp>
        <tr r="L79" s="1"/>
      </tp>
      <tp t="s">
        <v>APR 17</v>
        <stp/>
        <stp>##V3_BDPV12</stp>
        <stp>FFJ7 comdty</stp>
        <stp>FUT_MONTH_YR</stp>
        <stp>[XMRD US Rates Dashboard.xlsm]Rates!R78C12</stp>
        <tr r="L78" s="1"/>
      </tp>
      <tp t="s">
        <v>MAR 17</v>
        <stp/>
        <stp>##V3_BDPV12</stp>
        <stp>FFH7 comdty</stp>
        <stp>FUT_MONTH_YR</stp>
        <stp>[XMRD US Rates Dashboard.xlsm]Rates!R77C12</stp>
        <tr r="L77" s="1"/>
      </tp>
      <tp t="s">
        <v>JUN 17</v>
        <stp/>
        <stp>##V3_BDPV12</stp>
        <stp>FFM7 comdty</stp>
        <stp>FUT_MONTH_YR</stp>
        <stp>[XMRD US Rates Dashboard.xlsm]Rates!R80C12</stp>
        <tr r="L80" s="1"/>
      </tp>
      <tp t="s">
        <v>JUL 17</v>
        <stp/>
        <stp>##V3_BDPV12</stp>
        <stp>FFN7 comdty</stp>
        <stp>FUT_MONTH_YR</stp>
        <stp>[XMRD US Rates Dashboard.xlsm]Rates!R81C12</stp>
        <tr r="L81" s="1"/>
      </tp>
      <tp t="s">
        <v>FEB 17</v>
        <stp/>
        <stp>##V3_BDPV12</stp>
        <stp>FFG7 comdty</stp>
        <stp>FUT_MONTH_YR</stp>
        <stp>[XMRD US Rates Dashboard.xlsm]Rates!R76C12</stp>
        <tr r="L76" s="1"/>
      </tp>
      <tp t="s">
        <v>JAN 17</v>
        <stp/>
        <stp>##V3_BDPV12</stp>
        <stp>FFF7 comdty</stp>
        <stp>FUT_MONTH_YR</stp>
        <stp>[XMRD US Rates Dashboard.xlsm]Rates!R75C12</stp>
        <tr r="L75" s="1"/>
      </tp>
      <tp>
        <v>1.341</v>
        <stp/>
        <stp>##V3_BDPV12</stp>
        <stp>USFR0F1  curncy</stp>
        <stp>last price</stp>
        <stp>[XMRD US Rates Dashboard.xlsm]Rates!R136C9</stp>
        <tr r="I136" s="1"/>
      </tp>
      <tp>
        <v>61668.33</v>
        <stp/>
        <stp>##V3_BDPV12</stp>
        <stp>IBOV index</stp>
        <stp>last price</stp>
        <stp>[XMRD US Rates Dashboard.xlsm]Rates!R22C26</stp>
        <tr r="Z22" s="1"/>
      </tp>
      <tp>
        <v>390.21</v>
        <stp/>
        <stp>##V3_BDPV12</stp>
        <stp>USSP0A30  curncy</stp>
        <stp>PX LAST</stp>
        <stp>[XMRD US Rates Dashboard.xlsm]Rates!R102C15</stp>
        <tr r="O102" s="1"/>
      </tp>
      <tp>
        <v>39.85</v>
        <stp/>
        <stp>##V3_BDPV12</stp>
        <stp>USSV0A10  curncy</stp>
        <stp>PX LAST</stp>
        <stp>[XMRD US Rates Dashboard.xlsm]Rates!R102C20</stp>
        <tr r="T102" s="1"/>
      </tp>
      <tp>
        <v>39.1</v>
        <stp/>
        <stp>##V3_BDPV12</stp>
        <stp>USSV0A15  curncy</stp>
        <stp>PX LAST</stp>
        <stp>[XMRD US Rates Dashboard.xlsm]Rates!R102C21</stp>
        <tr r="U102" s="1"/>
      </tp>
      <tp>
        <v>297.14</v>
        <stp/>
        <stp>##V3_BDPV12</stp>
        <stp>USSP0A20  curncy</stp>
        <stp>PX LAST</stp>
        <stp>[XMRD US Rates Dashboard.xlsm]Rates!R102C13</stp>
        <tr r="M102" s="1"/>
      </tp>
      <tp>
        <v>347.58</v>
        <stp/>
        <stp>##V3_BDPV12</stp>
        <stp>USSP0A25  curncy</stp>
        <stp>PX LAST</stp>
        <stp>[XMRD US Rates Dashboard.xlsm]Rates!R102C14</stp>
        <tr r="N102" s="1"/>
      </tp>
      <tp>
        <v>231.24</v>
        <stp/>
        <stp>##V3_BDPV12</stp>
        <stp>USSP0A15  curncy</stp>
        <stp>PX LAST</stp>
        <stp>[XMRD US Rates Dashboard.xlsm]Rates!R102C12</stp>
        <tr r="L102" s="1"/>
      </tp>
      <tp>
        <v>37.32</v>
        <stp/>
        <stp>##V3_BDPV12</stp>
        <stp>USSV0A20  curncy</stp>
        <stp>PX LAST</stp>
        <stp>[XMRD US Rates Dashboard.xlsm]Rates!R102C22</stp>
        <tr r="V102" s="1"/>
      </tp>
      <tp>
        <v>35.57</v>
        <stp/>
        <stp>##V3_BDPV12</stp>
        <stp>USSV0A25  curncy</stp>
        <stp>PX LAST</stp>
        <stp>[XMRD US Rates Dashboard.xlsm]Rates!R102C23</stp>
        <tr r="W102" s="1"/>
      </tp>
      <tp>
        <v>159.54</v>
        <stp/>
        <stp>##V3_BDPV12</stp>
        <stp>USSP0A10  curncy</stp>
        <stp>PX LAST</stp>
        <stp>[XMRD US Rates Dashboard.xlsm]Rates!R102C11</stp>
        <tr r="K102" s="1"/>
      </tp>
      <tp>
        <v>34.25</v>
        <stp/>
        <stp>##V3_BDPV12</stp>
        <stp>USSV0A30  curncy</stp>
        <stp>PX LAST</stp>
        <stp>[XMRD US Rates Dashboard.xlsm]Rates!R102C24</stp>
        <tr r="X102" s="1"/>
      </tp>
      <tp>
        <v>1.2551000000000001</v>
        <stp/>
        <stp>##V3_BDPV12</stp>
        <stp>USFR1I2  curncy</stp>
        <stp>last price</stp>
        <stp>[XMRD US Rates Dashboard.xlsm]Rates!R144C7</stp>
        <tr r="G144" s="1"/>
      </tp>
      <tp t="s">
        <v>#N/A N/A</v>
        <stp/>
        <stp>##V3_BDPV12</stp>
        <stp>USCS0610  curncy</stp>
        <stp>ask</stp>
        <stp>[XMRD US Rates Dashboard.xlsm]Rates!R164C18</stp>
        <tr r="R164" s="1"/>
      </tp>
      <tp t="s">
        <v>#N/A N/A</v>
        <stp/>
        <stp>##V3_BDPV12</stp>
        <stp>USCS0510  curncy</stp>
        <stp>bid</stp>
        <stp>[XMRD US Rates Dashboard.xlsm]Rates!R164C15</stp>
        <tr r="O164" s="1"/>
      </tp>
      <tp>
        <v>1019.94</v>
        <stp/>
        <stp>##V3_BDPV12</stp>
        <stp>USSP0F30  curncy</stp>
        <stp>PX LAST</stp>
        <stp>[XMRD US Rates Dashboard.xlsm]Rates!R104C15</stp>
        <tr r="O104" s="1"/>
      </tp>
      <tp>
        <v>46.5</v>
        <stp/>
        <stp>##V3_BDPV12</stp>
        <stp>USSV0F10  curncy</stp>
        <stp>PX LAST</stp>
        <stp>[XMRD US Rates Dashboard.xlsm]Rates!R104C20</stp>
        <tr r="T104" s="1"/>
      </tp>
      <tp>
        <v>42.92</v>
        <stp/>
        <stp>##V3_BDPV12</stp>
        <stp>USSV0F15  curncy</stp>
        <stp>PX LAST</stp>
        <stp>[XMRD US Rates Dashboard.xlsm]Rates!R104C21</stp>
        <tr r="U104" s="1"/>
      </tp>
      <tp>
        <v>756.13</v>
        <stp/>
        <stp>##V3_BDPV12</stp>
        <stp>USSP0F20  curncy</stp>
        <stp>PX LAST</stp>
        <stp>[XMRD US Rates Dashboard.xlsm]Rates!R104C13</stp>
        <tr r="M104" s="1"/>
      </tp>
      <tp>
        <v>896.17</v>
        <stp/>
        <stp>##V3_BDPV12</stp>
        <stp>USSP0F25  curncy</stp>
        <stp>PX LAST</stp>
        <stp>[XMRD US Rates Dashboard.xlsm]Rates!R104C14</stp>
        <tr r="N104" s="1"/>
      </tp>
      <tp>
        <v>592.24</v>
        <stp/>
        <stp>##V3_BDPV12</stp>
        <stp>USSP0F15  curncy</stp>
        <stp>PX LAST</stp>
        <stp>[XMRD US Rates Dashboard.xlsm]Rates!R104C12</stp>
        <tr r="L104" s="1"/>
      </tp>
      <tp>
        <v>40.909999999999997</v>
        <stp/>
        <stp>##V3_BDPV12</stp>
        <stp>USSV0F20  curncy</stp>
        <stp>PX LAST</stp>
        <stp>[XMRD US Rates Dashboard.xlsm]Rates!R104C22</stp>
        <tr r="V104" s="1"/>
      </tp>
      <tp>
        <v>39.61</v>
        <stp/>
        <stp>##V3_BDPV12</stp>
        <stp>USSV0F25  curncy</stp>
        <stp>PX LAST</stp>
        <stp>[XMRD US Rates Dashboard.xlsm]Rates!R104C23</stp>
        <tr r="W104" s="1"/>
      </tp>
      <tp>
        <v>411.16</v>
        <stp/>
        <stp>##V3_BDPV12</stp>
        <stp>USSP0F10  curncy</stp>
        <stp>PX LAST</stp>
        <stp>[XMRD US Rates Dashboard.xlsm]Rates!R104C11</stp>
        <tr r="K104" s="1"/>
      </tp>
      <tp>
        <v>38.75</v>
        <stp/>
        <stp>##V3_BDPV12</stp>
        <stp>USSV0F30  curncy</stp>
        <stp>PX LAST</stp>
        <stp>[XMRD US Rates Dashboard.xlsm]Rates!R104C24</stp>
        <tr r="X104" s="1"/>
      </tp>
      <tp>
        <v>1.415</v>
        <stp/>
        <stp>##V3_BDPV12</stp>
        <stp>USFR1F2  curncy</stp>
        <stp>last price</stp>
        <stp>[XMRD US Rates Dashboard.xlsm]Rates!R143C9</stp>
        <tr r="I143" s="1"/>
      </tp>
      <tp t="s">
        <v>#N/A N/A</v>
        <stp/>
        <stp>##V3_BDPV12</stp>
        <stp>USCS0710  curncy</stp>
        <stp>ask</stp>
        <stp>[XMRD US Rates Dashboard.xlsm]Rates!R164C20</stp>
        <tr r="T164" s="1"/>
      </tp>
      <tp t="s">
        <v>#N/A N/A</v>
        <stp/>
        <stp>##V3_BDPV12</stp>
        <stp>USCS0410  curncy</stp>
        <stp>bid</stp>
        <stp>[XMRD US Rates Dashboard.xlsm]Rates!R164C13</stp>
        <tr r="M164" s="1"/>
      </tp>
      <tp t="s">
        <v>#N/A N/A</v>
        <stp/>
        <stp>##V3_BDPV12</stp>
        <stp>USCS0410  curncy</stp>
        <stp>ask</stp>
        <stp>[XMRD US Rates Dashboard.xlsm]Rates!R164C14</stp>
        <tr r="N164" s="1"/>
      </tp>
      <tp t="s">
        <v>#N/A N/A</v>
        <stp/>
        <stp>##V3_BDPV12</stp>
        <stp>USCS0710  curncy</stp>
        <stp>bid</stp>
        <stp>[XMRD US Rates Dashboard.xlsm]Rates!R164C19</stp>
        <tr r="S164" s="1"/>
      </tp>
      <tp t="s">
        <v>#N/A N/A</v>
        <stp/>
        <stp>##V3_BDPV12</stp>
        <stp>USSAJD1F  curncy</stp>
        <stp>last price</stp>
        <stp>[XMRD US Rates Dashboard.xlsm]Rates!R131C24</stp>
        <tr r="X131" s="1"/>
      </tp>
      <tp t="s">
        <v>#N/A N/A</v>
        <stp/>
        <stp>##V3_BDPV12</stp>
        <stp>USSAJN8   curncy</stp>
        <stp>last price</stp>
        <stp>[XMRD US Rates Dashboard.xlsm]Rates!R150C20</stp>
        <tr r="T150" s="1"/>
      </tp>
      <tp t="s">
        <v>#N/A N/A</v>
        <stp/>
        <stp>##V3_BDPV12</stp>
        <stp>USSAJN9   curncy</stp>
        <stp>last price</stp>
        <stp>[XMRD US Rates Dashboard.xlsm]Rates!R150C22</stp>
        <tr r="V150" s="1"/>
      </tp>
      <tp t="s">
        <v>#N/A N/A</v>
        <stp/>
        <stp>##V3_BDPV12</stp>
        <stp>USSAJM1I  curncy</stp>
        <stp>last price</stp>
        <stp>[XMRD US Rates Dashboard.xlsm]Rates!R143C16</stp>
        <tr r="P143" s="1"/>
      </tp>
      <tp t="s">
        <v>#N/A N/A</v>
        <stp/>
        <stp>##V3_BDPV12</stp>
        <stp>USSAJN4   curncy</stp>
        <stp>last price</stp>
        <stp>[XMRD US Rates Dashboard.xlsm]Rates!R143C22</stp>
        <tr r="V143" s="1"/>
      </tp>
      <tp t="s">
        <v>#N/A N/A</v>
        <stp/>
        <stp>##V3_BDPV12</stp>
        <stp>USSAJN5   curncy</stp>
        <stp>last price</stp>
        <stp>[XMRD US Rates Dashboard.xlsm]Rates!R143C24</stp>
        <tr r="X143" s="1"/>
      </tp>
      <tp t="s">
        <v>#N/A N/A</v>
        <stp/>
        <stp>##V3_BDPV12</stp>
        <stp>USSAJN3   curncy</stp>
        <stp>last price</stp>
        <stp>[XMRD US Rates Dashboard.xlsm]Rates!R143C20</stp>
        <tr r="T143" s="1"/>
      </tp>
      <tp t="s">
        <v>#N/A N/A</v>
        <stp/>
        <stp>##V3_BDPV12</stp>
        <stp>USSAJN7   curncy</stp>
        <stp>last price</stp>
        <stp>[XMRD US Rates Dashboard.xlsm]Rates!R150C18</stp>
        <tr r="R150" s="1"/>
      </tp>
      <tp t="s">
        <v>#N/A N/A</v>
        <stp/>
        <stp>##V3_BDPV12</stp>
        <stp>USSAJN6   curncy</stp>
        <stp>last price</stp>
        <stp>[XMRD US Rates Dashboard.xlsm]Rates!R150C16</stp>
        <tr r="P150" s="1"/>
      </tp>
      <tp t="s">
        <v>#N/A N/A</v>
        <stp/>
        <stp>##V3_BDPV12</stp>
        <stp>USSAJS1C  curncy</stp>
        <stp>last price</stp>
        <stp>[XMRD US Rates Dashboard.xlsm]Rates!R131C22</stp>
        <tr r="V131" s="1"/>
      </tp>
      <tp t="s">
        <v>#N/A N/A</v>
        <stp/>
        <stp>##V3_BDPV12</stp>
        <stp>USSAJXD1  curncy</stp>
        <stp>last price</stp>
        <stp>[XMRD US Rates Dashboard.xlsm]Rates!R131C16</stp>
        <tr r="P131" s="1"/>
      </tp>
      <tp t="s">
        <v>#N/A N/A</v>
        <stp/>
        <stp>##V3_BDPV12</stp>
        <stp>USSAJXD2  curncy</stp>
        <stp>last price</stp>
        <stp>[XMRD US Rates Dashboard.xlsm]Rates!R135C16</stp>
        <tr r="P135" s="1"/>
      </tp>
      <tp t="s">
        <v>#N/A N/A</v>
        <stp/>
        <stp>##V3_BDPV12</stp>
        <stp>USSAJXM1  curncy</stp>
        <stp>last price</stp>
        <stp>[XMRD US Rates Dashboard.xlsm]Rates!R131C18</stp>
        <tr r="R131" s="1"/>
      </tp>
      <tp t="s">
        <v>#N/A N/A</v>
        <stp/>
        <stp>##V3_BDPV12</stp>
        <stp>USSAJXJ2  curncy</stp>
        <stp>last price</stp>
        <stp>[XMRD US Rates Dashboard.xlsm]Rates!R135C20</stp>
        <tr r="T135" s="1"/>
      </tp>
      <tp t="s">
        <v>#N/A N/A</v>
        <stp/>
        <stp>##V3_BDPV12</stp>
        <stp>USSAJ1I2  curncy</stp>
        <stp>last price</stp>
        <stp>[XMRD US Rates Dashboard.xlsm]Rates!R144C16</stp>
        <tr r="P144" s="1"/>
      </tp>
      <tp t="s">
        <v>#N/A N/A</v>
        <stp/>
        <stp>##V3_BDPV12</stp>
        <stp>USSAJ1C2  curncy</stp>
        <stp>last price</stp>
        <stp>[XMRD US Rates Dashboard.xlsm]Rates!R134C22</stp>
        <tr r="V134" s="1"/>
      </tp>
      <tp>
        <v>190.3</v>
        <stp/>
        <stp>##V3_BDPV12</stp>
        <stp>EUR12M Curncy</stp>
        <stp>ask</stp>
        <stp>[XMRD US Rates Dashboard.xlsm]Rates!R96C8</stp>
        <tr r="H96" s="1"/>
      </tp>
      <tp>
        <v>7103.25</v>
        <stp/>
        <stp>##V3_BDPV12</stp>
        <stp>UKX index</stp>
        <stp>last price</stp>
        <stp>[XMRD US Rates Dashboard.xlsm]Rates!R23C26</stp>
        <tr r="Z23" s="1"/>
      </tp>
      <tp t="s">
        <v>#N/A N/A</v>
        <stp/>
        <stp>##V3_BDPV12</stp>
        <stp>USCS0510  curncy</stp>
        <stp>ask</stp>
        <stp>[XMRD US Rates Dashboard.xlsm]Rates!R164C16</stp>
        <tr r="P164" s="1"/>
      </tp>
      <tp t="s">
        <v>#N/A N/A</v>
        <stp/>
        <stp>##V3_BDPV12</stp>
        <stp>USCS0610  curncy</stp>
        <stp>bid</stp>
        <stp>[XMRD US Rates Dashboard.xlsm]Rates!R164C17</stp>
        <tr r="Q164" s="1"/>
      </tp>
      <tp>
        <v>2.5006309999999998</v>
        <stp/>
        <stp>##V3_BDPV12</stp>
        <stp>GT30 govt</stp>
        <stp>bid yld</stp>
        <stp>[XMRD US Rates Dashboard.xlsm]Rates!R24C9</stp>
        <tr r="I24" s="1"/>
      </tp>
      <tp t="s">
        <v>#N/A N/A</v>
        <stp/>
        <stp>##V3_BDPV12</stp>
        <stp>USCS0910  curncy</stp>
        <stp>bid</stp>
        <stp>[XMRD US Rates Dashboard.xlsm]Rates!R164C23</stp>
        <tr r="W164" s="1"/>
      </tp>
      <tp t="s">
        <v>#N/A N/A</v>
        <stp/>
        <stp>##V3_BDPV12</stp>
        <stp>USSADE7   curncy</stp>
        <stp>last price</stp>
        <stp>[XMRD US Rates Dashboard.xlsm]Rates!R148C18</stp>
        <tr r="R148" s="1"/>
      </tp>
      <tp t="s">
        <v>#N/A N/A</v>
        <stp/>
        <stp>##V3_BDPV12</stp>
        <stp>USSADE6   curncy</stp>
        <stp>last price</stp>
        <stp>[XMRD US Rates Dashboard.xlsm]Rates!R148C16</stp>
        <tr r="P148" s="1"/>
      </tp>
      <tp t="s">
        <v>#N/A N/A</v>
        <stp/>
        <stp>##V3_BDPV12</stp>
        <stp>USSADE8   curncy</stp>
        <stp>last price</stp>
        <stp>[XMRD US Rates Dashboard.xlsm]Rates!R148C20</stp>
        <tr r="T148" s="1"/>
      </tp>
      <tp t="s">
        <v>#N/A N/A</v>
        <stp/>
        <stp>##V3_BDPV12</stp>
        <stp>USSADE9   curncy</stp>
        <stp>last price</stp>
        <stp>[XMRD US Rates Dashboard.xlsm]Rates!R148C22</stp>
        <tr r="V148" s="1"/>
      </tp>
      <tp t="s">
        <v>#N/A N/A</v>
        <stp/>
        <stp>##V3_BDPV12</stp>
        <stp>USSADE4   curncy</stp>
        <stp>last price</stp>
        <stp>[XMRD US Rates Dashboard.xlsm]Rates!R141C22</stp>
        <tr r="V141" s="1"/>
      </tp>
      <tp t="s">
        <v>#N/A N/A</v>
        <stp/>
        <stp>##V3_BDPV12</stp>
        <stp>USSADE5   curncy</stp>
        <stp>last price</stp>
        <stp>[XMRD US Rates Dashboard.xlsm]Rates!R141C24</stp>
        <tr r="X141" s="1"/>
      </tp>
      <tp t="s">
        <v>#N/A N/A</v>
        <stp/>
        <stp>##V3_BDPV12</stp>
        <stp>USSADE3   curncy</stp>
        <stp>last price</stp>
        <stp>[XMRD US Rates Dashboard.xlsm]Rates!R141C20</stp>
        <tr r="T141" s="1"/>
      </tp>
      <tp t="s">
        <v>#N/A N/A</v>
        <stp/>
        <stp>##V3_BDPV12</stp>
        <stp>USSADM1C  curncy</stp>
        <stp>last price</stp>
        <stp>[XMRD US Rates Dashboard.xlsm]Rates!R133C22</stp>
        <tr r="V133" s="1"/>
      </tp>
      <tp t="s">
        <v>#N/A N/A</v>
        <stp/>
        <stp>##V3_BDPV12</stp>
        <stp>USSADJ1F  curncy</stp>
        <stp>last price</stp>
        <stp>[XMRD US Rates Dashboard.xlsm]Rates!R133C24</stp>
        <tr r="X133" s="1"/>
      </tp>
      <tp t="s">
        <v>#N/A N/A</v>
        <stp/>
        <stp>##V3_BDPV12</stp>
        <stp>USSADS1I  curncy</stp>
        <stp>last price</stp>
        <stp>[XMRD US Rates Dashboard.xlsm]Rates!R141C16</stp>
        <tr r="P141" s="1"/>
      </tp>
      <tp t="s">
        <v>#N/A N/A</v>
        <stp/>
        <stp>##V3_BDPV12</stp>
        <stp>USSADXJ1  curncy</stp>
        <stp>last price</stp>
        <stp>[XMRD US Rates Dashboard.xlsm]Rates!R133C16</stp>
        <tr r="P133" s="1"/>
      </tp>
      <tp t="s">
        <v>#N/A N/A</v>
        <stp/>
        <stp>##V3_BDPV12</stp>
        <stp>USSADXJ2  curncy</stp>
        <stp>last price</stp>
        <stp>[XMRD US Rates Dashboard.xlsm]Rates!R137C16</stp>
        <tr r="P137" s="1"/>
      </tp>
      <tp t="s">
        <v>#N/A N/A</v>
        <stp/>
        <stp>##V3_BDPV12</stp>
        <stp>USSADXS1  curncy</stp>
        <stp>last price</stp>
        <stp>[XMRD US Rates Dashboard.xlsm]Rates!R133C18</stp>
        <tr r="R133" s="1"/>
      </tp>
      <tp t="s">
        <v>#N/A N/A</v>
        <stp/>
        <stp>##V3_BDPV12</stp>
        <stp>USSADXS2  curncy</stp>
        <stp>last price</stp>
        <stp>[XMRD US Rates Dashboard.xlsm]Rates!R137C18</stp>
        <tr r="R137" s="1"/>
      </tp>
      <tp t="s">
        <v>#N/A N/A</v>
        <stp/>
        <stp>##V3_BDPV12</stp>
        <stp>USCS0810  curncy</stp>
        <stp>bid</stp>
        <stp>[XMRD US Rates Dashboard.xlsm]Rates!R164C21</stp>
        <tr r="U164" s="1"/>
      </tp>
      <tp>
        <v>1.0649999999999999</v>
        <stp/>
        <stp>##V3_BDPV12</stp>
        <stp>USSASE1  curncy</stp>
        <stp>last price</stp>
        <stp>[XMRD US Rates Dashboard.xlsm]Rates!R132C20</stp>
        <tr r="T132" s="1"/>
      </tp>
      <tp t="s">
        <v>#N/A N/A</v>
        <stp/>
        <stp>##V3_BDPV12</stp>
        <stp>USSAS21  curncy</stp>
        <stp>last price</stp>
        <stp>[XMRD US Rates Dashboard.xlsm]Rates!R136C20</stp>
        <tr r="T136" s="1"/>
      </tp>
      <tp t="s">
        <v>#N/A N/A</v>
        <stp/>
        <stp>##V3_BDPV12</stp>
        <stp>USSASE2  curncy</stp>
        <stp>last price</stp>
        <stp>[XMRD US Rates Dashboard.xlsm]Rates!R140C18</stp>
        <tr r="R140" s="1"/>
      </tp>
      <tp>
        <v>0.755</v>
        <stp/>
        <stp>##V3_BDPV12</stp>
        <stp>AUD curncy</stp>
        <stp>last price</stp>
        <stp>[XMRD US Rates Dashboard.xlsm]Rates!R87C24</stp>
        <tr r="X87" s="1"/>
      </tp>
      <tp t="s">
        <v>#N/A N/A</v>
        <stp/>
        <stp>##V3_BDPV12</stp>
        <stp>USSADE2  curncy</stp>
        <stp>last price</stp>
        <stp>[XMRD US Rates Dashboard.xlsm]Rates!R141C18</stp>
        <tr r="R141" s="1"/>
      </tp>
      <tp>
        <v>0.97499999999999998</v>
        <stp/>
        <stp>##V3_BDPV12</stp>
        <stp>USSADE1  curncy</stp>
        <stp>last price</stp>
        <stp>[XMRD US Rates Dashboard.xlsm]Rates!R133C20</stp>
        <tr r="T133" s="1"/>
      </tp>
      <tp t="s">
        <v>#N/A N/A</v>
        <stp/>
        <stp>##V3_BDPV12</stp>
        <stp>USSAD21  curncy</stp>
        <stp>last price</stp>
        <stp>[XMRD US Rates Dashboard.xlsm]Rates!R137C20</stp>
        <tr r="T137" s="1"/>
      </tp>
      <tp>
        <v>1.0449999999999999</v>
        <stp/>
        <stp>##V3_BDPV12</stp>
        <stp>USSAJN1  curncy</stp>
        <stp>last price</stp>
        <stp>[XMRD US Rates Dashboard.xlsm]Rates!R131C20</stp>
        <tr r="T131" s="1"/>
      </tp>
      <tp t="s">
        <v>#N/A N/A</v>
        <stp/>
        <stp>##V3_BDPV12</stp>
        <stp>USSAJN2  curncy</stp>
        <stp>last price</stp>
        <stp>[XMRD US Rates Dashboard.xlsm]Rates!R143C18</stp>
        <tr r="R143" s="1"/>
      </tp>
      <tp t="s">
        <v>#N/A N/A</v>
        <stp/>
        <stp>##V3_BDPV12</stp>
        <stp>USSAMR2  curncy</stp>
        <stp>last price</stp>
        <stp>[XMRD US Rates Dashboard.xlsm]Rates!R142C18</stp>
        <tr r="R142" s="1"/>
      </tp>
      <tp>
        <v>1.0149999999999999</v>
        <stp/>
        <stp>##V3_BDPV12</stp>
        <stp>USSAMR1  curncy</stp>
        <stp>last price</stp>
        <stp>[XMRD US Rates Dashboard.xlsm]Rates!R130C20</stp>
        <tr r="T130" s="1"/>
      </tp>
      <tp t="s">
        <v>#N/A N/A</v>
        <stp/>
        <stp>##V3_BDPV12</stp>
        <stp>USSAM21  curncy</stp>
        <stp>last price</stp>
        <stp>[XMRD US Rates Dashboard.xlsm]Rates!R134C20</stp>
        <tr r="T134" s="1"/>
      </tp>
      <tp t="s">
        <v>#N/A N/A</v>
        <stp/>
        <stp>##V3_BDPV12</stp>
        <stp>USCS0810  curncy</stp>
        <stp>ask</stp>
        <stp>[XMRD US Rates Dashboard.xlsm]Rates!R164C22</stp>
        <tr r="V164" s="1"/>
      </tp>
      <tp t="s">
        <v>#N/A Invalid Security</v>
        <stp/>
        <stp>##V3_BDPV12</stp>
        <stp>USSAMR10   curncy</stp>
        <stp>last price</stp>
        <stp>[XMRD US Rates Dashboard.xlsm]Rates!R148C24</stp>
        <tr r="X148" s="1"/>
      </tp>
      <tp>
        <v>1.7726360000000001</v>
        <stp/>
        <stp>##V3_BDPV12</stp>
        <stp>GT10 govt</stp>
        <stp>bid yld</stp>
        <stp>[XMRD US Rates Dashboard.xlsm]Rates!R19C9</stp>
        <tr r="I19" s="1"/>
      </tp>
      <tp t="s">
        <v>FFM7</v>
        <stp/>
        <stp>##V3_BDPV12</stp>
        <stp>FF9 comdty</stp>
        <stp>FUT_CUR_GEN_TICKER</stp>
        <stp>[XMRD US Rates Dashboard.xlsm]Rates!R80C11</stp>
        <tr r="K80" s="1"/>
      </tp>
      <tp t="s">
        <v>FFK7</v>
        <stp/>
        <stp>##V3_BDPV12</stp>
        <stp>FF8 comdty</stp>
        <stp>FUT_CUR_GEN_TICKER</stp>
        <stp>[XMRD US Rates Dashboard.xlsm]Rates!R79C11</stp>
        <tr r="K79" s="1"/>
      </tp>
      <tp t="s">
        <v>FFZ6</v>
        <stp/>
        <stp>##V3_BDPV12</stp>
        <stp>FF3 comdty</stp>
        <stp>FUT_CUR_GEN_TICKER</stp>
        <stp>[XMRD US Rates Dashboard.xlsm]Rates!R74C11</stp>
        <tr r="K74" s="1"/>
      </tp>
      <tp t="s">
        <v>FFX6</v>
        <stp/>
        <stp>##V3_BDPV12</stp>
        <stp>FF2 comdty</stp>
        <stp>FUT_CUR_GEN_TICKER</stp>
        <stp>[XMRD US Rates Dashboard.xlsm]Rates!R73C11</stp>
        <tr r="K73" s="1"/>
      </tp>
      <tp t="s">
        <v>FFV6</v>
        <stp/>
        <stp>##V3_BDPV12</stp>
        <stp>FF1 comdty</stp>
        <stp>FUT_CUR_GEN_TICKER</stp>
        <stp>[XMRD US Rates Dashboard.xlsm]Rates!R72C11</stp>
        <tr r="K72" s="1"/>
      </tp>
      <tp t="s">
        <v>FFJ7</v>
        <stp/>
        <stp>##V3_BDPV12</stp>
        <stp>FF7 comdty</stp>
        <stp>FUT_CUR_GEN_TICKER</stp>
        <stp>[XMRD US Rates Dashboard.xlsm]Rates!R78C11</stp>
        <tr r="K78" s="1"/>
      </tp>
      <tp t="s">
        <v>FFH7</v>
        <stp/>
        <stp>##V3_BDPV12</stp>
        <stp>FF6 comdty</stp>
        <stp>FUT_CUR_GEN_TICKER</stp>
        <stp>[XMRD US Rates Dashboard.xlsm]Rates!R77C11</stp>
        <tr r="K77" s="1"/>
      </tp>
      <tp t="s">
        <v>FFG7</v>
        <stp/>
        <stp>##V3_BDPV12</stp>
        <stp>FF5 comdty</stp>
        <stp>FUT_CUR_GEN_TICKER</stp>
        <stp>[XMRD US Rates Dashboard.xlsm]Rates!R76C11</stp>
        <tr r="K76" s="1"/>
      </tp>
      <tp t="s">
        <v>FFF7</v>
        <stp/>
        <stp>##V3_BDPV12</stp>
        <stp>FF4 comdty</stp>
        <stp>FUT_CUR_GEN_TICKER</stp>
        <stp>[XMRD US Rates Dashboard.xlsm]Rates!R75C11</stp>
        <tr r="K75" s="1"/>
      </tp>
      <tp>
        <v>51.14</v>
        <stp/>
        <stp>##V3_BDPV12</stp>
        <stp>CL1 COMDTY</stp>
        <stp>last price</stp>
        <stp>[XMRD US Rates Dashboard.xlsm]Rates!R26C30</stp>
        <tr r="AD26" s="1"/>
      </tp>
      <tp t="s">
        <v>#N/A N/A</v>
        <stp/>
        <stp>##V3_BDPV12</stp>
        <stp>USCS0910  curncy</stp>
        <stp>ask</stp>
        <stp>[XMRD US Rates Dashboard.xlsm]Rates!R164C24</stp>
        <tr r="X164" s="1"/>
      </tp>
      <tp>
        <v>103.89</v>
        <stp/>
        <stp>##V3_BDPV12</stp>
        <stp>JPY curncy</stp>
        <stp>last price</stp>
        <stp>[XMRD US Rates Dashboard.xlsm]Rates!R87C18</stp>
        <tr r="R87" s="1"/>
      </tp>
      <tp t="s">
        <v>EDU9</v>
        <stp/>
        <stp>##V3_BDPV12</stp>
        <stp>ED12 comdty</stp>
        <stp>FUT_CUR_GEN_TICKER</stp>
        <stp>[XMRD US Rates Dashboard.xlsm]Rates!R83C6</stp>
        <tr r="F83" s="1"/>
      </tp>
      <tp t="s">
        <v>EDM9</v>
        <stp/>
        <stp>##V3_BDPV12</stp>
        <stp>ED11 comdty</stp>
        <stp>FUT_CUR_GEN_TICKER</stp>
        <stp>[XMRD US Rates Dashboard.xlsm]Rates!R82C6</stp>
        <tr r="F82" s="1"/>
      </tp>
      <tp>
        <v>1.1009</v>
        <stp/>
        <stp>##V3_BDPV12</stp>
        <stp>USFR0I1  curncy</stp>
        <stp>last price</stp>
        <stp>[XMRD US Rates Dashboard.xlsm]Rates!R139C7</stp>
        <tr r="G139" s="1"/>
      </tp>
      <tp t="s">
        <v>EDH9</v>
        <stp/>
        <stp>##V3_BDPV12</stp>
        <stp>ED10 comdty</stp>
        <stp>FUT_CUR_GEN_TICKER</stp>
        <stp>[XMRD US Rates Dashboard.xlsm]Rates!R81C6</stp>
        <tr r="F81" s="1"/>
      </tp>
      <tp>
        <v>18329.04</v>
        <stp/>
        <stp>##V3_BDPV12</stp>
        <stp>INDU index</stp>
        <stp>last price</stp>
        <stp>[XMRD US Rates Dashboard.xlsm]Rates!R23C22</stp>
        <tr r="V23" s="1"/>
      </tp>
      <tp>
        <v>2.7749999999999999</v>
        <stp/>
        <stp>##V3_BDPV12</stp>
        <stp>ADSW30  curncy</stp>
        <stp>ask</stp>
        <stp>[XMRD US Rates Dashboard.xlsm]Rates!R43C30</stp>
        <tr r="AD43" s="1"/>
      </tp>
      <tp>
        <v>2.6850000000000001</v>
        <stp/>
        <stp>##V3_BDPV12</stp>
        <stp>ADSW20  curncy</stp>
        <stp>ask</stp>
        <stp>[XMRD US Rates Dashboard.xlsm]Rates!R41C30</stp>
        <tr r="AD41" s="1"/>
      </tp>
      <tp>
        <v>2.75</v>
        <stp/>
        <stp>##V3_BDPV12</stp>
        <stp>ADSW25  curncy</stp>
        <stp>ask</stp>
        <stp>[XMRD US Rates Dashboard.xlsm]Rates!R42C30</stp>
        <tr r="AD42" s="1"/>
      </tp>
      <tp>
        <v>2.5499999999999998</v>
        <stp/>
        <stp>##V3_BDPV12</stp>
        <stp>ADSW15  curncy</stp>
        <stp>ask</stp>
        <stp>[XMRD US Rates Dashboard.xlsm]Rates!R40C30</stp>
        <tr r="AD40" s="1"/>
      </tp>
      <tp>
        <v>2.3479999999999999</v>
        <stp/>
        <stp>##V3_BDPV12</stp>
        <stp>ADSW10  curncy</stp>
        <stp>ask</stp>
        <stp>[XMRD US Rates Dashboard.xlsm]Rates!R38C30</stp>
        <tr r="AD38" s="1"/>
      </tp>
      <tp>
        <v>2.4449999999999998</v>
        <stp/>
        <stp>##V3_BDPV12</stp>
        <stp>ADSW12  curncy</stp>
        <stp>ask</stp>
        <stp>[XMRD US Rates Dashboard.xlsm]Rates!R39C30</stp>
        <tr r="AD39" s="1"/>
      </tp>
      <tp>
        <v>1.4195</v>
        <stp/>
        <stp>##V3_BDPV12</stp>
        <stp>CDSW10  curncy</stp>
        <stp>ask</stp>
        <stp>[XMRD US Rates Dashboard.xlsm]Rates!R38C24</stp>
        <tr r="X38" s="1"/>
      </tp>
      <tp>
        <v>1.5705</v>
        <stp/>
        <stp>##V3_BDPV12</stp>
        <stp>CDSW12  curncy</stp>
        <stp>ask</stp>
        <stp>[XMRD US Rates Dashboard.xlsm]Rates!R39C24</stp>
        <tr r="X39" s="1"/>
      </tp>
      <tp>
        <v>1.7306999999999999</v>
        <stp/>
        <stp>##V3_BDPV12</stp>
        <stp>CDSW15  curncy</stp>
        <stp>ask</stp>
        <stp>[XMRD US Rates Dashboard.xlsm]Rates!R40C24</stp>
        <tr r="X40" s="1"/>
      </tp>
      <tp>
        <v>1.7618</v>
        <stp/>
        <stp>##V3_BDPV12</stp>
        <stp>CDSW30  curncy</stp>
        <stp>ask</stp>
        <stp>[XMRD US Rates Dashboard.xlsm]Rates!R43C24</stp>
        <tr r="X43" s="1"/>
      </tp>
      <tp>
        <v>1.8293999999999999</v>
        <stp/>
        <stp>##V3_BDPV12</stp>
        <stp>CDSW20  curncy</stp>
        <stp>ask</stp>
        <stp>[XMRD US Rates Dashboard.xlsm]Rates!R41C24</stp>
        <tr r="X41" s="1"/>
      </tp>
      <tp>
        <v>1.8056000000000001</v>
        <stp/>
        <stp>##V3_BDPV12</stp>
        <stp>CDSW25  curncy</stp>
        <stp>ask</stp>
        <stp>[XMRD US Rates Dashboard.xlsm]Rates!R42C24</stp>
        <tr r="X42" s="1"/>
      </tp>
      <tp>
        <v>0.3075</v>
        <stp/>
        <stp>##V3_BDPV12</stp>
        <stp>JYSW15  curncy</stp>
        <stp>ask</stp>
        <stp>[XMRD US Rates Dashboard.xlsm]Rates!R40C21</stp>
        <tr r="U40" s="1"/>
      </tp>
      <tp>
        <v>1.6134999999999999</v>
        <stp/>
        <stp>##V3_BDPV12</stp>
        <stp>USSW10  curncy</stp>
        <stp>bid</stp>
        <stp>[XMRD US Rates Dashboard.xlsm]Rates!R38C11</stp>
        <tr r="K38" s="1"/>
      </tp>
      <tp>
        <v>1.6990000000000001</v>
        <stp/>
        <stp>##V3_BDPV12</stp>
        <stp>USSW12  curncy</stp>
        <stp>bid</stp>
        <stp>[XMRD US Rates Dashboard.xlsm]Rates!R39C11</stp>
        <tr r="K39" s="1"/>
      </tp>
      <tp>
        <v>0.56999999999999995</v>
        <stp/>
        <stp>##V3_BDPV12</stp>
        <stp>JYSW30  curncy</stp>
        <stp>ask</stp>
        <stp>[XMRD US Rates Dashboard.xlsm]Rates!R43C21</stp>
        <tr r="U43" s="1"/>
      </tp>
      <tp>
        <v>0.54625000000000001</v>
        <stp/>
        <stp>##V3_BDPV12</stp>
        <stp>JYSW25  curncy</stp>
        <stp>ask</stp>
        <stp>[XMRD US Rates Dashboard.xlsm]Rates!R42C21</stp>
        <tr r="U42" s="1"/>
      </tp>
      <tp>
        <v>0.46625</v>
        <stp/>
        <stp>##V3_BDPV12</stp>
        <stp>JYSW20  curncy</stp>
        <stp>ask</stp>
        <stp>[XMRD US Rates Dashboard.xlsm]Rates!R41C21</stp>
        <tr r="U41" s="1"/>
      </tp>
      <tp>
        <v>1.7907</v>
        <stp/>
        <stp>##V3_BDPV12</stp>
        <stp>USSW15  curncy</stp>
        <stp>bid</stp>
        <stp>[XMRD US Rates Dashboard.xlsm]Rates!R40C11</stp>
        <tr r="K40" s="1"/>
      </tp>
      <tp>
        <v>1.8855</v>
        <stp/>
        <stp>##V3_BDPV12</stp>
        <stp>USSW20  curncy</stp>
        <stp>bid</stp>
        <stp>[XMRD US Rates Dashboard.xlsm]Rates!R41C11</stp>
        <tr r="K41" s="1"/>
      </tp>
      <tp>
        <v>1.9285000000000001</v>
        <stp/>
        <stp>##V3_BDPV12</stp>
        <stp>USSW25  curncy</stp>
        <stp>bid</stp>
        <stp>[XMRD US Rates Dashboard.xlsm]Rates!R42C11</stp>
        <tr r="K42" s="1"/>
      </tp>
      <tp>
        <v>9.7500000000000003E-2</v>
        <stp/>
        <stp>##V3_BDPV12</stp>
        <stp>JYSW10  curncy</stp>
        <stp>ask</stp>
        <stp>[XMRD US Rates Dashboard.xlsm]Rates!R38C21</stp>
        <tr r="U38" s="1"/>
      </tp>
      <tp>
        <v>0.18</v>
        <stp/>
        <stp>##V3_BDPV12</stp>
        <stp>JYSW12  curncy</stp>
        <stp>ask</stp>
        <stp>[XMRD US Rates Dashboard.xlsm]Rates!R39C21</stp>
        <tr r="U39" s="1"/>
      </tp>
      <tp>
        <v>1.9490000000000001</v>
        <stp/>
        <stp>##V3_BDPV12</stp>
        <stp>USSW30  curncy</stp>
        <stp>bid</stp>
        <stp>[XMRD US Rates Dashboard.xlsm]Rates!R43C11</stp>
        <tr r="K43" s="1"/>
      </tp>
      <tp>
        <v>-7.4999999999999997E-2</v>
        <stp/>
        <stp>##V3_BDPV12</stp>
        <stp>SFSW12  curncy</stp>
        <stp>ask</stp>
        <stp>[XMRD US Rates Dashboard.xlsm]Rates!R39C27</stp>
        <tr r="AA39" s="1"/>
      </tp>
      <tp>
        <v>-0.14349999999999999</v>
        <stp/>
        <stp>##V3_BDPV12</stp>
        <stp>SFSW10  curncy</stp>
        <stp>ask</stp>
        <stp>[XMRD US Rates Dashboard.xlsm]Rates!R38C27</stp>
        <tr r="AA38" s="1"/>
      </tp>
      <tp>
        <v>0.13750000000000001</v>
        <stp/>
        <stp>##V3_BDPV12</stp>
        <stp>SFSW20  curncy</stp>
        <stp>ask</stp>
        <stp>[XMRD US Rates Dashboard.xlsm]Rates!R41C27</stp>
        <tr r="AA41" s="1"/>
      </tp>
      <tp>
        <v>0.19750000000000001</v>
        <stp/>
        <stp>##V3_BDPV12</stp>
        <stp>SFSW25  curncy</stp>
        <stp>ask</stp>
        <stp>[XMRD US Rates Dashboard.xlsm]Rates!R42C27</stp>
        <tr r="AA42" s="1"/>
      </tp>
      <tp>
        <v>0.23</v>
        <stp/>
        <stp>##V3_BDPV12</stp>
        <stp>SFSW30  curncy</stp>
        <stp>ask</stp>
        <stp>[XMRD US Rates Dashboard.xlsm]Rates!R43C27</stp>
        <tr r="AA43" s="1"/>
      </tp>
      <tp>
        <v>2.75E-2</v>
        <stp/>
        <stp>##V3_BDPV12</stp>
        <stp>SFSW15  curncy</stp>
        <stp>ask</stp>
        <stp>[XMRD US Rates Dashboard.xlsm]Rates!R40C27</stp>
        <tr r="AA40" s="1"/>
      </tp>
      <tp>
        <v>1.069</v>
        <stp/>
        <stp>##V3_BDPV12</stp>
        <stp>BPSW12  curncy</stp>
        <stp>bid</stp>
        <stp>[XMRD US Rates Dashboard.xlsm]Rates!R39C17</stp>
        <tr r="Q39" s="1"/>
      </tp>
      <tp>
        <v>0.97450000000000003</v>
        <stp/>
        <stp>##V3_BDPV12</stp>
        <stp>BPSW10  curncy</stp>
        <stp>bid</stp>
        <stp>[XMRD US Rates Dashboard.xlsm]Rates!R38C17</stp>
        <tr r="Q38" s="1"/>
      </tp>
      <tp>
        <v>1.157</v>
        <stp/>
        <stp>##V3_BDPV12</stp>
        <stp>BPSW15  curncy</stp>
        <stp>bid</stp>
        <stp>[XMRD US Rates Dashboard.xlsm]Rates!R40C17</stp>
        <tr r="Q40" s="1"/>
      </tp>
      <tp>
        <v>1.2030000000000001</v>
        <stp/>
        <stp>##V3_BDPV12</stp>
        <stp>BPSW30  curncy</stp>
        <stp>bid</stp>
        <stp>[XMRD US Rates Dashboard.xlsm]Rates!R43C17</stp>
        <tr r="Q43" s="1"/>
      </tp>
      <tp>
        <v>1.2150000000000001</v>
        <stp/>
        <stp>##V3_BDPV12</stp>
        <stp>BPSW20  curncy</stp>
        <stp>bid</stp>
        <stp>[XMRD US Rates Dashboard.xlsm]Rates!R41C17</stp>
        <tr r="Q41" s="1"/>
      </tp>
      <tp>
        <v>1.2150000000000001</v>
        <stp/>
        <stp>##V3_BDPV12</stp>
        <stp>BPSW25  curncy</stp>
        <stp>bid</stp>
        <stp>[XMRD US Rates Dashboard.xlsm]Rates!R42C17</stp>
        <tr r="Q42" s="1"/>
      </tp>
      <tp>
        <v>1.1659999999999999</v>
        <stp/>
        <stp>##V3_BDPV12</stp>
        <stp>BPSW15  curncy</stp>
        <stp>ask</stp>
        <stp>[XMRD US Rates Dashboard.xlsm]Rates!R40C18</stp>
        <tr r="R40" s="1"/>
      </tp>
      <tp>
        <v>1.222</v>
        <stp/>
        <stp>##V3_BDPV12</stp>
        <stp>BPSW25  curncy</stp>
        <stp>ask</stp>
        <stp>[XMRD US Rates Dashboard.xlsm]Rates!R42C18</stp>
        <tr r="R42" s="1"/>
      </tp>
      <tp>
        <v>1.2254</v>
        <stp/>
        <stp>##V3_BDPV12</stp>
        <stp>BPSW20  curncy</stp>
        <stp>ask</stp>
        <stp>[XMRD US Rates Dashboard.xlsm]Rates!R41C18</stp>
        <tr r="R41" s="1"/>
      </tp>
      <tp>
        <v>1.2113</v>
        <stp/>
        <stp>##V3_BDPV12</stp>
        <stp>BPSW30  curncy</stp>
        <stp>ask</stp>
        <stp>[XMRD US Rates Dashboard.xlsm]Rates!R43C18</stp>
        <tr r="R43" s="1"/>
      </tp>
      <tp>
        <v>-0.1736</v>
        <stp/>
        <stp>##V3_BDPV12</stp>
        <stp>SFSW10  curncy</stp>
        <stp>bid</stp>
        <stp>[XMRD US Rates Dashboard.xlsm]Rates!R38C26</stp>
        <tr r="Z38" s="1"/>
      </tp>
      <tp>
        <v>-9.5000000000000001E-2</v>
        <stp/>
        <stp>##V3_BDPV12</stp>
        <stp>SFSW12  curncy</stp>
        <stp>bid</stp>
        <stp>[XMRD US Rates Dashboard.xlsm]Rates!R39C26</stp>
        <tr r="Z39" s="1"/>
      </tp>
      <tp>
        <v>7.4999999999999997E-3</v>
        <stp/>
        <stp>##V3_BDPV12</stp>
        <stp>SFSW15  curncy</stp>
        <stp>bid</stp>
        <stp>[XMRD US Rates Dashboard.xlsm]Rates!R40C26</stp>
        <tr r="Z40" s="1"/>
      </tp>
      <tp>
        <v>0.98329999999999995</v>
        <stp/>
        <stp>##V3_BDPV12</stp>
        <stp>BPSW10  curncy</stp>
        <stp>ask</stp>
        <stp>[XMRD US Rates Dashboard.xlsm]Rates!R38C18</stp>
        <tr r="R38" s="1"/>
      </tp>
      <tp>
        <v>1.0788</v>
        <stp/>
        <stp>##V3_BDPV12</stp>
        <stp>BPSW12  curncy</stp>
        <stp>ask</stp>
        <stp>[XMRD US Rates Dashboard.xlsm]Rates!R39C18</stp>
        <tr r="R39" s="1"/>
      </tp>
      <tp>
        <v>0.22</v>
        <stp/>
        <stp>##V3_BDPV12</stp>
        <stp>SFSW30  curncy</stp>
        <stp>bid</stp>
        <stp>[XMRD US Rates Dashboard.xlsm]Rates!R43C26</stp>
        <tr r="Z43" s="1"/>
      </tp>
      <tp>
        <v>0.17749999999999999</v>
        <stp/>
        <stp>##V3_BDPV12</stp>
        <stp>SFSW25  curncy</stp>
        <stp>bid</stp>
        <stp>[XMRD US Rates Dashboard.xlsm]Rates!R42C26</stp>
        <tr r="Z42" s="1"/>
      </tp>
      <tp>
        <v>0.11749999999999999</v>
        <stp/>
        <stp>##V3_BDPV12</stp>
        <stp>SFSW20  curncy</stp>
        <stp>bid</stp>
        <stp>[XMRD US Rates Dashboard.xlsm]Rates!R41C26</stp>
        <tr r="Z41" s="1"/>
      </tp>
      <tp>
        <v>0.40625</v>
        <stp/>
        <stp>##V3_BDPV12</stp>
        <stp>JYSW20  curncy</stp>
        <stp>bid</stp>
        <stp>[XMRD US Rates Dashboard.xlsm]Rates!R41C20</stp>
        <tr r="T41" s="1"/>
      </tp>
      <tp>
        <v>0.47125</v>
        <stp/>
        <stp>##V3_BDPV12</stp>
        <stp>JYSW25  curncy</stp>
        <stp>bid</stp>
        <stp>[XMRD US Rates Dashboard.xlsm]Rates!R42C20</stp>
        <tr r="T42" s="1"/>
      </tp>
      <tp>
        <v>0.53</v>
        <stp/>
        <stp>##V3_BDPV12</stp>
        <stp>JYSW30  curncy</stp>
        <stp>bid</stp>
        <stp>[XMRD US Rates Dashboard.xlsm]Rates!R43C20</stp>
        <tr r="T43" s="1"/>
      </tp>
      <tp>
        <v>2.52</v>
        <stp/>
        <stp>##V3_BDPV12</stp>
        <stp>ADSW15  curncy</stp>
        <stp>bid</stp>
        <stp>[XMRD US Rates Dashboard.xlsm]Rates!R40C29</stp>
        <tr r="AC40" s="1"/>
      </tp>
      <tp>
        <v>2.7250000000000001</v>
        <stp/>
        <stp>##V3_BDPV12</stp>
        <stp>ADSW25  curncy</stp>
        <stp>bid</stp>
        <stp>[XMRD US Rates Dashboard.xlsm]Rates!R42C29</stp>
        <tr r="AC42" s="1"/>
      </tp>
      <tp>
        <v>2.6549999999999998</v>
        <stp/>
        <stp>##V3_BDPV12</stp>
        <stp>ADSW20  curncy</stp>
        <stp>bid</stp>
        <stp>[XMRD US Rates Dashboard.xlsm]Rates!R41C29</stp>
        <tr r="AC41" s="1"/>
      </tp>
      <tp>
        <v>0.26500000000000001</v>
        <stp/>
        <stp>##V3_BDPV12</stp>
        <stp>JYSW15  curncy</stp>
        <stp>bid</stp>
        <stp>[XMRD US Rates Dashboard.xlsm]Rates!R40C20</stp>
        <tr r="T40" s="1"/>
      </tp>
      <tp>
        <v>1.7010000000000001</v>
        <stp/>
        <stp>##V3_BDPV12</stp>
        <stp>USSW12  curncy</stp>
        <stp>ask</stp>
        <stp>[XMRD US Rates Dashboard.xlsm]Rates!R39C12</stp>
        <tr r="L39" s="1"/>
      </tp>
      <tp>
        <v>1.6154999999999999</v>
        <stp/>
        <stp>##V3_BDPV12</stp>
        <stp>USSW10  curncy</stp>
        <stp>ask</stp>
        <stp>[XMRD US Rates Dashboard.xlsm]Rates!R38C12</stp>
        <tr r="L38" s="1"/>
      </tp>
      <tp>
        <v>2.75</v>
        <stp/>
        <stp>##V3_BDPV12</stp>
        <stp>ADSW30  curncy</stp>
        <stp>bid</stp>
        <stp>[XMRD US Rates Dashboard.xlsm]Rates!R43C29</stp>
        <tr r="AC43" s="1"/>
      </tp>
      <tp>
        <v>1.7909999999999999</v>
        <stp/>
        <stp>##V3_BDPV12</stp>
        <stp>USSW15  curncy</stp>
        <stp>ask</stp>
        <stp>[XMRD US Rates Dashboard.xlsm]Rates!R40C12</stp>
        <tr r="L40" s="1"/>
      </tp>
      <tp>
        <v>0.14499999999999999</v>
        <stp/>
        <stp>##V3_BDPV12</stp>
        <stp>JYSW12  curncy</stp>
        <stp>bid</stp>
        <stp>[XMRD US Rates Dashboard.xlsm]Rates!R39C20</stp>
        <tr r="T39" s="1"/>
      </tp>
      <tp>
        <v>6.7500000000000004E-2</v>
        <stp/>
        <stp>##V3_BDPV12</stp>
        <stp>JYSW10  curncy</stp>
        <stp>bid</stp>
        <stp>[XMRD US Rates Dashboard.xlsm]Rates!R38C20</stp>
        <tr r="T38" s="1"/>
      </tp>
      <tp>
        <v>1.9503999999999999</v>
        <stp/>
        <stp>##V3_BDPV12</stp>
        <stp>USSW30  curncy</stp>
        <stp>ask</stp>
        <stp>[XMRD US Rates Dashboard.xlsm]Rates!R43C12</stp>
        <tr r="L43" s="1"/>
      </tp>
      <tp>
        <v>2.42</v>
        <stp/>
        <stp>##V3_BDPV12</stp>
        <stp>ADSW12  curncy</stp>
        <stp>bid</stp>
        <stp>[XMRD US Rates Dashboard.xlsm]Rates!R39C29</stp>
        <tr r="AC39" s="1"/>
      </tp>
      <tp>
        <v>2.3370000000000002</v>
        <stp/>
        <stp>##V3_BDPV12</stp>
        <stp>ADSW10  curncy</stp>
        <stp>bid</stp>
        <stp>[XMRD US Rates Dashboard.xlsm]Rates!R38C29</stp>
        <tr r="AC38" s="1"/>
      </tp>
      <tp>
        <v>1.929</v>
        <stp/>
        <stp>##V3_BDPV12</stp>
        <stp>USSW25  curncy</stp>
        <stp>ask</stp>
        <stp>[XMRD US Rates Dashboard.xlsm]Rates!R42C12</stp>
        <tr r="L42" s="1"/>
      </tp>
      <tp>
        <v>1.8875</v>
        <stp/>
        <stp>##V3_BDPV12</stp>
        <stp>USSW20  curncy</stp>
        <stp>ask</stp>
        <stp>[XMRD US Rates Dashboard.xlsm]Rates!R41C12</stp>
        <tr r="L41" s="1"/>
      </tp>
      <tp>
        <v>1.6807000000000001</v>
        <stp/>
        <stp>##V3_BDPV12</stp>
        <stp>CDSW15  curncy</stp>
        <stp>bid</stp>
        <stp>[XMRD US Rates Dashboard.xlsm]Rates!R40C23</stp>
        <tr r="W40" s="1"/>
      </tp>
      <tp>
        <v>1.7556</v>
        <stp/>
        <stp>##V3_BDPV12</stp>
        <stp>CDSW25  curncy</stp>
        <stp>bid</stp>
        <stp>[XMRD US Rates Dashboard.xlsm]Rates!R42C23</stp>
        <tr r="W42" s="1"/>
      </tp>
      <tp>
        <v>1.7794000000000001</v>
        <stp/>
        <stp>##V3_BDPV12</stp>
        <stp>CDSW20  curncy</stp>
        <stp>bid</stp>
        <stp>[XMRD US Rates Dashboard.xlsm]Rates!R41C23</stp>
        <tr r="W41" s="1"/>
      </tp>
      <tp>
        <v>1.7118</v>
        <stp/>
        <stp>##V3_BDPV12</stp>
        <stp>CDSW30  curncy</stp>
        <stp>bid</stp>
        <stp>[XMRD US Rates Dashboard.xlsm]Rates!R43C23</stp>
        <tr r="W43" s="1"/>
      </tp>
      <tp>
        <v>1.5305</v>
        <stp/>
        <stp>##V3_BDPV12</stp>
        <stp>CDSW12  curncy</stp>
        <stp>bid</stp>
        <stp>[XMRD US Rates Dashboard.xlsm]Rates!R39C23</stp>
        <tr r="W39" s="1"/>
      </tp>
      <tp>
        <v>1.3995</v>
        <stp/>
        <stp>##V3_BDPV12</stp>
        <stp>CDSW10  curncy</stp>
        <stp>bid</stp>
        <stp>[XMRD US Rates Dashboard.xlsm]Rates!R38C23</stp>
        <tr r="W38" s="1"/>
      </tp>
      <tp>
        <v>0.91900000000000004</v>
        <stp/>
        <stp>##V3_BDPV12</stp>
        <stp>EUSA20  curncy</stp>
        <stp>ask</stp>
        <stp>[XMRD US Rates Dashboard.xlsm]Rates!R40C15</stp>
        <tr r="O40" s="1"/>
      </tp>
      <tp>
        <v>0.95799999999999996</v>
        <stp/>
        <stp>##V3_BDPV12</stp>
        <stp>EUSA25  curncy</stp>
        <stp>ask</stp>
        <stp>[XMRD US Rates Dashboard.xlsm]Rates!R41C15</stp>
        <tr r="O41" s="1"/>
      </tp>
      <tp>
        <v>0.96699999999999997</v>
        <stp/>
        <stp>##V3_BDPV12</stp>
        <stp>EUSA30  curncy</stp>
        <stp>ask</stp>
        <stp>[XMRD US Rates Dashboard.xlsm]Rates!R42C15</stp>
        <tr r="O42" s="1"/>
      </tp>
      <tp>
        <v>0.43</v>
        <stp/>
        <stp>##V3_BDPV12</stp>
        <stp>EUSA10  curncy</stp>
        <stp>ask</stp>
        <stp>[XMRD US Rates Dashboard.xlsm]Rates!R37C15</stp>
        <tr r="O37" s="1"/>
      </tp>
      <tp>
        <v>0.60050000000000003</v>
        <stp/>
        <stp>##V3_BDPV12</stp>
        <stp>EUSA12  curncy</stp>
        <stp>ask</stp>
        <stp>[XMRD US Rates Dashboard.xlsm]Rates!R38C15</stp>
        <tr r="O38" s="1"/>
      </tp>
      <tp>
        <v>0.77749999999999997</v>
        <stp/>
        <stp>##V3_BDPV12</stp>
        <stp>EUSA15  curncy</stp>
        <stp>ask</stp>
        <stp>[XMRD US Rates Dashboard.xlsm]Rates!R39C15</stp>
        <tr r="O39" s="1"/>
      </tp>
      <tp>
        <v>0.77600000000000002</v>
        <stp/>
        <stp>##V3_BDPV12</stp>
        <stp>EUSA15  curncy</stp>
        <stp>bid</stp>
        <stp>[XMRD US Rates Dashboard.xlsm]Rates!R40C14</stp>
        <tr r="N40" s="1"/>
      </tp>
      <tp>
        <v>0.96199999999999997</v>
        <stp/>
        <stp>##V3_BDPV12</stp>
        <stp>EUSA30  curncy</stp>
        <stp>bid</stp>
        <stp>[XMRD US Rates Dashboard.xlsm]Rates!R43C14</stp>
        <tr r="N43" s="1"/>
      </tp>
      <tp>
        <v>0.95499999999999996</v>
        <stp/>
        <stp>##V3_BDPV12</stp>
        <stp>EUSA25  curncy</stp>
        <stp>bid</stp>
        <stp>[XMRD US Rates Dashboard.xlsm]Rates!R42C14</stp>
        <tr r="N42" s="1"/>
      </tp>
      <tp>
        <v>0.91449999999999998</v>
        <stp/>
        <stp>##V3_BDPV12</stp>
        <stp>EUSA20  curncy</stp>
        <stp>bid</stp>
        <stp>[XMRD US Rates Dashboard.xlsm]Rates!R41C14</stp>
        <tr r="N41" s="1"/>
      </tp>
      <tp>
        <v>0.59799999999999998</v>
        <stp/>
        <stp>##V3_BDPV12</stp>
        <stp>EUSA12  curncy</stp>
        <stp>bid</stp>
        <stp>[XMRD US Rates Dashboard.xlsm]Rates!R39C14</stp>
        <tr r="N39" s="1"/>
      </tp>
      <tp>
        <v>0.42799999999999999</v>
        <stp/>
        <stp>##V3_BDPV12</stp>
        <stp>EUSA10  curncy</stp>
        <stp>bid</stp>
        <stp>[XMRD US Rates Dashboard.xlsm]Rates!R38C14</stp>
        <tr r="N38" s="1"/>
      </tp>
      <tp>
        <v>1.0244200000000001</v>
        <stp/>
        <stp>##V3_BDPV12</stp>
        <stp>GT3 govt</stp>
        <stp>bid yld</stp>
        <stp>[XMRD US Rates Dashboard.xlsm]Rates!R12C9</stp>
        <tr r="I12" s="1"/>
      </tp>
      <tp>
        <v>5.8788957835820641</v>
        <stp/>
        <stp>##V3_BDPV12</stp>
        <stp>USH7 comdty</stp>
        <stp>FUT_CTD_NET_BASIS</stp>
        <stp>[XMRD US Rates Dashboard.xlsm]Rates!R18C26</stp>
        <tr r="Z18" s="1"/>
      </tp>
      <tp>
        <v>4.8844867263031659</v>
        <stp/>
        <stp>##V3_BDPV12</stp>
        <stp>USZ6 comdty</stp>
        <stp>FUT_CTD_NET_BASIS</stp>
        <stp>[XMRD US Rates Dashboard.xlsm]Rates!R17C26</stp>
        <tr r="Z17" s="1"/>
      </tp>
      <tp>
        <v>4502.97</v>
        <stp/>
        <stp>##V3_BDPV12</stp>
        <stp>CAC index</stp>
        <stp>last price</stp>
        <stp>[XMRD US Rates Dashboard.xlsm]Rates!R24C26</stp>
        <tr r="Z24" s="1"/>
      </tp>
      <tp>
        <v>190.27789999999999</v>
        <stp/>
        <stp>##V3_BDPV12</stp>
        <stp>CRY index</stp>
        <stp>last price</stp>
        <stp>[XMRD US Rates Dashboard.xlsm]Rates!R25C30</stp>
        <tr r="AD25" s="1"/>
      </tp>
      <tp>
        <v>5479.8010000000004</v>
        <stp/>
        <stp>##V3_BDPV12</stp>
        <stp>AS51 index</stp>
        <stp>last price</stp>
        <stp>[XMRD US Rates Dashboard.xlsm]Rates!R24C30</stp>
        <tr r="AD24" s="1"/>
      </tp>
      <tp>
        <v>0.87040799999999996</v>
        <stp/>
        <stp>##V3_BDPV12</stp>
        <stp>GT2 govt</stp>
        <stp>bid yld</stp>
        <stp>[XMRD US Rates Dashboard.xlsm]Rates!R11C9</stp>
        <tr r="I11" s="1"/>
      </tp>
    </main>
    <main first="bloomberg.rtd">
      <tp>
        <v>0.98599999999999999</v>
        <stp/>
        <stp>##V3_BDPV12</stp>
        <stp>CHF curncy</stp>
        <stp>last price</stp>
        <stp>[XMRD US Rates Dashboard.xlsm]Rates!R87C21</stp>
        <tr r="U87" s="1"/>
      </tp>
      <tp>
        <v>1.600986</v>
        <stp/>
        <stp>##V3_BDPV12</stp>
        <stp>GT7 govt</stp>
        <stp>bid yld</stp>
        <stp>[XMRD US Rates Dashboard.xlsm]Rates!R16C9</stp>
        <tr r="I16" s="1"/>
      </tp>
      <tp>
        <v>2.81</v>
        <stp/>
        <stp>##V3_BDPV12</stp>
        <stp>EUR1W Curncy</stp>
        <stp>ask</stp>
        <stp>[XMRD US Rates Dashboard.xlsm]Rates!R90C8</stp>
        <tr r="H90" s="1"/>
      </tp>
      <tp t="s">
        <v>T 1.375 05/31/21</v>
        <stp/>
        <stp>##V3_BDPV12</stp>
        <stp>FVH7 comdty</stp>
        <stp>FUT_CTD</stp>
        <stp>[XMRD US Rates Dashboard.xlsm]Rates!R14C28</stp>
        <tr r="AB14" s="1"/>
      </tp>
      <tp t="s">
        <v>T 2.75 11/15/23</v>
        <stp/>
        <stp>##V3_BDPV12</stp>
        <stp>TYH7 comdty</stp>
        <stp>FUT_CTD</stp>
        <stp>[XMRD US Rates Dashboard.xlsm]Rates!R16C28</stp>
        <tr r="AB16" s="1"/>
      </tp>
      <tp t="s">
        <v>T 1.5 12/31/18</v>
        <stp/>
        <stp>##V3_BDPV12</stp>
        <stp>TUH7 comdty</stp>
        <stp>FUT_CTD</stp>
        <stp>[XMRD US Rates Dashboard.xlsm]Rates!R12C28</stp>
        <tr r="AB12" s="1"/>
      </tp>
      <tp t="s">
        <v>T 4.5 02/15/36</v>
        <stp/>
        <stp>##V3_BDPV12</stp>
        <stp>USH7 comdty</stp>
        <stp>FUT_CTD</stp>
        <stp>[XMRD US Rates Dashboard.xlsm]Rates!R18C28</stp>
        <tr r="AB18" s="1"/>
      </tp>
      <tp t="s">
        <v>#N/A N/A</v>
        <stp/>
        <stp>##V3_BDPV12</stp>
        <stp>USCS106  curncy</stp>
        <stp>bid</stp>
        <stp>[XMRD US Rates Dashboard.xlsm]Rates!R160C25</stp>
        <tr r="Y160" s="1"/>
      </tp>
      <tp t="s">
        <v>#N/A N/A</v>
        <stp/>
        <stp>##V3_BDPV12</stp>
        <stp>USCS105  curncy</stp>
        <stp>bid</stp>
        <stp>[XMRD US Rates Dashboard.xlsm]Rates!R159C25</stp>
        <tr r="Y159" s="1"/>
      </tp>
      <tp t="s">
        <v>#N/A N/A</v>
        <stp/>
        <stp>##V3_BDPV12</stp>
        <stp>USCS107  curncy</stp>
        <stp>bid</stp>
        <stp>[XMRD US Rates Dashboard.xlsm]Rates!R161C25</stp>
        <tr r="Y161" s="1"/>
      </tp>
      <tp t="s">
        <v>#N/A N/A</v>
        <stp/>
        <stp>##V3_BDPV12</stp>
        <stp>USCS104  curncy</stp>
        <stp>bid</stp>
        <stp>[XMRD US Rates Dashboard.xlsm]Rates!R158C25</stp>
        <tr r="Y158" s="1"/>
      </tp>
      <tp t="s">
        <v>#N/A N/A</v>
        <stp/>
        <stp>##V3_BDPV12</stp>
        <stp>USCS101  curncy</stp>
        <stp>bid</stp>
        <stp>[XMRD US Rates Dashboard.xlsm]Rates!R155C25</stp>
        <tr r="Y155" s="1"/>
      </tp>
      <tp t="s">
        <v>#N/A N/A</v>
        <stp/>
        <stp>##V3_BDPV12</stp>
        <stp>USCS103  curncy</stp>
        <stp>bid</stp>
        <stp>[XMRD US Rates Dashboard.xlsm]Rates!R157C25</stp>
        <tr r="Y157" s="1"/>
      </tp>
      <tp t="s">
        <v>#N/A N/A</v>
        <stp/>
        <stp>##V3_BDPV12</stp>
        <stp>USCS102  curncy</stp>
        <stp>bid</stp>
        <stp>[XMRD US Rates Dashboard.xlsm]Rates!R156C25</stp>
        <tr r="Y156" s="1"/>
      </tp>
      <tp t="s">
        <v>#N/A N/A</v>
        <stp/>
        <stp>##V3_BDPV12</stp>
        <stp>USCS108  curncy</stp>
        <stp>bid</stp>
        <stp>[XMRD US Rates Dashboard.xlsm]Rates!R162C25</stp>
        <tr r="Y162" s="1"/>
      </tp>
      <tp t="s">
        <v>#N/A N/A</v>
        <stp/>
        <stp>##V3_BDPV12</stp>
        <stp>USCS109  curncy</stp>
        <stp>bid</stp>
        <stp>[XMRD US Rates Dashboard.xlsm]Rates!R163C25</stp>
        <tr r="Y163" s="1"/>
      </tp>
      <tp t="s">
        <v>EDM8</v>
        <stp/>
        <stp>##V3_BDPV12</stp>
        <stp>ED7 comdty</stp>
        <stp>FUT_CUR_GEN_TICKER</stp>
        <stp>[XMRD US Rates Dashboard.xlsm]Rates!R78C6</stp>
        <tr r="F78" s="1"/>
      </tp>
      <tp t="s">
        <v>TYH7</v>
        <stp/>
        <stp>##V3_BDPV12</stp>
        <stp>TY2 comdty</stp>
        <stp>fut cur gen ticker</stp>
        <stp>[XMRD US Rates Dashboard.xlsm]Rates!R16C22</stp>
        <tr r="V16" s="1"/>
      </tp>
      <tp t="s">
        <v>TYZ6</v>
        <stp/>
        <stp>##V3_BDPV12</stp>
        <stp>TY1 comdty</stp>
        <stp>fut cur gen ticker</stp>
        <stp>[XMRD US Rates Dashboard.xlsm]Rates!R15C22</stp>
        <tr r="V15" s="1"/>
      </tp>
      <tp t="s">
        <v>T 1.125 02/28/21</v>
        <stp/>
        <stp>##V3_BDPV12</stp>
        <stp>FVZ6 comdty</stp>
        <stp>FUT_CTD</stp>
        <stp>[XMRD US Rates Dashboard.xlsm]Rates!R13C28</stp>
        <tr r="AB13" s="1"/>
      </tp>
      <tp>
        <v>-3.5734753546359057</v>
        <stp/>
        <stp>##V3_BDPV12</stp>
        <stp>FVH7 comdty</stp>
        <stp>FUT_CTD_NET_BASIS</stp>
        <stp>[XMRD US Rates Dashboard.xlsm]Rates!R14C26</stp>
        <tr r="Z14" s="1"/>
      </tp>
      <tp t="s">
        <v>#N/A N/A</v>
        <stp/>
        <stp>##V3_BDPV12</stp>
        <stp>USCS081  curncy</stp>
        <stp>bid</stp>
        <stp>[XMRD US Rates Dashboard.xlsm]Rates!R155C21</stp>
        <tr r="U155" s="1"/>
      </tp>
      <tp t="s">
        <v>#N/A N/A</v>
        <stp/>
        <stp>##V3_BDPV12</stp>
        <stp>USCS083  curncy</stp>
        <stp>bid</stp>
        <stp>[XMRD US Rates Dashboard.xlsm]Rates!R157C21</stp>
        <tr r="U157" s="1"/>
      </tp>
      <tp t="s">
        <v>#N/A N/A</v>
        <stp/>
        <stp>##V3_BDPV12</stp>
        <stp>USCS082  curncy</stp>
        <stp>bid</stp>
        <stp>[XMRD US Rates Dashboard.xlsm]Rates!R156C21</stp>
        <tr r="U156" s="1"/>
      </tp>
      <tp t="s">
        <v>#N/A N/A</v>
        <stp/>
        <stp>##V3_BDPV12</stp>
        <stp>USCS086  curncy</stp>
        <stp>bid</stp>
        <stp>[XMRD US Rates Dashboard.xlsm]Rates!R160C21</stp>
        <tr r="U160" s="1"/>
      </tp>
      <tp t="s">
        <v>#N/A N/A</v>
        <stp/>
        <stp>##V3_BDPV12</stp>
        <stp>USCS085  curncy</stp>
        <stp>bid</stp>
        <stp>[XMRD US Rates Dashboard.xlsm]Rates!R159C21</stp>
        <tr r="U159" s="1"/>
      </tp>
      <tp t="s">
        <v>#N/A N/A</v>
        <stp/>
        <stp>##V3_BDPV12</stp>
        <stp>USCS087  curncy</stp>
        <stp>bid</stp>
        <stp>[XMRD US Rates Dashboard.xlsm]Rates!R161C21</stp>
        <tr r="U161" s="1"/>
      </tp>
      <tp t="s">
        <v>#N/A N/A</v>
        <stp/>
        <stp>##V3_BDPV12</stp>
        <stp>USCS084  curncy</stp>
        <stp>bid</stp>
        <stp>[XMRD US Rates Dashboard.xlsm]Rates!R158C21</stp>
        <tr r="U158" s="1"/>
      </tp>
      <tp t="s">
        <v>#N/A N/A</v>
        <stp/>
        <stp>##V3_BDPV12</stp>
        <stp>USCS088  curncy</stp>
        <stp>bid</stp>
        <stp>[XMRD US Rates Dashboard.xlsm]Rates!R162C21</stp>
        <tr r="U162" s="1"/>
      </tp>
      <tp t="s">
        <v>#N/A N/A</v>
        <stp/>
        <stp>##V3_BDPV12</stp>
        <stp>USCS089  curncy</stp>
        <stp>bid</stp>
        <stp>[XMRD US Rates Dashboard.xlsm]Rates!R163C21</stp>
        <tr r="U163" s="1"/>
      </tp>
      <tp t="s">
        <v>#N/A N/A</v>
        <stp/>
        <stp>##V3_BDPV12</stp>
        <stp>USCS093  curncy</stp>
        <stp>bid</stp>
        <stp>[XMRD US Rates Dashboard.xlsm]Rates!R157C23</stp>
        <tr r="W157" s="1"/>
      </tp>
      <tp t="s">
        <v>#N/A N/A</v>
        <stp/>
        <stp>##V3_BDPV12</stp>
        <stp>USCS092  curncy</stp>
        <stp>bid</stp>
        <stp>[XMRD US Rates Dashboard.xlsm]Rates!R156C23</stp>
        <tr r="W156" s="1"/>
      </tp>
      <tp t="s">
        <v>#N/A N/A</v>
        <stp/>
        <stp>##V3_BDPV12</stp>
        <stp>USCS091  curncy</stp>
        <stp>bid</stp>
        <stp>[XMRD US Rates Dashboard.xlsm]Rates!R155C23</stp>
        <tr r="W155" s="1"/>
      </tp>
      <tp t="s">
        <v>#N/A N/A</v>
        <stp/>
        <stp>##V3_BDPV12</stp>
        <stp>USCS096  curncy</stp>
        <stp>bid</stp>
        <stp>[XMRD US Rates Dashboard.xlsm]Rates!R160C23</stp>
        <tr r="W160" s="1"/>
      </tp>
      <tp t="s">
        <v>#N/A N/A</v>
        <stp/>
        <stp>##V3_BDPV12</stp>
        <stp>USCS095  curncy</stp>
        <stp>bid</stp>
        <stp>[XMRD US Rates Dashboard.xlsm]Rates!R159C23</stp>
        <tr r="W159" s="1"/>
      </tp>
      <tp t="s">
        <v>#N/A N/A</v>
        <stp/>
        <stp>##V3_BDPV12</stp>
        <stp>USCS097  curncy</stp>
        <stp>bid</stp>
        <stp>[XMRD US Rates Dashboard.xlsm]Rates!R161C23</stp>
        <tr r="W161" s="1"/>
      </tp>
      <tp t="s">
        <v>#N/A N/A</v>
        <stp/>
        <stp>##V3_BDPV12</stp>
        <stp>USCS094  curncy</stp>
        <stp>bid</stp>
        <stp>[XMRD US Rates Dashboard.xlsm]Rates!R158C23</stp>
        <tr r="W158" s="1"/>
      </tp>
      <tp t="s">
        <v>#N/A N/A</v>
        <stp/>
        <stp>##V3_BDPV12</stp>
        <stp>USCS098  curncy</stp>
        <stp>bid</stp>
        <stp>[XMRD US Rates Dashboard.xlsm]Rates!R162C23</stp>
        <tr r="W162" s="1"/>
      </tp>
      <tp t="s">
        <v>#N/A N/A</v>
        <stp/>
        <stp>##V3_BDPV12</stp>
        <stp>USCS099  curncy</stp>
        <stp>bid</stp>
        <stp>[XMRD US Rates Dashboard.xlsm]Rates!R163C23</stp>
        <tr r="W163" s="1"/>
      </tp>
      <tp t="s">
        <v>#N/A N/A</v>
        <stp/>
        <stp>##V3_BDPV12</stp>
        <stp>USCS056  curncy</stp>
        <stp>bid</stp>
        <stp>[XMRD US Rates Dashboard.xlsm]Rates!R160C15</stp>
        <tr r="O160" s="1"/>
      </tp>
      <tp t="s">
        <v>#N/A N/A</v>
        <stp/>
        <stp>##V3_BDPV12</stp>
        <stp>USCS055  curncy</stp>
        <stp>bid</stp>
        <stp>[XMRD US Rates Dashboard.xlsm]Rates!R159C15</stp>
        <tr r="O159" s="1"/>
      </tp>
      <tp t="s">
        <v>#N/A N/A</v>
        <stp/>
        <stp>##V3_BDPV12</stp>
        <stp>USCS057  curncy</stp>
        <stp>bid</stp>
        <stp>[XMRD US Rates Dashboard.xlsm]Rates!R161C15</stp>
        <tr r="O161" s="1"/>
      </tp>
      <tp t="s">
        <v>#N/A N/A</v>
        <stp/>
        <stp>##V3_BDPV12</stp>
        <stp>USCS054  curncy</stp>
        <stp>bid</stp>
        <stp>[XMRD US Rates Dashboard.xlsm]Rates!R158C15</stp>
        <tr r="O158" s="1"/>
      </tp>
      <tp t="s">
        <v>T 2.5 08/15/23</v>
        <stp/>
        <stp>##V3_BDPV12</stp>
        <stp>TYZ6 comdty</stp>
        <stp>FUT_CTD</stp>
        <stp>[XMRD US Rates Dashboard.xlsm]Rates!R15C28</stp>
        <tr r="AB15" s="1"/>
      </tp>
      <tp t="s">
        <v>#N/A N/A</v>
        <stp/>
        <stp>##V3_BDPV12</stp>
        <stp>USCS051  curncy</stp>
        <stp>bid</stp>
        <stp>[XMRD US Rates Dashboard.xlsm]Rates!R155C15</stp>
        <tr r="O155" s="1"/>
      </tp>
      <tp t="s">
        <v>#N/A N/A</v>
        <stp/>
        <stp>##V3_BDPV12</stp>
        <stp>USCS053  curncy</stp>
        <stp>bid</stp>
        <stp>[XMRD US Rates Dashboard.xlsm]Rates!R157C15</stp>
        <tr r="O157" s="1"/>
      </tp>
      <tp t="s">
        <v>#N/A N/A</v>
        <stp/>
        <stp>##V3_BDPV12</stp>
        <stp>USCS052  curncy</stp>
        <stp>bid</stp>
        <stp>[XMRD US Rates Dashboard.xlsm]Rates!R156C15</stp>
        <tr r="O156" s="1"/>
      </tp>
      <tp t="s">
        <v>T 1.375 09/30/18</v>
        <stp/>
        <stp>##V3_BDPV12</stp>
        <stp>TUZ6 comdty</stp>
        <stp>FUT_CTD</stp>
        <stp>[XMRD US Rates Dashboard.xlsm]Rates!R11C28</stp>
        <tr r="AB11" s="1"/>
      </tp>
      <tp t="s">
        <v>#N/A N/A</v>
        <stp/>
        <stp>##V3_BDPV12</stp>
        <stp>USCS058  curncy</stp>
        <stp>bid</stp>
        <stp>[XMRD US Rates Dashboard.xlsm]Rates!R162C15</stp>
        <tr r="O162" s="1"/>
      </tp>
      <tp t="s">
        <v>#N/A N/A</v>
        <stp/>
        <stp>##V3_BDPV12</stp>
        <stp>USCS059  curncy</stp>
        <stp>bid</stp>
        <stp>[XMRD US Rates Dashboard.xlsm]Rates!R163C15</stp>
        <tr r="O163" s="1"/>
      </tp>
      <tp>
        <v>-0.41424931060950088</v>
        <stp/>
        <stp>##V3_BDPV12</stp>
        <stp>FVZ6 comdty</stp>
        <stp>FUT_CTD_NET_BASIS</stp>
        <stp>[XMRD US Rates Dashboard.xlsm]Rates!R13C26</stp>
        <tr r="Z13" s="1"/>
      </tp>
      <tp t="s">
        <v>#N/A N/A</v>
        <stp/>
        <stp>##V3_BDPV12</stp>
        <stp>USCS043  curncy</stp>
        <stp>bid</stp>
        <stp>[XMRD US Rates Dashboard.xlsm]Rates!R157C13</stp>
        <tr r="M157" s="1"/>
      </tp>
      <tp t="s">
        <v>#N/A N/A</v>
        <stp/>
        <stp>##V3_BDPV12</stp>
        <stp>USCS042  curncy</stp>
        <stp>bid</stp>
        <stp>[XMRD US Rates Dashboard.xlsm]Rates!R156C13</stp>
        <tr r="M156" s="1"/>
      </tp>
      <tp t="s">
        <v>#N/A N/A</v>
        <stp/>
        <stp>##V3_BDPV12</stp>
        <stp>USCS041  curncy</stp>
        <stp>bid</stp>
        <stp>[XMRD US Rates Dashboard.xlsm]Rates!R155C13</stp>
        <tr r="M155" s="1"/>
      </tp>
      <tp t="s">
        <v>#N/A N/A</v>
        <stp/>
        <stp>##V3_BDPV12</stp>
        <stp>USCS046  curncy</stp>
        <stp>bid</stp>
        <stp>[XMRD US Rates Dashboard.xlsm]Rates!R160C13</stp>
        <tr r="M160" s="1"/>
      </tp>
      <tp t="s">
        <v>#N/A N/A</v>
        <stp/>
        <stp>##V3_BDPV12</stp>
        <stp>USCS045  curncy</stp>
        <stp>bid</stp>
        <stp>[XMRD US Rates Dashboard.xlsm]Rates!R159C13</stp>
        <tr r="M159" s="1"/>
      </tp>
      <tp t="s">
        <v>#N/A N/A</v>
        <stp/>
        <stp>##V3_BDPV12</stp>
        <stp>USCS047  curncy</stp>
        <stp>bid</stp>
        <stp>[XMRD US Rates Dashboard.xlsm]Rates!R161C13</stp>
        <tr r="M161" s="1"/>
      </tp>
      <tp t="s">
        <v>#N/A N/A</v>
        <stp/>
        <stp>##V3_BDPV12</stp>
        <stp>USCS044  curncy</stp>
        <stp>bid</stp>
        <stp>[XMRD US Rates Dashboard.xlsm]Rates!R158C13</stp>
        <tr r="M158" s="1"/>
      </tp>
      <tp t="s">
        <v>#N/A N/A</v>
        <stp/>
        <stp>##V3_BDPV12</stp>
        <stp>USCS048  curncy</stp>
        <stp>bid</stp>
        <stp>[XMRD US Rates Dashboard.xlsm]Rates!R162C13</stp>
        <tr r="M162" s="1"/>
      </tp>
      <tp t="s">
        <v>#N/A N/A</v>
        <stp/>
        <stp>##V3_BDPV12</stp>
        <stp>USCS049  curncy</stp>
        <stp>bid</stp>
        <stp>[XMRD US Rates Dashboard.xlsm]Rates!R163C13</stp>
        <tr r="M163" s="1"/>
      </tp>
      <tp t="s">
        <v>T 4.5 02/15/36</v>
        <stp/>
        <stp>##V3_BDPV12</stp>
        <stp>USZ6 comdty</stp>
        <stp>FUT_CTD</stp>
        <stp>[XMRD US Rates Dashboard.xlsm]Rates!R17C28</stp>
        <tr r="AB17" s="1"/>
      </tp>
      <tp>
        <v>14.04</v>
        <stp/>
        <stp>##V3_BDPV12</stp>
        <stp>EUR1M Curncy</stp>
        <stp>ask</stp>
        <stp>[XMRD US Rates Dashboard.xlsm]Rates!R91C8</stp>
        <tr r="H91" s="1"/>
      </tp>
      <tp>
        <v>26.51</v>
        <stp/>
        <stp>##V3_BDPV12</stp>
        <stp>EUR2M Curncy</stp>
        <stp>ask</stp>
        <stp>[XMRD US Rates Dashboard.xlsm]Rates!R92C8</stp>
        <tr r="H92" s="1"/>
      </tp>
      <tp>
        <v>45.21</v>
        <stp/>
        <stp>##V3_BDPV12</stp>
        <stp>EUR3M Curncy</stp>
        <stp>ask</stp>
        <stp>[XMRD US Rates Dashboard.xlsm]Rates!R93C8</stp>
        <tr r="H93" s="1"/>
      </tp>
      <tp t="s">
        <v>#N/A N/A</v>
        <stp/>
        <stp>##V3_BDPV12</stp>
        <stp>USCS078  curncy</stp>
        <stp>bid</stp>
        <stp>[XMRD US Rates Dashboard.xlsm]Rates!R162C19</stp>
        <tr r="S162" s="1"/>
      </tp>
      <tp t="s">
        <v>#N/A N/A</v>
        <stp/>
        <stp>##V3_BDPV12</stp>
        <stp>USCS079  curncy</stp>
        <stp>bid</stp>
        <stp>[XMRD US Rates Dashboard.xlsm]Rates!R163C19</stp>
        <tr r="S163" s="1"/>
      </tp>
      <tp t="s">
        <v>#N/A N/A</v>
        <stp/>
        <stp>##V3_BDPV12</stp>
        <stp>USCS071  curncy</stp>
        <stp>bid</stp>
        <stp>[XMRD US Rates Dashboard.xlsm]Rates!R155C19</stp>
        <tr r="S155" s="1"/>
      </tp>
      <tp t="s">
        <v>#N/A N/A</v>
        <stp/>
        <stp>##V3_BDPV12</stp>
        <stp>USCS073  curncy</stp>
        <stp>bid</stp>
        <stp>[XMRD US Rates Dashboard.xlsm]Rates!R157C19</stp>
        <tr r="S157" s="1"/>
      </tp>
      <tp t="s">
        <v>#N/A N/A</v>
        <stp/>
        <stp>##V3_BDPV12</stp>
        <stp>USCS072  curncy</stp>
        <stp>bid</stp>
        <stp>[XMRD US Rates Dashboard.xlsm]Rates!R156C19</stp>
        <tr r="S156" s="1"/>
      </tp>
      <tp t="s">
        <v>#N/A N/A</v>
        <stp/>
        <stp>##V3_BDPV12</stp>
        <stp>USCS076  curncy</stp>
        <stp>bid</stp>
        <stp>[XMRD US Rates Dashboard.xlsm]Rates!R160C19</stp>
        <tr r="S160" s="1"/>
      </tp>
      <tp t="s">
        <v>#N/A N/A</v>
        <stp/>
        <stp>##V3_BDPV12</stp>
        <stp>USCS075  curncy</stp>
        <stp>bid</stp>
        <stp>[XMRD US Rates Dashboard.xlsm]Rates!R159C19</stp>
        <tr r="S159" s="1"/>
      </tp>
      <tp t="s">
        <v>#N/A N/A</v>
        <stp/>
        <stp>##V3_BDPV12</stp>
        <stp>USCS077  curncy</stp>
        <stp>bid</stp>
        <stp>[XMRD US Rates Dashboard.xlsm]Rates!R161C19</stp>
        <tr r="S161" s="1"/>
      </tp>
      <tp t="s">
        <v>#N/A N/A</v>
        <stp/>
        <stp>##V3_BDPV12</stp>
        <stp>USCS074  curncy</stp>
        <stp>bid</stp>
        <stp>[XMRD US Rates Dashboard.xlsm]Rates!R158C19</stp>
        <tr r="S158" s="1"/>
      </tp>
      <tp t="s">
        <v>#N/A N/A</v>
        <stp/>
        <stp>##V3_BDPV12</stp>
        <stp>USCS066  curncy</stp>
        <stp>bid</stp>
        <stp>[XMRD US Rates Dashboard.xlsm]Rates!R160C17</stp>
        <tr r="Q160" s="1"/>
      </tp>
      <tp t="s">
        <v>#N/A N/A</v>
        <stp/>
        <stp>##V3_BDPV12</stp>
        <stp>USCS065  curncy</stp>
        <stp>bid</stp>
        <stp>[XMRD US Rates Dashboard.xlsm]Rates!R159C17</stp>
        <tr r="Q159" s="1"/>
      </tp>
      <tp t="s">
        <v>#N/A N/A</v>
        <stp/>
        <stp>##V3_BDPV12</stp>
        <stp>USCS067  curncy</stp>
        <stp>bid</stp>
        <stp>[XMRD US Rates Dashboard.xlsm]Rates!R161C17</stp>
        <tr r="Q161" s="1"/>
      </tp>
      <tp t="s">
        <v>#N/A N/A</v>
        <stp/>
        <stp>##V3_BDPV12</stp>
        <stp>USCS064  curncy</stp>
        <stp>bid</stp>
        <stp>[XMRD US Rates Dashboard.xlsm]Rates!R158C17</stp>
        <tr r="Q158" s="1"/>
      </tp>
      <tp t="s">
        <v>#N/A N/A</v>
        <stp/>
        <stp>##V3_BDPV12</stp>
        <stp>USCS063  curncy</stp>
        <stp>bid</stp>
        <stp>[XMRD US Rates Dashboard.xlsm]Rates!R157C17</stp>
        <tr r="Q157" s="1"/>
      </tp>
      <tp t="s">
        <v>#N/A N/A</v>
        <stp/>
        <stp>##V3_BDPV12</stp>
        <stp>USCS062  curncy</stp>
        <stp>bid</stp>
        <stp>[XMRD US Rates Dashboard.xlsm]Rates!R156C17</stp>
        <tr r="Q156" s="1"/>
      </tp>
      <tp t="s">
        <v>#N/A N/A</v>
        <stp/>
        <stp>##V3_BDPV12</stp>
        <stp>USCS061  curncy</stp>
        <stp>bid</stp>
        <stp>[XMRD US Rates Dashboard.xlsm]Rates!R155C17</stp>
        <tr r="Q155" s="1"/>
      </tp>
      <tp t="s">
        <v>#N/A N/A</v>
        <stp/>
        <stp>##V3_BDPV12</stp>
        <stp>USCS068  curncy</stp>
        <stp>bid</stp>
        <stp>[XMRD US Rates Dashboard.xlsm]Rates!R162C17</stp>
        <tr r="Q162" s="1"/>
      </tp>
      <tp t="s">
        <v>#N/A N/A</v>
        <stp/>
        <stp>##V3_BDPV12</stp>
        <stp>USCS069  curncy</stp>
        <stp>bid</stp>
        <stp>[XMRD US Rates Dashboard.xlsm]Rates!R163C17</stp>
        <tr r="Q163" s="1"/>
      </tp>
      <tp t="s">
        <v>#N/A N/A</v>
        <stp/>
        <stp>##V3_BDPV12</stp>
        <stp>USCS031  curncy</stp>
        <stp>bid</stp>
        <stp>[XMRD US Rates Dashboard.xlsm]Rates!R155C11</stp>
        <tr r="K155" s="1"/>
      </tp>
      <tp t="s">
        <v>#N/A N/A</v>
        <stp/>
        <stp>##V3_BDPV12</stp>
        <stp>USCS033  curncy</stp>
        <stp>bid</stp>
        <stp>[XMRD US Rates Dashboard.xlsm]Rates!R157C11</stp>
        <tr r="K157" s="1"/>
      </tp>
      <tp t="s">
        <v>#N/A N/A</v>
        <stp/>
        <stp>##V3_BDPV12</stp>
        <stp>USCS032  curncy</stp>
        <stp>bid</stp>
        <stp>[XMRD US Rates Dashboard.xlsm]Rates!R156C11</stp>
        <tr r="K156" s="1"/>
      </tp>
      <tp t="s">
        <v>#N/A N/A</v>
        <stp/>
        <stp>##V3_BDPV12</stp>
        <stp>USCS036  curncy</stp>
        <stp>bid</stp>
        <stp>[XMRD US Rates Dashboard.xlsm]Rates!R160C11</stp>
        <tr r="K160" s="1"/>
      </tp>
      <tp t="s">
        <v>#N/A N/A</v>
        <stp/>
        <stp>##V3_BDPV12</stp>
        <stp>USCS035  curncy</stp>
        <stp>bid</stp>
        <stp>[XMRD US Rates Dashboard.xlsm]Rates!R159C11</stp>
        <tr r="K159" s="1"/>
      </tp>
      <tp t="s">
        <v>#N/A N/A</v>
        <stp/>
        <stp>##V3_BDPV12</stp>
        <stp>USCS037  curncy</stp>
        <stp>bid</stp>
        <stp>[XMRD US Rates Dashboard.xlsm]Rates!R161C11</stp>
        <tr r="K161" s="1"/>
      </tp>
      <tp t="s">
        <v>#N/A N/A</v>
        <stp/>
        <stp>##V3_BDPV12</stp>
        <stp>USCS034  curncy</stp>
        <stp>bid</stp>
        <stp>[XMRD US Rates Dashboard.xlsm]Rates!R158C11</stp>
        <tr r="K158" s="1"/>
      </tp>
      <tp t="s">
        <v>#N/A N/A</v>
        <stp/>
        <stp>##V3_BDPV12</stp>
        <stp>USCS038  curncy</stp>
        <stp>bid</stp>
        <stp>[XMRD US Rates Dashboard.xlsm]Rates!R162C11</stp>
        <tr r="K162" s="1"/>
      </tp>
      <tp t="s">
        <v>#N/A N/A</v>
        <stp/>
        <stp>##V3_BDPV12</stp>
        <stp>USCS039  curncy</stp>
        <stp>bid</stp>
        <stp>[XMRD US Rates Dashboard.xlsm]Rates!R163C11</stp>
        <tr r="K163" s="1"/>
      </tp>
      <tp t="s">
        <v>EDU8</v>
        <stp/>
        <stp>##V3_BDPV12</stp>
        <stp>ED8 comdty</stp>
        <stp>FUT_CUR_GEN_TICKER</stp>
        <stp>[XMRD US Rates Dashboard.xlsm]Rates!R79C6</stp>
        <tr r="F79" s="1"/>
      </tp>
      <tp>
        <v>1.3091330000000001</v>
        <stp/>
        <stp>##V3_BDPV12</stp>
        <stp>GT5 govt</stp>
        <stp>bid yld</stp>
        <stp>[XMRD US Rates Dashboard.xlsm]Rates!R14C9</stp>
        <tr r="I14" s="1"/>
      </tp>
      <tp t="s">
        <v>#N/A N/A</v>
        <stp/>
        <stp>##V3_BDPV12</stp>
        <stp>USCS066  curncy</stp>
        <stp>ask</stp>
        <stp>[XMRD US Rates Dashboard.xlsm]Rates!R160C18</stp>
        <tr r="R160" s="1"/>
      </tp>
      <tp t="s">
        <v>#N/A N/A</v>
        <stp/>
        <stp>##V3_BDPV12</stp>
        <stp>USCS065  curncy</stp>
        <stp>ask</stp>
        <stp>[XMRD US Rates Dashboard.xlsm]Rates!R159C18</stp>
        <tr r="R159" s="1"/>
      </tp>
      <tp t="s">
        <v>#N/A N/A</v>
        <stp/>
        <stp>##V3_BDPV12</stp>
        <stp>USCS067  curncy</stp>
        <stp>ask</stp>
        <stp>[XMRD US Rates Dashboard.xlsm]Rates!R161C18</stp>
        <tr r="R161" s="1"/>
      </tp>
      <tp t="s">
        <v>#N/A N/A</v>
        <stp/>
        <stp>##V3_BDPV12</stp>
        <stp>USCS064  curncy</stp>
        <stp>ask</stp>
        <stp>[XMRD US Rates Dashboard.xlsm]Rates!R158C18</stp>
        <tr r="R158" s="1"/>
      </tp>
      <tp t="s">
        <v>#N/A N/A</v>
        <stp/>
        <stp>##V3_BDPV12</stp>
        <stp>USCS063  curncy</stp>
        <stp>ask</stp>
        <stp>[XMRD US Rates Dashboard.xlsm]Rates!R157C18</stp>
        <tr r="R157" s="1"/>
      </tp>
      <tp t="s">
        <v>#N/A N/A</v>
        <stp/>
        <stp>##V3_BDPV12</stp>
        <stp>USCS062  curncy</stp>
        <stp>ask</stp>
        <stp>[XMRD US Rates Dashboard.xlsm]Rates!R156C18</stp>
        <tr r="R156" s="1"/>
      </tp>
      <tp t="s">
        <v>#N/A N/A</v>
        <stp/>
        <stp>##V3_BDPV12</stp>
        <stp>USCS061  curncy</stp>
        <stp>ask</stp>
        <stp>[XMRD US Rates Dashboard.xlsm]Rates!R155C18</stp>
        <tr r="R155" s="1"/>
      </tp>
      <tp t="s">
        <v>#N/A N/A</v>
        <stp/>
        <stp>##V3_BDPV12</stp>
        <stp>USCS068  curncy</stp>
        <stp>ask</stp>
        <stp>[XMRD US Rates Dashboard.xlsm]Rates!R162C18</stp>
        <tr r="R162" s="1"/>
      </tp>
      <tp t="s">
        <v>#N/A N/A</v>
        <stp/>
        <stp>##V3_BDPV12</stp>
        <stp>USCS069  curncy</stp>
        <stp>ask</stp>
        <stp>[XMRD US Rates Dashboard.xlsm]Rates!R163C18</stp>
        <tr r="R163" s="1"/>
      </tp>
      <tp t="s">
        <v>#N/A N/A</v>
        <stp/>
        <stp>##V3_BDPV12</stp>
        <stp>USCS058  curncy</stp>
        <stp>ask</stp>
        <stp>[XMRD US Rates Dashboard.xlsm]Rates!R162C16</stp>
        <tr r="P162" s="1"/>
      </tp>
      <tp t="s">
        <v>#N/A N/A</v>
        <stp/>
        <stp>##V3_BDPV12</stp>
        <stp>USCS059  curncy</stp>
        <stp>ask</stp>
        <stp>[XMRD US Rates Dashboard.xlsm]Rates!R163C16</stp>
        <tr r="P163" s="1"/>
      </tp>
      <tp t="s">
        <v>#N/A N/A</v>
        <stp/>
        <stp>##V3_BDPV12</stp>
        <stp>USCS051  curncy</stp>
        <stp>ask</stp>
        <stp>[XMRD US Rates Dashboard.xlsm]Rates!R155C16</stp>
        <tr r="P155" s="1"/>
      </tp>
      <tp t="s">
        <v>#N/A N/A</v>
        <stp/>
        <stp>##V3_BDPV12</stp>
        <stp>USCS053  curncy</stp>
        <stp>ask</stp>
        <stp>[XMRD US Rates Dashboard.xlsm]Rates!R157C16</stp>
        <tr r="P157" s="1"/>
      </tp>
      <tp t="s">
        <v>#N/A N/A</v>
        <stp/>
        <stp>##V3_BDPV12</stp>
        <stp>USCS052  curncy</stp>
        <stp>ask</stp>
        <stp>[XMRD US Rates Dashboard.xlsm]Rates!R156C16</stp>
        <tr r="P156" s="1"/>
      </tp>
      <tp t="s">
        <v>#N/A N/A</v>
        <stp/>
        <stp>##V3_BDPV12</stp>
        <stp>USCS056  curncy</stp>
        <stp>ask</stp>
        <stp>[XMRD US Rates Dashboard.xlsm]Rates!R160C16</stp>
        <tr r="P160" s="1"/>
      </tp>
      <tp t="s">
        <v>#N/A N/A</v>
        <stp/>
        <stp>##V3_BDPV12</stp>
        <stp>USCS055  curncy</stp>
        <stp>ask</stp>
        <stp>[XMRD US Rates Dashboard.xlsm]Rates!R159C16</stp>
        <tr r="P159" s="1"/>
      </tp>
      <tp t="s">
        <v>#N/A N/A</v>
        <stp/>
        <stp>##V3_BDPV12</stp>
        <stp>USCS057  curncy</stp>
        <stp>ask</stp>
        <stp>[XMRD US Rates Dashboard.xlsm]Rates!R161C16</stp>
        <tr r="P161" s="1"/>
      </tp>
      <tp t="s">
        <v>#N/A N/A</v>
        <stp/>
        <stp>##V3_BDPV12</stp>
        <stp>USCS054  curncy</stp>
        <stp>ask</stp>
        <stp>[XMRD US Rates Dashboard.xlsm]Rates!R158C16</stp>
        <tr r="P158" s="1"/>
      </tp>
      <tp t="s">
        <v>#N/A N/A</v>
        <stp/>
        <stp>##V3_BDPV12</stp>
        <stp>USCS048  curncy</stp>
        <stp>ask</stp>
        <stp>[XMRD US Rates Dashboard.xlsm]Rates!R162C14</stp>
        <tr r="N162" s="1"/>
      </tp>
      <tp t="s">
        <v>#N/A N/A</v>
        <stp/>
        <stp>##V3_BDPV12</stp>
        <stp>USCS049  curncy</stp>
        <stp>ask</stp>
        <stp>[XMRD US Rates Dashboard.xlsm]Rates!R163C14</stp>
        <tr r="N163" s="1"/>
      </tp>
      <tp t="s">
        <v>#N/A N/A</v>
        <stp/>
        <stp>##V3_BDPV12</stp>
        <stp>USCS078  curncy</stp>
        <stp>ask</stp>
        <stp>[XMRD US Rates Dashboard.xlsm]Rates!R162C20</stp>
        <tr r="T162" s="1"/>
      </tp>
      <tp t="s">
        <v>#N/A N/A</v>
        <stp/>
        <stp>##V3_BDPV12</stp>
        <stp>USCS079  curncy</stp>
        <stp>ask</stp>
        <stp>[XMRD US Rates Dashboard.xlsm]Rates!R163C20</stp>
        <tr r="T163" s="1"/>
      </tp>
      <tp t="s">
        <v>#N/A N/A</v>
        <stp/>
        <stp>##V3_BDPV12</stp>
        <stp>USCS043  curncy</stp>
        <stp>ask</stp>
        <stp>[XMRD US Rates Dashboard.xlsm]Rates!R157C14</stp>
        <tr r="N157" s="1"/>
      </tp>
      <tp t="s">
        <v>#N/A N/A</v>
        <stp/>
        <stp>##V3_BDPV12</stp>
        <stp>USCS042  curncy</stp>
        <stp>ask</stp>
        <stp>[XMRD US Rates Dashboard.xlsm]Rates!R156C14</stp>
        <tr r="N156" s="1"/>
      </tp>
      <tp t="s">
        <v>#N/A N/A</v>
        <stp/>
        <stp>##V3_BDPV12</stp>
        <stp>USCS076  curncy</stp>
        <stp>ask</stp>
        <stp>[XMRD US Rates Dashboard.xlsm]Rates!R160C20</stp>
        <tr r="T160" s="1"/>
      </tp>
      <tp t="s">
        <v>#N/A N/A</v>
        <stp/>
        <stp>##V3_BDPV12</stp>
        <stp>USCS041  curncy</stp>
        <stp>ask</stp>
        <stp>[XMRD US Rates Dashboard.xlsm]Rates!R155C14</stp>
        <tr r="N155" s="1"/>
      </tp>
      <tp t="s">
        <v>#N/A N/A</v>
        <stp/>
        <stp>##V3_BDPV12</stp>
        <stp>USCS075  curncy</stp>
        <stp>ask</stp>
        <stp>[XMRD US Rates Dashboard.xlsm]Rates!R159C20</stp>
        <tr r="T159" s="1"/>
      </tp>
      <tp t="s">
        <v>#N/A N/A</v>
        <stp/>
        <stp>##V3_BDPV12</stp>
        <stp>USCS077  curncy</stp>
        <stp>ask</stp>
        <stp>[XMRD US Rates Dashboard.xlsm]Rates!R161C20</stp>
        <tr r="T161" s="1"/>
      </tp>
      <tp t="s">
        <v>#N/A N/A</v>
        <stp/>
        <stp>##V3_BDPV12</stp>
        <stp>USCS074  curncy</stp>
        <stp>ask</stp>
        <stp>[XMRD US Rates Dashboard.xlsm]Rates!R158C20</stp>
        <tr r="T158" s="1"/>
      </tp>
      <tp t="s">
        <v>#N/A N/A</v>
        <stp/>
        <stp>##V3_BDPV12</stp>
        <stp>USCS073  curncy</stp>
        <stp>ask</stp>
        <stp>[XMRD US Rates Dashboard.xlsm]Rates!R157C20</stp>
        <tr r="T157" s="1"/>
      </tp>
      <tp t="s">
        <v>#N/A N/A</v>
        <stp/>
        <stp>##V3_BDPV12</stp>
        <stp>USCS072  curncy</stp>
        <stp>ask</stp>
        <stp>[XMRD US Rates Dashboard.xlsm]Rates!R156C20</stp>
        <tr r="T156" s="1"/>
      </tp>
      <tp t="s">
        <v>#N/A N/A</v>
        <stp/>
        <stp>##V3_BDPV12</stp>
        <stp>USCS046  curncy</stp>
        <stp>ask</stp>
        <stp>[XMRD US Rates Dashboard.xlsm]Rates!R160C14</stp>
        <tr r="N160" s="1"/>
      </tp>
      <tp t="s">
        <v>#N/A N/A</v>
        <stp/>
        <stp>##V3_BDPV12</stp>
        <stp>USCS071  curncy</stp>
        <stp>ask</stp>
        <stp>[XMRD US Rates Dashboard.xlsm]Rates!R155C20</stp>
        <tr r="T155" s="1"/>
      </tp>
      <tp t="s">
        <v>#N/A N/A</v>
        <stp/>
        <stp>##V3_BDPV12</stp>
        <stp>USCS045  curncy</stp>
        <stp>ask</stp>
        <stp>[XMRD US Rates Dashboard.xlsm]Rates!R159C14</stp>
        <tr r="N159" s="1"/>
      </tp>
      <tp t="s">
        <v>#N/A N/A</v>
        <stp/>
        <stp>##V3_BDPV12</stp>
        <stp>USCS047  curncy</stp>
        <stp>ask</stp>
        <stp>[XMRD US Rates Dashboard.xlsm]Rates!R161C14</stp>
        <tr r="N161" s="1"/>
      </tp>
      <tp t="s">
        <v>#N/A N/A</v>
        <stp/>
        <stp>##V3_BDPV12</stp>
        <stp>USCS044  curncy</stp>
        <stp>ask</stp>
        <stp>[XMRD US Rates Dashboard.xlsm]Rates!R158C14</stp>
        <tr r="N158" s="1"/>
      </tp>
      <tp t="s">
        <v>#N/A N/A</v>
        <stp/>
        <stp>##V3_BDPV12</stp>
        <stp>USCS038  curncy</stp>
        <stp>ask</stp>
        <stp>[XMRD US Rates Dashboard.xlsm]Rates!R162C12</stp>
        <tr r="L162" s="1"/>
      </tp>
      <tp t="s">
        <v>#N/A N/A</v>
        <stp/>
        <stp>##V3_BDPV12</stp>
        <stp>USCS039  curncy</stp>
        <stp>ask</stp>
        <stp>[XMRD US Rates Dashboard.xlsm]Rates!R163C12</stp>
        <tr r="L163" s="1"/>
      </tp>
      <tp t="s">
        <v>#N/A N/A</v>
        <stp/>
        <stp>##V3_BDPV12</stp>
        <stp>USCS036  curncy</stp>
        <stp>ask</stp>
        <stp>[XMRD US Rates Dashboard.xlsm]Rates!R160C12</stp>
        <tr r="L160" s="1"/>
      </tp>
      <tp t="s">
        <v>#N/A N/A</v>
        <stp/>
        <stp>##V3_BDPV12</stp>
        <stp>USCS035  curncy</stp>
        <stp>ask</stp>
        <stp>[XMRD US Rates Dashboard.xlsm]Rates!R159C12</stp>
        <tr r="L159" s="1"/>
      </tp>
      <tp t="s">
        <v>#N/A N/A</v>
        <stp/>
        <stp>##V3_BDPV12</stp>
        <stp>USCS037  curncy</stp>
        <stp>ask</stp>
        <stp>[XMRD US Rates Dashboard.xlsm]Rates!R161C12</stp>
        <tr r="L161" s="1"/>
      </tp>
      <tp t="s">
        <v>#N/A N/A</v>
        <stp/>
        <stp>##V3_BDPV12</stp>
        <stp>USCS034  curncy</stp>
        <stp>ask</stp>
        <stp>[XMRD US Rates Dashboard.xlsm]Rates!R158C12</stp>
        <tr r="L158" s="1"/>
      </tp>
      <tp t="s">
        <v>#N/A N/A</v>
        <stp/>
        <stp>##V3_BDPV12</stp>
        <stp>USCS031  curncy</stp>
        <stp>ask</stp>
        <stp>[XMRD US Rates Dashboard.xlsm]Rates!R155C12</stp>
        <tr r="L155" s="1"/>
      </tp>
      <tp t="s">
        <v>#N/A N/A</v>
        <stp/>
        <stp>##V3_BDPV12</stp>
        <stp>USCS033  curncy</stp>
        <stp>ask</stp>
        <stp>[XMRD US Rates Dashboard.xlsm]Rates!R157C12</stp>
        <tr r="L157" s="1"/>
      </tp>
      <tp t="s">
        <v>#N/A N/A</v>
        <stp/>
        <stp>##V3_BDPV12</stp>
        <stp>USCS032  curncy</stp>
        <stp>ask</stp>
        <stp>[XMRD US Rates Dashboard.xlsm]Rates!R156C12</stp>
        <tr r="L156" s="1"/>
      </tp>
      <tp t="s">
        <v>#N/A N/A</v>
        <stp/>
        <stp>##V3_BDPV12</stp>
        <stp>USCS028  curncy</stp>
        <stp>ask</stp>
        <stp>[XMRD US Rates Dashboard.xlsm]Rates!R162C10</stp>
        <tr r="J162" s="1"/>
      </tp>
      <tp t="s">
        <v>#N/A N/A</v>
        <stp/>
        <stp>##V3_BDPV12</stp>
        <stp>USCS029  curncy</stp>
        <stp>ask</stp>
        <stp>[XMRD US Rates Dashboard.xlsm]Rates!R163C10</stp>
        <tr r="J163" s="1"/>
      </tp>
      <tp t="s">
        <v>#N/A N/A</v>
        <stp/>
        <stp>##V3_BDPV12</stp>
        <stp>USCS026  curncy</stp>
        <stp>ask</stp>
        <stp>[XMRD US Rates Dashboard.xlsm]Rates!R160C10</stp>
        <tr r="J160" s="1"/>
      </tp>
      <tp t="s">
        <v>#N/A N/A</v>
        <stp/>
        <stp>##V3_BDPV12</stp>
        <stp>USCS025  curncy</stp>
        <stp>ask</stp>
        <stp>[XMRD US Rates Dashboard.xlsm]Rates!R159C10</stp>
        <tr r="J159" s="1"/>
      </tp>
      <tp t="s">
        <v>#N/A N/A</v>
        <stp/>
        <stp>##V3_BDPV12</stp>
        <stp>USCS027  curncy</stp>
        <stp>ask</stp>
        <stp>[XMRD US Rates Dashboard.xlsm]Rates!R161C10</stp>
        <tr r="J161" s="1"/>
      </tp>
      <tp t="s">
        <v>#N/A N/A</v>
        <stp/>
        <stp>##V3_BDPV12</stp>
        <stp>USCS024  curncy</stp>
        <stp>ask</stp>
        <stp>[XMRD US Rates Dashboard.xlsm]Rates!R158C10</stp>
        <tr r="J158" s="1"/>
      </tp>
      <tp t="s">
        <v>#N/A N/A</v>
        <stp/>
        <stp>##V3_BDPV12</stp>
        <stp>USCS023  curncy</stp>
        <stp>ask</stp>
        <stp>[XMRD US Rates Dashboard.xlsm]Rates!R157C10</stp>
        <tr r="J157" s="1"/>
      </tp>
      <tp t="s">
        <v>#N/A N/A</v>
        <stp/>
        <stp>##V3_BDPV12</stp>
        <stp>USCS022  curncy</stp>
        <stp>ask</stp>
        <stp>[XMRD US Rates Dashboard.xlsm]Rates!R156C10</stp>
        <tr r="J156" s="1"/>
      </tp>
      <tp t="s">
        <v>#N/A N/A</v>
        <stp/>
        <stp>##V3_BDPV12</stp>
        <stp>USCS021  curncy</stp>
        <stp>ask</stp>
        <stp>[XMRD US Rates Dashboard.xlsm]Rates!R155C10</stp>
        <tr r="J155" s="1"/>
      </tp>
      <tp>
        <v>-2.6208449465768102</v>
        <stp/>
        <stp>##V3_BDPV12</stp>
        <stp>TUH7 comdty</stp>
        <stp>FUT_CTD_NET_BASIS</stp>
        <stp>[XMRD US Rates Dashboard.xlsm]Rates!R12C26</stp>
        <tr r="Z12" s="1"/>
      </tp>
      <tp t="s">
        <v>#N/A N/A</v>
        <stp/>
        <stp>##V3_BDPV12</stp>
        <stp>USCS088  curncy</stp>
        <stp>ask</stp>
        <stp>[XMRD US Rates Dashboard.xlsm]Rates!R162C22</stp>
        <tr r="V162" s="1"/>
      </tp>
      <tp t="s">
        <v>#N/A N/A</v>
        <stp/>
        <stp>##V3_BDPV12</stp>
        <stp>USCS089  curncy</stp>
        <stp>ask</stp>
        <stp>[XMRD US Rates Dashboard.xlsm]Rates!R163C22</stp>
        <tr r="V163" s="1"/>
      </tp>
      <tp t="s">
        <v>#N/A N/A</v>
        <stp/>
        <stp>##V3_BDPV12</stp>
        <stp>USCS086  curncy</stp>
        <stp>ask</stp>
        <stp>[XMRD US Rates Dashboard.xlsm]Rates!R160C22</stp>
        <tr r="V160" s="1"/>
      </tp>
      <tp t="s">
        <v>#N/A N/A</v>
        <stp/>
        <stp>##V3_BDPV12</stp>
        <stp>USCS085  curncy</stp>
        <stp>ask</stp>
        <stp>[XMRD US Rates Dashboard.xlsm]Rates!R159C22</stp>
        <tr r="V159" s="1"/>
      </tp>
      <tp t="s">
        <v>#N/A N/A</v>
        <stp/>
        <stp>##V3_BDPV12</stp>
        <stp>USCS087  curncy</stp>
        <stp>ask</stp>
        <stp>[XMRD US Rates Dashboard.xlsm]Rates!R161C22</stp>
        <tr r="V161" s="1"/>
      </tp>
      <tp t="s">
        <v>#N/A N/A</v>
        <stp/>
        <stp>##V3_BDPV12</stp>
        <stp>USCS084  curncy</stp>
        <stp>ask</stp>
        <stp>[XMRD US Rates Dashboard.xlsm]Rates!R158C22</stp>
        <tr r="V158" s="1"/>
      </tp>
      <tp t="s">
        <v>#N/A N/A</v>
        <stp/>
        <stp>##V3_BDPV12</stp>
        <stp>USCS081  curncy</stp>
        <stp>ask</stp>
        <stp>[XMRD US Rates Dashboard.xlsm]Rates!R155C22</stp>
        <tr r="V155" s="1"/>
      </tp>
      <tp t="s">
        <v>#N/A N/A</v>
        <stp/>
        <stp>##V3_BDPV12</stp>
        <stp>USCS083  curncy</stp>
        <stp>ask</stp>
        <stp>[XMRD US Rates Dashboard.xlsm]Rates!R157C22</stp>
        <tr r="V157" s="1"/>
      </tp>
      <tp t="s">
        <v>#N/A N/A</v>
        <stp/>
        <stp>##V3_BDPV12</stp>
        <stp>USCS082  curncy</stp>
        <stp>ask</stp>
        <stp>[XMRD US Rates Dashboard.xlsm]Rates!R156C22</stp>
        <tr r="V156" s="1"/>
      </tp>
      <tp t="s">
        <v>#N/A N/A</v>
        <stp/>
        <stp>##V3_BDPV12</stp>
        <stp>USCS098  curncy</stp>
        <stp>ask</stp>
        <stp>[XMRD US Rates Dashboard.xlsm]Rates!R162C24</stp>
        <tr r="X162" s="1"/>
      </tp>
      <tp t="s">
        <v>#N/A N/A</v>
        <stp/>
        <stp>##V3_BDPV12</stp>
        <stp>USCS099  curncy</stp>
        <stp>ask</stp>
        <stp>[XMRD US Rates Dashboard.xlsm]Rates!R163C24</stp>
        <tr r="X163" s="1"/>
      </tp>
      <tp t="s">
        <v>#N/A N/A</v>
        <stp/>
        <stp>##V3_BDPV12</stp>
        <stp>USCS093  curncy</stp>
        <stp>ask</stp>
        <stp>[XMRD US Rates Dashboard.xlsm]Rates!R157C24</stp>
        <tr r="X157" s="1"/>
      </tp>
      <tp t="s">
        <v>#N/A N/A</v>
        <stp/>
        <stp>##V3_BDPV12</stp>
        <stp>USCS092  curncy</stp>
        <stp>ask</stp>
        <stp>[XMRD US Rates Dashboard.xlsm]Rates!R156C24</stp>
        <tr r="X156" s="1"/>
      </tp>
      <tp t="s">
        <v>#N/A N/A</v>
        <stp/>
        <stp>##V3_BDPV12</stp>
        <stp>USCS091  curncy</stp>
        <stp>ask</stp>
        <stp>[XMRD US Rates Dashboard.xlsm]Rates!R155C24</stp>
        <tr r="X155" s="1"/>
      </tp>
      <tp t="s">
        <v>#N/A N/A</v>
        <stp/>
        <stp>##V3_BDPV12</stp>
        <stp>USCS096  curncy</stp>
        <stp>ask</stp>
        <stp>[XMRD US Rates Dashboard.xlsm]Rates!R160C24</stp>
        <tr r="X160" s="1"/>
      </tp>
      <tp t="s">
        <v>#N/A N/A</v>
        <stp/>
        <stp>##V3_BDPV12</stp>
        <stp>USCS095  curncy</stp>
        <stp>ask</stp>
        <stp>[XMRD US Rates Dashboard.xlsm]Rates!R159C24</stp>
        <tr r="X159" s="1"/>
      </tp>
      <tp t="s">
        <v>#N/A N/A</v>
        <stp/>
        <stp>##V3_BDPV12</stp>
        <stp>USCS097  curncy</stp>
        <stp>ask</stp>
        <stp>[XMRD US Rates Dashboard.xlsm]Rates!R161C24</stp>
        <tr r="X161" s="1"/>
      </tp>
      <tp t="s">
        <v>#N/A N/A</v>
        <stp/>
        <stp>##V3_BDPV12</stp>
        <stp>USCS094  curncy</stp>
        <stp>ask</stp>
        <stp>[XMRD US Rates Dashboard.xlsm]Rates!R158C24</stp>
        <tr r="X158" s="1"/>
      </tp>
      <tp>
        <v>0.9478085174215426</v>
        <stp/>
        <stp>##V3_BDPV12</stp>
        <stp>TUZ6 comdty</stp>
        <stp>FUT_CTD_NET_BASIS</stp>
        <stp>[XMRD US Rates Dashboard.xlsm]Rates!R11C26</stp>
        <tr r="Z11" s="1"/>
      </tp>
      <tp t="s">
        <v>#N/A N/A</v>
        <stp/>
        <stp>##V3_BDPV12</stp>
        <stp>USCS108  curncy</stp>
        <stp>ask</stp>
        <stp>[XMRD US Rates Dashboard.xlsm]Rates!R162C26</stp>
        <tr r="Z162" s="1"/>
      </tp>
      <tp t="s">
        <v>#N/A N/A</v>
        <stp/>
        <stp>##V3_BDPV12</stp>
        <stp>USCS109  curncy</stp>
        <stp>ask</stp>
        <stp>[XMRD US Rates Dashboard.xlsm]Rates!R163C26</stp>
        <tr r="Z163" s="1"/>
      </tp>
      <tp t="s">
        <v>#N/A N/A</v>
        <stp/>
        <stp>##V3_BDPV12</stp>
        <stp>USCS101  curncy</stp>
        <stp>ask</stp>
        <stp>[XMRD US Rates Dashboard.xlsm]Rates!R155C26</stp>
        <tr r="Z155" s="1"/>
      </tp>
      <tp t="s">
        <v>#N/A N/A</v>
        <stp/>
        <stp>##V3_BDPV12</stp>
        <stp>USCS103  curncy</stp>
        <stp>ask</stp>
        <stp>[XMRD US Rates Dashboard.xlsm]Rates!R157C26</stp>
        <tr r="Z157" s="1"/>
      </tp>
      <tp t="s">
        <v>#N/A N/A</v>
        <stp/>
        <stp>##V3_BDPV12</stp>
        <stp>USCS102  curncy</stp>
        <stp>ask</stp>
        <stp>[XMRD US Rates Dashboard.xlsm]Rates!R156C26</stp>
        <tr r="Z156" s="1"/>
      </tp>
      <tp t="s">
        <v>#N/A N/A</v>
        <stp/>
        <stp>##V3_BDPV12</stp>
        <stp>USCS106  curncy</stp>
        <stp>ask</stp>
        <stp>[XMRD US Rates Dashboard.xlsm]Rates!R160C26</stp>
        <tr r="Z160" s="1"/>
      </tp>
      <tp t="s">
        <v>#N/A N/A</v>
        <stp/>
        <stp>##V3_BDPV12</stp>
        <stp>USCS105  curncy</stp>
        <stp>ask</stp>
        <stp>[XMRD US Rates Dashboard.xlsm]Rates!R159C26</stp>
        <tr r="Z159" s="1"/>
      </tp>
      <tp t="s">
        <v>#N/A N/A</v>
        <stp/>
        <stp>##V3_BDPV12</stp>
        <stp>USCS107  curncy</stp>
        <stp>ask</stp>
        <stp>[XMRD US Rates Dashboard.xlsm]Rates!R161C26</stp>
        <tr r="Z161" s="1"/>
      </tp>
      <tp t="s">
        <v>#N/A N/A</v>
        <stp/>
        <stp>##V3_BDPV12</stp>
        <stp>USCS104  curncy</stp>
        <stp>ask</stp>
        <stp>[XMRD US Rates Dashboard.xlsm]Rates!R158C26</stp>
        <tr r="Z158" s="1"/>
      </tp>
      <tp>
        <v>91.91</v>
        <stp/>
        <stp>##V3_BDPV12</stp>
        <stp>EUR6M Curncy</stp>
        <stp>ask</stp>
        <stp>[XMRD US Rates Dashboard.xlsm]Rates!R94C8</stp>
        <tr r="H94" s="1"/>
      </tp>
      <tp>
        <v>10623.6</v>
        <stp/>
        <stp>##V3_BDPV12</stp>
        <stp>DAX index</stp>
        <stp>last price</stp>
        <stp>[XMRD US Rates Dashboard.xlsm]Rates!R25C26</stp>
        <tr r="Z25" s="1"/>
      </tp>
      <tp>
        <v>0.72299999999999998</v>
        <stp/>
        <stp>##V3_BDPV12</stp>
        <stp>USSO2  Curncy</stp>
        <stp>Bid</stp>
        <stp>[XMRD US Rates Dashboard.xlsm]Rates!R67C7</stp>
        <tr r="G67" s="1"/>
      </tp>
      <tp t="s">
        <v>EDM7</v>
        <stp/>
        <stp>##V3_BDPV12</stp>
        <stp>ED3 comdty</stp>
        <stp>FUT_CUR_GEN_TICKER</stp>
        <stp>[XMRD US Rates Dashboard.xlsm]Rates!R74C6</stp>
        <tr r="F74" s="1"/>
      </tp>
      <tp t="s">
        <v>TUH7</v>
        <stp/>
        <stp>##V3_BDPV12</stp>
        <stp>TU2 comdty</stp>
        <stp>fut cur gen ticker</stp>
        <stp>[XMRD US Rates Dashboard.xlsm]Rates!R12C22</stp>
        <tr r="V12" s="1"/>
      </tp>
      <tp t="s">
        <v>TUZ6</v>
        <stp/>
        <stp>##V3_BDPV12</stp>
        <stp>TU1 comdty</stp>
        <stp>fut cur gen ticker</stp>
        <stp>[XMRD US Rates Dashboard.xlsm]Rates!R11C22</stp>
        <tr r="V11" s="1"/>
      </tp>
      <tp>
        <v>140.21</v>
        <stp/>
        <stp>##V3_BDPV12</stp>
        <stp>EUR9M Curncy</stp>
        <stp>ask</stp>
        <stp>[XMRD US Rates Dashboard.xlsm]Rates!R95C8</stp>
        <tr r="H95" s="1"/>
      </tp>
      <tp t="s">
        <v>EDU7</v>
        <stp/>
        <stp>##V3_BDPV12</stp>
        <stp>ED4 comdty</stp>
        <stp>FUT_CUR_GEN_TICKER</stp>
        <stp>[XMRD US Rates Dashboard.xlsm]Rates!R75C6</stp>
        <tr r="F75" s="1"/>
      </tp>
      <tp t="s">
        <v>FVH7</v>
        <stp/>
        <stp>##V3_BDPV12</stp>
        <stp>FV2 comdty</stp>
        <stp>fut cur gen ticker</stp>
        <stp>[XMRD US Rates Dashboard.xlsm]Rates!R14C22</stp>
        <tr r="V14" s="1"/>
      </tp>
      <tp t="s">
        <v>FVZ6</v>
        <stp/>
        <stp>##V3_BDPV12</stp>
        <stp>FV1 comdty</stp>
        <stp>fut cur gen ticker</stp>
        <stp>[XMRD US Rates Dashboard.xlsm]Rates!R13C22</stp>
        <tr r="V13" s="1"/>
      </tp>
      <tp t="s">
        <v>#N/A Invalid Security</v>
        <stp/>
        <stp>##V3_BDPV12</stp>
        <stp>USFR0C1  curncy</stp>
        <stp>last price</stp>
        <stp>[XMRD US Rates Dashboard.xlsm]Rates!R132C11</stp>
        <tr r="K132" s="1"/>
      </tp>
      <tp t="s">
        <v>#N/A N/A</v>
        <stp/>
        <stp>##V3_BDPV12</stp>
        <stp>USFR0BK  curncy</stp>
        <stp>last price</stp>
        <stp>[XMRD US Rates Dashboard.xlsm]Rates!R131C11</stp>
        <tr r="K131" s="1"/>
      </tp>
      <tp t="s">
        <v>#N/A N/A</v>
        <stp/>
        <stp>##V3_BDPV12</stp>
        <stp>USFR0AJ  curncy</stp>
        <stp>last price</stp>
        <stp>[XMRD US Rates Dashboard.xlsm]Rates!R130C11</stp>
        <tr r="K130" s="1"/>
      </tp>
      <tp t="s">
        <v>#N/A N/A</v>
        <stp/>
        <stp>##V3_BDPV12</stp>
        <stp>USFR023  curncy</stp>
        <stp>last price</stp>
        <stp>[XMRD US Rates Dashboard.xlsm]Rates!R142C13</stp>
        <tr r="M142" s="1"/>
      </tp>
      <tp>
        <v>1.583</v>
        <stp/>
        <stp>##V3_BDPV12</stp>
        <stp>USFR012  curncy</stp>
        <stp>last price</stp>
        <stp>[XMRD US Rates Dashboard.xlsm]Rates!R138C13</stp>
        <tr r="M138" s="1"/>
      </tp>
      <tp>
        <v>1.585</v>
        <stp/>
        <stp>##V3_BDPV12</stp>
        <stp>USFR001  curncy</stp>
        <stp>last price</stp>
        <stp>[XMRD US Rates Dashboard.xlsm]Rates!R130C13</stp>
        <tr r="M130" s="1"/>
      </tp>
      <tp>
        <v>-6.4420574036774694</v>
        <stp/>
        <stp>##V3_BDPV12</stp>
        <stp>TYH7 comdty</stp>
        <stp>FUT_CTD_NET_BASIS</stp>
        <stp>[XMRD US Rates Dashboard.xlsm]Rates!R16C26</stp>
        <tr r="Z16" s="1"/>
      </tp>
      <tp>
        <v>-0.10156869605340045</v>
        <stp/>
        <stp>##V3_BDPV12</stp>
        <stp>TYZ6 comdty</stp>
        <stp>FUT_CTD_NET_BASIS</stp>
        <stp>[XMRD US Rates Dashboard.xlsm]Rates!R15C26</stp>
        <tr r="Z15" s="1"/>
      </tp>
      <tp t="s">
        <v>EDZ7</v>
        <stp/>
        <stp>##V3_BDPV12</stp>
        <stp>ED5 comdty</stp>
        <stp>FUT_CUR_GEN_TICKER</stp>
        <stp>[XMRD US Rates Dashboard.xlsm]Rates!R76C6</stp>
        <tr r="F76" s="1"/>
      </tp>
      <tp>
        <v>1.4159999999999999</v>
        <stp/>
        <stp>##V3_BDPV12</stp>
        <stp>USFR011FB  curncy</stp>
        <stp>last price</stp>
        <stp>[XMRD US Rates Dashboard.xlsm]Rates!R141C9</stp>
        <tr r="I141" s="1"/>
      </tp>
      <tp t="s">
        <v>EDH8</v>
        <stp/>
        <stp>##V3_BDPV12</stp>
        <stp>ED6 comdty</stp>
        <stp>FUT_CUR_GEN_TICKER</stp>
        <stp>[XMRD US Rates Dashboard.xlsm]Rates!R77C6</stp>
        <tr r="F77" s="1"/>
      </tp>
      <tp>
        <v>23549.52</v>
        <stp/>
        <stp>##V3_BDPV12</stp>
        <stp>HSI index</stp>
        <stp>last price</stp>
        <stp>[XMRD US Rates Dashboard.xlsm]Rates!R22C30</stp>
        <tr r="AD22" s="1"/>
      </tp>
      <tp t="s">
        <v>EDZ8</v>
        <stp/>
        <stp>##V3_BDPV12</stp>
        <stp>ED9 comdty</stp>
        <stp>FUT_CUR_GEN_TICKER</stp>
        <stp>[XMRD US Rates Dashboard.xlsm]Rates!R80C6</stp>
        <tr r="F80" s="1"/>
      </tp>
      <tp t="s">
        <v>#N/A N/A</v>
        <stp/>
        <stp>##V3_BDPV12</stp>
        <stp>USSASE10   curncy</stp>
        <stp>last price</stp>
        <stp>[XMRD US Rates Dashboard.xlsm]Rates!R147C24</stp>
        <tr r="X147" s="1"/>
      </tp>
      <tp>
        <v>1.3211999999999999</v>
        <stp/>
        <stp>##V3_BDPV12</stp>
        <stp>CAD curncy</stp>
        <stp>last price</stp>
        <stp>[XMRD US Rates Dashboard.xlsm]Rates!R87C15</stp>
        <tr r="O87" s="1"/>
      </tp>
      <tp>
        <v>17024.759999999998</v>
        <stp/>
        <stp>##V3_BDPV12</stp>
        <stp>NKY index</stp>
        <stp>last price</stp>
        <stp>[XMRD US Rates Dashboard.xlsm]Rates!R26C26</stp>
        <tr r="Z26" s="1"/>
      </tp>
      <tp>
        <v>1.23</v>
        <stp/>
        <stp>##V3_BDPV12</stp>
        <stp>GBP curncy</stp>
        <stp>last price</stp>
        <stp>[XMRD US Rates Dashboard.xlsm]Rates!R87C12</stp>
        <tr r="L87" s="1"/>
      </tp>
      <tp t="s">
        <v>ERU8</v>
        <stp/>
        <stp>##V3_BDPV12</stp>
        <stp>ER8 comdty</stp>
        <stp>FUT_CUR_GEN_TICKER</stp>
        <stp>[XMRD US Rates Dashboard.xlsm]Rates!R79C21</stp>
        <tr r="U79" s="1"/>
      </tp>
      <tp>
        <v>29</v>
        <stp/>
        <stp>##V3_BDPV12</stp>
        <stp>USBAAC  Curncy</stp>
        <stp>Bid</stp>
        <stp>[XMRD US Rates Dashboard.xlsm]Rates!R49C24</stp>
        <tr r="X49" s="1"/>
      </tp>
      <tp>
        <v>26.125</v>
        <stp/>
        <stp>##V3_BDPV12</stp>
        <stp>USBAAI  Curncy</stp>
        <stp>Bid</stp>
        <stp>[XMRD US Rates Dashboard.xlsm]Rates!R51C24</stp>
        <tr r="X51" s="1"/>
      </tp>
      <tp>
        <v>26.25</v>
        <stp/>
        <stp>##V3_BDPV12</stp>
        <stp>USBAAF  Curncy</stp>
        <stp>Bid</stp>
        <stp>[XMRD US Rates Dashboard.xlsm]Rates!R50C24</stp>
        <tr r="X50" s="1"/>
      </tp>
      <tp>
        <v>13.36</v>
        <stp/>
        <stp>##V3_BDPV12</stp>
        <stp>USBA30  Curncy</stp>
        <stp>Bid</stp>
        <stp>[XMRD US Rates Dashboard.xlsm]Rates!R64C24</stp>
        <tr r="X64" s="1"/>
      </tp>
      <tp>
        <v>23</v>
        <stp/>
        <stp>##V3_BDPV12</stp>
        <stp>USBA1F  Curncy</stp>
        <stp>Bid</stp>
        <stp>[XMRD US Rates Dashboard.xlsm]Rates!R53C24</stp>
        <tr r="X53" s="1"/>
      </tp>
      <tp>
        <v>13</v>
        <stp/>
        <stp>##V3_BDPV12</stp>
        <stp>USBA10  Curncy</stp>
        <stp>Bid</stp>
        <stp>[XMRD US Rates Dashboard.xlsm]Rates!R59C24</stp>
        <tr r="X59" s="1"/>
      </tp>
      <tp>
        <v>11.625</v>
        <stp/>
        <stp>##V3_BDPV12</stp>
        <stp>USBA20  Curncy</stp>
        <stp>Bid</stp>
        <stp>[XMRD US Rates Dashboard.xlsm]Rates!R62C24</stp>
        <tr r="X62" s="1"/>
      </tp>
      <tp>
        <v>13</v>
        <stp/>
        <stp>##V3_BDPV12</stp>
        <stp>USBA25  Curncy</stp>
        <stp>Bid</stp>
        <stp>[XMRD US Rates Dashboard.xlsm]Rates!R63C24</stp>
        <tr r="X63" s="1"/>
      </tp>
      <tp>
        <v>11.875</v>
        <stp/>
        <stp>##V3_BDPV12</stp>
        <stp>USBA12  Curncy</stp>
        <stp>Bid</stp>
        <stp>[XMRD US Rates Dashboard.xlsm]Rates!R60C24</stp>
        <tr r="X60" s="1"/>
      </tp>
      <tp>
        <v>11.125</v>
        <stp/>
        <stp>##V3_BDPV12</stp>
        <stp>USBA15  Curncy</stp>
        <stp>Bid</stp>
        <stp>[XMRD US Rates Dashboard.xlsm]Rates!R61C24</stp>
        <tr r="X61" s="1"/>
      </tp>
      <tp t="s">
        <v>ERZ8</v>
        <stp/>
        <stp>##V3_BDPV12</stp>
        <stp>ER9 comdty</stp>
        <stp>FUT_CUR_GEN_TICKER</stp>
        <stp>[XMRD US Rates Dashboard.xlsm]Rates!R80C21</stp>
        <tr r="U80" s="1"/>
      </tp>
      <tp t="s">
        <v>#N/A N/A</v>
        <stp/>
        <stp>##V3_BDPV12</stp>
        <stp>USBB15  Curncy</stp>
        <stp>ASK</stp>
        <stp>[XMRD US Rates Dashboard.xlsm]Rates!R61C31</stp>
        <tr r="AE61" s="1"/>
      </tp>
      <tp t="s">
        <v>#N/A N/A</v>
        <stp/>
        <stp>##V3_BDPV12</stp>
        <stp>USBB12  Curncy</stp>
        <stp>ASK</stp>
        <stp>[XMRD US Rates Dashboard.xlsm]Rates!R60C31</stp>
        <tr r="AE60" s="1"/>
      </tp>
      <tp t="s">
        <v>#N/A N/A</v>
        <stp/>
        <stp>##V3_BDPV12</stp>
        <stp>USBB1F  Curncy</stp>
        <stp>ASK</stp>
        <stp>[XMRD US Rates Dashboard.xlsm]Rates!R53C31</stp>
        <tr r="AE53" s="1"/>
      </tp>
      <tp t="s">
        <v>#N/A N/A</v>
        <stp/>
        <stp>##V3_BDPV12</stp>
        <stp>USBB25  Curncy</stp>
        <stp>ASK</stp>
        <stp>[XMRD US Rates Dashboard.xlsm]Rates!R63C31</stp>
        <tr r="AE63" s="1"/>
      </tp>
      <tp t="s">
        <v>#N/A N/A</v>
        <stp/>
        <stp>##V3_BDPV12</stp>
        <stp>USBB20  Curncy</stp>
        <stp>ASK</stp>
        <stp>[XMRD US Rates Dashboard.xlsm]Rates!R62C31</stp>
        <tr r="AE62" s="1"/>
      </tp>
      <tp t="s">
        <v>#N/A N/A</v>
        <stp/>
        <stp>##V3_BDPV12</stp>
        <stp>USBB10  Curncy</stp>
        <stp>ASK</stp>
        <stp>[XMRD US Rates Dashboard.xlsm]Rates!R59C31</stp>
        <tr r="AE59" s="1"/>
      </tp>
      <tp t="s">
        <v>#N/A N/A</v>
        <stp/>
        <stp>##V3_BDPV12</stp>
        <stp>USBB30  Curncy</stp>
        <stp>ASK</stp>
        <stp>[XMRD US Rates Dashboard.xlsm]Rates!R64C31</stp>
        <tr r="AE64" s="1"/>
      </tp>
      <tp>
        <v>20.125</v>
        <stp/>
        <stp>##V3_BDPV12</stp>
        <stp>USBC15  Curncy</stp>
        <stp>ASK</stp>
        <stp>[XMRD US Rates Dashboard.xlsm]Rates!R61C28</stp>
        <tr r="AB61" s="1"/>
      </tp>
      <tp>
        <v>20.375</v>
        <stp/>
        <stp>##V3_BDPV12</stp>
        <stp>USBC12  Curncy</stp>
        <stp>ASK</stp>
        <stp>[XMRD US Rates Dashboard.xlsm]Rates!R60C28</stp>
        <tr r="AB60" s="1"/>
      </tp>
      <tp>
        <v>19.25</v>
        <stp/>
        <stp>##V3_BDPV12</stp>
        <stp>USBC30  Curncy</stp>
        <stp>ASK</stp>
        <stp>[XMRD US Rates Dashboard.xlsm]Rates!R64C28</stp>
        <tr r="AB64" s="1"/>
      </tp>
      <tp>
        <v>30.875</v>
        <stp/>
        <stp>##V3_BDPV12</stp>
        <stp>USBC1F  Curncy</stp>
        <stp>ASK</stp>
        <stp>[XMRD US Rates Dashboard.xlsm]Rates!R53C28</stp>
        <tr r="AB53" s="1"/>
      </tp>
      <tp>
        <v>19.5</v>
        <stp/>
        <stp>##V3_BDPV12</stp>
        <stp>USBC25  Curncy</stp>
        <stp>ASK</stp>
        <stp>[XMRD US Rates Dashboard.xlsm]Rates!R63C28</stp>
        <tr r="AB63" s="1"/>
      </tp>
      <tp>
        <v>19.875</v>
        <stp/>
        <stp>##V3_BDPV12</stp>
        <stp>USBC20  Curncy</stp>
        <stp>ASK</stp>
        <stp>[XMRD US Rates Dashboard.xlsm]Rates!R62C28</stp>
        <tr r="AB62" s="1"/>
      </tp>
      <tp>
        <v>20.5</v>
        <stp/>
        <stp>##V3_BDPV12</stp>
        <stp>USBC10  Curncy</stp>
        <stp>ASK</stp>
        <stp>[XMRD US Rates Dashboard.xlsm]Rates!R59C28</stp>
        <tr r="AB59" s="1"/>
      </tp>
      <tp>
        <v>19.375</v>
        <stp/>
        <stp>##V3_BDPV12</stp>
        <stp>USBC12  Curncy</stp>
        <stp>Bid</stp>
        <stp>[XMRD US Rates Dashboard.xlsm]Rates!R60C27</stp>
        <tr r="AA60" s="1"/>
      </tp>
      <tp>
        <v>19.125</v>
        <stp/>
        <stp>##V3_BDPV12</stp>
        <stp>USBC15  Curncy</stp>
        <stp>Bid</stp>
        <stp>[XMRD US Rates Dashboard.xlsm]Rates!R61C27</stp>
        <tr r="AA61" s="1"/>
      </tp>
      <tp>
        <v>28.875</v>
        <stp/>
        <stp>##V3_BDPV12</stp>
        <stp>USBC1F  Curncy</stp>
        <stp>Bid</stp>
        <stp>[XMRD US Rates Dashboard.xlsm]Rates!R53C27</stp>
        <tr r="AA53" s="1"/>
      </tp>
      <tp>
        <v>19.5</v>
        <stp/>
        <stp>##V3_BDPV12</stp>
        <stp>USBC10  Curncy</stp>
        <stp>Bid</stp>
        <stp>[XMRD US Rates Dashboard.xlsm]Rates!R59C27</stp>
        <tr r="AA59" s="1"/>
      </tp>
      <tp>
        <v>18.875</v>
        <stp/>
        <stp>##V3_BDPV12</stp>
        <stp>USBC20  Curncy</stp>
        <stp>Bid</stp>
        <stp>[XMRD US Rates Dashboard.xlsm]Rates!R62C27</stp>
        <tr r="AA62" s="1"/>
      </tp>
      <tp>
        <v>18.5</v>
        <stp/>
        <stp>##V3_BDPV12</stp>
        <stp>USBC25  Curncy</stp>
        <stp>Bid</stp>
        <stp>[XMRD US Rates Dashboard.xlsm]Rates!R63C27</stp>
        <tr r="AA63" s="1"/>
      </tp>
      <tp>
        <v>18.25</v>
        <stp/>
        <stp>##V3_BDPV12</stp>
        <stp>USBC30  Curncy</stp>
        <stp>Bid</stp>
        <stp>[XMRD US Rates Dashboard.xlsm]Rates!R64C27</stp>
        <tr r="AA64" s="1"/>
      </tp>
      <tp t="s">
        <v>#N/A N/A</v>
        <stp/>
        <stp>##V3_BDPV12</stp>
        <stp>USBB30  Curncy</stp>
        <stp>Bid</stp>
        <stp>[XMRD US Rates Dashboard.xlsm]Rates!R64C30</stp>
        <tr r="AD64" s="1"/>
      </tp>
      <tp t="s">
        <v>#N/A N/A</v>
        <stp/>
        <stp>##V3_BDPV12</stp>
        <stp>USBB1F  Curncy</stp>
        <stp>Bid</stp>
        <stp>[XMRD US Rates Dashboard.xlsm]Rates!R53C30</stp>
        <tr r="AD53" s="1"/>
      </tp>
      <tp t="s">
        <v>#N/A N/A</v>
        <stp/>
        <stp>##V3_BDPV12</stp>
        <stp>USBB10  Curncy</stp>
        <stp>Bid</stp>
        <stp>[XMRD US Rates Dashboard.xlsm]Rates!R59C30</stp>
        <tr r="AD59" s="1"/>
      </tp>
      <tp t="s">
        <v>#N/A N/A</v>
        <stp/>
        <stp>##V3_BDPV12</stp>
        <stp>USBB20  Curncy</stp>
        <stp>Bid</stp>
        <stp>[XMRD US Rates Dashboard.xlsm]Rates!R62C30</stp>
        <tr r="AD62" s="1"/>
      </tp>
      <tp t="s">
        <v>#N/A N/A</v>
        <stp/>
        <stp>##V3_BDPV12</stp>
        <stp>USBB25  Curncy</stp>
        <stp>Bid</stp>
        <stp>[XMRD US Rates Dashboard.xlsm]Rates!R63C30</stp>
        <tr r="AD63" s="1"/>
      </tp>
      <tp t="s">
        <v>#N/A N/A</v>
        <stp/>
        <stp>##V3_BDPV12</stp>
        <stp>USBB12  Curncy</stp>
        <stp>Bid</stp>
        <stp>[XMRD US Rates Dashboard.xlsm]Rates!R60C30</stp>
        <tr r="AD60" s="1"/>
      </tp>
      <tp t="s">
        <v>#N/A N/A</v>
        <stp/>
        <stp>##V3_BDPV12</stp>
        <stp>USBB15  Curncy</stp>
        <stp>Bid</stp>
        <stp>[XMRD US Rates Dashboard.xlsm]Rates!R61C30</stp>
        <tr r="AD61" s="1"/>
      </tp>
      <tp>
        <v>30.25</v>
        <stp/>
        <stp>##V3_BDPV12</stp>
        <stp>USBAAF  Curncy</stp>
        <stp>ASK</stp>
        <stp>[XMRD US Rates Dashboard.xlsm]Rates!R50C25</stp>
        <tr r="Y50" s="1"/>
      </tp>
      <tp>
        <v>27.125</v>
        <stp/>
        <stp>##V3_BDPV12</stp>
        <stp>USBAAI  Curncy</stp>
        <stp>ASK</stp>
        <stp>[XMRD US Rates Dashboard.xlsm]Rates!R51C25</stp>
        <tr r="Y51" s="1"/>
      </tp>
      <tp>
        <v>30</v>
        <stp/>
        <stp>##V3_BDPV12</stp>
        <stp>USBAAC  Curncy</stp>
        <stp>ASK</stp>
        <stp>[XMRD US Rates Dashboard.xlsm]Rates!R49C25</stp>
        <tr r="Y49" s="1"/>
      </tp>
      <tp>
        <v>12.125</v>
        <stp/>
        <stp>##V3_BDPV12</stp>
        <stp>USBA15  Curncy</stp>
        <stp>ASK</stp>
        <stp>[XMRD US Rates Dashboard.xlsm]Rates!R61C25</stp>
        <tr r="Y61" s="1"/>
      </tp>
      <tp>
        <v>12.875</v>
        <stp/>
        <stp>##V3_BDPV12</stp>
        <stp>USBA12  Curncy</stp>
        <stp>ASK</stp>
        <stp>[XMRD US Rates Dashboard.xlsm]Rates!R60C25</stp>
        <tr r="Y60" s="1"/>
      </tp>
      <tp>
        <v>25</v>
        <stp/>
        <stp>##V3_BDPV12</stp>
        <stp>USBA1F  Curncy</stp>
        <stp>ASK</stp>
        <stp>[XMRD US Rates Dashboard.xlsm]Rates!R53C25</stp>
        <tr r="Y53" s="1"/>
      </tp>
      <tp>
        <v>14</v>
        <stp/>
        <stp>##V3_BDPV12</stp>
        <stp>USBA25  Curncy</stp>
        <stp>ASK</stp>
        <stp>[XMRD US Rates Dashboard.xlsm]Rates!R63C25</stp>
        <tr r="Y63" s="1"/>
      </tp>
      <tp>
        <v>12.625</v>
        <stp/>
        <stp>##V3_BDPV12</stp>
        <stp>USBA20  Curncy</stp>
        <stp>ASK</stp>
        <stp>[XMRD US Rates Dashboard.xlsm]Rates!R62C25</stp>
        <tr r="Y62" s="1"/>
      </tp>
      <tp>
        <v>14</v>
        <stp/>
        <stp>##V3_BDPV12</stp>
        <stp>USBA10  Curncy</stp>
        <stp>ASK</stp>
        <stp>[XMRD US Rates Dashboard.xlsm]Rates!R59C25</stp>
        <tr r="Y59" s="1"/>
      </tp>
      <tp>
        <v>15.36</v>
        <stp/>
        <stp>##V3_BDPV12</stp>
        <stp>USBA30  Curncy</stp>
        <stp>ASK</stp>
        <stp>[XMRD US Rates Dashboard.xlsm]Rates!R64C25</stp>
        <tr r="Y64" s="1"/>
      </tp>
      <tp>
        <v>-264</v>
        <stp/>
        <stp>##V3_BDPV12</stp>
        <stp>USBF30  Curncy</stp>
        <stp>Bid</stp>
        <stp>[XMRD US Rates Dashboard.xlsm]Rates!R64C18</stp>
        <tr r="R64" s="1"/>
      </tp>
      <tp t="s">
        <v>#N/A N/A</v>
        <stp/>
        <stp>##V3_BDPV12</stp>
        <stp>USBF1F  Curncy</stp>
        <stp>Bid</stp>
        <stp>[XMRD US Rates Dashboard.xlsm]Rates!R53C18</stp>
        <tr r="R53" s="1"/>
      </tp>
      <tp>
        <v>-267</v>
        <stp/>
        <stp>##V3_BDPV12</stp>
        <stp>USBF10  Curncy</stp>
        <stp>Bid</stp>
        <stp>[XMRD US Rates Dashboard.xlsm]Rates!R59C18</stp>
        <tr r="R59" s="1"/>
      </tp>
      <tp>
        <v>-265</v>
        <stp/>
        <stp>##V3_BDPV12</stp>
        <stp>USBF20  Curncy</stp>
        <stp>Bid</stp>
        <stp>[XMRD US Rates Dashboard.xlsm]Rates!R62C18</stp>
        <tr r="R62" s="1"/>
      </tp>
      <tp t="s">
        <v>#N/A N/A</v>
        <stp/>
        <stp>##V3_BDPV12</stp>
        <stp>USBF25  Curncy</stp>
        <stp>Bid</stp>
        <stp>[XMRD US Rates Dashboard.xlsm]Rates!R63C18</stp>
        <tr r="R63" s="1"/>
      </tp>
      <tp t="s">
        <v>#N/A N/A</v>
        <stp/>
        <stp>##V3_BDPV12</stp>
        <stp>USBF12  Curncy</stp>
        <stp>Bid</stp>
        <stp>[XMRD US Rates Dashboard.xlsm]Rates!R60C18</stp>
        <tr r="R60" s="1"/>
      </tp>
      <tp t="s">
        <v>#N/A N/A</v>
        <stp/>
        <stp>##V3_BDPV12</stp>
        <stp>USBF15  Curncy</stp>
        <stp>Bid</stp>
        <stp>[XMRD US Rates Dashboard.xlsm]Rates!R61C18</stp>
        <tr r="R61" s="1"/>
      </tp>
      <tp t="s">
        <v>#N/A N/A</v>
        <stp/>
        <stp>##V3_BDPV12</stp>
        <stp>USBE1F  Curncy</stp>
        <stp>Bid</stp>
        <stp>[XMRD US Rates Dashboard.xlsm]Rates!R53C21</stp>
        <tr r="U53" s="1"/>
      </tp>
      <tp>
        <v>26</v>
        <stp/>
        <stp>##V3_BDPV12</stp>
        <stp>USBE10  Curncy</stp>
        <stp>Bid</stp>
        <stp>[XMRD US Rates Dashboard.xlsm]Rates!R59C21</stp>
        <tr r="U59" s="1"/>
      </tp>
      <tp>
        <v>30</v>
        <stp/>
        <stp>##V3_BDPV12</stp>
        <stp>USBE20  Curncy</stp>
        <stp>Bid</stp>
        <stp>[XMRD US Rates Dashboard.xlsm]Rates!R62C21</stp>
        <tr r="U62" s="1"/>
      </tp>
      <tp t="s">
        <v>#N/A N/A</v>
        <stp/>
        <stp>##V3_BDPV12</stp>
        <stp>USBE25  Curncy</stp>
        <stp>Bid</stp>
        <stp>[XMRD US Rates Dashboard.xlsm]Rates!R63C21</stp>
        <tr r="U63" s="1"/>
      </tp>
      <tp>
        <v>30</v>
        <stp/>
        <stp>##V3_BDPV12</stp>
        <stp>USBE30  Curncy</stp>
        <stp>Bid</stp>
        <stp>[XMRD US Rates Dashboard.xlsm]Rates!R64C21</stp>
        <tr r="U64" s="1"/>
      </tp>
      <tp t="s">
        <v>#N/A N/A</v>
        <stp/>
        <stp>##V3_BDPV12</stp>
        <stp>USBE12  Curncy</stp>
        <stp>Bid</stp>
        <stp>[XMRD US Rates Dashboard.xlsm]Rates!R60C21</stp>
        <tr r="U60" s="1"/>
      </tp>
      <tp t="s">
        <v>#N/A N/A</v>
        <stp/>
        <stp>##V3_BDPV12</stp>
        <stp>USBE15  Curncy</stp>
        <stp>Bid</stp>
        <stp>[XMRD US Rates Dashboard.xlsm]Rates!R61C21</stp>
        <tr r="U61" s="1"/>
      </tp>
      <tp>
        <v>46</v>
        <stp/>
        <stp>##V3_BDPV12</stp>
        <stp>USBD30  Curncy</stp>
        <stp>ASK</stp>
        <stp>[XMRD US Rates Dashboard.xlsm]Rates!R64C16</stp>
        <tr r="P64" s="1"/>
      </tp>
      <tp t="s">
        <v>#N/A N/A</v>
        <stp/>
        <stp>##V3_BDPV12</stp>
        <stp>USBD1F  Curncy</stp>
        <stp>ASK</stp>
        <stp>[XMRD US Rates Dashboard.xlsm]Rates!R53C16</stp>
        <tr r="P53" s="1"/>
      </tp>
      <tp t="s">
        <v>#N/A N/A</v>
        <stp/>
        <stp>##V3_BDPV12</stp>
        <stp>USBD25  Curncy</stp>
        <stp>ASK</stp>
        <stp>[XMRD US Rates Dashboard.xlsm]Rates!R63C16</stp>
        <tr r="P63" s="1"/>
      </tp>
      <tp>
        <v>45</v>
        <stp/>
        <stp>##V3_BDPV12</stp>
        <stp>USBD20  Curncy</stp>
        <stp>ASK</stp>
        <stp>[XMRD US Rates Dashboard.xlsm]Rates!R62C16</stp>
        <tr r="P62" s="1"/>
      </tp>
      <tp>
        <v>44</v>
        <stp/>
        <stp>##V3_BDPV12</stp>
        <stp>USBD10  Curncy</stp>
        <stp>ASK</stp>
        <stp>[XMRD US Rates Dashboard.xlsm]Rates!R59C16</stp>
        <tr r="P59" s="1"/>
      </tp>
      <tp t="s">
        <v>#N/A N/A</v>
        <stp/>
        <stp>##V3_BDPV12</stp>
        <stp>USBD15  Curncy</stp>
        <stp>ASK</stp>
        <stp>[XMRD US Rates Dashboard.xlsm]Rates!R61C16</stp>
        <tr r="P61" s="1"/>
      </tp>
      <tp t="s">
        <v>#N/A N/A</v>
        <stp/>
        <stp>##V3_BDPV12</stp>
        <stp>USBD12  Curncy</stp>
        <stp>ASK</stp>
        <stp>[XMRD US Rates Dashboard.xlsm]Rates!R60C16</stp>
        <tr r="P60" s="1"/>
      </tp>
      <tp>
        <v>34.299999999999997</v>
        <stp/>
        <stp>##V3_BDPV12</stp>
        <stp>USBG12  Curncy</stp>
        <stp>Bid</stp>
        <stp>[XMRD US Rates Dashboard.xlsm]Rates!R60C12</stp>
        <tr r="L60" s="1"/>
      </tp>
      <tp>
        <v>35.25</v>
        <stp/>
        <stp>##V3_BDPV12</stp>
        <stp>USBG15  Curncy</stp>
        <stp>Bid</stp>
        <stp>[XMRD US Rates Dashboard.xlsm]Rates!R61C12</stp>
        <tr r="L61" s="1"/>
      </tp>
      <tp>
        <v>36.25</v>
        <stp/>
        <stp>##V3_BDPV12</stp>
        <stp>USBG30  Curncy</stp>
        <stp>Bid</stp>
        <stp>[XMRD US Rates Dashboard.xlsm]Rates!R64C12</stp>
        <tr r="L64" s="1"/>
      </tp>
      <tp t="s">
        <v>#N/A N/A</v>
        <stp/>
        <stp>##V3_BDPV12</stp>
        <stp>USBG1F  Curncy</stp>
        <stp>Bid</stp>
        <stp>[XMRD US Rates Dashboard.xlsm]Rates!R53C12</stp>
        <tr r="L53" s="1"/>
      </tp>
      <tp>
        <v>34.625</v>
        <stp/>
        <stp>##V3_BDPV12</stp>
        <stp>USBG10  Curncy</stp>
        <stp>Bid</stp>
        <stp>[XMRD US Rates Dashboard.xlsm]Rates!R59C12</stp>
        <tr r="L59" s="1"/>
      </tp>
      <tp>
        <v>35</v>
        <stp/>
        <stp>##V3_BDPV12</stp>
        <stp>USBG20  Curncy</stp>
        <stp>Bid</stp>
        <stp>[XMRD US Rates Dashboard.xlsm]Rates!R62C12</stp>
        <tr r="L62" s="1"/>
      </tp>
      <tp>
        <v>37.110999999999997</v>
        <stp/>
        <stp>##V3_BDPV12</stp>
        <stp>USBG25  Curncy</stp>
        <stp>Bid</stp>
        <stp>[XMRD US Rates Dashboard.xlsm]Rates!R63C12</stp>
        <tr r="L63" s="1"/>
      </tp>
      <tp t="s">
        <v>#N/A N/A</v>
        <stp/>
        <stp>##V3_BDPV12</stp>
        <stp>USBG1F  Curncy</stp>
        <stp>ASK</stp>
        <stp>[XMRD US Rates Dashboard.xlsm]Rates!R53C13</stp>
        <tr r="M53" s="1"/>
      </tp>
      <tp>
        <v>37.811</v>
        <stp/>
        <stp>##V3_BDPV12</stp>
        <stp>USBG25  Curncy</stp>
        <stp>ASK</stp>
        <stp>[XMRD US Rates Dashboard.xlsm]Rates!R63C13</stp>
        <tr r="M63" s="1"/>
      </tp>
      <tp>
        <v>39</v>
        <stp/>
        <stp>##V3_BDPV12</stp>
        <stp>USBG20  Curncy</stp>
        <stp>ASK</stp>
        <stp>[XMRD US Rates Dashboard.xlsm]Rates!R62C13</stp>
        <tr r="M62" s="1"/>
      </tp>
      <tp>
        <v>37.5</v>
        <stp/>
        <stp>##V3_BDPV12</stp>
        <stp>USBG10  Curncy</stp>
        <stp>ASK</stp>
        <stp>[XMRD US Rates Dashboard.xlsm]Rates!R59C13</stp>
        <tr r="M59" s="1"/>
      </tp>
      <tp>
        <v>39.25</v>
        <stp/>
        <stp>##V3_BDPV12</stp>
        <stp>USBG30  Curncy</stp>
        <stp>ASK</stp>
        <stp>[XMRD US Rates Dashboard.xlsm]Rates!R64C13</stp>
        <tr r="M64" s="1"/>
      </tp>
      <tp>
        <v>38.125</v>
        <stp/>
        <stp>##V3_BDPV12</stp>
        <stp>USBG15  Curncy</stp>
        <stp>ASK</stp>
        <stp>[XMRD US Rates Dashboard.xlsm]Rates!R61C13</stp>
        <tr r="M61" s="1"/>
      </tp>
      <tp>
        <v>38.200000000000003</v>
        <stp/>
        <stp>##V3_BDPV12</stp>
        <stp>USBG12  Curncy</stp>
        <stp>ASK</stp>
        <stp>[XMRD US Rates Dashboard.xlsm]Rates!R60C13</stp>
        <tr r="M60" s="1"/>
      </tp>
      <tp t="s">
        <v>#N/A N/A</v>
        <stp/>
        <stp>##V3_BDPV12</stp>
        <stp>USBD1F  Curncy</stp>
        <stp>Bid</stp>
        <stp>[XMRD US Rates Dashboard.xlsm]Rates!R53C15</stp>
        <tr r="O53" s="1"/>
      </tp>
      <tp>
        <v>34</v>
        <stp/>
        <stp>##V3_BDPV12</stp>
        <stp>USBD10  Curncy</stp>
        <stp>Bid</stp>
        <stp>[XMRD US Rates Dashboard.xlsm]Rates!R59C15</stp>
        <tr r="O59" s="1"/>
      </tp>
      <tp>
        <v>35</v>
        <stp/>
        <stp>##V3_BDPV12</stp>
        <stp>USBD20  Curncy</stp>
        <stp>Bid</stp>
        <stp>[XMRD US Rates Dashboard.xlsm]Rates!R62C15</stp>
        <tr r="O62" s="1"/>
      </tp>
      <tp t="s">
        <v>#N/A N/A</v>
        <stp/>
        <stp>##V3_BDPV12</stp>
        <stp>USBD25  Curncy</stp>
        <stp>Bid</stp>
        <stp>[XMRD US Rates Dashboard.xlsm]Rates!R63C15</stp>
        <tr r="O63" s="1"/>
      </tp>
      <tp>
        <v>36</v>
        <stp/>
        <stp>##V3_BDPV12</stp>
        <stp>USBD30  Curncy</stp>
        <stp>Bid</stp>
        <stp>[XMRD US Rates Dashboard.xlsm]Rates!R64C15</stp>
        <tr r="O64" s="1"/>
      </tp>
      <tp t="s">
        <v>#N/A N/A</v>
        <stp/>
        <stp>##V3_BDPV12</stp>
        <stp>USBD12  Curncy</stp>
        <stp>Bid</stp>
        <stp>[XMRD US Rates Dashboard.xlsm]Rates!R60C15</stp>
        <tr r="O60" s="1"/>
      </tp>
      <tp t="s">
        <v>#N/A N/A</v>
        <stp/>
        <stp>##V3_BDPV12</stp>
        <stp>USBD15  Curncy</stp>
        <stp>Bid</stp>
        <stp>[XMRD US Rates Dashboard.xlsm]Rates!R61C15</stp>
        <tr r="O61" s="1"/>
      </tp>
      <tp>
        <v>42</v>
        <stp/>
        <stp>##V3_BDPV12</stp>
        <stp>USBE30  Curncy</stp>
        <stp>ASK</stp>
        <stp>[XMRD US Rates Dashboard.xlsm]Rates!R64C22</stp>
        <tr r="V64" s="1"/>
      </tp>
      <tp t="s">
        <v>#N/A N/A</v>
        <stp/>
        <stp>##V3_BDPV12</stp>
        <stp>USBE1F  Curncy</stp>
        <stp>ASK</stp>
        <stp>[XMRD US Rates Dashboard.xlsm]Rates!R53C22</stp>
        <tr r="V53" s="1"/>
      </tp>
      <tp t="s">
        <v>#N/A N/A</v>
        <stp/>
        <stp>##V3_BDPV12</stp>
        <stp>USBE25  Curncy</stp>
        <stp>ASK</stp>
        <stp>[XMRD US Rates Dashboard.xlsm]Rates!R63C22</stp>
        <tr r="V63" s="1"/>
      </tp>
      <tp>
        <v>42</v>
        <stp/>
        <stp>##V3_BDPV12</stp>
        <stp>USBE20  Curncy</stp>
        <stp>ASK</stp>
        <stp>[XMRD US Rates Dashboard.xlsm]Rates!R62C22</stp>
        <tr r="V62" s="1"/>
      </tp>
      <tp>
        <v>38</v>
        <stp/>
        <stp>##V3_BDPV12</stp>
        <stp>USBE10  Curncy</stp>
        <stp>ASK</stp>
        <stp>[XMRD US Rates Dashboard.xlsm]Rates!R59C22</stp>
        <tr r="V59" s="1"/>
      </tp>
      <tp t="s">
        <v>#N/A N/A</v>
        <stp/>
        <stp>##V3_BDPV12</stp>
        <stp>USBE15  Curncy</stp>
        <stp>ASK</stp>
        <stp>[XMRD US Rates Dashboard.xlsm]Rates!R61C22</stp>
        <tr r="V61" s="1"/>
      </tp>
      <tp t="s">
        <v>#N/A N/A</v>
        <stp/>
        <stp>##V3_BDPV12</stp>
        <stp>USBE12  Curncy</stp>
        <stp>ASK</stp>
        <stp>[XMRD US Rates Dashboard.xlsm]Rates!R60C22</stp>
        <tr r="V60" s="1"/>
      </tp>
      <tp t="s">
        <v>#N/A N/A</v>
        <stp/>
        <stp>##V3_BDPV12</stp>
        <stp>USBF15  Curncy</stp>
        <stp>ASK</stp>
        <stp>[XMRD US Rates Dashboard.xlsm]Rates!R61C19</stp>
        <tr r="S61" s="1"/>
      </tp>
      <tp t="s">
        <v>#N/A N/A</v>
        <stp/>
        <stp>##V3_BDPV12</stp>
        <stp>USBF12  Curncy</stp>
        <stp>ASK</stp>
        <stp>[XMRD US Rates Dashboard.xlsm]Rates!R60C19</stp>
        <tr r="S60" s="1"/>
      </tp>
      <tp t="s">
        <v>#N/A N/A</v>
        <stp/>
        <stp>##V3_BDPV12</stp>
        <stp>USBF1F  Curncy</stp>
        <stp>ASK</stp>
        <stp>[XMRD US Rates Dashboard.xlsm]Rates!R53C19</stp>
        <tr r="S53" s="1"/>
      </tp>
      <tp t="s">
        <v>#N/A N/A</v>
        <stp/>
        <stp>##V3_BDPV12</stp>
        <stp>USBF25  Curncy</stp>
        <stp>ASK</stp>
        <stp>[XMRD US Rates Dashboard.xlsm]Rates!R63C19</stp>
        <tr r="S63" s="1"/>
      </tp>
      <tp>
        <v>-255</v>
        <stp/>
        <stp>##V3_BDPV12</stp>
        <stp>USBF20  Curncy</stp>
        <stp>ASK</stp>
        <stp>[XMRD US Rates Dashboard.xlsm]Rates!R62C19</stp>
        <tr r="S62" s="1"/>
      </tp>
      <tp>
        <v>-257</v>
        <stp/>
        <stp>##V3_BDPV12</stp>
        <stp>USBF10  Curncy</stp>
        <stp>ASK</stp>
        <stp>[XMRD US Rates Dashboard.xlsm]Rates!R59C19</stp>
        <tr r="S59" s="1"/>
      </tp>
      <tp>
        <v>-254</v>
        <stp/>
        <stp>##V3_BDPV12</stp>
        <stp>USBF30  Curncy</stp>
        <stp>ASK</stp>
        <stp>[XMRD US Rates Dashboard.xlsm]Rates!R64C19</stp>
        <tr r="S64" s="1"/>
      </tp>
      <tp t="s">
        <v>ERZ6</v>
        <stp/>
        <stp>##V3_BDPV12</stp>
        <stp>ER1 comdty</stp>
        <stp>FUT_CUR_GEN_TICKER</stp>
        <stp>[XMRD US Rates Dashboard.xlsm]Rates!R72C21</stp>
        <tr r="U72" s="1"/>
      </tp>
      <tp t="s">
        <v>ERH7</v>
        <stp/>
        <stp>##V3_BDPV12</stp>
        <stp>ER2 comdty</stp>
        <stp>FUT_CUR_GEN_TICKER</stp>
        <stp>[XMRD US Rates Dashboard.xlsm]Rates!R73C21</stp>
        <tr r="U73" s="1"/>
      </tp>
      <tp t="s">
        <v>ERM7</v>
        <stp/>
        <stp>##V3_BDPV12</stp>
        <stp>ER3 comdty</stp>
        <stp>FUT_CUR_GEN_TICKER</stp>
        <stp>[XMRD US Rates Dashboard.xlsm]Rates!R74C21</stp>
        <tr r="U74" s="1"/>
      </tp>
      <tp t="s">
        <v>ERU7</v>
        <stp/>
        <stp>##V3_BDPV12</stp>
        <stp>ER4 comdty</stp>
        <stp>FUT_CUR_GEN_TICKER</stp>
        <stp>[XMRD US Rates Dashboard.xlsm]Rates!R75C21</stp>
        <tr r="U75" s="1"/>
      </tp>
      <tp t="s">
        <v>#N/A N/A</v>
        <stp/>
        <stp>##V3_BDPV12</stp>
        <stp>USBL12  Curncy</stp>
        <stp>Bid</stp>
        <stp>[XMRD US Rates Dashboard.xlsm]Rates!R60C33</stp>
        <tr r="AG60" s="1"/>
      </tp>
      <tp t="s">
        <v>#N/A N/A</v>
        <stp/>
        <stp>##V3_BDPV12</stp>
        <stp>USBL15  Curncy</stp>
        <stp>Bid</stp>
        <stp>[XMRD US Rates Dashboard.xlsm]Rates!R61C33</stp>
        <tr r="AG61" s="1"/>
      </tp>
      <tp t="s">
        <v>#N/A N/A</v>
        <stp/>
        <stp>##V3_BDPV12</stp>
        <stp>USBL10  Curncy</stp>
        <stp>Bid</stp>
        <stp>[XMRD US Rates Dashboard.xlsm]Rates!R59C33</stp>
        <tr r="AG59" s="1"/>
      </tp>
      <tp t="s">
        <v>#N/A N/A</v>
        <stp/>
        <stp>##V3_BDPV12</stp>
        <stp>USBL20  Curncy</stp>
        <stp>Bid</stp>
        <stp>[XMRD US Rates Dashboard.xlsm]Rates!R62C33</stp>
        <tr r="AG62" s="1"/>
      </tp>
      <tp t="s">
        <v>#N/A N/A</v>
        <stp/>
        <stp>##V3_BDPV12</stp>
        <stp>USBL25  Curncy</stp>
        <stp>Bid</stp>
        <stp>[XMRD US Rates Dashboard.xlsm]Rates!R63C33</stp>
        <tr r="AG63" s="1"/>
      </tp>
      <tp t="s">
        <v>#N/A N/A</v>
        <stp/>
        <stp>##V3_BDPV12</stp>
        <stp>USBL30  Curncy</stp>
        <stp>Bid</stp>
        <stp>[XMRD US Rates Dashboard.xlsm]Rates!R64C33</stp>
        <tr r="AG64" s="1"/>
      </tp>
      <tp t="s">
        <v>ERZ7</v>
        <stp/>
        <stp>##V3_BDPV12</stp>
        <stp>ER5 comdty</stp>
        <stp>FUT_CUR_GEN_TICKER</stp>
        <stp>[XMRD US Rates Dashboard.xlsm]Rates!R76C21</stp>
        <tr r="U76" s="1"/>
      </tp>
      <tp t="s">
        <v>ERH8</v>
        <stp/>
        <stp>##V3_BDPV12</stp>
        <stp>ER6 comdty</stp>
        <stp>FUT_CUR_GEN_TICKER</stp>
        <stp>[XMRD US Rates Dashboard.xlsm]Rates!R77C21</stp>
        <tr r="U77" s="1"/>
      </tp>
      <tp t="s">
        <v>ERM8</v>
        <stp/>
        <stp>##V3_BDPV12</stp>
        <stp>ER7 comdty</stp>
        <stp>FUT_CUR_GEN_TICKER</stp>
        <stp>[XMRD US Rates Dashboard.xlsm]Rates!R78C21</stp>
        <tr r="U78" s="1"/>
      </tp>
      <tp t="s">
        <v>#N/A N/A</v>
        <stp/>
        <stp>##V3_BDPV12</stp>
        <stp>USBL15  Curncy</stp>
        <stp>ASK</stp>
        <stp>[XMRD US Rates Dashboard.xlsm]Rates!R61C34</stp>
        <tr r="AH61" s="1"/>
      </tp>
      <tp t="s">
        <v>#N/A N/A</v>
        <stp/>
        <stp>##V3_BDPV12</stp>
        <stp>USBL12  Curncy</stp>
        <stp>ASK</stp>
        <stp>[XMRD US Rates Dashboard.xlsm]Rates!R60C34</stp>
        <tr r="AH60" s="1"/>
      </tp>
      <tp t="s">
        <v>#N/A N/A</v>
        <stp/>
        <stp>##V3_BDPV12</stp>
        <stp>USBL30  Curncy</stp>
        <stp>ASK</stp>
        <stp>[XMRD US Rates Dashboard.xlsm]Rates!R64C34</stp>
        <tr r="AH64" s="1"/>
      </tp>
      <tp t="s">
        <v>#N/A N/A</v>
        <stp/>
        <stp>##V3_BDPV12</stp>
        <stp>USBL25  Curncy</stp>
        <stp>ASK</stp>
        <stp>[XMRD US Rates Dashboard.xlsm]Rates!R63C34</stp>
        <tr r="AH63" s="1"/>
      </tp>
      <tp t="s">
        <v>#N/A N/A</v>
        <stp/>
        <stp>##V3_BDPV12</stp>
        <stp>USBL20  Curncy</stp>
        <stp>ASK</stp>
        <stp>[XMRD US Rates Dashboard.xlsm]Rates!R62C34</stp>
        <tr r="AH62" s="1"/>
      </tp>
      <tp t="s">
        <v>#N/A N/A</v>
        <stp/>
        <stp>##V3_BDPV12</stp>
        <stp>USBL10  Curncy</stp>
        <stp>ASK</stp>
        <stp>[XMRD US Rates Dashboard.xlsm]Rates!R59C34</stp>
        <tr r="AH59" s="1"/>
      </tp>
      <tp t="s">
        <v>EDZ6</v>
        <stp/>
        <stp>##V3_BDPV12</stp>
        <stp>ED1 comdty</stp>
        <stp>FUT_CUR_GEN_TICKER</stp>
        <stp>[XMRD US Rates Dashboard.xlsm]Rates!R72C6</stp>
        <tr r="F72" s="1"/>
      </tp>
      <tp t="s">
        <v>USH7</v>
        <stp/>
        <stp>##V3_BDPV12</stp>
        <stp>US2 comdty</stp>
        <stp>fut cur gen ticker</stp>
        <stp>[XMRD US Rates Dashboard.xlsm]Rates!R18C22</stp>
        <tr r="V18" s="1"/>
      </tp>
      <tp t="s">
        <v>USZ6</v>
        <stp/>
        <stp>##V3_BDPV12</stp>
        <stp>US1 comdty</stp>
        <stp>fut cur gen ticker</stp>
        <stp>[XMRD US Rates Dashboard.xlsm]Rates!R17C22</stp>
        <tr r="V17" s="1"/>
      </tp>
      <tp t="s">
        <v>#N/A N/A</v>
        <stp/>
        <stp>##V3_BDPV12</stp>
        <stp>USSASE7   curncy</stp>
        <stp>last price</stp>
        <stp>[XMRD US Rates Dashboard.xlsm]Rates!R147C18</stp>
        <tr r="R147" s="1"/>
      </tp>
      <tp t="s">
        <v>#N/A N/A</v>
        <stp/>
        <stp>##V3_BDPV12</stp>
        <stp>USSASE6   curncy</stp>
        <stp>last price</stp>
        <stp>[XMRD US Rates Dashboard.xlsm]Rates!R147C16</stp>
        <tr r="P147" s="1"/>
      </tp>
      <tp t="s">
        <v>#N/A N/A</v>
        <stp/>
        <stp>##V3_BDPV12</stp>
        <stp>USSASD1C  curncy</stp>
        <stp>last price</stp>
        <stp>[XMRD US Rates Dashboard.xlsm]Rates!R132C22</stp>
        <tr r="V132" s="1"/>
      </tp>
      <tp t="s">
        <v>#N/A N/A</v>
        <stp/>
        <stp>##V3_BDPV12</stp>
        <stp>USSASE8   curncy</stp>
        <stp>last price</stp>
        <stp>[XMRD US Rates Dashboard.xlsm]Rates!R147C20</stp>
        <tr r="T147" s="1"/>
      </tp>
      <tp t="s">
        <v>#N/A N/A</v>
        <stp/>
        <stp>##V3_BDPV12</stp>
        <stp>USSASE9   curncy</stp>
        <stp>last price</stp>
        <stp>[XMRD US Rates Dashboard.xlsm]Rates!R147C22</stp>
        <tr r="V147" s="1"/>
      </tp>
      <tp t="s">
        <v>#N/A N/A</v>
        <stp/>
        <stp>##V3_BDPV12</stp>
        <stp>USSASE4   curncy</stp>
        <stp>last price</stp>
        <stp>[XMRD US Rates Dashboard.xlsm]Rates!R140C22</stp>
        <tr r="V140" s="1"/>
      </tp>
      <tp t="s">
        <v>#N/A N/A</v>
        <stp/>
        <stp>##V3_BDPV12</stp>
        <stp>USSASE5   curncy</stp>
        <stp>last price</stp>
        <stp>[XMRD US Rates Dashboard.xlsm]Rates!R140C24</stp>
        <tr r="X140" s="1"/>
      </tp>
      <tp t="s">
        <v>#N/A N/A</v>
        <stp/>
        <stp>##V3_BDPV12</stp>
        <stp>USSASE3   curncy</stp>
        <stp>last price</stp>
        <stp>[XMRD US Rates Dashboard.xlsm]Rates!R140C20</stp>
        <tr r="T140" s="1"/>
      </tp>
      <tp t="s">
        <v>#N/A N/A</v>
        <stp/>
        <stp>##V3_BDPV12</stp>
        <stp>USSASM1F  curncy</stp>
        <stp>last price</stp>
        <stp>[XMRD US Rates Dashboard.xlsm]Rates!R132C24</stp>
        <tr r="X132" s="1"/>
      </tp>
      <tp t="s">
        <v>#N/A N/A</v>
        <stp/>
        <stp>##V3_BDPV12</stp>
        <stp>USSASJ1I  curncy</stp>
        <stp>last price</stp>
        <stp>[XMRD US Rates Dashboard.xlsm]Rates!R140C16</stp>
        <tr r="P140" s="1"/>
      </tp>
      <tp>
        <v>0.61480000000000001</v>
        <stp/>
        <stp>##V3_BDPV12</stp>
        <stp>USSO1  Curncy</stp>
        <stp>Bid</stp>
        <stp>[XMRD US Rates Dashboard.xlsm]Rates!R63C7</stp>
        <tr r="G63" s="1"/>
      </tp>
      <tp t="s">
        <v>#N/A N/A</v>
        <stp/>
        <stp>##V3_BDPV12</stp>
        <stp>USSASXM1  curncy</stp>
        <stp>last price</stp>
        <stp>[XMRD US Rates Dashboard.xlsm]Rates!R132C16</stp>
        <tr r="P132" s="1"/>
      </tp>
      <tp t="s">
        <v>#N/A N/A</v>
        <stp/>
        <stp>##V3_BDPV12</stp>
        <stp>USSASXM2  curncy</stp>
        <stp>last price</stp>
        <stp>[XMRD US Rates Dashboard.xlsm]Rates!R136C16</stp>
        <tr r="P136" s="1"/>
      </tp>
      <tp t="s">
        <v>#N/A N/A</v>
        <stp/>
        <stp>##V3_BDPV12</stp>
        <stp>USSASXJ1  curncy</stp>
        <stp>last price</stp>
        <stp>[XMRD US Rates Dashboard.xlsm]Rates!R132C18</stp>
        <tr r="R132" s="1"/>
      </tp>
      <tp t="s">
        <v>#N/A N/A</v>
        <stp/>
        <stp>##V3_BDPV12</stp>
        <stp>USSASXJ2  curncy</stp>
        <stp>last price</stp>
        <stp>[XMRD US Rates Dashboard.xlsm]Rates!R136C18</stp>
        <tr r="R136" s="1"/>
      </tp>
      <tp t="s">
        <v>EDH7</v>
        <stp/>
        <stp>##V3_BDPV12</stp>
        <stp>ED2 comdty</stp>
        <stp>FUT_CUR_GEN_TICKER</stp>
        <stp>[XMRD US Rates Dashboard.xlsm]Rates!R73C6</stp>
        <tr r="F7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6</xdr:row>
          <xdr:rowOff>9525</xdr:rowOff>
        </xdr:from>
        <xdr:to>
          <xdr:col>8</xdr:col>
          <xdr:colOff>600075</xdr:colOff>
          <xdr:row>7</xdr:row>
          <xdr:rowOff>95250</xdr:rowOff>
        </xdr:to>
        <xdr:sp macro="" textlink="">
          <xdr:nvSpPr>
            <xdr:cNvPr id="1030" name="cboLocato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371475</xdr:colOff>
          <xdr:row>26</xdr:row>
          <xdr:rowOff>85725</xdr:rowOff>
        </xdr:to>
        <xdr:sp macro="" textlink="">
          <xdr:nvSpPr>
            <xdr:cNvPr id="1031" name="cboSwapBroke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371475</xdr:colOff>
          <xdr:row>26</xdr:row>
          <xdr:rowOff>85725</xdr:rowOff>
        </xdr:to>
        <xdr:sp macro="" textlink="">
          <xdr:nvSpPr>
            <xdr:cNvPr id="1032" name="cboDisplayTyp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8</xdr:col>
          <xdr:colOff>342900</xdr:colOff>
          <xdr:row>45</xdr:row>
          <xdr:rowOff>85725</xdr:rowOff>
        </xdr:to>
        <xdr:sp macro="" textlink="">
          <xdr:nvSpPr>
            <xdr:cNvPr id="1034" name="cboO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13</xdr:col>
          <xdr:colOff>371475</xdr:colOff>
          <xdr:row>45</xdr:row>
          <xdr:rowOff>85725</xdr:rowOff>
        </xdr:to>
        <xdr:sp macro="" textlink="">
          <xdr:nvSpPr>
            <xdr:cNvPr id="1037" name="cboBasisSwap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97</xdr:row>
          <xdr:rowOff>28575</xdr:rowOff>
        </xdr:from>
        <xdr:to>
          <xdr:col>8</xdr:col>
          <xdr:colOff>342900</xdr:colOff>
          <xdr:row>98</xdr:row>
          <xdr:rowOff>114300</xdr:rowOff>
        </xdr:to>
        <xdr:sp macro="" textlink="">
          <xdr:nvSpPr>
            <xdr:cNvPr id="1038" name="cboVols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123</xdr:row>
          <xdr:rowOff>171450</xdr:rowOff>
        </xdr:from>
        <xdr:to>
          <xdr:col>8</xdr:col>
          <xdr:colOff>352425</xdr:colOff>
          <xdr:row>125</xdr:row>
          <xdr:rowOff>66675</xdr:rowOff>
        </xdr:to>
        <xdr:sp macro="" textlink="">
          <xdr:nvSpPr>
            <xdr:cNvPr id="1039" name="cboFR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171450</xdr:colOff>
          <xdr:row>8</xdr:row>
          <xdr:rowOff>47625</xdr:rowOff>
        </xdr:from>
        <xdr:to>
          <xdr:col>34</xdr:col>
          <xdr:colOff>514350</xdr:colOff>
          <xdr:row>8</xdr:row>
          <xdr:rowOff>342900</xdr:rowOff>
        </xdr:to>
        <xdr:sp macro="" textlink="">
          <xdr:nvSpPr>
            <xdr:cNvPr id="1040" name="cboGlobalMaturity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2</xdr:col>
          <xdr:colOff>19050</xdr:colOff>
          <xdr:row>9</xdr:row>
          <xdr:rowOff>28575</xdr:rowOff>
        </xdr:to>
        <xdr:sp macro="" textlink="">
          <xdr:nvSpPr>
            <xdr:cNvPr id="1069" name="btnXRLD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161925</xdr:rowOff>
        </xdr:from>
        <xdr:to>
          <xdr:col>2</xdr:col>
          <xdr:colOff>9525</xdr:colOff>
          <xdr:row>10</xdr:row>
          <xdr:rowOff>180975</xdr:rowOff>
        </xdr:to>
        <xdr:sp macro="" textlink="">
          <xdr:nvSpPr>
            <xdr:cNvPr id="1070" name="btnXBC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133350</xdr:rowOff>
        </xdr:from>
        <xdr:to>
          <xdr:col>2</xdr:col>
          <xdr:colOff>9525</xdr:colOff>
          <xdr:row>14</xdr:row>
          <xdr:rowOff>19050</xdr:rowOff>
        </xdr:to>
        <xdr:sp macro="" textlink="">
          <xdr:nvSpPr>
            <xdr:cNvPr id="1071" name="btnXVLA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9525</xdr:rowOff>
        </xdr:from>
        <xdr:to>
          <xdr:col>2</xdr:col>
          <xdr:colOff>9525</xdr:colOff>
          <xdr:row>17</xdr:row>
          <xdr:rowOff>85725</xdr:rowOff>
        </xdr:to>
        <xdr:sp macro="" textlink="">
          <xdr:nvSpPr>
            <xdr:cNvPr id="1072" name="btnXOIP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57150</xdr:rowOff>
        </xdr:from>
        <xdr:to>
          <xdr:col>2</xdr:col>
          <xdr:colOff>9525</xdr:colOff>
          <xdr:row>20</xdr:row>
          <xdr:rowOff>133350</xdr:rowOff>
        </xdr:to>
        <xdr:sp macro="" textlink="">
          <xdr:nvSpPr>
            <xdr:cNvPr id="1087" name="btnXKRD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9525</xdr:colOff>
          <xdr:row>27</xdr:row>
          <xdr:rowOff>361950</xdr:rowOff>
        </xdr:to>
        <xdr:sp macro="" textlink="">
          <xdr:nvSpPr>
            <xdr:cNvPr id="1088" name="btnSWPM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47625</xdr:rowOff>
        </xdr:from>
        <xdr:to>
          <xdr:col>2</xdr:col>
          <xdr:colOff>19050</xdr:colOff>
          <xdr:row>30</xdr:row>
          <xdr:rowOff>28575</xdr:rowOff>
        </xdr:to>
        <xdr:sp macro="" textlink="">
          <xdr:nvSpPr>
            <xdr:cNvPr id="1089" name="btnBTMM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152400</xdr:rowOff>
        </xdr:from>
        <xdr:to>
          <xdr:col>2</xdr:col>
          <xdr:colOff>19050</xdr:colOff>
          <xdr:row>32</xdr:row>
          <xdr:rowOff>133350</xdr:rowOff>
        </xdr:to>
        <xdr:sp macro="" textlink="">
          <xdr:nvSpPr>
            <xdr:cNvPr id="1090" name="btnICVS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66675</xdr:rowOff>
        </xdr:from>
        <xdr:to>
          <xdr:col>2</xdr:col>
          <xdr:colOff>19050</xdr:colOff>
          <xdr:row>35</xdr:row>
          <xdr:rowOff>47625</xdr:rowOff>
        </xdr:to>
        <xdr:sp macro="" textlink="">
          <xdr:nvSpPr>
            <xdr:cNvPr id="1091" name="btnUSSW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180975</xdr:rowOff>
        </xdr:from>
        <xdr:to>
          <xdr:col>2</xdr:col>
          <xdr:colOff>19050</xdr:colOff>
          <xdr:row>37</xdr:row>
          <xdr:rowOff>161925</xdr:rowOff>
        </xdr:to>
        <xdr:sp macro="" textlink="">
          <xdr:nvSpPr>
            <xdr:cNvPr id="1092" name="btnIRSB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104775</xdr:rowOff>
        </xdr:from>
        <xdr:to>
          <xdr:col>2</xdr:col>
          <xdr:colOff>9525</xdr:colOff>
          <xdr:row>23</xdr:row>
          <xdr:rowOff>180975</xdr:rowOff>
        </xdr:to>
        <xdr:sp macro="" textlink="">
          <xdr:nvSpPr>
            <xdr:cNvPr id="1275" name="btnXHSSA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104775</xdr:rowOff>
        </xdr:from>
        <xdr:to>
          <xdr:col>2</xdr:col>
          <xdr:colOff>19050</xdr:colOff>
          <xdr:row>40</xdr:row>
          <xdr:rowOff>85725</xdr:rowOff>
        </xdr:to>
        <xdr:sp macro="" textlink="">
          <xdr:nvSpPr>
            <xdr:cNvPr id="1276" name="btnMARS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19050</xdr:rowOff>
        </xdr:from>
        <xdr:to>
          <xdr:col>2</xdr:col>
          <xdr:colOff>19050</xdr:colOff>
          <xdr:row>43</xdr:row>
          <xdr:rowOff>0</xdr:rowOff>
        </xdr:to>
        <xdr:sp macro="" textlink="">
          <xdr:nvSpPr>
            <xdr:cNvPr id="1303" name="btnIVSP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25</xdr:row>
          <xdr:rowOff>0</xdr:rowOff>
        </xdr:from>
        <xdr:to>
          <xdr:col>8</xdr:col>
          <xdr:colOff>0</xdr:colOff>
          <xdr:row>26</xdr:row>
          <xdr:rowOff>104775</xdr:rowOff>
        </xdr:to>
        <xdr:sp macro="" textlink="">
          <xdr:nvSpPr>
            <xdr:cNvPr id="1318" name="cboLiborQuoteType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114300</xdr:colOff>
      <xdr:row>0</xdr:row>
      <xdr:rowOff>57150</xdr:rowOff>
    </xdr:from>
    <xdr:to>
      <xdr:col>5</xdr:col>
      <xdr:colOff>371475</xdr:colOff>
      <xdr:row>3</xdr:row>
      <xdr:rowOff>47625</xdr:rowOff>
    </xdr:to>
    <xdr:pic>
      <xdr:nvPicPr>
        <xdr:cNvPr id="1609" name="Bloomber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7907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357289</xdr:colOff>
      <xdr:row>0</xdr:row>
      <xdr:rowOff>59531</xdr:rowOff>
    </xdr:from>
    <xdr:to>
      <xdr:col>18</xdr:col>
      <xdr:colOff>231286</xdr:colOff>
      <xdr:row>3</xdr:row>
      <xdr:rowOff>54959</xdr:rowOff>
    </xdr:to>
    <xdr:sp macro="" textlink="">
      <xdr:nvSpPr>
        <xdr:cNvPr id="29" name="BannerTitle"/>
        <xdr:cNvSpPr>
          <a:spLocks noChangeArrowheads="1"/>
        </xdr:cNvSpPr>
      </xdr:nvSpPr>
      <xdr:spPr bwMode="auto">
        <a:xfrm>
          <a:off x="1912925" y="57150"/>
          <a:ext cx="9065623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US Rates 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476250</xdr:colOff>
      <xdr:row>3</xdr:row>
      <xdr:rowOff>180975</xdr:rowOff>
    </xdr:to>
    <xdr:pic>
      <xdr:nvPicPr>
        <xdr:cNvPr id="2608" name="Bloomber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288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447675</xdr:colOff>
      <xdr:row>1</xdr:row>
      <xdr:rowOff>0</xdr:rowOff>
    </xdr:from>
    <xdr:to>
      <xdr:col>19</xdr:col>
      <xdr:colOff>504825</xdr:colOff>
      <xdr:row>4</xdr:row>
      <xdr:rowOff>0</xdr:rowOff>
    </xdr:to>
    <xdr:pic>
      <xdr:nvPicPr>
        <xdr:cNvPr id="2609" name="BannerTitle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7150"/>
          <a:ext cx="1037272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A187"/>
  <sheetViews>
    <sheetView showGridLines="0" showRowColHeaders="0" tabSelected="1" zoomScale="80" zoomScaleNormal="80" workbookViewId="0">
      <pane ySplit="5" topLeftCell="A6" activePane="bottomLeft" state="frozen"/>
      <selection pane="bottomLeft" activeCell="A6" sqref="A6"/>
    </sheetView>
  </sheetViews>
  <sheetFormatPr defaultRowHeight="15" customHeight="1" x14ac:dyDescent="0.2"/>
  <cols>
    <col min="1" max="1" width="1.7109375" style="195" customWidth="1"/>
    <col min="2" max="2" width="18.7109375" style="12" customWidth="1"/>
    <col min="3" max="3" width="0.85546875" style="11" customWidth="1"/>
    <col min="4" max="4" width="1.7109375" style="12" customWidth="1"/>
    <col min="5" max="5" width="1.28515625" style="11" hidden="1" customWidth="1"/>
    <col min="6" max="6" width="10.5703125" style="12" customWidth="1"/>
    <col min="7" max="7" width="11" style="12" customWidth="1"/>
    <col min="8" max="19" width="10.5703125" style="12" customWidth="1"/>
    <col min="20" max="20" width="10.42578125" style="12" customWidth="1"/>
    <col min="21" max="21" width="12.140625" style="12" customWidth="1"/>
    <col min="22" max="22" width="10.85546875" style="12" customWidth="1"/>
    <col min="23" max="23" width="11.28515625" style="12" customWidth="1"/>
    <col min="24" max="24" width="11" style="12" customWidth="1"/>
    <col min="25" max="25" width="11.42578125" style="12" customWidth="1"/>
    <col min="26" max="26" width="12.7109375" style="12" customWidth="1"/>
    <col min="27" max="27" width="10.42578125" style="12" customWidth="1"/>
    <col min="28" max="28" width="9.5703125" style="12" customWidth="1"/>
    <col min="29" max="29" width="12.85546875" style="12" customWidth="1"/>
    <col min="30" max="30" width="12.140625" style="12" customWidth="1"/>
    <col min="31" max="31" width="12.42578125" style="12" customWidth="1"/>
    <col min="32" max="32" width="13" style="12" customWidth="1"/>
    <col min="33" max="33" width="11.5703125" style="12" customWidth="1"/>
    <col min="34" max="34" width="9.85546875" style="12" customWidth="1"/>
    <col min="35" max="36" width="9.7109375" style="12" customWidth="1"/>
    <col min="37" max="38" width="9.140625" style="12"/>
    <col min="39" max="40" width="9.85546875" style="12" customWidth="1"/>
    <col min="41" max="16384" width="9.140625" style="12"/>
  </cols>
  <sheetData>
    <row r="1" spans="1:55" ht="15" customHeight="1" x14ac:dyDescent="0.2">
      <c r="AX1" s="195"/>
      <c r="AY1" s="195"/>
      <c r="AZ1" s="195"/>
      <c r="BA1" s="195"/>
      <c r="BB1" s="195"/>
      <c r="BC1" s="195"/>
    </row>
    <row r="2" spans="1:55" ht="15" customHeight="1" x14ac:dyDescent="0.2">
      <c r="AX2" s="195"/>
      <c r="AY2" s="195"/>
      <c r="AZ2" s="195"/>
      <c r="BA2" s="195"/>
      <c r="BB2" s="195"/>
      <c r="BC2" s="195"/>
    </row>
    <row r="3" spans="1:55" ht="15" customHeight="1" x14ac:dyDescent="0.2">
      <c r="AX3" s="195"/>
      <c r="AY3" s="195"/>
      <c r="AZ3" s="195"/>
      <c r="BA3" s="195"/>
      <c r="BB3" s="195"/>
      <c r="BC3" s="195"/>
    </row>
    <row r="4" spans="1:55" ht="15" customHeight="1" x14ac:dyDescent="0.2">
      <c r="AX4" s="195"/>
      <c r="AY4" s="195"/>
      <c r="AZ4" s="195"/>
      <c r="BA4" s="195"/>
      <c r="BB4" s="195"/>
      <c r="BC4" s="195"/>
    </row>
    <row r="5" spans="1:55" ht="15" customHeight="1" x14ac:dyDescent="0.2">
      <c r="AX5" s="195"/>
      <c r="AY5" s="195"/>
      <c r="AZ5" s="195"/>
      <c r="BA5" s="195"/>
      <c r="BB5" s="195"/>
      <c r="BC5" s="195"/>
    </row>
    <row r="6" spans="1:55" ht="15" customHeight="1" x14ac:dyDescent="0.2"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</row>
    <row r="7" spans="1:55" ht="15" customHeight="1" x14ac:dyDescent="0.25">
      <c r="A7" s="15"/>
      <c r="B7" s="217" t="s">
        <v>271</v>
      </c>
      <c r="C7" s="14"/>
      <c r="D7" s="15"/>
      <c r="E7" s="16"/>
      <c r="F7" s="197" t="s">
        <v>121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</row>
    <row r="8" spans="1:55" ht="12" customHeight="1" x14ac:dyDescent="0.25">
      <c r="A8" s="15"/>
      <c r="B8" s="13"/>
      <c r="C8" s="14"/>
      <c r="D8" s="15"/>
      <c r="E8" s="16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95"/>
      <c r="V8" s="195"/>
      <c r="W8" s="195"/>
      <c r="X8" s="195"/>
      <c r="Y8" s="195"/>
      <c r="Z8" s="195"/>
      <c r="AA8" s="195"/>
      <c r="AB8" s="195"/>
      <c r="AC8" s="195"/>
      <c r="AD8" s="195"/>
      <c r="AE8" s="195"/>
      <c r="AF8" s="195"/>
      <c r="AG8" s="195"/>
      <c r="AH8" s="195"/>
      <c r="AI8" s="195"/>
      <c r="AJ8" s="195"/>
      <c r="AK8" s="195"/>
      <c r="AL8" s="195"/>
      <c r="AM8" s="195"/>
      <c r="AN8" s="195"/>
      <c r="AO8" s="195"/>
      <c r="AP8" s="195"/>
      <c r="AQ8" s="195"/>
      <c r="AR8" s="195"/>
      <c r="AS8" s="195"/>
      <c r="AT8" s="195"/>
      <c r="AU8" s="195"/>
      <c r="AV8" s="195"/>
      <c r="AW8" s="195"/>
      <c r="AX8" s="195"/>
      <c r="AY8" s="195"/>
      <c r="AZ8" s="195"/>
      <c r="BA8" s="195"/>
      <c r="BB8" s="195"/>
      <c r="BC8" s="195"/>
    </row>
    <row r="9" spans="1:55" ht="35.1" customHeight="1" x14ac:dyDescent="0.25">
      <c r="A9" s="15"/>
      <c r="C9" s="17"/>
      <c r="D9" s="16"/>
      <c r="E9" s="16"/>
      <c r="F9" s="278" t="s">
        <v>2</v>
      </c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7"/>
      <c r="T9" s="15"/>
      <c r="U9" s="258" t="s">
        <v>64</v>
      </c>
      <c r="V9" s="259"/>
      <c r="W9" s="259"/>
      <c r="X9" s="259"/>
      <c r="Y9" s="259"/>
      <c r="Z9" s="259"/>
      <c r="AA9" s="259"/>
      <c r="AB9" s="259"/>
      <c r="AC9" s="260"/>
      <c r="AD9" s="195"/>
      <c r="AE9" s="242" t="s">
        <v>231</v>
      </c>
      <c r="AF9" s="243"/>
      <c r="AG9" s="235" t="s">
        <v>0</v>
      </c>
      <c r="AH9" s="235"/>
      <c r="AI9" s="236"/>
      <c r="AJ9" s="195"/>
      <c r="AK9" s="195"/>
      <c r="AL9" s="195"/>
      <c r="AM9" s="195"/>
      <c r="AN9" s="195"/>
      <c r="AO9" s="195"/>
      <c r="AP9" s="195"/>
      <c r="AQ9" s="195"/>
      <c r="AR9" s="195"/>
      <c r="AS9" s="195"/>
      <c r="AT9" s="195"/>
      <c r="AU9" s="195"/>
      <c r="AV9" s="195"/>
      <c r="AW9" s="195"/>
      <c r="AX9" s="195"/>
      <c r="AY9" s="195"/>
      <c r="AZ9" s="195"/>
      <c r="BA9" s="195"/>
      <c r="BB9" s="195"/>
      <c r="BC9" s="195"/>
    </row>
    <row r="10" spans="1:55" ht="35.1" customHeight="1" x14ac:dyDescent="0.25">
      <c r="A10" s="15"/>
      <c r="B10" s="18"/>
      <c r="C10" s="18"/>
      <c r="D10" s="16"/>
      <c r="E10" s="16"/>
      <c r="F10" s="19" t="s">
        <v>0</v>
      </c>
      <c r="G10" s="20" t="s">
        <v>48</v>
      </c>
      <c r="H10" s="20" t="s">
        <v>49</v>
      </c>
      <c r="I10" s="20" t="s">
        <v>54</v>
      </c>
      <c r="J10" s="20" t="s">
        <v>55</v>
      </c>
      <c r="K10" s="20" t="s">
        <v>1</v>
      </c>
      <c r="L10" s="21" t="s">
        <v>269</v>
      </c>
      <c r="M10" s="21" t="s">
        <v>270</v>
      </c>
      <c r="N10" s="21" t="s">
        <v>56</v>
      </c>
      <c r="O10" s="21" t="s">
        <v>57</v>
      </c>
      <c r="P10" s="21" t="s">
        <v>256</v>
      </c>
      <c r="Q10" s="21" t="s">
        <v>257</v>
      </c>
      <c r="R10" s="21" t="s">
        <v>258</v>
      </c>
      <c r="S10" s="22" t="s">
        <v>259</v>
      </c>
      <c r="T10" s="15"/>
      <c r="U10" s="23" t="s">
        <v>0</v>
      </c>
      <c r="V10" s="24" t="s">
        <v>58</v>
      </c>
      <c r="W10" s="25" t="s">
        <v>260</v>
      </c>
      <c r="X10" s="24" t="s">
        <v>63</v>
      </c>
      <c r="Y10" s="25" t="s">
        <v>65</v>
      </c>
      <c r="Z10" s="25" t="s">
        <v>66</v>
      </c>
      <c r="AA10" s="25" t="s">
        <v>70</v>
      </c>
      <c r="AB10" s="25" t="s">
        <v>103</v>
      </c>
      <c r="AC10" s="26"/>
      <c r="AD10" s="195"/>
      <c r="AE10" s="10" t="s">
        <v>263</v>
      </c>
      <c r="AF10" s="27" t="s">
        <v>75</v>
      </c>
      <c r="AG10" s="27" t="s">
        <v>261</v>
      </c>
      <c r="AH10" s="27" t="s">
        <v>239</v>
      </c>
      <c r="AI10" s="28" t="s">
        <v>261</v>
      </c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</row>
    <row r="11" spans="1:55" ht="15" customHeight="1" x14ac:dyDescent="0.25">
      <c r="A11" s="15"/>
      <c r="B11" s="18"/>
      <c r="C11" s="18"/>
      <c r="D11" s="16"/>
      <c r="E11" s="16"/>
      <c r="F11" s="29">
        <v>2</v>
      </c>
      <c r="G11" s="30" t="str">
        <f>format32(_xll.BDP("GT"&amp;F11&amp;" govt","bid"))</f>
        <v>99-24+</v>
      </c>
      <c r="H11" s="31" t="str">
        <f>format32(_xll.BDP("GT"&amp;F11&amp;" govt","ask"))</f>
        <v>99-246</v>
      </c>
      <c r="I11" s="32" t="str">
        <f>TEXT(_xll.BDP("GT"&amp;F11&amp;" govt","bid yld"),"##.000")</f>
        <v>.870</v>
      </c>
      <c r="J11" s="31" t="str">
        <f>TEXT(_xll.BDP("GT"&amp;F11&amp;" govt","ask yld"),"##.000")</f>
        <v>.866</v>
      </c>
      <c r="K11" s="32">
        <f>(I11+J11)/2</f>
        <v>0.86799999999999999</v>
      </c>
      <c r="L11" s="32">
        <f>K11-M11</f>
        <v>3.5881249999999976E-2</v>
      </c>
      <c r="M11" s="32">
        <f>_xll.BDP("GT"&amp;F11&amp;" govt","PRIOR_CLOSE_MID_YLD")</f>
        <v>0.83211875000000002</v>
      </c>
      <c r="N11" s="31" t="str">
        <f>TEXT(_xll.BDP("ussp"&amp;$F11&amp;" curncy","bid"),"###.00")</f>
        <v>22.88</v>
      </c>
      <c r="O11" s="31" t="str">
        <f>TEXT(_xll.BDP("ussp"&amp;$F11&amp;" curncy","ask"),"###.00")</f>
        <v>23.15</v>
      </c>
      <c r="P11" s="31" t="str">
        <f>TEXT(_xll.BDP("ussw"&amp;$F11&amp;" curncy","bid"),"###.000")</f>
        <v>1.097</v>
      </c>
      <c r="Q11" s="31" t="str">
        <f>TEXT(_xll.BDP("ussw"&amp;$F11&amp;" curncy","ask"),"###.000")</f>
        <v>1.100</v>
      </c>
      <c r="R11" s="31" t="str">
        <f>TEXT(_xll.BDP("ussa"&amp;$F11&amp;" curncy","bid"),"###.000")</f>
        <v>1.085</v>
      </c>
      <c r="S11" s="33" t="str">
        <f>TEXT(_xll.BDP("ussa"&amp;$F11&amp;" curncy","ask"),"###.000")</f>
        <v>1.086</v>
      </c>
      <c r="T11" s="15"/>
      <c r="U11" s="34" t="s">
        <v>59</v>
      </c>
      <c r="V11" s="35" t="str">
        <f>_xll.BDP("TU1 comdty","fut cur gen ticker")</f>
        <v>TUZ6</v>
      </c>
      <c r="W11" s="36" t="str">
        <f>_xll.BDP(V11&amp;" COMDTY","FUT MONTH YR")</f>
        <v>DEC 16</v>
      </c>
      <c r="X11" s="36" t="str">
        <f>format32(_xll.BDP($V11&amp;" comdty","last price"))</f>
        <v>108-31</v>
      </c>
      <c r="Y11" s="37">
        <f>_xll.BDP($V11&amp;" comdty","FUT_CTD_GROSS_BASIS")</f>
        <v>7.0646069740000712</v>
      </c>
      <c r="Z11" s="37">
        <f>_xll.BDP($V11&amp;" comdty","FUT_CTD_NET_BASIS")</f>
        <v>0.9478085174215426</v>
      </c>
      <c r="AA11" s="37">
        <f>_xll.BDP($V11&amp;" comdty"," FUT_IMPLIED_REPO_RT")</f>
        <v>0.42076605731962669</v>
      </c>
      <c r="AB11" s="38" t="str">
        <f>_xll.BDP($V11&amp;" comdty","FUT_CTD")</f>
        <v>T 1.375 09/30/18</v>
      </c>
      <c r="AC11" s="39"/>
      <c r="AD11" s="195"/>
      <c r="AE11" s="40" t="s">
        <v>262</v>
      </c>
      <c r="AF11" s="41">
        <f>_xll.BDP("GTUSD"&amp;MaturityLink&amp;"Y GOVT","last YLD")</f>
        <v>1.770875</v>
      </c>
      <c r="AG11" s="42">
        <f>_xll.BDP("GTUSD"&amp;MaturityLink&amp;"Y GOVT","RT_YLD_CHG_NET_1D")</f>
        <v>5.2733000000000002E-2</v>
      </c>
      <c r="AH11" s="42">
        <f>_xll.BDP("CT786896 CURNCY","BID")</f>
        <v>17.5</v>
      </c>
      <c r="AI11" s="43">
        <f>_xll.BDP("CT786896 CURNCY","RT_PX_CHG_NET_1D")</f>
        <v>-4.5</v>
      </c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</row>
    <row r="12" spans="1:55" ht="15" customHeight="1" x14ac:dyDescent="0.25">
      <c r="A12" s="15"/>
      <c r="B12" s="18"/>
      <c r="C12" s="18"/>
      <c r="D12" s="16"/>
      <c r="E12" s="16"/>
      <c r="F12" s="29">
        <v>3</v>
      </c>
      <c r="G12" s="44" t="str">
        <f>format32(_xll.BDP("GT"&amp;F12&amp;" govt","bid"))</f>
        <v>99-182</v>
      </c>
      <c r="H12" s="45" t="str">
        <f>format32(_xll.BDP("GT"&amp;F12&amp;" govt","ask"))</f>
        <v>99-18+</v>
      </c>
      <c r="I12" s="46" t="str">
        <f>TEXT(_xll.BDP("GT"&amp;F12&amp;" govt","bid yld"),"##.000")</f>
        <v>1.024</v>
      </c>
      <c r="J12" s="45" t="str">
        <f>TEXT(_xll.BDP("GT"&amp;F12&amp;" govt","ask yld"),"##.000")</f>
        <v>1.022</v>
      </c>
      <c r="K12" s="46">
        <f t="shared" ref="K12:K24" si="0">(I12+J12)/2</f>
        <v>1.0230000000000001</v>
      </c>
      <c r="L12" s="46">
        <f t="shared" ref="L12:L24" si="1">K12-M12</f>
        <v>4.3593750000000098E-2</v>
      </c>
      <c r="M12" s="46">
        <f>_xll.BDP("GT"&amp;F12&amp;" govt","PRIOR_CLOSE_MID_YLD")</f>
        <v>0.97940625000000003</v>
      </c>
      <c r="N12" s="45" t="str">
        <f>TEXT(_xll.BDP("ussp"&amp;$F12&amp;" curncy","bid"),"###.00")</f>
        <v>15.15</v>
      </c>
      <c r="O12" s="45" t="str">
        <f>TEXT(_xll.BDP("ussp"&amp;$F12&amp;" curncy","ask"),"###.00")</f>
        <v>15.63</v>
      </c>
      <c r="P12" s="45" t="str">
        <f>TEXT(_xll.BDP("ussw"&amp;$F12&amp;" curncy","bid"),"###.000")</f>
        <v>1.175</v>
      </c>
      <c r="Q12" s="45" t="str">
        <f>TEXT(_xll.BDP("ussw"&amp;$F12&amp;" curncy","ask"),"###.000")</f>
        <v>1.178</v>
      </c>
      <c r="R12" s="45" t="str">
        <f>TEXT(_xll.BDP("ussa"&amp;$F12&amp;" curncy","bid"),"###.000")</f>
        <v>1.162</v>
      </c>
      <c r="S12" s="47" t="str">
        <f>TEXT(_xll.BDP("ussa"&amp;$F12&amp;" curncy","ask"),"###.000")</f>
        <v>1.165</v>
      </c>
      <c r="T12" s="15"/>
      <c r="U12" s="48"/>
      <c r="V12" s="49" t="str">
        <f>_xll.BDP("TU2 comdty","fut cur gen ticker")</f>
        <v>TUH7</v>
      </c>
      <c r="W12" s="45" t="str">
        <f>_xll.BDP(V12&amp;" COMDTY","FUT MONTH YR")</f>
        <v>MAR 17</v>
      </c>
      <c r="X12" s="45" t="str">
        <f>format32(_xll.BDP($V12&amp;" comdty","last price"))</f>
        <v>108-286</v>
      </c>
      <c r="Y12" s="50">
        <f>_xll.BDP($V12&amp;" comdty","FUT_CTD_GROSS_BASIS")</f>
        <v>11.826113332249861</v>
      </c>
      <c r="Z12" s="50">
        <f>_xll.BDP($V12&amp;" comdty","FUT_CTD_NET_BASIS")</f>
        <v>-2.6208449465768102</v>
      </c>
      <c r="AA12" s="50">
        <f>_xll.BDP($V12&amp;" comdty"," FUT_IMPLIED_REPO_RT")</f>
        <v>0.71138813257852129</v>
      </c>
      <c r="AB12" s="51" t="str">
        <f>_xll.BDP($V12&amp;" comdty","FUT_CTD")</f>
        <v>T 1.5 12/31/18</v>
      </c>
      <c r="AC12" s="52"/>
      <c r="AD12" s="195"/>
      <c r="AE12" s="40" t="s">
        <v>232</v>
      </c>
      <c r="AF12" s="53">
        <f>_xll.BDP("GTDEM"&amp;MaturityLink&amp;"Y CORP","last YLD")</f>
        <v>4.9586999999999999E-2</v>
      </c>
      <c r="AG12" s="54">
        <f>_xll.BDP("GTDEM"&amp;MaturityLink&amp;"Y CORP","RT_YLD_CHG_NET_1D")</f>
        <v>-4.4130000000000003E-3</v>
      </c>
      <c r="AH12" s="54">
        <f>_xll.BDP("CDBR1U5 CURNCY","BID")</f>
        <v>17.158000000000001</v>
      </c>
      <c r="AI12" s="55">
        <f>_xll.BDP("CDBR1U5 CURNCY","RT_PX_CHG_NET_1D")</f>
        <v>0.32700000000000001</v>
      </c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</row>
    <row r="13" spans="1:55" ht="15" customHeight="1" x14ac:dyDescent="0.25">
      <c r="A13" s="15"/>
      <c r="B13" s="18"/>
      <c r="C13" s="18"/>
      <c r="D13" s="16"/>
      <c r="E13" s="16"/>
      <c r="F13" s="29">
        <v>4</v>
      </c>
      <c r="G13" s="30"/>
      <c r="H13" s="31"/>
      <c r="I13" s="32">
        <f>(I12+I14)/2</f>
        <v>1.1665000000000001</v>
      </c>
      <c r="J13" s="32">
        <f>(J12+J14)/2</f>
        <v>1.1644999999999999</v>
      </c>
      <c r="K13" s="32">
        <f t="shared" si="0"/>
        <v>1.1655</v>
      </c>
      <c r="L13" s="32">
        <f t="shared" si="1"/>
        <v>4.7840624999999859E-2</v>
      </c>
      <c r="M13" s="32">
        <f>(M12+M14)/2</f>
        <v>1.1176593750000001</v>
      </c>
      <c r="N13" s="31" t="str">
        <f>TEXT(_xll.BDP("ussp"&amp;$F13&amp;" curncy","bid"),"###.00")</f>
        <v>8.50</v>
      </c>
      <c r="O13" s="31" t="str">
        <f>TEXT(_xll.BDP("ussp"&amp;$F13&amp;" curncy","ask"),"###.00")</f>
        <v>8.79</v>
      </c>
      <c r="P13" s="31" t="str">
        <f>TEXT(_xll.BDP("ussw"&amp;$F13&amp;" curncy","bid"),"###.000")</f>
        <v>1.251</v>
      </c>
      <c r="Q13" s="31" t="str">
        <f>TEXT(_xll.BDP("ussw"&amp;$F13&amp;" curncy","ask"),"###.000")</f>
        <v>1.252</v>
      </c>
      <c r="R13" s="31" t="str">
        <f>TEXT(_xll.BDP("ussa"&amp;$F13&amp;" curncy","bid"),"###.000")</f>
        <v>1.234</v>
      </c>
      <c r="S13" s="33" t="str">
        <f>TEXT(_xll.BDP("ussa"&amp;$F13&amp;" curncy","ask"),"###.000")</f>
        <v>1.239</v>
      </c>
      <c r="T13" s="15"/>
      <c r="U13" s="34" t="s">
        <v>60</v>
      </c>
      <c r="V13" s="56" t="str">
        <f>_xll.BDP("FV1 comdty","fut cur gen ticker")</f>
        <v>FVZ6</v>
      </c>
      <c r="W13" s="31" t="str">
        <f>_xll.BDP(V13&amp;" COMDTY","FUT MONTH YR")</f>
        <v>DEC 16</v>
      </c>
      <c r="X13" s="31" t="str">
        <f>format32(_xll.BDP($V13&amp;" comdty","last price"))</f>
        <v>120-206</v>
      </c>
      <c r="Y13" s="57">
        <f>_xll.BDP($V13&amp;" comdty","FUT_CTD_GROSS_BASIS")</f>
        <v>3.9413729729999432</v>
      </c>
      <c r="Z13" s="57">
        <f>_xll.BDP($V13&amp;" comdty","FUT_CTD_NET_BASIS")</f>
        <v>-0.41424931060950088</v>
      </c>
      <c r="AA13" s="57">
        <f>_xll.BDP($V13&amp;" comdty"," FUT_IMPLIED_REPO_RT")</f>
        <v>0.60009956830595756</v>
      </c>
      <c r="AB13" s="58" t="str">
        <f>_xll.BDP($V13&amp;" comdty","FUT_CTD")</f>
        <v>T 1.125 02/28/21</v>
      </c>
      <c r="AC13" s="59"/>
      <c r="AD13" s="195"/>
      <c r="AE13" s="40" t="s">
        <v>233</v>
      </c>
      <c r="AF13" s="41">
        <f>_xll.BDP("GTJPY"&amp;MaturityLink&amp;"Y CORP","last YLD")</f>
        <v>-0.05</v>
      </c>
      <c r="AG13" s="42">
        <f>_xll.BDP("GTJPY"&amp;MaturityLink&amp;"Y CORP","RT_YLD_CHG_NET_1D")</f>
        <v>1.4E-2</v>
      </c>
      <c r="AH13" s="42">
        <f>_xll.BDP("CJGB1U5 CURNCY","BID")</f>
        <v>30</v>
      </c>
      <c r="AI13" s="43" t="str">
        <f>_xll.BDP("CJGB1U5 CURNCY","RT_PX_CHG_NET_1D")</f>
        <v>#N/A N/A</v>
      </c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</row>
    <row r="14" spans="1:55" ht="15" customHeight="1" x14ac:dyDescent="0.25">
      <c r="A14" s="15"/>
      <c r="B14" s="18"/>
      <c r="C14" s="18"/>
      <c r="D14" s="16"/>
      <c r="E14" s="16"/>
      <c r="F14" s="29">
        <v>5</v>
      </c>
      <c r="G14" s="44" t="str">
        <f>format32(_xll.BDP("GT"&amp;F14&amp;" govt","bid"))</f>
        <v>99-036</v>
      </c>
      <c r="H14" s="45" t="str">
        <f>format32(_xll.BDP("GT"&amp;F14&amp;" govt","ask"))</f>
        <v>99-4</v>
      </c>
      <c r="I14" s="46" t="str">
        <f>TEXT(_xll.BDP("GT"&amp;F14&amp;" govt","bid yld"),"##.000")</f>
        <v>1.309</v>
      </c>
      <c r="J14" s="45" t="str">
        <f>TEXT(_xll.BDP("GT"&amp;F14&amp;" govt","ask yld"),"##.000")</f>
        <v>1.307</v>
      </c>
      <c r="K14" s="46">
        <f t="shared" si="0"/>
        <v>1.3079999999999998</v>
      </c>
      <c r="L14" s="46">
        <f t="shared" si="1"/>
        <v>5.2087499999999842E-2</v>
      </c>
      <c r="M14" s="46">
        <f>_xll.BDP("GT"&amp;F14&amp;" govt","PRIOR_CLOSE_MID_YLD")</f>
        <v>1.2559125</v>
      </c>
      <c r="N14" s="45" t="str">
        <f>TEXT(_xll.BDP("ussp"&amp;$F14&amp;" curncy","bid"),"###.00")</f>
        <v>1.25</v>
      </c>
      <c r="O14" s="45" t="str">
        <f>TEXT(_xll.BDP("ussp"&amp;$F14&amp;" curncy","ask"),"###.00")</f>
        <v>1.80</v>
      </c>
      <c r="P14" s="45" t="str">
        <f>TEXT(_xll.BDP("ussw"&amp;$F14&amp;" curncy","bid"),"###.000")</f>
        <v>1.322</v>
      </c>
      <c r="Q14" s="45" t="str">
        <f>TEXT(_xll.BDP("ussw"&amp;$F14&amp;" curncy","ask"),"###.000")</f>
        <v>1.323</v>
      </c>
      <c r="R14" s="45" t="str">
        <f>TEXT(_xll.BDP("ussa"&amp;$F14&amp;" curncy","bid"),"###.000")</f>
        <v>1.305</v>
      </c>
      <c r="S14" s="47" t="str">
        <f>TEXT(_xll.BDP("ussa"&amp;$F14&amp;" curncy","ask"),"###.000")</f>
        <v>1.307</v>
      </c>
      <c r="T14" s="15"/>
      <c r="U14" s="48"/>
      <c r="V14" s="49" t="str">
        <f>_xll.BDP("FV2 comdty","fut cur gen ticker")</f>
        <v>FVH7</v>
      </c>
      <c r="W14" s="45" t="str">
        <f>_xll.BDP(V14&amp;" COMDTY","FUT MONTH YR")</f>
        <v>MAR 17</v>
      </c>
      <c r="X14" s="45" t="str">
        <f>format32(_xll.BDP($V14&amp;" comdty","last price"))</f>
        <v>120-10+</v>
      </c>
      <c r="Y14" s="50">
        <f>_xll.BDP($V14&amp;" comdty","FUT_CTD_GROSS_BASIS")</f>
        <v>9.0390460365001672</v>
      </c>
      <c r="Z14" s="50">
        <f>_xll.BDP($V14&amp;" comdty","FUT_CTD_NET_BASIS")</f>
        <v>-3.5734753546359057</v>
      </c>
      <c r="AA14" s="50">
        <f>_xll.BDP($V14&amp;" comdty"," FUT_IMPLIED_REPO_RT")</f>
        <v>0.77388161069054884</v>
      </c>
      <c r="AB14" s="51" t="str">
        <f>_xll.BDP($V14&amp;" comdty","FUT_CTD")</f>
        <v>T 1.375 05/31/21</v>
      </c>
      <c r="AC14" s="52"/>
      <c r="AD14" s="195"/>
      <c r="AE14" s="40" t="s">
        <v>234</v>
      </c>
      <c r="AF14" s="53">
        <f>_xll.BDP("GTGBP"&amp;MaturityLink&amp;"Y CORP","last YLD")</f>
        <v>0.98722299999999996</v>
      </c>
      <c r="AG14" s="54">
        <f>_xll.BDP("GTGBP"&amp;MaturityLink&amp;"Y CORP","RT_YLD_CHG_NET_1D")</f>
        <v>-3.3977E-2</v>
      </c>
      <c r="AH14" s="54">
        <f>_xll.BDP("CUKT1U5 CURNCY","BID")</f>
        <v>33.655000000000001</v>
      </c>
      <c r="AI14" s="55">
        <f>_xll.BDP("CUKT1U5 CURNCY","RT_PX_CHG_NET_1D")</f>
        <v>0.35899999999999999</v>
      </c>
      <c r="AJ14" s="195"/>
      <c r="AK14" s="195"/>
      <c r="AL14" s="195"/>
      <c r="AM14" s="195"/>
      <c r="AN14" s="195"/>
      <c r="AO14" s="195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</row>
    <row r="15" spans="1:55" ht="15" customHeight="1" x14ac:dyDescent="0.25">
      <c r="A15" s="15"/>
      <c r="B15" s="18"/>
      <c r="C15" s="18"/>
      <c r="D15" s="16"/>
      <c r="E15" s="16"/>
      <c r="F15" s="29">
        <v>6</v>
      </c>
      <c r="G15" s="30"/>
      <c r="H15" s="31"/>
      <c r="I15" s="32">
        <f>(I14+I16)/2</f>
        <v>1.4550000000000001</v>
      </c>
      <c r="J15" s="32">
        <f>(J14+J16)/2</f>
        <v>1.4529999999999998</v>
      </c>
      <c r="K15" s="32">
        <f t="shared" si="0"/>
        <v>1.454</v>
      </c>
      <c r="L15" s="32">
        <f t="shared" si="1"/>
        <v>5.3709374999999948E-2</v>
      </c>
      <c r="M15" s="32">
        <f>(M14+M16)/2</f>
        <v>1.400290625</v>
      </c>
      <c r="N15" s="31" t="str">
        <f>TEXT(_xll.BDP("ussp"&amp;$F15&amp;" curncy","bid"),"###.00")</f>
        <v>-6.55</v>
      </c>
      <c r="O15" s="31" t="str">
        <f>TEXT(_xll.BDP("ussp"&amp;$F15&amp;" curncy","ask"),"###.00")</f>
        <v>-6.05</v>
      </c>
      <c r="P15" s="31" t="str">
        <f>TEXT(_xll.BDP("ussw"&amp;$F15&amp;" curncy","bid"),"###.000")</f>
        <v>1.390</v>
      </c>
      <c r="Q15" s="31" t="str">
        <f>TEXT(_xll.BDP("ussw"&amp;$F15&amp;" curncy","ask"),"###.000")</f>
        <v>1.391</v>
      </c>
      <c r="R15" s="31" t="str">
        <f>TEXT(_xll.BDP("ussa"&amp;$F15&amp;" curncy","bid"),"###.000")</f>
        <v>1.372</v>
      </c>
      <c r="S15" s="33" t="str">
        <f>TEXT(_xll.BDP("ussa"&amp;$F15&amp;" curncy","ask"),"###.000")</f>
        <v>1.376</v>
      </c>
      <c r="T15" s="15"/>
      <c r="U15" s="34" t="s">
        <v>61</v>
      </c>
      <c r="V15" s="56" t="str">
        <f>_xll.BDP("TY1 comdty","fut cur gen ticker")</f>
        <v>TYZ6</v>
      </c>
      <c r="W15" s="31" t="str">
        <f>_xll.BDP(V15&amp;" COMDTY","FUT MONTH YR")</f>
        <v>DEC 16</v>
      </c>
      <c r="X15" s="31" t="str">
        <f>format32(_xll.BDP($V15&amp;" comdty","last price"))</f>
        <v>129-22+</v>
      </c>
      <c r="Y15" s="57">
        <f>_xll.BDP($V15&amp;" comdty","FUT_CTD_GROSS_BASIS")</f>
        <v>13.001124905999859</v>
      </c>
      <c r="Z15" s="57">
        <f>_xll.BDP($V15&amp;" comdty","FUT_CTD_NET_BASIS")</f>
        <v>-0.10156869605340045</v>
      </c>
      <c r="AA15" s="57">
        <f>_xll.BDP($V15&amp;" comdty"," FUT_IMPLIED_REPO_RT")</f>
        <v>0.55859664841096401</v>
      </c>
      <c r="AB15" s="58" t="str">
        <f>_xll.BDP($V15&amp;" comdty","FUT_CTD")</f>
        <v>T 2.5 08/15/23</v>
      </c>
      <c r="AC15" s="59"/>
      <c r="AD15" s="195"/>
      <c r="AE15" s="40" t="s">
        <v>235</v>
      </c>
      <c r="AF15" s="41">
        <f>_xll.BDP("GTCAD"&amp;MaturityLink&amp;"Y CORP","last YLD")</f>
        <v>1.169</v>
      </c>
      <c r="AG15" s="42">
        <f>_xll.BDP("GTCAD"&amp;MaturityLink&amp;"Y CORP","RT_YLD_CHG_NET_1D")</f>
        <v>0</v>
      </c>
      <c r="AH15" s="42"/>
      <c r="AI15" s="43"/>
      <c r="AJ15" s="195"/>
      <c r="AK15" s="195"/>
      <c r="AL15" s="195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5"/>
      <c r="BB15" s="195"/>
      <c r="BC15" s="195"/>
    </row>
    <row r="16" spans="1:55" ht="15" customHeight="1" x14ac:dyDescent="0.25">
      <c r="A16" s="15"/>
      <c r="B16" s="18"/>
      <c r="C16" s="18"/>
      <c r="D16" s="16"/>
      <c r="E16" s="16"/>
      <c r="F16" s="29">
        <v>7</v>
      </c>
      <c r="G16" s="44" t="str">
        <f>format32(_xll.BDP("GT"&amp;F16&amp;" govt","bid"))</f>
        <v>98-16+</v>
      </c>
      <c r="H16" s="45" t="str">
        <f>format32(_xll.BDP("GT"&amp;F16&amp;" govt","ask"))</f>
        <v>98-17</v>
      </c>
      <c r="I16" s="46" t="str">
        <f>TEXT(_xll.BDP("GT"&amp;F16&amp;" govt","bid yld"),"##.000")</f>
        <v>1.601</v>
      </c>
      <c r="J16" s="45" t="str">
        <f>TEXT(_xll.BDP("GT"&amp;F16&amp;" govt","ask yld"),"##.000")</f>
        <v>1.599</v>
      </c>
      <c r="K16" s="46">
        <f t="shared" si="0"/>
        <v>1.6</v>
      </c>
      <c r="L16" s="46">
        <f t="shared" si="1"/>
        <v>5.5331250000000054E-2</v>
      </c>
      <c r="M16" s="46">
        <f>_xll.BDP("GT"&amp;F16&amp;" govt","PRIOR_CLOSE_MID_YLD")</f>
        <v>1.54466875</v>
      </c>
      <c r="N16" s="45" t="str">
        <f>TEXT(_xll.BDP("ussp"&amp;$F16&amp;" curncy","bid"),"###.00")</f>
        <v>-14.75</v>
      </c>
      <c r="O16" s="45" t="str">
        <f>TEXT(_xll.BDP("ussp"&amp;$F16&amp;" curncy","ask"),"###.00")</f>
        <v>-14.25</v>
      </c>
      <c r="P16" s="45" t="str">
        <f>TEXT(_xll.BDP("ussw"&amp;$F16&amp;" curncy","bid"),"###.000")</f>
        <v>1.454</v>
      </c>
      <c r="Q16" s="45" t="str">
        <f>TEXT(_xll.BDP("ussw"&amp;$F16&amp;" curncy","ask"),"###.000")</f>
        <v>1.456</v>
      </c>
      <c r="R16" s="45" t="str">
        <f>TEXT(_xll.BDP("ussa"&amp;$F16&amp;" curncy","bid"),"###.000")</f>
        <v>1.437</v>
      </c>
      <c r="S16" s="47" t="str">
        <f>TEXT(_xll.BDP("ussa"&amp;$F16&amp;" curncy","ask"),"###.000")</f>
        <v>1.439</v>
      </c>
      <c r="T16" s="15"/>
      <c r="U16" s="48"/>
      <c r="V16" s="49" t="str">
        <f>_xll.BDP("TY2 comdty","fut cur gen ticker")</f>
        <v>TYH7</v>
      </c>
      <c r="W16" s="45" t="str">
        <f>_xll.BDP(V16&amp;" COMDTY","FUT MONTH YR")</f>
        <v>MAR 17</v>
      </c>
      <c r="X16" s="45" t="str">
        <f>format32(_xll.BDP($V16&amp;" comdty","last price"))</f>
        <v>129-9</v>
      </c>
      <c r="Y16" s="50">
        <f>_xll.BDP($V16&amp;" comdty","FUT_CTD_GROSS_BASIS")</f>
        <v>25.873616547999973</v>
      </c>
      <c r="Z16" s="50">
        <f>_xll.BDP($V16&amp;" comdty","FUT_CTD_NET_BASIS")</f>
        <v>-6.4420574036774694</v>
      </c>
      <c r="AA16" s="50">
        <f>_xll.BDP($V16&amp;" comdty"," FUT_IMPLIED_REPO_RT")</f>
        <v>0.94057294899745802</v>
      </c>
      <c r="AB16" s="51" t="str">
        <f>_xll.BDP($V16&amp;" comdty","FUT_CTD")</f>
        <v>T 2.75 11/15/23</v>
      </c>
      <c r="AC16" s="52"/>
      <c r="AD16" s="195"/>
      <c r="AE16" s="40" t="s">
        <v>236</v>
      </c>
      <c r="AF16" s="53">
        <f>_xll.BDP("GTAUD"&amp;MaturityLink&amp;"Y CORP","last YLD")</f>
        <v>2.2480000000000002</v>
      </c>
      <c r="AG16" s="54">
        <f>_xll.BDP("GTAUD"&amp;MaturityLink&amp;"Y CORP","RT_YLD_CHG_NET_1D")</f>
        <v>6.2E-2</v>
      </c>
      <c r="AH16" s="54">
        <f>_xll.BDP("CT855561 CURNCY","BID")</f>
        <v>23.241</v>
      </c>
      <c r="AI16" s="55">
        <f>_xll.BDP("CT855561 CURNCY","RT_PX_CHG_NET_1D")</f>
        <v>-9.4E-2</v>
      </c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</row>
    <row r="17" spans="1:55" ht="15" customHeight="1" x14ac:dyDescent="0.25">
      <c r="A17" s="15"/>
      <c r="B17" s="18"/>
      <c r="C17" s="18"/>
      <c r="D17" s="16"/>
      <c r="E17" s="16"/>
      <c r="F17" s="29">
        <v>8</v>
      </c>
      <c r="G17" s="30"/>
      <c r="H17" s="31"/>
      <c r="I17" s="32">
        <f>I16+(I19-I16)*0.33</f>
        <v>1.6577599999999999</v>
      </c>
      <c r="J17" s="32">
        <f>J16+(J19-J16)*0.33</f>
        <v>1.6557599999999999</v>
      </c>
      <c r="K17" s="32">
        <f t="shared" si="0"/>
        <v>1.6567599999999998</v>
      </c>
      <c r="L17" s="32">
        <f t="shared" si="1"/>
        <v>5.4032699999999823E-2</v>
      </c>
      <c r="M17" s="32">
        <f>M16+(M19-M16)*0.333</f>
        <v>1.6027273</v>
      </c>
      <c r="N17" s="31" t="str">
        <f>TEXT(_xll.BDP("ussp"&amp;$F17&amp;" curncy","bid"),"###.00")</f>
        <v>-14.60</v>
      </c>
      <c r="O17" s="31" t="str">
        <f>TEXT(_xll.BDP("ussp"&amp;$F17&amp;" curncy","ask"),"###.00")</f>
        <v>-14.12</v>
      </c>
      <c r="P17" s="31" t="str">
        <f>TEXT(_xll.BDP("ussw"&amp;$F17&amp;" curncy","bid"),"###.000")</f>
        <v>1.513</v>
      </c>
      <c r="Q17" s="31" t="str">
        <f>TEXT(_xll.BDP("ussw"&amp;$F17&amp;" curncy","ask"),"###.000")</f>
        <v>1.515</v>
      </c>
      <c r="R17" s="31" t="str">
        <f>TEXT(_xll.BDP("ussa"&amp;$F17&amp;" curncy","bid"),"###.000")</f>
        <v>1.493</v>
      </c>
      <c r="S17" s="33" t="str">
        <f>TEXT(_xll.BDP("ussa"&amp;$F17&amp;" curncy","ask"),"###.000")</f>
        <v>1.498</v>
      </c>
      <c r="T17" s="15"/>
      <c r="U17" s="34" t="s">
        <v>62</v>
      </c>
      <c r="V17" s="56" t="str">
        <f>_xll.BDP("US1 comdty","fut cur gen ticker")</f>
        <v>USZ6</v>
      </c>
      <c r="W17" s="31" t="str">
        <f>_xll.BDP(V17&amp;" COMDTY","FUT MONTH YR")</f>
        <v>DEC 16</v>
      </c>
      <c r="X17" s="31" t="str">
        <f>format32(_xll.BDP($V17&amp;" comdty","last price"))</f>
        <v>164-3</v>
      </c>
      <c r="Y17" s="57">
        <f>_xll.BDP($V17&amp;" comdty","FUT_CTD_GROSS_BASIS")</f>
        <v>30.512294959999963</v>
      </c>
      <c r="Z17" s="57">
        <f>_xll.BDP($V17&amp;" comdty","FUT_CTD_NET_BASIS")</f>
        <v>4.8844867263031659</v>
      </c>
      <c r="AA17" s="57">
        <f>_xll.BDP($V17&amp;" comdty"," FUT_IMPLIED_REPO_RT")</f>
        <v>4.1324166729743345E-2</v>
      </c>
      <c r="AB17" s="58" t="str">
        <f>_xll.BDP($V17&amp;" comdty","FUT_CTD")</f>
        <v>T 4.5 02/15/36</v>
      </c>
      <c r="AC17" s="59"/>
      <c r="AD17" s="195"/>
      <c r="AE17" s="60" t="s">
        <v>237</v>
      </c>
      <c r="AF17" s="61" t="str">
        <f>_xll.BDP("GTUSDBR"&amp;MaturityLink&amp;"Y CORP","last YLD")</f>
        <v>#N/A N/A</v>
      </c>
      <c r="AG17" s="62" t="str">
        <f>_xll.BDP("GTUSDBR"&amp;MaturityLink&amp;"Y CORP","RT_YLD_CHG_NET_1D")</f>
        <v>#N/A N/A</v>
      </c>
      <c r="AH17" s="62">
        <f>_xll.BDP("CBRZ1U5 CURNCY","BID")</f>
        <v>269</v>
      </c>
      <c r="AI17" s="63">
        <f>_xll.BDP("CBRZ1U5 CURNCY","RT_PX_CHG_NET_1D")</f>
        <v>-3.5</v>
      </c>
      <c r="AJ17" s="195"/>
      <c r="AK17" s="195"/>
      <c r="AL17" s="195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5"/>
      <c r="BB17" s="195"/>
      <c r="BC17" s="195"/>
    </row>
    <row r="18" spans="1:55" ht="15" customHeight="1" x14ac:dyDescent="0.25">
      <c r="A18" s="15"/>
      <c r="B18" s="18"/>
      <c r="C18" s="18"/>
      <c r="D18" s="16"/>
      <c r="E18" s="16"/>
      <c r="F18" s="29">
        <v>9</v>
      </c>
      <c r="G18" s="44"/>
      <c r="H18" s="45"/>
      <c r="I18" s="46">
        <f>I16+(I19-I16)*0.667</f>
        <v>1.715724</v>
      </c>
      <c r="J18" s="46">
        <f>J16+(J19-J16)*0.667</f>
        <v>1.713724</v>
      </c>
      <c r="K18" s="46">
        <f t="shared" si="0"/>
        <v>1.7147239999999999</v>
      </c>
      <c r="L18" s="46">
        <f t="shared" si="1"/>
        <v>5.3763799999999806E-2</v>
      </c>
      <c r="M18" s="46">
        <f>M16+(M19-M16)*0.667</f>
        <v>1.6609602000000001</v>
      </c>
      <c r="N18" s="45" t="str">
        <f>TEXT(_xll.BDP("ussp"&amp;$F18&amp;" curncy","bid"),"###.00")</f>
        <v>-15.02</v>
      </c>
      <c r="O18" s="45" t="str">
        <f>TEXT(_xll.BDP("ussp"&amp;$F18&amp;" curncy","ask"),"###.00")</f>
        <v>-14.49</v>
      </c>
      <c r="P18" s="45" t="str">
        <f>TEXT(_xll.BDP("ussw"&amp;$F18&amp;" curncy","bid"),"###.000")</f>
        <v>1.566</v>
      </c>
      <c r="Q18" s="45" t="str">
        <f>TEXT(_xll.BDP("ussw"&amp;$F18&amp;" curncy","ask"),"###.000")</f>
        <v>1.567</v>
      </c>
      <c r="R18" s="45" t="str">
        <f>TEXT(_xll.BDP("ussa"&amp;$F18&amp;" curncy","bid"),"###.000")</f>
        <v>1.549</v>
      </c>
      <c r="S18" s="47" t="str">
        <f>TEXT(_xll.BDP("ussa"&amp;$F18&amp;" curncy","ask"),"###.000")</f>
        <v>1.549</v>
      </c>
      <c r="T18" s="15"/>
      <c r="U18" s="64"/>
      <c r="V18" s="65" t="str">
        <f>_xll.BDP("US2 comdty","fut cur gen ticker")</f>
        <v>USH7</v>
      </c>
      <c r="W18" s="66" t="str">
        <f>_xll.BDP(V18&amp;" COMDTY","FUT MONTH YR")</f>
        <v>MAR 17</v>
      </c>
      <c r="X18" s="66" t="str">
        <f>format32(_xll.BDP($V18&amp;" comdty","last price"))</f>
        <v>162-24</v>
      </c>
      <c r="Y18" s="67">
        <f>_xll.BDP($V18&amp;" comdty","FUT_CTD_GROSS_BASIS")</f>
        <v>61.360675007999816</v>
      </c>
      <c r="Z18" s="67">
        <f>_xll.BDP($V18&amp;" comdty","FUT_CTD_NET_BASIS")</f>
        <v>5.8788957835820641</v>
      </c>
      <c r="AA18" s="67">
        <f>_xll.BDP($V18&amp;" comdty"," FUT_IMPLIED_REPO_RT")</f>
        <v>0.26209451991997118</v>
      </c>
      <c r="AB18" s="68" t="str">
        <f>_xll.BDP($V18&amp;" comdty","FUT_CTD")</f>
        <v>T 4.5 02/15/36</v>
      </c>
      <c r="AC18" s="69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/>
    </row>
    <row r="19" spans="1:55" ht="15" customHeight="1" x14ac:dyDescent="0.25">
      <c r="A19" s="15"/>
      <c r="B19" s="18"/>
      <c r="C19" s="18"/>
      <c r="D19" s="16"/>
      <c r="E19" s="16"/>
      <c r="F19" s="29">
        <v>10</v>
      </c>
      <c r="G19" s="30" t="str">
        <f>format32(_xll.BDP("GT"&amp;F19&amp;" govt","bid"))</f>
        <v>97-17+</v>
      </c>
      <c r="H19" s="31" t="str">
        <f>format32(_xll.BDP("GT"&amp;F19&amp;" govt","ask"))</f>
        <v>97-18</v>
      </c>
      <c r="I19" s="32" t="str">
        <f>TEXT(_xll.BDP("GT"&amp;F19&amp;" govt","bid yld"),"##.000")</f>
        <v>1.773</v>
      </c>
      <c r="J19" s="32" t="str">
        <f>TEXT(_xll.BDP("GT"&amp;F19&amp;" govt","ask yld"),"##.000")</f>
        <v>1.771</v>
      </c>
      <c r="K19" s="32">
        <f t="shared" si="0"/>
        <v>1.7719999999999998</v>
      </c>
      <c r="L19" s="32">
        <f t="shared" si="1"/>
        <v>5.2981249999999758E-2</v>
      </c>
      <c r="M19" s="32">
        <f>_xll.BDP("GT"&amp;F19&amp;" govt","PRIOR_CLOSE_MID_YLD")</f>
        <v>1.71901875</v>
      </c>
      <c r="N19" s="31" t="str">
        <f>TEXT(_xll.BDP("ussp"&amp;$F19&amp;" curncy","bid"),"###.00")</f>
        <v>-16.00</v>
      </c>
      <c r="O19" s="31" t="str">
        <f>TEXT(_xll.BDP("ussp"&amp;$F19&amp;" curncy","ask"),"###.00")</f>
        <v>-15.45</v>
      </c>
      <c r="P19" s="31" t="str">
        <f>TEXT(_xll.BDP("ussw"&amp;$F19&amp;" curncy","bid"),"###.000")</f>
        <v>1.614</v>
      </c>
      <c r="Q19" s="31" t="str">
        <f>TEXT(_xll.BDP("ussw"&amp;$F19&amp;" curncy","ask"),"###.000")</f>
        <v>1.616</v>
      </c>
      <c r="R19" s="31" t="str">
        <f>TEXT(_xll.BDP("ussa"&amp;$F19&amp;" curncy","bid"),"###.000")</f>
        <v>1.596</v>
      </c>
      <c r="S19" s="33" t="str">
        <f>TEXT(_xll.BDP("ussa"&amp;$F19&amp;" curncy","ask"),"###.000")</f>
        <v>1.598</v>
      </c>
      <c r="T19" s="15"/>
      <c r="U19" s="195"/>
      <c r="V19" s="195"/>
      <c r="W19" s="195"/>
      <c r="X19" s="195"/>
      <c r="Y19" s="195"/>
      <c r="Z19" s="195"/>
      <c r="AA19" s="195"/>
      <c r="AB19" s="195"/>
      <c r="AC19" s="207"/>
      <c r="AD19" s="195"/>
      <c r="AE19" s="195"/>
      <c r="AF19" s="195"/>
      <c r="AG19" s="195"/>
      <c r="AH19" s="195"/>
      <c r="AI19" s="195"/>
      <c r="AJ19" s="195"/>
      <c r="AK19" s="195"/>
      <c r="AL19" s="195"/>
      <c r="AM19" s="195"/>
      <c r="AN19" s="195"/>
      <c r="AO19" s="195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BA19" s="195"/>
      <c r="BB19" s="195"/>
      <c r="BC19" s="195"/>
    </row>
    <row r="20" spans="1:55" ht="15" customHeight="1" x14ac:dyDescent="0.25">
      <c r="A20" s="15"/>
      <c r="B20" s="18"/>
      <c r="C20" s="18"/>
      <c r="D20" s="16"/>
      <c r="E20" s="16"/>
      <c r="F20" s="29">
        <v>12</v>
      </c>
      <c r="G20" s="44"/>
      <c r="H20" s="45"/>
      <c r="I20" s="46" t="str">
        <f>I19</f>
        <v>1.773</v>
      </c>
      <c r="J20" s="46" t="str">
        <f>J19</f>
        <v>1.771</v>
      </c>
      <c r="K20" s="46">
        <f t="shared" si="0"/>
        <v>1.7719999999999998</v>
      </c>
      <c r="L20" s="46">
        <f t="shared" si="1"/>
        <v>5.2981249999999758E-2</v>
      </c>
      <c r="M20" s="46">
        <f>M19</f>
        <v>1.71901875</v>
      </c>
      <c r="N20" s="45" t="str">
        <f>TEXT(_xll.BDP("ussp"&amp;$F20&amp;" curncy","bid"),"###.00")</f>
        <v>-7.25</v>
      </c>
      <c r="O20" s="45" t="str">
        <f>TEXT(_xll.BDP("ussp"&amp;$F20&amp;" curncy","ask"),"###.00")</f>
        <v>-7.00</v>
      </c>
      <c r="P20" s="45" t="str">
        <f>TEXT(_xll.BDP("ussw"&amp;$F20&amp;" curncy","bid"),"###.000")</f>
        <v>1.699</v>
      </c>
      <c r="Q20" s="45" t="str">
        <f>TEXT(_xll.BDP("ussw"&amp;$F20&amp;" curncy","ask"),"###.000")</f>
        <v>1.701</v>
      </c>
      <c r="R20" s="45" t="str">
        <f>TEXT(_xll.BDP("ussa"&amp;$F20&amp;" curncy","bid"),"###.000")</f>
        <v>1.678</v>
      </c>
      <c r="S20" s="47" t="str">
        <f>TEXT(_xll.BDP("ussa"&amp;$F20&amp;" curncy","ask"),"###.000")</f>
        <v>1.684</v>
      </c>
      <c r="T20" s="15"/>
      <c r="U20" s="242" t="s">
        <v>194</v>
      </c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7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</row>
    <row r="21" spans="1:55" ht="15" customHeight="1" x14ac:dyDescent="0.25">
      <c r="A21" s="15"/>
      <c r="B21" s="18"/>
      <c r="C21" s="18"/>
      <c r="D21" s="16"/>
      <c r="E21" s="16"/>
      <c r="F21" s="29">
        <v>15</v>
      </c>
      <c r="G21" s="30"/>
      <c r="H21" s="31"/>
      <c r="I21" s="32">
        <f>(I19+I22)/2</f>
        <v>1.9550000000000001</v>
      </c>
      <c r="J21" s="32">
        <f>(J19+J22)/2</f>
        <v>1.9529999999999998</v>
      </c>
      <c r="K21" s="32">
        <f t="shared" si="0"/>
        <v>1.954</v>
      </c>
      <c r="L21" s="32">
        <f t="shared" si="1"/>
        <v>5.1942187499999903E-2</v>
      </c>
      <c r="M21" s="32">
        <f>(M20+M22)/2</f>
        <v>1.9020578125000001</v>
      </c>
      <c r="N21" s="31" t="str">
        <f>TEXT(_xll.BDP("ussp"&amp;$F21&amp;" curncy","bid"),"###.00")</f>
        <v>-16.48</v>
      </c>
      <c r="O21" s="31" t="str">
        <f>TEXT(_xll.BDP("ussp"&amp;$F21&amp;" curncy","ask"),"###.00")</f>
        <v>-15.95</v>
      </c>
      <c r="P21" s="31" t="str">
        <f>TEXT(_xll.BDP("ussw"&amp;$F21&amp;" curncy","bid"),"###.000")</f>
        <v>1.791</v>
      </c>
      <c r="Q21" s="31" t="str">
        <f>TEXT(_xll.BDP("ussw"&amp;$F21&amp;" curncy","ask"),"###.000")</f>
        <v>1.791</v>
      </c>
      <c r="R21" s="31" t="str">
        <f>TEXT(_xll.BDP("ussa"&amp;$F21&amp;" curncy","bid"),"###.000")</f>
        <v>1.770</v>
      </c>
      <c r="S21" s="33" t="str">
        <f>TEXT(_xll.BDP("ussa"&amp;$F21&amp;" curncy","ask"),"###.000")</f>
        <v>1.774</v>
      </c>
      <c r="T21" s="15"/>
      <c r="U21" s="70"/>
      <c r="V21" s="71" t="s">
        <v>75</v>
      </c>
      <c r="W21" s="71" t="s">
        <v>261</v>
      </c>
      <c r="X21" s="71" t="s">
        <v>128</v>
      </c>
      <c r="Y21" s="72"/>
      <c r="Z21" s="71" t="s">
        <v>75</v>
      </c>
      <c r="AA21" s="71" t="s">
        <v>261</v>
      </c>
      <c r="AB21" s="71" t="s">
        <v>128</v>
      </c>
      <c r="AC21" s="72"/>
      <c r="AD21" s="71" t="s">
        <v>75</v>
      </c>
      <c r="AE21" s="71" t="s">
        <v>261</v>
      </c>
      <c r="AF21" s="73" t="s">
        <v>128</v>
      </c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5"/>
      <c r="BB21" s="195"/>
      <c r="BC21" s="195"/>
    </row>
    <row r="22" spans="1:55" ht="15" customHeight="1" x14ac:dyDescent="0.25">
      <c r="A22" s="15"/>
      <c r="B22" s="16"/>
      <c r="C22" s="16"/>
      <c r="D22" s="16"/>
      <c r="E22" s="16"/>
      <c r="F22" s="29">
        <v>20</v>
      </c>
      <c r="G22" s="44"/>
      <c r="H22" s="45"/>
      <c r="I22" s="46">
        <f>(I19+I24)/2</f>
        <v>2.137</v>
      </c>
      <c r="J22" s="46">
        <f>(J19+J24)/2</f>
        <v>2.1349999999999998</v>
      </c>
      <c r="K22" s="46">
        <f t="shared" si="0"/>
        <v>2.1360000000000001</v>
      </c>
      <c r="L22" s="46">
        <f t="shared" si="1"/>
        <v>5.0903125000000049E-2</v>
      </c>
      <c r="M22" s="46">
        <f>(M24+M19)/2</f>
        <v>2.0850968750000001</v>
      </c>
      <c r="N22" s="45" t="str">
        <f>TEXT(_xll.BDP("ussp"&amp;$F22&amp;" curncy","bid"),"###.00")</f>
        <v>-25.31</v>
      </c>
      <c r="O22" s="45" t="str">
        <f>TEXT(_xll.BDP("ussp"&amp;$F22&amp;" curncy","ask"),"###.00")</f>
        <v>-24.77</v>
      </c>
      <c r="P22" s="45" t="str">
        <f>TEXT(_xll.BDP("ussw"&amp;$F22&amp;" curncy","bid"),"###.000")</f>
        <v>1.886</v>
      </c>
      <c r="Q22" s="45" t="str">
        <f>TEXT(_xll.BDP("ussw"&amp;$F22&amp;" curncy","ask"),"###.000")</f>
        <v>1.888</v>
      </c>
      <c r="R22" s="45" t="str">
        <f>TEXT(_xll.BDP("ussa"&amp;$F22&amp;" curncy","bid"),"###.000")</f>
        <v>1.863</v>
      </c>
      <c r="S22" s="47" t="str">
        <f>TEXT(_xll.BDP("ussa"&amp;$F22&amp;" curncy","ask"),"###.000")</f>
        <v>1.868</v>
      </c>
      <c r="T22" s="15"/>
      <c r="U22" s="40" t="s">
        <v>110</v>
      </c>
      <c r="V22" s="53">
        <f>_xll.BDP("SPX index","last price")</f>
        <v>2163.66</v>
      </c>
      <c r="W22" s="54">
        <f>_xll.BDP("SPX index","RT_PX_CHG_NET_1D")</f>
        <v>9.92</v>
      </c>
      <c r="X22" s="54">
        <f>_xll.BDP("SPX index","RT_PX_CHG_PCT_1D")</f>
        <v>0.460594</v>
      </c>
      <c r="Y22" s="74" t="s">
        <v>114</v>
      </c>
      <c r="Z22" s="54">
        <f>_xll.BDP("IBOV index","last price")</f>
        <v>61668.33</v>
      </c>
      <c r="AA22" s="54">
        <f>_xll.BDP("IBOV index","RT_PX_CHG_NET_1D")</f>
        <v>559.35</v>
      </c>
      <c r="AB22" s="54">
        <f>_xll.BDP("IBOV index","RT_PX_CHG_PCT_1D")</f>
        <v>0.91533200000000003</v>
      </c>
      <c r="AC22" s="74" t="s">
        <v>119</v>
      </c>
      <c r="AD22" s="54">
        <f>_xll.BDP("HSI index","last price")</f>
        <v>23549.52</v>
      </c>
      <c r="AE22" s="54">
        <f>_xll.BDP("HSI index","RT_PX_CHG_NET_1D")</f>
        <v>-302.3</v>
      </c>
      <c r="AF22" s="55">
        <f>_xll.BDP("HSI index","RT_PX_CHG_PCT_1D")</f>
        <v>-1.2674099999999999</v>
      </c>
      <c r="AG22" s="195"/>
      <c r="AH22" s="195"/>
      <c r="AI22" s="195"/>
      <c r="AJ22" s="195"/>
      <c r="AK22" s="195"/>
      <c r="AL22" s="195"/>
      <c r="AM22" s="195"/>
      <c r="AN22" s="195"/>
      <c r="AO22" s="195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BA22" s="195"/>
      <c r="BB22" s="195"/>
      <c r="BC22" s="195"/>
    </row>
    <row r="23" spans="1:55" ht="15" customHeight="1" x14ac:dyDescent="0.25">
      <c r="A23" s="15"/>
      <c r="B23" s="16"/>
      <c r="C23" s="16"/>
      <c r="D23" s="16"/>
      <c r="E23" s="16"/>
      <c r="F23" s="29">
        <v>25</v>
      </c>
      <c r="G23" s="30"/>
      <c r="H23" s="31"/>
      <c r="I23" s="32">
        <f>(I22+I24)/2</f>
        <v>2.319</v>
      </c>
      <c r="J23" s="32">
        <f>(J22+J24)/2</f>
        <v>2.3170000000000002</v>
      </c>
      <c r="K23" s="32">
        <f t="shared" si="0"/>
        <v>2.3180000000000001</v>
      </c>
      <c r="L23" s="32">
        <f t="shared" si="1"/>
        <v>4.9864062499999751E-2</v>
      </c>
      <c r="M23" s="32">
        <f>(M22+M24)/2</f>
        <v>2.2681359375000003</v>
      </c>
      <c r="N23" s="31" t="str">
        <f>TEXT(_xll.BDP("ussp"&amp;$F23&amp;" curncy","bid"),"###.00")</f>
        <v>-39.26</v>
      </c>
      <c r="O23" s="31" t="str">
        <f>TEXT(_xll.BDP("ussp"&amp;$F23&amp;" curncy","ask"),"###.00")</f>
        <v>-38.72</v>
      </c>
      <c r="P23" s="31" t="str">
        <f>TEXT(_xll.BDP("ussw"&amp;$F23&amp;" curncy","bid"),"###.000")</f>
        <v>1.929</v>
      </c>
      <c r="Q23" s="31" t="str">
        <f>TEXT(_xll.BDP("ussw"&amp;$F23&amp;" curncy","ask"),"###.000")</f>
        <v>1.929</v>
      </c>
      <c r="R23" s="31" t="str">
        <f>TEXT(_xll.BDP("ussa"&amp;$F23&amp;" curncy","bid"),"###.000")</f>
        <v>1.905</v>
      </c>
      <c r="S23" s="33" t="str">
        <f>TEXT(_xll.BDP("ussa"&amp;$F23&amp;" curncy","ask"),"###.000")</f>
        <v>1.911</v>
      </c>
      <c r="T23" s="15"/>
      <c r="U23" s="40" t="s">
        <v>130</v>
      </c>
      <c r="V23" s="41">
        <f>_xll.BDP("INDU index","last price")</f>
        <v>18329.04</v>
      </c>
      <c r="W23" s="42">
        <f>_xll.BDP("INDU index","RT_PX_CHG_NET_1D")</f>
        <v>88.55</v>
      </c>
      <c r="X23" s="42">
        <f>_xll.BDP("INDU index","RT_PX_CHG_PCT_1D")</f>
        <v>0.485458</v>
      </c>
      <c r="Y23" s="75" t="s">
        <v>115</v>
      </c>
      <c r="Z23" s="42">
        <f>_xll.BDP("UKX index","last price")</f>
        <v>7103.25</v>
      </c>
      <c r="AA23" s="42">
        <f>_xll.BDP("UKX index","RT_PX_CHG_NET_1D")</f>
        <v>5.75</v>
      </c>
      <c r="AB23" s="42">
        <f>_xll.BDP("UKX index","RT_PX_CHG_PCT_1D")</f>
        <v>8.1014000000000003E-2</v>
      </c>
      <c r="AC23" s="75" t="s">
        <v>129</v>
      </c>
      <c r="AD23" s="42">
        <f>_xll.BDP("SHCOMP index","last price")</f>
        <v>3065.25</v>
      </c>
      <c r="AE23" s="42">
        <f>_xll.BDP("SHCOMP index","RT_PX_CHG_NET_1D")</f>
        <v>17.106999999999999</v>
      </c>
      <c r="AF23" s="43">
        <f>_xll.BDP("SHCOMP index","RT_PX_CHG_PCT_1D")</f>
        <v>0.56122700000000003</v>
      </c>
      <c r="AG23" s="195"/>
      <c r="AH23" s="195"/>
      <c r="AI23" s="195"/>
      <c r="AJ23" s="195"/>
      <c r="AK23" s="195"/>
      <c r="AL23" s="195"/>
      <c r="AM23" s="195"/>
      <c r="AN23" s="195"/>
      <c r="AO23" s="195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BA23" s="195"/>
      <c r="BB23" s="195"/>
      <c r="BC23" s="195"/>
    </row>
    <row r="24" spans="1:55" ht="15" customHeight="1" x14ac:dyDescent="0.25">
      <c r="A24" s="15"/>
      <c r="B24" s="15"/>
      <c r="C24" s="16"/>
      <c r="D24" s="16"/>
      <c r="E24" s="16"/>
      <c r="F24" s="76">
        <v>30</v>
      </c>
      <c r="G24" s="77" t="str">
        <f>format32(_xll.BDP("GT"&amp;F24&amp;" govt","bid"))</f>
        <v>94-24</v>
      </c>
      <c r="H24" s="66" t="str">
        <f>format32(_xll.BDP("GT"&amp;F24&amp;" govt","ask"))</f>
        <v>94-25</v>
      </c>
      <c r="I24" s="66" t="str">
        <f>TEXT(_xll.BDP("GT"&amp;F24&amp;" govt","bid yld"),"##.000")</f>
        <v>2.501</v>
      </c>
      <c r="J24" s="66" t="str">
        <f>TEXT(_xll.BDP("GT"&amp;F24&amp;" govt","ask yld"),"##.000")</f>
        <v>2.499</v>
      </c>
      <c r="K24" s="78">
        <f t="shared" si="0"/>
        <v>2.5</v>
      </c>
      <c r="L24" s="78">
        <f t="shared" si="1"/>
        <v>4.8824999999999896E-2</v>
      </c>
      <c r="M24" s="78">
        <f>_xll.BDP("GT"&amp;F24&amp;" govt","PRIOR_CLOSE_MID_YLD")</f>
        <v>2.4511750000000001</v>
      </c>
      <c r="N24" s="66" t="str">
        <f>TEXT(_xll.BDP("ussp"&amp;$F24&amp;" curncy","bid"),"###.00")</f>
        <v>-55.00</v>
      </c>
      <c r="O24" s="66" t="str">
        <f>TEXT(_xll.BDP("ussp"&amp;$F24&amp;" curncy","ask"),"###.00")</f>
        <v>-54.63</v>
      </c>
      <c r="P24" s="66" t="str">
        <f>TEXT(_xll.BDP("ussw"&amp;$F24&amp;" curncy","bid"),"###.000")</f>
        <v>1.949</v>
      </c>
      <c r="Q24" s="66" t="str">
        <f>TEXT(_xll.BDP("ussw"&amp;$F24&amp;" curncy","ask"),"###.000")</f>
        <v>1.950</v>
      </c>
      <c r="R24" s="66" t="str">
        <f>TEXT(_xll.BDP("ussa"&amp;$F24&amp;" curncy","bid"),"###.000")</f>
        <v>1.929</v>
      </c>
      <c r="S24" s="79" t="str">
        <f>TEXT(_xll.BDP("ussa"&amp;$F24&amp;" curncy","ask"),"###.000")</f>
        <v>1.933</v>
      </c>
      <c r="T24" s="15"/>
      <c r="U24" s="40" t="s">
        <v>111</v>
      </c>
      <c r="V24" s="53">
        <f>_xll.BDP("CCMP index","last price")</f>
        <v>5328.6760000000004</v>
      </c>
      <c r="W24" s="54">
        <f>_xll.BDP("CCMP index","RT_PX_CHG_NET_1D")</f>
        <v>36.271000000000001</v>
      </c>
      <c r="X24" s="54">
        <f>_xll.BDP("CCMP index","RT_PX_CHG_PCT_1D")</f>
        <v>0.68534099999999998</v>
      </c>
      <c r="Y24" s="74" t="s">
        <v>116</v>
      </c>
      <c r="Z24" s="54">
        <f>_xll.BDP("CAC index","last price")</f>
        <v>4502.97</v>
      </c>
      <c r="AA24" s="54">
        <f>_xll.BDP("CAC index","RT_PX_CHG_NET_1D")</f>
        <v>5.71</v>
      </c>
      <c r="AB24" s="54">
        <f>_xll.BDP("CAC index","RT_PX_CHG_PCT_1D")</f>
        <v>0.126966</v>
      </c>
      <c r="AC24" s="74" t="s">
        <v>120</v>
      </c>
      <c r="AD24" s="54">
        <f>_xll.BDP("AS51 index","last price")</f>
        <v>5479.8010000000004</v>
      </c>
      <c r="AE24" s="54">
        <f>_xll.BDP("AS51 index","RT_PX_CHG_NET_1D")</f>
        <v>4.37</v>
      </c>
      <c r="AF24" s="55">
        <f>_xll.BDP("AS51 index","RT_PX_CHG_PCT_1D")</f>
        <v>7.9811000000000007E-2</v>
      </c>
      <c r="AG24" s="195"/>
      <c r="AH24" s="195"/>
      <c r="AI24" s="195"/>
      <c r="AJ24" s="195"/>
      <c r="AK24" s="195"/>
      <c r="AL24" s="195"/>
      <c r="AM24" s="195"/>
      <c r="AN24" s="195"/>
      <c r="AO24" s="195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BA24" s="195"/>
      <c r="BB24" s="195"/>
      <c r="BC24" s="195"/>
    </row>
    <row r="25" spans="1:55" ht="15" customHeight="1" x14ac:dyDescent="0.25">
      <c r="A25" s="15"/>
      <c r="B25" s="15"/>
      <c r="C25" s="16"/>
      <c r="D25" s="16"/>
      <c r="E25" s="80"/>
      <c r="F25" s="80"/>
      <c r="G25" s="201"/>
      <c r="H25" s="201"/>
      <c r="I25" s="202"/>
      <c r="J25" s="202"/>
      <c r="K25" s="203"/>
      <c r="L25" s="204"/>
      <c r="M25" s="204"/>
      <c r="N25" s="202"/>
      <c r="O25" s="202"/>
      <c r="P25" s="202"/>
      <c r="Q25" s="202"/>
      <c r="R25" s="202"/>
      <c r="S25" s="202"/>
      <c r="T25" s="15"/>
      <c r="U25" s="40" t="s">
        <v>112</v>
      </c>
      <c r="V25" s="41">
        <f>_xll.BDP("SPTSX index","last price")</f>
        <v>14566.26</v>
      </c>
      <c r="W25" s="42">
        <f>_xll.BDP("SPTSX index","RT_PX_CHG_NET_1D")</f>
        <v>-29.24</v>
      </c>
      <c r="X25" s="42">
        <f>_xll.BDP("SPTSX index","RT_PX_CHG_PCT_1D")</f>
        <v>-0.20033599999999999</v>
      </c>
      <c r="Y25" s="75" t="s">
        <v>117</v>
      </c>
      <c r="Z25" s="42">
        <f>_xll.BDP("DAX index","last price")</f>
        <v>10623.6</v>
      </c>
      <c r="AA25" s="42">
        <f>_xll.BDP("DAX index","RT_PX_CHG_NET_1D")</f>
        <v>-0.48</v>
      </c>
      <c r="AB25" s="42">
        <f>_xll.BDP("DAX index","RT_PX_CHG_PCT_1D")</f>
        <v>-4.5180000000000003E-3</v>
      </c>
      <c r="AC25" s="75" t="s">
        <v>131</v>
      </c>
      <c r="AD25" s="42">
        <f>_xll.BDP("CRY index","last price")</f>
        <v>190.27789999999999</v>
      </c>
      <c r="AE25" s="42">
        <f>_xll.BDP("CRY index","RT_PX_CHG_NET_1D")</f>
        <v>1.9617</v>
      </c>
      <c r="AF25" s="43">
        <f>_xll.BDP("CRY index","RT_PX_CHG_PCT_1D")</f>
        <v>1.0417099999999999</v>
      </c>
      <c r="AG25" s="196"/>
      <c r="AH25" s="196"/>
      <c r="AI25" s="196"/>
      <c r="AJ25" s="196"/>
      <c r="AK25" s="196"/>
      <c r="AL25" s="196"/>
      <c r="AM25" s="196"/>
      <c r="AN25" s="195"/>
      <c r="AO25" s="195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BA25" s="195"/>
      <c r="BB25" s="195"/>
      <c r="BC25" s="195"/>
    </row>
    <row r="26" spans="1:55" ht="15" customHeight="1" x14ac:dyDescent="0.25">
      <c r="A26" s="15"/>
      <c r="B26" s="217" t="s">
        <v>272</v>
      </c>
      <c r="C26" s="16"/>
      <c r="D26" s="16"/>
      <c r="E26" s="16"/>
      <c r="F26" s="197" t="s">
        <v>255</v>
      </c>
      <c r="G26" s="201"/>
      <c r="H26" s="201"/>
      <c r="I26" s="202"/>
      <c r="J26" s="197" t="s">
        <v>11</v>
      </c>
      <c r="K26" s="203"/>
      <c r="L26" s="204"/>
      <c r="M26" s="204"/>
      <c r="N26" s="195"/>
      <c r="O26" s="202"/>
      <c r="P26" s="206" t="s">
        <v>268</v>
      </c>
      <c r="Q26" s="202"/>
      <c r="R26" s="195"/>
      <c r="S26" s="195"/>
      <c r="T26" s="15"/>
      <c r="U26" s="60" t="s">
        <v>113</v>
      </c>
      <c r="V26" s="81">
        <f>_xll.BDP("MEXBOL index","last price")</f>
        <v>48264.959999999999</v>
      </c>
      <c r="W26" s="82">
        <f>_xll.BDP("MEXBOL index","RT_PX_CHG_NET_1D")</f>
        <v>668.36</v>
      </c>
      <c r="X26" s="82">
        <f>_xll.BDP("MEXBOL index","RT_PX_CHG_PCT_1D")</f>
        <v>1.40422</v>
      </c>
      <c r="Y26" s="83" t="s">
        <v>118</v>
      </c>
      <c r="Z26" s="82">
        <f>_xll.BDP("NKY index","last price")</f>
        <v>17024.759999999998</v>
      </c>
      <c r="AA26" s="82">
        <f>_xll.BDP("NKY index","RT_PX_CHG_NET_1D")</f>
        <v>164.67</v>
      </c>
      <c r="AB26" s="82">
        <f>_xll.BDP("NKY index","RT_PX_CHG_PCT_1D")</f>
        <v>0.97668500000000003</v>
      </c>
      <c r="AC26" s="83" t="s">
        <v>132</v>
      </c>
      <c r="AD26" s="82">
        <f>_xll.BDP("CL1 COMDTY","last price")</f>
        <v>51.14</v>
      </c>
      <c r="AE26" s="82">
        <f>_xll.BDP("CL1 COMDTY","RT_PX_CHG_NET_1D")</f>
        <v>-0.21</v>
      </c>
      <c r="AF26" s="84">
        <f>_xll.BDP("CL1 COMDTY","RT_PX_CHG_PCT_1D")</f>
        <v>-0.40895799999999999</v>
      </c>
      <c r="AG26" s="196"/>
      <c r="AH26" s="196"/>
      <c r="AI26" s="196"/>
      <c r="AJ26" s="196"/>
      <c r="AK26" s="196"/>
      <c r="AL26" s="196"/>
      <c r="AM26" s="196"/>
      <c r="AN26" s="195"/>
      <c r="AO26" s="195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BA26" s="195"/>
      <c r="BB26" s="195"/>
      <c r="BC26" s="195"/>
    </row>
    <row r="27" spans="1:55" ht="12" customHeight="1" x14ac:dyDescent="0.25">
      <c r="A27" s="15"/>
      <c r="C27" s="16"/>
      <c r="D27" s="16"/>
      <c r="E27" s="16"/>
      <c r="G27" s="201"/>
      <c r="H27" s="201"/>
      <c r="I27" s="202"/>
      <c r="K27" s="195"/>
      <c r="L27" s="15"/>
      <c r="M27" s="195"/>
      <c r="O27" s="205"/>
      <c r="Q27" s="15"/>
      <c r="R27" s="195"/>
      <c r="S27" s="202"/>
      <c r="T27" s="15"/>
      <c r="U27" s="80"/>
      <c r="V27" s="196"/>
      <c r="W27" s="196"/>
      <c r="X27" s="196"/>
      <c r="Y27" s="208"/>
      <c r="Z27" s="208"/>
      <c r="AA27" s="208"/>
      <c r="AB27" s="196"/>
      <c r="AC27" s="196"/>
      <c r="AD27" s="196"/>
      <c r="AE27" s="196"/>
      <c r="AF27" s="196"/>
      <c r="AG27" s="196"/>
      <c r="AH27" s="196"/>
      <c r="AI27" s="196"/>
      <c r="AJ27" s="196"/>
      <c r="AK27" s="196"/>
      <c r="AL27" s="196"/>
      <c r="AM27" s="196"/>
      <c r="AN27" s="195"/>
      <c r="AO27" s="195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BA27" s="195"/>
      <c r="BB27" s="195"/>
      <c r="BC27" s="195"/>
    </row>
    <row r="28" spans="1:55" s="226" customFormat="1" ht="35.1" customHeight="1" x14ac:dyDescent="0.3">
      <c r="A28" s="218"/>
      <c r="C28" s="219"/>
      <c r="D28" s="16"/>
      <c r="E28" s="220"/>
      <c r="F28" s="221" t="s">
        <v>101</v>
      </c>
      <c r="G28" s="222" t="s">
        <v>8</v>
      </c>
      <c r="H28" s="223" t="s">
        <v>9</v>
      </c>
      <c r="I28" s="218"/>
      <c r="J28" s="224" t="s">
        <v>3</v>
      </c>
      <c r="K28" s="250" t="s">
        <v>8</v>
      </c>
      <c r="L28" s="245"/>
      <c r="M28" s="251"/>
      <c r="N28" s="244" t="s">
        <v>9</v>
      </c>
      <c r="O28" s="245"/>
      <c r="P28" s="251"/>
      <c r="Q28" s="244" t="s">
        <v>10</v>
      </c>
      <c r="R28" s="245"/>
      <c r="S28" s="251"/>
      <c r="T28" s="244" t="s">
        <v>12</v>
      </c>
      <c r="U28" s="245"/>
      <c r="V28" s="251"/>
      <c r="W28" s="244" t="s">
        <v>13</v>
      </c>
      <c r="X28" s="245"/>
      <c r="Y28" s="251"/>
      <c r="Z28" s="244" t="s">
        <v>14</v>
      </c>
      <c r="AA28" s="245"/>
      <c r="AB28" s="251"/>
      <c r="AC28" s="244" t="s">
        <v>68</v>
      </c>
      <c r="AD28" s="245"/>
      <c r="AE28" s="246"/>
      <c r="AF28" s="225"/>
      <c r="AG28" s="225"/>
      <c r="AH28" s="225"/>
      <c r="AI28" s="225"/>
      <c r="AJ28" s="225"/>
      <c r="AK28" s="225"/>
      <c r="AL28" s="225"/>
      <c r="AM28" s="225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</row>
    <row r="29" spans="1:55" ht="15" customHeight="1" x14ac:dyDescent="0.25">
      <c r="A29" s="15"/>
      <c r="B29" s="18"/>
      <c r="C29" s="18"/>
      <c r="D29" s="16"/>
      <c r="E29" s="16"/>
      <c r="F29" s="85" t="s">
        <v>78</v>
      </c>
      <c r="G29" s="86">
        <f>_xll.BDP("US00O/N index",LiborPriceLink)</f>
        <v>0.42655999999999999</v>
      </c>
      <c r="H29" s="87">
        <f>_xll.BDP("EE00O/N index",LiborPriceLink)</f>
        <v>-0.40614</v>
      </c>
      <c r="I29" s="195"/>
      <c r="J29" s="88" t="s">
        <v>4</v>
      </c>
      <c r="K29" s="89" t="s">
        <v>5</v>
      </c>
      <c r="L29" s="9" t="s">
        <v>6</v>
      </c>
      <c r="M29" s="9" t="s">
        <v>7</v>
      </c>
      <c r="N29" s="9" t="s">
        <v>5</v>
      </c>
      <c r="O29" s="9" t="s">
        <v>6</v>
      </c>
      <c r="P29" s="9" t="s">
        <v>7</v>
      </c>
      <c r="Q29" s="9" t="s">
        <v>5</v>
      </c>
      <c r="R29" s="9" t="s">
        <v>6</v>
      </c>
      <c r="S29" s="9" t="s">
        <v>7</v>
      </c>
      <c r="T29" s="9" t="s">
        <v>5</v>
      </c>
      <c r="U29" s="9" t="s">
        <v>6</v>
      </c>
      <c r="V29" s="9" t="s">
        <v>7</v>
      </c>
      <c r="W29" s="9" t="s">
        <v>5</v>
      </c>
      <c r="X29" s="9" t="s">
        <v>6</v>
      </c>
      <c r="Y29" s="9" t="s">
        <v>7</v>
      </c>
      <c r="Z29" s="9" t="s">
        <v>5</v>
      </c>
      <c r="AA29" s="9" t="s">
        <v>6</v>
      </c>
      <c r="AB29" s="9" t="s">
        <v>7</v>
      </c>
      <c r="AC29" s="9" t="s">
        <v>5</v>
      </c>
      <c r="AD29" s="9" t="s">
        <v>6</v>
      </c>
      <c r="AE29" s="90" t="s">
        <v>7</v>
      </c>
      <c r="AF29" s="196"/>
      <c r="AG29" s="196"/>
      <c r="AH29" s="196"/>
      <c r="AI29" s="196"/>
      <c r="AJ29" s="196"/>
      <c r="AK29" s="196"/>
      <c r="AL29" s="196"/>
      <c r="AM29" s="196"/>
      <c r="AN29" s="195"/>
      <c r="AO29" s="195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BA29" s="195"/>
      <c r="BB29" s="195"/>
      <c r="BC29" s="195"/>
    </row>
    <row r="30" spans="1:55" ht="15" customHeight="1" x14ac:dyDescent="0.25">
      <c r="A30" s="15"/>
      <c r="B30" s="18"/>
      <c r="C30" s="18"/>
      <c r="D30" s="16"/>
      <c r="E30" s="16"/>
      <c r="F30" s="85" t="s">
        <v>89</v>
      </c>
      <c r="G30" s="91">
        <f>_xll.BDP("US0001W index",LiborPriceLink)</f>
        <v>0.45533000000000001</v>
      </c>
      <c r="H30" s="92">
        <f>_xll.BDP("EE0001W index",LiborPriceLink)</f>
        <v>-0.38885999999999998</v>
      </c>
      <c r="I30" s="195"/>
      <c r="J30" s="93">
        <v>2</v>
      </c>
      <c r="K30" s="94">
        <f>_xll.BDP(rateSpreadLink&amp;$J30&amp;" "&amp;LEFT(swapLink,LEN(swapLink)-FIND("/",swapLink))&amp;" curncy","bid")</f>
        <v>1.0972</v>
      </c>
      <c r="L30" s="94">
        <f>_xll.BDP(rateSpreadLink&amp;$J30&amp;" "&amp;LEFT(swapLink,LEN(swapLink)-FIND("/",swapLink))&amp;" curncy","ask")</f>
        <v>1.1002000000000001</v>
      </c>
      <c r="M30" s="94">
        <f t="shared" ref="M30:M43" si="2">(K30+L30)/2</f>
        <v>1.0987</v>
      </c>
      <c r="N30" s="94">
        <f>_xll.BDP("EUSA"&amp;$J30&amp;" "&amp;RIGHT(swapLink,LEN(swapLink)-FIND("/",swapLink))&amp;" curncy","bid")</f>
        <v>-0.2</v>
      </c>
      <c r="O30" s="94">
        <f>_xll.BDP("EUSA"&amp;$J31&amp;" "&amp;RIGHT(swapLink,LEN(swapLink)-FIND("/",swapLink))&amp;" curncy","ask")</f>
        <v>-0.17399999999999999</v>
      </c>
      <c r="P30" s="94">
        <f>IF(ISERR((N30+O30)/2),"N/A",(N30+O30)/2)</f>
        <v>-0.187</v>
      </c>
      <c r="Q30" s="94">
        <f>_xll.BDP("BPSW"&amp;$J30&amp;" "&amp;RIGHT(swapLink,LEN(swapLink)-FIND("/",swapLink))&amp;" curncy","bid")</f>
        <v>0.52900000000000003</v>
      </c>
      <c r="R30" s="94">
        <f>_xll.BDP("BPSW"&amp;$J30&amp;" "&amp;RIGHT(swapLink,LEN(swapLink)-FIND("/",swapLink))&amp;" curncy","ask")</f>
        <v>0.54049999999999998</v>
      </c>
      <c r="S30" s="94">
        <f>IF(ISERR((Q30+R30)/2),"N/A",(Q30+R30)/2)</f>
        <v>0.53475000000000006</v>
      </c>
      <c r="T30" s="94">
        <f>_xll.BDP("JYSW"&amp;$J30&amp;" "&amp;RIGHT(swapLink,LEN(swapLink)-FIND("/",swapLink))&amp;" curncy","bid")</f>
        <v>-8.6249999999999993E-2</v>
      </c>
      <c r="U30" s="94">
        <f>_xll.BDP("JYSW"&amp;$J30&amp;" "&amp;RIGHT(swapLink,LEN(swapLink)-FIND("/",swapLink))&amp;" curncy","ask")</f>
        <v>-5.6250000000000001E-2</v>
      </c>
      <c r="V30" s="94">
        <f>IF(ISERR((T30+U30)/2),"N/A",(T30+U30)/2)</f>
        <v>-7.1249999999999994E-2</v>
      </c>
      <c r="W30" s="94">
        <f>_xll.BDP("CDSW"&amp;$J30&amp;" "&amp;RIGHT(swapLink,LEN(swapLink)-FIND("/",swapLink))&amp;" curncy","bid")</f>
        <v>0.93159999999999998</v>
      </c>
      <c r="X30" s="94">
        <f>_xll.BDP("CDSW"&amp;$J30&amp;" "&amp;RIGHT(swapLink,LEN(swapLink)-FIND("/",swapLink))&amp;" curncy","ask")</f>
        <v>0.93159999999999998</v>
      </c>
      <c r="Y30" s="94">
        <f>IF(ISERR((W30+X30)/2),"N/A",(W30+X30)/2)</f>
        <v>0.93159999999999998</v>
      </c>
      <c r="Z30" s="94">
        <f>_xll.BDP("SFSW"&amp;$J30&amp;" "&amp;RIGHT(swapLink,LEN(swapLink)-FIND("/",swapLink))&amp;" curncy","bid")</f>
        <v>-0.67800000000000005</v>
      </c>
      <c r="AA30" s="94">
        <f>_xll.BDP("SFSW"&amp;$J30&amp;" "&amp;RIGHT(swapLink,LEN(swapLink)-FIND("/",swapLink))&amp;" curncy","ask")</f>
        <v>-0.65100000000000002</v>
      </c>
      <c r="AB30" s="94">
        <f>IF(ISERR((Z30+AA30)/2),"N/A",(Z30+AA30)/2)</f>
        <v>-0.66450000000000009</v>
      </c>
      <c r="AC30" s="94">
        <f>_xll.BDP("ADSW"&amp;$J30&amp;" "&amp;RIGHT(swapLink,LEN(swapLink)-FIND("/",swapLink))&amp;" curncy","bid")</f>
        <v>1.958</v>
      </c>
      <c r="AD30" s="94">
        <f>_xll.BDP("ADSW"&amp;$J30&amp;" "&amp;RIGHT(swapLink,LEN(swapLink)-FIND("/",swapLink))&amp;" curncy","ask")</f>
        <v>1.968</v>
      </c>
      <c r="AE30" s="95">
        <f>IF(ISERR((AC30+AD30)/2),"N/A",(AC30+AD30)/2)</f>
        <v>1.9630000000000001</v>
      </c>
      <c r="AF30" s="196"/>
      <c r="AG30" s="196"/>
      <c r="AH30" s="196"/>
      <c r="AI30" s="196"/>
      <c r="AJ30" s="196"/>
      <c r="AK30" s="196"/>
      <c r="AL30" s="196"/>
      <c r="AM30" s="196"/>
      <c r="AN30" s="195"/>
      <c r="AO30" s="195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BA30" s="195"/>
      <c r="BB30" s="195"/>
      <c r="BC30" s="195"/>
    </row>
    <row r="31" spans="1:55" ht="15" customHeight="1" x14ac:dyDescent="0.25">
      <c r="A31" s="15"/>
      <c r="B31" s="18"/>
      <c r="C31" s="18"/>
      <c r="D31" s="16"/>
      <c r="E31" s="16"/>
      <c r="F31" s="85" t="s">
        <v>90</v>
      </c>
      <c r="G31" s="86" t="s">
        <v>252</v>
      </c>
      <c r="H31" s="87" t="s">
        <v>252</v>
      </c>
      <c r="I31" s="195"/>
      <c r="J31" s="93">
        <v>3</v>
      </c>
      <c r="K31" s="96">
        <f>_xll.BDP(rateSpreadLink&amp;$J31&amp;" "&amp;LEFT(swapLink,LEN(swapLink)-FIND("/",swapLink))&amp;" curncy","bid")</f>
        <v>1.1754</v>
      </c>
      <c r="L31" s="96">
        <f>_xll.BDP(rateSpreadLink&amp;$J31&amp;" "&amp;LEFT(swapLink,LEN(swapLink)-FIND("/",swapLink))&amp;" curncy","ask")</f>
        <v>1.1779999999999999</v>
      </c>
      <c r="M31" s="96">
        <f t="shared" si="2"/>
        <v>1.1766999999999999</v>
      </c>
      <c r="N31" s="96">
        <f>_xll.BDP("EUSA"&amp;$J31&amp;" "&amp;RIGHT(swapLink,LEN(swapLink)-FIND("/",swapLink))&amp;" curncy","bid")</f>
        <v>-0.17699999999999999</v>
      </c>
      <c r="O31" s="96">
        <f>_xll.BDP("EUSA"&amp;$J32&amp;" "&amp;RIGHT(swapLink,LEN(swapLink)-FIND("/",swapLink))&amp;" curncy","ask")</f>
        <v>-0.13100000000000001</v>
      </c>
      <c r="P31" s="96">
        <f t="shared" ref="P31:P43" si="3">IF(ISERR((N31+O31)/2),"N/A",(N31+O31)/2)</f>
        <v>-0.154</v>
      </c>
      <c r="Q31" s="96">
        <f>_xll.BDP("BPSW"&amp;$J31&amp;" "&amp;RIGHT(swapLink,LEN(swapLink)-FIND("/",swapLink))&amp;" curncy","bid")</f>
        <v>0.5635</v>
      </c>
      <c r="R31" s="96">
        <f>_xll.BDP("BPSW"&amp;$J31&amp;" "&amp;RIGHT(swapLink,LEN(swapLink)-FIND("/",swapLink))&amp;" curncy","ask")</f>
        <v>0.57399999999999995</v>
      </c>
      <c r="S31" s="96">
        <f t="shared" ref="S31:S43" si="4">IF(ISERR((Q31+R31)/2),"N/A",(Q31+R31)/2)</f>
        <v>0.56874999999999998</v>
      </c>
      <c r="T31" s="96">
        <f>_xll.BDP("JYSW"&amp;$J31&amp;" "&amp;RIGHT(swapLink,LEN(swapLink)-FIND("/",swapLink))&amp;" curncy","bid")</f>
        <v>-0.1</v>
      </c>
      <c r="U31" s="96">
        <f>_xll.BDP("JYSW"&amp;$J31&amp;" "&amp;RIGHT(swapLink,LEN(swapLink)-FIND("/",swapLink))&amp;" curncy","ask")</f>
        <v>-7.0000000000000007E-2</v>
      </c>
      <c r="V31" s="96">
        <f t="shared" ref="V31:V43" si="5">IF(ISERR((T31+U31)/2),"N/A",(T31+U31)/2)</f>
        <v>-8.5000000000000006E-2</v>
      </c>
      <c r="W31" s="96">
        <f>_xll.BDP("CDSW"&amp;$J31&amp;" "&amp;RIGHT(swapLink,LEN(swapLink)-FIND("/",swapLink))&amp;" curncy","bid")</f>
        <v>0.9738</v>
      </c>
      <c r="X31" s="96">
        <f>_xll.BDP("CDSW"&amp;$J31&amp;" "&amp;RIGHT(swapLink,LEN(swapLink)-FIND("/",swapLink))&amp;" curncy","ask")</f>
        <v>0.98880000000000001</v>
      </c>
      <c r="Y31" s="96">
        <f t="shared" ref="Y31:Y43" si="6">IF(ISERR((W31+X31)/2),"N/A",(W31+X31)/2)</f>
        <v>0.98130000000000006</v>
      </c>
      <c r="Z31" s="96">
        <f>_xll.BDP("SFSW"&amp;$J31&amp;" "&amp;RIGHT(swapLink,LEN(swapLink)-FIND("/",swapLink))&amp;" curncy","bid")</f>
        <v>-0.66200000000000003</v>
      </c>
      <c r="AA31" s="96">
        <f>_xll.BDP("SFSW"&amp;$J31&amp;" "&amp;RIGHT(swapLink,LEN(swapLink)-FIND("/",swapLink))&amp;" curncy","ask")</f>
        <v>-0.622</v>
      </c>
      <c r="AB31" s="96">
        <f t="shared" ref="AB31:AB43" si="7">IF(ISERR((Z31+AA31)/2),"N/A",(Z31+AA31)/2)</f>
        <v>-0.64200000000000002</v>
      </c>
      <c r="AC31" s="96">
        <f>_xll.BDP("ADSW"&amp;$J31&amp;" "&amp;RIGHT(swapLink,LEN(swapLink)-FIND("/",swapLink))&amp;" curncy","bid")</f>
        <v>1.9930000000000001</v>
      </c>
      <c r="AD31" s="96">
        <f>_xll.BDP("ADSW"&amp;$J31&amp;" "&amp;RIGHT(swapLink,LEN(swapLink)-FIND("/",swapLink))&amp;" curncy","ask")</f>
        <v>2.0030000000000001</v>
      </c>
      <c r="AE31" s="97">
        <f t="shared" ref="AE31:AE43" si="8">IF(ISERR((AC31+AD31)/2),"N/A",(AC31+AD31)/2)</f>
        <v>1.9980000000000002</v>
      </c>
      <c r="AF31" s="196"/>
      <c r="AG31" s="196"/>
      <c r="AH31" s="196"/>
      <c r="AI31" s="196"/>
      <c r="AJ31" s="196"/>
      <c r="AK31" s="196"/>
      <c r="AL31" s="196"/>
      <c r="AM31" s="196"/>
      <c r="AN31" s="195"/>
      <c r="AO31" s="195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BA31" s="195"/>
      <c r="BB31" s="195"/>
      <c r="BC31" s="195"/>
    </row>
    <row r="32" spans="1:55" ht="15" customHeight="1" x14ac:dyDescent="0.25">
      <c r="A32" s="15"/>
      <c r="B32" s="18"/>
      <c r="C32" s="18"/>
      <c r="D32" s="16"/>
      <c r="E32" s="16"/>
      <c r="F32" s="85" t="s">
        <v>91</v>
      </c>
      <c r="G32" s="91">
        <f>_xll.BDP("US0001M index",LiborPriceLink)</f>
        <v>0.52956000000000003</v>
      </c>
      <c r="H32" s="92">
        <f>_xll.BDP("EE0001M index",LiborPriceLink)</f>
        <v>-0.37713999999999998</v>
      </c>
      <c r="I32" s="195"/>
      <c r="J32" s="93">
        <v>4</v>
      </c>
      <c r="K32" s="94">
        <f>_xll.BDP(rateSpreadLink&amp;$J32&amp;" "&amp;LEFT(swapLink,LEN(swapLink)-FIND("/",swapLink))&amp;" curncy","bid")</f>
        <v>1.2509999999999999</v>
      </c>
      <c r="L32" s="94">
        <f>_xll.BDP(rateSpreadLink&amp;$J32&amp;" "&amp;LEFT(swapLink,LEN(swapLink)-FIND("/",swapLink))&amp;" curncy","ask")</f>
        <v>1.2519</v>
      </c>
      <c r="M32" s="94">
        <f t="shared" si="2"/>
        <v>1.25145</v>
      </c>
      <c r="N32" s="94">
        <f>_xll.BDP("EUSA"&amp;$J32&amp;" "&amp;RIGHT(swapLink,LEN(swapLink)-FIND("/",swapLink))&amp;" curncy","bid")</f>
        <v>-0.13100000000000001</v>
      </c>
      <c r="O32" s="94">
        <f>_xll.BDP("EUSA"&amp;$J33&amp;" "&amp;RIGHT(swapLink,LEN(swapLink)-FIND("/",swapLink))&amp;" curncy","ask")</f>
        <v>-6.0499999999999998E-2</v>
      </c>
      <c r="P32" s="94">
        <f t="shared" si="3"/>
        <v>-9.5750000000000002E-2</v>
      </c>
      <c r="Q32" s="94">
        <f>_xll.BDP("BPSW"&amp;$J32&amp;" "&amp;RIGHT(swapLink,LEN(swapLink)-FIND("/",swapLink))&amp;" curncy","bid")</f>
        <v>0.60619999999999996</v>
      </c>
      <c r="R32" s="94">
        <f>_xll.BDP("BPSW"&amp;$J32&amp;" "&amp;RIGHT(swapLink,LEN(swapLink)-FIND("/",swapLink))&amp;" curncy","ask")</f>
        <v>0.62119999999999997</v>
      </c>
      <c r="S32" s="94">
        <f t="shared" si="4"/>
        <v>0.61369999999999991</v>
      </c>
      <c r="T32" s="94">
        <f>_xll.BDP("JYSW"&amp;$J32&amp;" "&amp;RIGHT(swapLink,LEN(swapLink)-FIND("/",swapLink))&amp;" curncy","bid")</f>
        <v>-9.5000000000000001E-2</v>
      </c>
      <c r="U32" s="94">
        <f>_xll.BDP("JYSW"&amp;$J32&amp;" "&amp;RIGHT(swapLink,LEN(swapLink)-FIND("/",swapLink))&amp;" curncy","ask")</f>
        <v>-6.5000000000000002E-2</v>
      </c>
      <c r="V32" s="94">
        <f t="shared" si="5"/>
        <v>-0.08</v>
      </c>
      <c r="W32" s="94">
        <f>_xll.BDP("CDSW"&amp;$J32&amp;" "&amp;RIGHT(swapLink,LEN(swapLink)-FIND("/",swapLink))&amp;" curncy","bid")</f>
        <v>1.0196000000000001</v>
      </c>
      <c r="X32" s="94">
        <f>_xll.BDP("CDSW"&amp;$J32&amp;" "&amp;RIGHT(swapLink,LEN(swapLink)-FIND("/",swapLink))&amp;" curncy","ask")</f>
        <v>1.0346</v>
      </c>
      <c r="Y32" s="94">
        <f t="shared" si="6"/>
        <v>1.0270999999999999</v>
      </c>
      <c r="Z32" s="94">
        <f>_xll.BDP("SFSW"&amp;$J32&amp;" "&amp;RIGHT(swapLink,LEN(swapLink)-FIND("/",swapLink))&amp;" curncy","bid")</f>
        <v>-0.60499999999999998</v>
      </c>
      <c r="AA32" s="94">
        <f>_xll.BDP("SFSW"&amp;$J32&amp;" "&amp;RIGHT(swapLink,LEN(swapLink)-FIND("/",swapLink))&amp;" curncy","ask")</f>
        <v>-0.58499999999999996</v>
      </c>
      <c r="AB32" s="94">
        <f t="shared" si="7"/>
        <v>-0.59499999999999997</v>
      </c>
      <c r="AC32" s="94">
        <f>_xll.BDP("ADSW"&amp;$J32&amp;" "&amp;RIGHT(swapLink,LEN(swapLink)-FIND("/",swapLink))&amp;" curncy","bid")</f>
        <v>2.024</v>
      </c>
      <c r="AD32" s="94">
        <f>_xll.BDP("ADSW"&amp;$J32&amp;" "&amp;RIGHT(swapLink,LEN(swapLink)-FIND("/",swapLink))&amp;" curncy","ask")</f>
        <v>2.0640000000000001</v>
      </c>
      <c r="AE32" s="95">
        <f t="shared" si="8"/>
        <v>2.044</v>
      </c>
      <c r="AF32" s="196"/>
      <c r="AG32" s="196"/>
      <c r="AH32" s="196"/>
      <c r="AI32" s="196"/>
      <c r="AJ32" s="196"/>
      <c r="AK32" s="196"/>
      <c r="AL32" s="196"/>
      <c r="AM32" s="196"/>
      <c r="AN32" s="195"/>
      <c r="AO32" s="195"/>
      <c r="AP32" s="195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BA32" s="195"/>
      <c r="BB32" s="195"/>
      <c r="BC32" s="195"/>
    </row>
    <row r="33" spans="1:55" ht="15" customHeight="1" x14ac:dyDescent="0.25">
      <c r="A33" s="15"/>
      <c r="B33" s="18"/>
      <c r="C33" s="18"/>
      <c r="D33" s="16"/>
      <c r="E33" s="16"/>
      <c r="F33" s="85" t="s">
        <v>92</v>
      </c>
      <c r="G33" s="86">
        <f>_xll.BDP("US0002M index",LiborPriceLink)</f>
        <v>0.65278000000000003</v>
      </c>
      <c r="H33" s="87">
        <f>_xll.BDP("EE0002M index",LiborPriceLink)</f>
        <v>-0.34656999999999999</v>
      </c>
      <c r="I33" s="195"/>
      <c r="J33" s="93">
        <v>5</v>
      </c>
      <c r="K33" s="96">
        <f>_xll.BDP(rateSpreadLink&amp;$J33&amp;" "&amp;LEFT(swapLink,LEN(swapLink)-FIND("/",swapLink))&amp;" curncy","bid")</f>
        <v>1.3218000000000001</v>
      </c>
      <c r="L33" s="96">
        <f>_xll.BDP(rateSpreadLink&amp;$J33&amp;" "&amp;LEFT(swapLink,LEN(swapLink)-FIND("/",swapLink))&amp;" curncy","ask")</f>
        <v>1.3231999999999999</v>
      </c>
      <c r="M33" s="96">
        <f t="shared" si="2"/>
        <v>1.3225</v>
      </c>
      <c r="N33" s="96">
        <f>_xll.BDP("EUSA"&amp;$J33&amp;" "&amp;RIGHT(swapLink,LEN(swapLink)-FIND("/",swapLink))&amp;" curncy","bid")</f>
        <v>-6.5500000000000003E-2</v>
      </c>
      <c r="O33" s="96">
        <f>_xll.BDP("EUSA"&amp;$J34&amp;" "&amp;RIGHT(swapLink,LEN(swapLink)-FIND("/",swapLink))&amp;" curncy","ask")</f>
        <v>2.2499999999999999E-2</v>
      </c>
      <c r="P33" s="96">
        <f t="shared" si="3"/>
        <v>-2.1500000000000002E-2</v>
      </c>
      <c r="Q33" s="96">
        <f>_xll.BDP("BPSW"&amp;$J33&amp;" "&amp;RIGHT(swapLink,LEN(swapLink)-FIND("/",swapLink))&amp;" curncy","bid")</f>
        <v>0.66600000000000004</v>
      </c>
      <c r="R33" s="96">
        <f>_xll.BDP("BPSW"&amp;$J33&amp;" "&amp;RIGHT(swapLink,LEN(swapLink)-FIND("/",swapLink))&amp;" curncy","ask")</f>
        <v>0.67800000000000005</v>
      </c>
      <c r="S33" s="96">
        <f t="shared" si="4"/>
        <v>0.67200000000000004</v>
      </c>
      <c r="T33" s="96">
        <f>_xll.BDP("JYSW"&amp;$J33&amp;" "&amp;RIGHT(swapLink,LEN(swapLink)-FIND("/",swapLink))&amp;" curncy","bid")</f>
        <v>-8.1250000000000003E-2</v>
      </c>
      <c r="U33" s="96">
        <f>_xll.BDP("JYSW"&amp;$J33&amp;" "&amp;RIGHT(swapLink,LEN(swapLink)-FIND("/",swapLink))&amp;" curncy","ask")</f>
        <v>-5.1249999999999997E-2</v>
      </c>
      <c r="V33" s="96">
        <f t="shared" si="5"/>
        <v>-6.6250000000000003E-2</v>
      </c>
      <c r="W33" s="96">
        <f>_xll.BDP("CDSW"&amp;$J33&amp;" "&amp;RIGHT(swapLink,LEN(swapLink)-FIND("/",swapLink))&amp;" curncy","bid")</f>
        <v>1.0653999999999999</v>
      </c>
      <c r="X33" s="96">
        <f>_xll.BDP("CDSW"&amp;$J33&amp;" "&amp;RIGHT(swapLink,LEN(swapLink)-FIND("/",swapLink))&amp;" curncy","ask")</f>
        <v>1.0804</v>
      </c>
      <c r="Y33" s="96">
        <f t="shared" si="6"/>
        <v>1.0729</v>
      </c>
      <c r="Z33" s="96">
        <f>_xll.BDP("SFSW"&amp;$J33&amp;" "&amp;RIGHT(swapLink,LEN(swapLink)-FIND("/",swapLink))&amp;" curncy","bid")</f>
        <v>-0.54800000000000004</v>
      </c>
      <c r="AA33" s="96">
        <f>_xll.BDP("SFSW"&amp;$J33&amp;" "&amp;RIGHT(swapLink,LEN(swapLink)-FIND("/",swapLink))&amp;" curncy","ask")</f>
        <v>-0.51800000000000002</v>
      </c>
      <c r="AB33" s="96">
        <f t="shared" si="7"/>
        <v>-0.53300000000000003</v>
      </c>
      <c r="AC33" s="96">
        <f>_xll.BDP("ADSW"&amp;$J33&amp;" "&amp;RIGHT(swapLink,LEN(swapLink)-FIND("/",swapLink))&amp;" curncy","bid")</f>
        <v>2.0830000000000002</v>
      </c>
      <c r="AD33" s="96">
        <f>_xll.BDP("ADSW"&amp;$J33&amp;" "&amp;RIGHT(swapLink,LEN(swapLink)-FIND("/",swapLink))&amp;" curncy","ask")</f>
        <v>2.093</v>
      </c>
      <c r="AE33" s="97">
        <f t="shared" si="8"/>
        <v>2.0880000000000001</v>
      </c>
      <c r="AF33" s="196"/>
      <c r="AG33" s="196"/>
      <c r="AH33" s="196"/>
      <c r="AI33" s="196"/>
      <c r="AJ33" s="196"/>
      <c r="AK33" s="196"/>
      <c r="AL33" s="196"/>
      <c r="AM33" s="196"/>
      <c r="AN33" s="195"/>
      <c r="AO33" s="195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BA33" s="195"/>
      <c r="BB33" s="195"/>
      <c r="BC33" s="195"/>
    </row>
    <row r="34" spans="1:55" ht="15" customHeight="1" x14ac:dyDescent="0.25">
      <c r="A34" s="15"/>
      <c r="B34" s="18"/>
      <c r="C34" s="18"/>
      <c r="D34" s="16"/>
      <c r="E34" s="16"/>
      <c r="F34" s="85" t="s">
        <v>21</v>
      </c>
      <c r="G34" s="91">
        <f>_xll.BDP("US0003M index",LiborPriceLink)</f>
        <v>0.87388999999999994</v>
      </c>
      <c r="H34" s="92">
        <f>_xll.BDP("EE0003M index",LiborPriceLink)</f>
        <v>-0.32171</v>
      </c>
      <c r="I34" s="195"/>
      <c r="J34" s="93">
        <v>6</v>
      </c>
      <c r="K34" s="94">
        <f>_xll.BDP(rateSpreadLink&amp;$J34&amp;" "&amp;LEFT(swapLink,LEN(swapLink)-FIND("/",swapLink))&amp;" curncy","bid")</f>
        <v>1.3898999999999999</v>
      </c>
      <c r="L34" s="94">
        <f>_xll.BDP(rateSpreadLink&amp;$J34&amp;" "&amp;LEFT(swapLink,LEN(swapLink)-FIND("/",swapLink))&amp;" curncy","ask")</f>
        <v>1.3906000000000001</v>
      </c>
      <c r="M34" s="94">
        <f t="shared" si="2"/>
        <v>1.39025</v>
      </c>
      <c r="N34" s="94">
        <f>_xll.BDP("EUSA"&amp;$J34&amp;" "&amp;RIGHT(swapLink,LEN(swapLink)-FIND("/",swapLink))&amp;" curncy","bid")</f>
        <v>2.1100000000000001E-2</v>
      </c>
      <c r="O34" s="94">
        <f>_xll.BDP("EUSA"&amp;$J35&amp;" "&amp;RIGHT(swapLink,LEN(swapLink)-FIND("/",swapLink))&amp;" curncy","ask")</f>
        <v>0.12180000000000001</v>
      </c>
      <c r="P34" s="94">
        <f t="shared" si="3"/>
        <v>7.145E-2</v>
      </c>
      <c r="Q34" s="94">
        <f>_xll.BDP("BPSW"&amp;$J34&amp;" "&amp;RIGHT(swapLink,LEN(swapLink)-FIND("/",swapLink))&amp;" curncy","bid")</f>
        <v>0.72499999999999998</v>
      </c>
      <c r="R34" s="94">
        <f>_xll.BDP("BPSW"&amp;$J34&amp;" "&amp;RIGHT(swapLink,LEN(swapLink)-FIND("/",swapLink))&amp;" curncy","ask")</f>
        <v>0.73570000000000002</v>
      </c>
      <c r="S34" s="94">
        <f t="shared" si="4"/>
        <v>0.73035000000000005</v>
      </c>
      <c r="T34" s="94">
        <f>_xll.BDP("JYSW"&amp;$J34&amp;" "&amp;RIGHT(swapLink,LEN(swapLink)-FIND("/",swapLink))&amp;" curncy","bid")</f>
        <v>-0.06</v>
      </c>
      <c r="U34" s="94">
        <f>_xll.BDP("JYSW"&amp;$J34&amp;" "&amp;RIGHT(swapLink,LEN(swapLink)-FIND("/",swapLink))&amp;" curncy","ask")</f>
        <v>-0.03</v>
      </c>
      <c r="V34" s="94">
        <f t="shared" si="5"/>
        <v>-4.4999999999999998E-2</v>
      </c>
      <c r="W34" s="94">
        <f>_xll.BDP("CDSW"&amp;$J34&amp;" "&amp;RIGHT(swapLink,LEN(swapLink)-FIND("/",swapLink))&amp;" curncy","bid")</f>
        <v>1.08</v>
      </c>
      <c r="X34" s="94">
        <f>_xll.BDP("CDSW"&amp;$J34&amp;" "&amp;RIGHT(swapLink,LEN(swapLink)-FIND("/",swapLink))&amp;" curncy","ask")</f>
        <v>1.0900000000000001</v>
      </c>
      <c r="Y34" s="94">
        <f t="shared" si="6"/>
        <v>1.085</v>
      </c>
      <c r="Z34" s="94">
        <f>_xll.BDP("SFSW"&amp;$J34&amp;" "&amp;RIGHT(swapLink,LEN(swapLink)-FIND("/",swapLink))&amp;" curncy","bid")</f>
        <v>-0.46750000000000003</v>
      </c>
      <c r="AA34" s="94">
        <f>_xll.BDP("SFSW"&amp;$J34&amp;" "&amp;RIGHT(swapLink,LEN(swapLink)-FIND("/",swapLink))&amp;" curncy","ask")</f>
        <v>-0.44750000000000001</v>
      </c>
      <c r="AB34" s="94">
        <f t="shared" si="7"/>
        <v>-0.45750000000000002</v>
      </c>
      <c r="AC34" s="94">
        <f>_xll.BDP("ADSW"&amp;$J34&amp;" "&amp;RIGHT(swapLink,LEN(swapLink)-FIND("/",swapLink))&amp;" curncy","bid")</f>
        <v>2.1337000000000002</v>
      </c>
      <c r="AD34" s="94">
        <f>_xll.BDP("ADSW"&amp;$J34&amp;" "&amp;RIGHT(swapLink,LEN(swapLink)-FIND("/",swapLink))&amp;" curncy","ask")</f>
        <v>2.1539999999999999</v>
      </c>
      <c r="AE34" s="95">
        <f t="shared" si="8"/>
        <v>2.14385</v>
      </c>
      <c r="AF34" s="196"/>
      <c r="AG34" s="196"/>
      <c r="AH34" s="196"/>
      <c r="AI34" s="196"/>
      <c r="AJ34" s="196"/>
      <c r="AK34" s="196"/>
      <c r="AL34" s="196"/>
      <c r="AM34" s="196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195"/>
      <c r="AZ34" s="195"/>
      <c r="BA34" s="195"/>
      <c r="BB34" s="195"/>
      <c r="BC34" s="195"/>
    </row>
    <row r="35" spans="1:55" ht="15" customHeight="1" x14ac:dyDescent="0.25">
      <c r="A35" s="15"/>
      <c r="B35" s="18"/>
      <c r="C35" s="18"/>
      <c r="D35" s="16"/>
      <c r="E35" s="16"/>
      <c r="F35" s="85" t="s">
        <v>22</v>
      </c>
      <c r="G35" s="86" t="s">
        <v>252</v>
      </c>
      <c r="H35" s="87" t="s">
        <v>252</v>
      </c>
      <c r="I35" s="195"/>
      <c r="J35" s="93">
        <v>7</v>
      </c>
      <c r="K35" s="96">
        <f>_xll.BDP(rateSpreadLink&amp;$J35&amp;" "&amp;LEFT(swapLink,LEN(swapLink)-FIND("/",swapLink))&amp;" curncy","bid")</f>
        <v>1.454</v>
      </c>
      <c r="L35" s="96">
        <f>_xll.BDP(rateSpreadLink&amp;$J35&amp;" "&amp;LEFT(swapLink,LEN(swapLink)-FIND("/",swapLink))&amp;" curncy","ask")</f>
        <v>1.4557</v>
      </c>
      <c r="M35" s="96">
        <f t="shared" si="2"/>
        <v>1.45485</v>
      </c>
      <c r="N35" s="96">
        <f>_xll.BDP("EUSA"&amp;$J35&amp;" "&amp;RIGHT(swapLink,LEN(swapLink)-FIND("/",swapLink))&amp;" curncy","bid")</f>
        <v>0.1195</v>
      </c>
      <c r="O35" s="96">
        <f>_xll.BDP("EUSA"&amp;$J36&amp;" "&amp;RIGHT(swapLink,LEN(swapLink)-FIND("/",swapLink))&amp;" curncy","ask")</f>
        <v>0.23</v>
      </c>
      <c r="P35" s="96">
        <f t="shared" si="3"/>
        <v>0.17475000000000002</v>
      </c>
      <c r="Q35" s="96">
        <f>_xll.BDP("BPSW"&amp;$J35&amp;" "&amp;RIGHT(swapLink,LEN(swapLink)-FIND("/",swapLink))&amp;" curncy","bid")</f>
        <v>0.79</v>
      </c>
      <c r="R35" s="96">
        <f>_xll.BDP("BPSW"&amp;$J35&amp;" "&amp;RIGHT(swapLink,LEN(swapLink)-FIND("/",swapLink))&amp;" curncy","ask")</f>
        <v>0.79879999999999995</v>
      </c>
      <c r="S35" s="96">
        <f t="shared" si="4"/>
        <v>0.7944</v>
      </c>
      <c r="T35" s="96">
        <f>_xll.BDP("JYSW"&amp;$J35&amp;" "&amp;RIGHT(swapLink,LEN(swapLink)-FIND("/",swapLink))&amp;" curncy","bid")</f>
        <v>-3.3750000000000002E-2</v>
      </c>
      <c r="U35" s="96">
        <f>_xll.BDP("JYSW"&amp;$J35&amp;" "&amp;RIGHT(swapLink,LEN(swapLink)-FIND("/",swapLink))&amp;" curncy","ask")</f>
        <v>-3.7499999999999999E-3</v>
      </c>
      <c r="V35" s="96">
        <f t="shared" si="5"/>
        <v>-1.8750000000000003E-2</v>
      </c>
      <c r="W35" s="96">
        <f>_xll.BDP("CDSW"&amp;$J35&amp;" "&amp;RIGHT(swapLink,LEN(swapLink)-FIND("/",swapLink))&amp;" curncy","bid")</f>
        <v>1.1736</v>
      </c>
      <c r="X35" s="96">
        <f>_xll.BDP("CDSW"&amp;$J35&amp;" "&amp;RIGHT(swapLink,LEN(swapLink)-FIND("/",swapLink))&amp;" curncy","ask")</f>
        <v>1.1936</v>
      </c>
      <c r="Y35" s="96">
        <f t="shared" si="6"/>
        <v>1.1836</v>
      </c>
      <c r="Z35" s="96">
        <f>_xll.BDP("SFSW"&amp;$J35&amp;" "&amp;RIGHT(swapLink,LEN(swapLink)-FIND("/",swapLink))&amp;" curncy","bid")</f>
        <v>-0.38750000000000001</v>
      </c>
      <c r="AA35" s="96">
        <f>_xll.BDP("SFSW"&amp;$J35&amp;" "&amp;RIGHT(swapLink,LEN(swapLink)-FIND("/",swapLink))&amp;" curncy","ask")</f>
        <v>-0.36749999999999999</v>
      </c>
      <c r="AB35" s="96">
        <f t="shared" si="7"/>
        <v>-0.3775</v>
      </c>
      <c r="AC35" s="96">
        <f>_xll.BDP("ADSW"&amp;$J35&amp;" "&amp;RIGHT(swapLink,LEN(swapLink)-FIND("/",swapLink))&amp;" curncy","bid")</f>
        <v>2.1806000000000001</v>
      </c>
      <c r="AD35" s="96">
        <f>_xll.BDP("ADSW"&amp;$J35&amp;" "&amp;RIGHT(swapLink,LEN(swapLink)-FIND("/",swapLink))&amp;" curncy","ask")</f>
        <v>2.2069999999999999</v>
      </c>
      <c r="AE35" s="97">
        <f t="shared" si="8"/>
        <v>2.1938</v>
      </c>
      <c r="AF35" s="196"/>
      <c r="AG35" s="196"/>
      <c r="AH35" s="196"/>
      <c r="AI35" s="196"/>
      <c r="AJ35" s="196"/>
      <c r="AK35" s="196"/>
      <c r="AL35" s="196"/>
      <c r="AM35" s="196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</row>
    <row r="36" spans="1:55" ht="15" customHeight="1" x14ac:dyDescent="0.25">
      <c r="A36" s="15"/>
      <c r="B36" s="18"/>
      <c r="C36" s="18"/>
      <c r="D36" s="16"/>
      <c r="E36" s="16"/>
      <c r="F36" s="85" t="s">
        <v>93</v>
      </c>
      <c r="G36" s="98" t="s">
        <v>252</v>
      </c>
      <c r="H36" s="99" t="s">
        <v>252</v>
      </c>
      <c r="I36" s="195"/>
      <c r="J36" s="93">
        <v>8</v>
      </c>
      <c r="K36" s="94">
        <f>_xll.BDP(rateSpreadLink&amp;$J36&amp;" "&amp;LEFT(swapLink,LEN(swapLink)-FIND("/",swapLink))&amp;" curncy","bid")</f>
        <v>1.5125</v>
      </c>
      <c r="L36" s="94">
        <f>_xll.BDP(rateSpreadLink&amp;$J36&amp;" "&amp;LEFT(swapLink,LEN(swapLink)-FIND("/",swapLink))&amp;" curncy","ask")</f>
        <v>1.5145</v>
      </c>
      <c r="M36" s="94">
        <f t="shared" si="2"/>
        <v>1.5135000000000001</v>
      </c>
      <c r="N36" s="94">
        <f>_xll.BDP("EUSA"&amp;$J36&amp;" "&amp;RIGHT(swapLink,LEN(swapLink)-FIND("/",swapLink))&amp;" curncy","bid")</f>
        <v>0.22500000000000001</v>
      </c>
      <c r="O36" s="94">
        <f>_xll.BDP("EUSA"&amp;$J37&amp;" "&amp;RIGHT(swapLink,LEN(swapLink)-FIND("/",swapLink))&amp;" curncy","ask")</f>
        <v>0.33279999999999998</v>
      </c>
      <c r="P36" s="94">
        <f t="shared" si="3"/>
        <v>0.27889999999999998</v>
      </c>
      <c r="Q36" s="94">
        <f>_xll.BDP("BPSW"&amp;$J36&amp;" "&amp;RIGHT(swapLink,LEN(swapLink)-FIND("/",swapLink))&amp;" curncy","bid")</f>
        <v>0.85299999999999998</v>
      </c>
      <c r="R36" s="94">
        <f>_xll.BDP("BPSW"&amp;$J36&amp;" "&amp;RIGHT(swapLink,LEN(swapLink)-FIND("/",swapLink))&amp;" curncy","ask")</f>
        <v>0.86209999999999998</v>
      </c>
      <c r="S36" s="94">
        <f t="shared" si="4"/>
        <v>0.85755000000000003</v>
      </c>
      <c r="T36" s="94">
        <f>_xll.BDP("JYSW"&amp;$J36&amp;" "&amp;RIGHT(swapLink,LEN(swapLink)-FIND("/",swapLink))&amp;" curncy","bid")</f>
        <v>-3.7499999999999999E-2</v>
      </c>
      <c r="U36" s="94">
        <f>_xll.BDP("JYSW"&amp;$J36&amp;" "&amp;RIGHT(swapLink,LEN(swapLink)-FIND("/",swapLink))&amp;" curncy","ask")</f>
        <v>2.75E-2</v>
      </c>
      <c r="V36" s="94">
        <f t="shared" si="5"/>
        <v>-4.9999999999999992E-3</v>
      </c>
      <c r="W36" s="94">
        <f>_xll.BDP("CDSW"&amp;$J36&amp;" "&amp;RIGHT(swapLink,LEN(swapLink)-FIND("/",swapLink))&amp;" curncy","bid")</f>
        <v>1.2464</v>
      </c>
      <c r="X36" s="94">
        <f>_xll.BDP("CDSW"&amp;$J36&amp;" "&amp;RIGHT(swapLink,LEN(swapLink)-FIND("/",swapLink))&amp;" curncy","ask")</f>
        <v>1.2664</v>
      </c>
      <c r="Y36" s="94">
        <f t="shared" si="6"/>
        <v>1.2564</v>
      </c>
      <c r="Z36" s="94">
        <f>_xll.BDP("SFSW"&amp;$J36&amp;" "&amp;RIGHT(swapLink,LEN(swapLink)-FIND("/",swapLink))&amp;" curncy","bid")</f>
        <v>-0.3175</v>
      </c>
      <c r="AA36" s="94">
        <f>_xll.BDP("SFSW"&amp;$J36&amp;" "&amp;RIGHT(swapLink,LEN(swapLink)-FIND("/",swapLink))&amp;" curncy","ask")</f>
        <v>-0.29749999999999999</v>
      </c>
      <c r="AB36" s="94">
        <f t="shared" si="7"/>
        <v>-0.3075</v>
      </c>
      <c r="AC36" s="94">
        <f>_xll.BDP("ADSW"&amp;$J36&amp;" "&amp;RIGHT(swapLink,LEN(swapLink)-FIND("/",swapLink))&amp;" curncy","bid")</f>
        <v>2.2328999999999999</v>
      </c>
      <c r="AD36" s="94">
        <f>_xll.BDP("ADSW"&amp;$J36&amp;" "&amp;RIGHT(swapLink,LEN(swapLink)-FIND("/",swapLink))&amp;" curncy","ask")</f>
        <v>2.2578999999999998</v>
      </c>
      <c r="AE36" s="95">
        <f t="shared" si="8"/>
        <v>2.2454000000000001</v>
      </c>
      <c r="AF36" s="196"/>
      <c r="AG36" s="196"/>
      <c r="AH36" s="196"/>
      <c r="AI36" s="196"/>
      <c r="AJ36" s="196"/>
      <c r="AK36" s="196"/>
      <c r="AL36" s="196"/>
      <c r="AM36" s="196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</row>
    <row r="37" spans="1:55" ht="15" customHeight="1" x14ac:dyDescent="0.25">
      <c r="A37" s="15"/>
      <c r="B37" s="18"/>
      <c r="C37" s="18"/>
      <c r="D37" s="16"/>
      <c r="E37" s="16"/>
      <c r="F37" s="85" t="s">
        <v>94</v>
      </c>
      <c r="G37" s="86">
        <f>_xll.BDP("US0006M index",LiborPriceLink)</f>
        <v>1.26033</v>
      </c>
      <c r="H37" s="87">
        <f>_xll.BDP("EE0006M index",LiborPriceLink)</f>
        <v>-0.21171000000000001</v>
      </c>
      <c r="I37" s="195"/>
      <c r="J37" s="93">
        <v>9</v>
      </c>
      <c r="K37" s="96">
        <f>_xll.BDP(rateSpreadLink&amp;$J37&amp;" "&amp;LEFT(swapLink,LEN(swapLink)-FIND("/",swapLink))&amp;" curncy","bid")</f>
        <v>1.5660000000000001</v>
      </c>
      <c r="L37" s="96">
        <f>_xll.BDP(rateSpreadLink&amp;$J37&amp;" "&amp;LEFT(swapLink,LEN(swapLink)-FIND("/",swapLink))&amp;" curncy","ask")</f>
        <v>1.5671999999999999</v>
      </c>
      <c r="M37" s="96">
        <f t="shared" si="2"/>
        <v>1.5666</v>
      </c>
      <c r="N37" s="96">
        <f>_xll.BDP("EUSA"&amp;$J37&amp;" "&amp;RIGHT(swapLink,LEN(swapLink)-FIND("/",swapLink))&amp;" curncy","bid")</f>
        <v>0.33050000000000002</v>
      </c>
      <c r="O37" s="96">
        <f>_xll.BDP("EUSA"&amp;$J38&amp;" "&amp;RIGHT(swapLink,LEN(swapLink)-FIND("/",swapLink))&amp;" curncy","ask")</f>
        <v>0.43</v>
      </c>
      <c r="P37" s="96">
        <f t="shared" si="3"/>
        <v>0.38024999999999998</v>
      </c>
      <c r="Q37" s="96">
        <f>_xll.BDP("BPSW"&amp;$J37&amp;" "&amp;RIGHT(swapLink,LEN(swapLink)-FIND("/",swapLink))&amp;" curncy","bid")</f>
        <v>0.91500000000000004</v>
      </c>
      <c r="R37" s="96">
        <f>_xll.BDP("BPSW"&amp;$J37&amp;" "&amp;RIGHT(swapLink,LEN(swapLink)-FIND("/",swapLink))&amp;" curncy","ask")</f>
        <v>0.9234</v>
      </c>
      <c r="S37" s="96">
        <f t="shared" si="4"/>
        <v>0.91920000000000002</v>
      </c>
      <c r="T37" s="96">
        <f>_xll.BDP("JYSW"&amp;$J37&amp;" "&amp;RIGHT(swapLink,LEN(swapLink)-FIND("/",swapLink))&amp;" curncy","bid")</f>
        <v>3.125E-2</v>
      </c>
      <c r="U37" s="96">
        <f>_xll.BDP("JYSW"&amp;$J37&amp;" "&amp;RIGHT(swapLink,LEN(swapLink)-FIND("/",swapLink))&amp;" curncy","ask")</f>
        <v>6.1249999999999999E-2</v>
      </c>
      <c r="V37" s="96">
        <f t="shared" si="5"/>
        <v>4.6249999999999999E-2</v>
      </c>
      <c r="W37" s="96">
        <f>_xll.BDP("CDSW"&amp;$J37&amp;" "&amp;RIGHT(swapLink,LEN(swapLink)-FIND("/",swapLink))&amp;" curncy","bid")</f>
        <v>1.3217000000000001</v>
      </c>
      <c r="X37" s="96">
        <f>_xll.BDP("CDSW"&amp;$J37&amp;" "&amp;RIGHT(swapLink,LEN(swapLink)-FIND("/",swapLink))&amp;" curncy","ask")</f>
        <v>1.3416999999999999</v>
      </c>
      <c r="Y37" s="96">
        <f t="shared" si="6"/>
        <v>1.3317000000000001</v>
      </c>
      <c r="Z37" s="96">
        <f>_xll.BDP("SFSW"&amp;$J37&amp;" "&amp;RIGHT(swapLink,LEN(swapLink)-FIND("/",swapLink))&amp;" curncy","bid")</f>
        <v>-0.2475</v>
      </c>
      <c r="AA37" s="96">
        <f>_xll.BDP("SFSW"&amp;$J37&amp;" "&amp;RIGHT(swapLink,LEN(swapLink)-FIND("/",swapLink))&amp;" curncy","ask")</f>
        <v>-0.22750000000000001</v>
      </c>
      <c r="AB37" s="96">
        <f t="shared" si="7"/>
        <v>-0.23749999999999999</v>
      </c>
      <c r="AC37" s="96">
        <f>_xll.BDP("ADSW"&amp;$J37&amp;" "&amp;RIGHT(swapLink,LEN(swapLink)-FIND("/",swapLink))&amp;" curncy","bid")</f>
        <v>2.2814999999999999</v>
      </c>
      <c r="AD37" s="96">
        <f>_xll.BDP("ADSW"&amp;$J37&amp;" "&amp;RIGHT(swapLink,LEN(swapLink)-FIND("/",swapLink))&amp;" curncy","ask")</f>
        <v>2.3065000000000002</v>
      </c>
      <c r="AE37" s="97">
        <f t="shared" si="8"/>
        <v>2.294</v>
      </c>
      <c r="AF37" s="196"/>
      <c r="AG37" s="196"/>
      <c r="AH37" s="196"/>
      <c r="AI37" s="196"/>
      <c r="AJ37" s="196"/>
      <c r="AK37" s="196"/>
      <c r="AL37" s="196"/>
      <c r="AM37" s="196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BA37" s="195"/>
      <c r="BB37" s="195"/>
      <c r="BC37" s="195"/>
    </row>
    <row r="38" spans="1:55" ht="15" customHeight="1" x14ac:dyDescent="0.25">
      <c r="A38" s="15"/>
      <c r="B38" s="18"/>
      <c r="C38" s="18"/>
      <c r="D38" s="16"/>
      <c r="E38" s="16"/>
      <c r="F38" s="85" t="s">
        <v>95</v>
      </c>
      <c r="G38" s="98" t="s">
        <v>252</v>
      </c>
      <c r="H38" s="99" t="s">
        <v>252</v>
      </c>
      <c r="I38" s="195"/>
      <c r="J38" s="93">
        <v>10</v>
      </c>
      <c r="K38" s="94">
        <f>_xll.BDP(rateSpreadLink&amp;$J38&amp;" "&amp;LEFT(swapLink,LEN(swapLink)-FIND("/",swapLink))&amp;" curncy","bid")</f>
        <v>1.6134999999999999</v>
      </c>
      <c r="L38" s="94">
        <f>_xll.BDP(rateSpreadLink&amp;$J38&amp;" "&amp;LEFT(swapLink,LEN(swapLink)-FIND("/",swapLink))&amp;" curncy","ask")</f>
        <v>1.6154999999999999</v>
      </c>
      <c r="M38" s="94">
        <f t="shared" si="2"/>
        <v>1.6145</v>
      </c>
      <c r="N38" s="94">
        <f>_xll.BDP("EUSA"&amp;$J38&amp;" "&amp;RIGHT(swapLink,LEN(swapLink)-FIND("/",swapLink))&amp;" curncy","bid")</f>
        <v>0.42799999999999999</v>
      </c>
      <c r="O38" s="94">
        <f>_xll.BDP("EUSA"&amp;$J39&amp;" "&amp;RIGHT(swapLink,LEN(swapLink)-FIND("/",swapLink))&amp;" curncy","ask")</f>
        <v>0.60050000000000003</v>
      </c>
      <c r="P38" s="94">
        <f t="shared" si="3"/>
        <v>0.51424999999999998</v>
      </c>
      <c r="Q38" s="94">
        <f>_xll.BDP("BPSW"&amp;$J38&amp;" "&amp;RIGHT(swapLink,LEN(swapLink)-FIND("/",swapLink))&amp;" curncy","bid")</f>
        <v>0.97450000000000003</v>
      </c>
      <c r="R38" s="94">
        <f>_xll.BDP("BPSW"&amp;$J38&amp;" "&amp;RIGHT(swapLink,LEN(swapLink)-FIND("/",swapLink))&amp;" curncy","ask")</f>
        <v>0.98329999999999995</v>
      </c>
      <c r="S38" s="94">
        <f t="shared" si="4"/>
        <v>0.97889999999999999</v>
      </c>
      <c r="T38" s="94">
        <f>_xll.BDP("JYSW"&amp;$J38&amp;" "&amp;RIGHT(swapLink,LEN(swapLink)-FIND("/",swapLink))&amp;" curncy","bid")</f>
        <v>6.7500000000000004E-2</v>
      </c>
      <c r="U38" s="94">
        <f>_xll.BDP("JYSW"&amp;$J38&amp;" "&amp;RIGHT(swapLink,LEN(swapLink)-FIND("/",swapLink))&amp;" curncy","ask")</f>
        <v>9.7500000000000003E-2</v>
      </c>
      <c r="V38" s="94">
        <f t="shared" si="5"/>
        <v>8.2500000000000004E-2</v>
      </c>
      <c r="W38" s="94">
        <f>_xll.BDP("CDSW"&amp;$J38&amp;" "&amp;RIGHT(swapLink,LEN(swapLink)-FIND("/",swapLink))&amp;" curncy","bid")</f>
        <v>1.3995</v>
      </c>
      <c r="X38" s="94">
        <f>_xll.BDP("CDSW"&amp;$J38&amp;" "&amp;RIGHT(swapLink,LEN(swapLink)-FIND("/",swapLink))&amp;" curncy","ask")</f>
        <v>1.4195</v>
      </c>
      <c r="Y38" s="94">
        <f t="shared" si="6"/>
        <v>1.4095</v>
      </c>
      <c r="Z38" s="94">
        <f>_xll.BDP("SFSW"&amp;$J38&amp;" "&amp;RIGHT(swapLink,LEN(swapLink)-FIND("/",swapLink))&amp;" curncy","bid")</f>
        <v>-0.1736</v>
      </c>
      <c r="AA38" s="94">
        <f>_xll.BDP("SFSW"&amp;$J38&amp;" "&amp;RIGHT(swapLink,LEN(swapLink)-FIND("/",swapLink))&amp;" curncy","ask")</f>
        <v>-0.14349999999999999</v>
      </c>
      <c r="AB38" s="94">
        <f t="shared" si="7"/>
        <v>-0.15855</v>
      </c>
      <c r="AC38" s="94">
        <f>_xll.BDP("ADSW"&amp;$J38&amp;" "&amp;RIGHT(swapLink,LEN(swapLink)-FIND("/",swapLink))&amp;" curncy","bid")</f>
        <v>2.3370000000000002</v>
      </c>
      <c r="AD38" s="94">
        <f>_xll.BDP("ADSW"&amp;$J38&amp;" "&amp;RIGHT(swapLink,LEN(swapLink)-FIND("/",swapLink))&amp;" curncy","ask")</f>
        <v>2.3479999999999999</v>
      </c>
      <c r="AE38" s="95">
        <f t="shared" si="8"/>
        <v>2.3425000000000002</v>
      </c>
      <c r="AF38" s="196"/>
      <c r="AG38" s="196"/>
      <c r="AH38" s="196"/>
      <c r="AI38" s="196"/>
      <c r="AJ38" s="196"/>
      <c r="AK38" s="196"/>
      <c r="AL38" s="196"/>
      <c r="AM38" s="196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</row>
    <row r="39" spans="1:55" ht="15" customHeight="1" x14ac:dyDescent="0.25">
      <c r="A39" s="15"/>
      <c r="B39" s="18"/>
      <c r="C39" s="18"/>
      <c r="D39" s="16"/>
      <c r="E39" s="16"/>
      <c r="F39" s="85" t="s">
        <v>96</v>
      </c>
      <c r="G39" s="86" t="s">
        <v>252</v>
      </c>
      <c r="H39" s="87" t="s">
        <v>253</v>
      </c>
      <c r="I39" s="195"/>
      <c r="J39" s="93">
        <v>12</v>
      </c>
      <c r="K39" s="96">
        <f>_xll.BDP(rateSpreadLink&amp;$J39&amp;" "&amp;LEFT(swapLink,LEN(swapLink)-FIND("/",swapLink))&amp;" curncy","bid")</f>
        <v>1.6990000000000001</v>
      </c>
      <c r="L39" s="96">
        <f>_xll.BDP(rateSpreadLink&amp;$J39&amp;" "&amp;LEFT(swapLink,LEN(swapLink)-FIND("/",swapLink))&amp;" curncy","ask")</f>
        <v>1.7010000000000001</v>
      </c>
      <c r="M39" s="96">
        <f t="shared" si="2"/>
        <v>1.7000000000000002</v>
      </c>
      <c r="N39" s="96">
        <f>_xll.BDP("EUSA"&amp;$J39&amp;" "&amp;RIGHT(swapLink,LEN(swapLink)-FIND("/",swapLink))&amp;" curncy","bid")</f>
        <v>0.59799999999999998</v>
      </c>
      <c r="O39" s="96">
        <f>_xll.BDP("EUSA"&amp;$J40&amp;" "&amp;RIGHT(swapLink,LEN(swapLink)-FIND("/",swapLink))&amp;" curncy","ask")</f>
        <v>0.77749999999999997</v>
      </c>
      <c r="P39" s="96">
        <f t="shared" si="3"/>
        <v>0.68774999999999997</v>
      </c>
      <c r="Q39" s="96">
        <f>_xll.BDP("BPSW"&amp;$J39&amp;" "&amp;RIGHT(swapLink,LEN(swapLink)-FIND("/",swapLink))&amp;" curncy","bid")</f>
        <v>1.069</v>
      </c>
      <c r="R39" s="96">
        <f>_xll.BDP("BPSW"&amp;$J39&amp;" "&amp;RIGHT(swapLink,LEN(swapLink)-FIND("/",swapLink))&amp;" curncy","ask")</f>
        <v>1.0788</v>
      </c>
      <c r="S39" s="96">
        <f t="shared" si="4"/>
        <v>1.0739000000000001</v>
      </c>
      <c r="T39" s="96">
        <f>_xll.BDP("JYSW"&amp;$J39&amp;" "&amp;RIGHT(swapLink,LEN(swapLink)-FIND("/",swapLink))&amp;" curncy","bid")</f>
        <v>0.14499999999999999</v>
      </c>
      <c r="U39" s="96">
        <f>_xll.BDP("JYSW"&amp;$J39&amp;" "&amp;RIGHT(swapLink,LEN(swapLink)-FIND("/",swapLink))&amp;" curncy","ask")</f>
        <v>0.18</v>
      </c>
      <c r="V39" s="96">
        <f t="shared" si="5"/>
        <v>0.16249999999999998</v>
      </c>
      <c r="W39" s="96">
        <f>_xll.BDP("CDSW"&amp;$J39&amp;" "&amp;RIGHT(swapLink,LEN(swapLink)-FIND("/",swapLink))&amp;" curncy","bid")</f>
        <v>1.5305</v>
      </c>
      <c r="X39" s="96">
        <f>_xll.BDP("CDSW"&amp;$J39&amp;" "&amp;RIGHT(swapLink,LEN(swapLink)-FIND("/",swapLink))&amp;" curncy","ask")</f>
        <v>1.5705</v>
      </c>
      <c r="Y39" s="96">
        <f t="shared" si="6"/>
        <v>1.5505</v>
      </c>
      <c r="Z39" s="96">
        <f>_xll.BDP("SFSW"&amp;$J39&amp;" "&amp;RIGHT(swapLink,LEN(swapLink)-FIND("/",swapLink))&amp;" curncy","bid")</f>
        <v>-9.5000000000000001E-2</v>
      </c>
      <c r="AA39" s="96">
        <f>_xll.BDP("SFSW"&amp;$J39&amp;" "&amp;RIGHT(swapLink,LEN(swapLink)-FIND("/",swapLink))&amp;" curncy","ask")</f>
        <v>-7.4999999999999997E-2</v>
      </c>
      <c r="AB39" s="96">
        <f t="shared" si="7"/>
        <v>-8.4999999999999992E-2</v>
      </c>
      <c r="AC39" s="96">
        <f>_xll.BDP("ADSW"&amp;$J39&amp;" "&amp;RIGHT(swapLink,LEN(swapLink)-FIND("/",swapLink))&amp;" curncy","bid")</f>
        <v>2.42</v>
      </c>
      <c r="AD39" s="96">
        <f>_xll.BDP("ADSW"&amp;$J39&amp;" "&amp;RIGHT(swapLink,LEN(swapLink)-FIND("/",swapLink))&amp;" curncy","ask")</f>
        <v>2.4449999999999998</v>
      </c>
      <c r="AE39" s="97">
        <f t="shared" si="8"/>
        <v>2.4325000000000001</v>
      </c>
      <c r="AF39" s="196"/>
      <c r="AG39" s="196"/>
      <c r="AH39" s="196"/>
      <c r="AI39" s="196"/>
      <c r="AJ39" s="196"/>
      <c r="AK39" s="196"/>
      <c r="AL39" s="196"/>
      <c r="AM39" s="196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</row>
    <row r="40" spans="1:55" ht="15" customHeight="1" x14ac:dyDescent="0.25">
      <c r="A40" s="16"/>
      <c r="B40" s="18"/>
      <c r="C40" s="18"/>
      <c r="D40" s="16"/>
      <c r="E40" s="16"/>
      <c r="F40" s="85" t="s">
        <v>97</v>
      </c>
      <c r="G40" s="98" t="s">
        <v>252</v>
      </c>
      <c r="H40" s="99" t="s">
        <v>252</v>
      </c>
      <c r="I40" s="195"/>
      <c r="J40" s="93">
        <v>15</v>
      </c>
      <c r="K40" s="94">
        <f>_xll.BDP(rateSpreadLink&amp;$J40&amp;" "&amp;LEFT(swapLink,LEN(swapLink)-FIND("/",swapLink))&amp;" curncy","bid")</f>
        <v>1.7907</v>
      </c>
      <c r="L40" s="94">
        <f>_xll.BDP(rateSpreadLink&amp;$J40&amp;" "&amp;LEFT(swapLink,LEN(swapLink)-FIND("/",swapLink))&amp;" curncy","ask")</f>
        <v>1.7909999999999999</v>
      </c>
      <c r="M40" s="94">
        <f t="shared" si="2"/>
        <v>1.7908499999999998</v>
      </c>
      <c r="N40" s="94">
        <f>_xll.BDP("EUSA"&amp;$J40&amp;" "&amp;RIGHT(swapLink,LEN(swapLink)-FIND("/",swapLink))&amp;" curncy","bid")</f>
        <v>0.77600000000000002</v>
      </c>
      <c r="O40" s="94">
        <f>_xll.BDP("EUSA"&amp;$J41&amp;" "&amp;RIGHT(swapLink,LEN(swapLink)-FIND("/",swapLink))&amp;" curncy","ask")</f>
        <v>0.91900000000000004</v>
      </c>
      <c r="P40" s="94">
        <f t="shared" si="3"/>
        <v>0.84750000000000003</v>
      </c>
      <c r="Q40" s="94">
        <f>_xll.BDP("BPSW"&amp;$J40&amp;" "&amp;RIGHT(swapLink,LEN(swapLink)-FIND("/",swapLink))&amp;" curncy","bid")</f>
        <v>1.157</v>
      </c>
      <c r="R40" s="94">
        <f>_xll.BDP("BPSW"&amp;$J40&amp;" "&amp;RIGHT(swapLink,LEN(swapLink)-FIND("/",swapLink))&amp;" curncy","ask")</f>
        <v>1.1659999999999999</v>
      </c>
      <c r="S40" s="94">
        <f t="shared" si="4"/>
        <v>1.1615</v>
      </c>
      <c r="T40" s="94">
        <f>_xll.BDP("JYSW"&amp;$J40&amp;" "&amp;RIGHT(swapLink,LEN(swapLink)-FIND("/",swapLink))&amp;" curncy","bid")</f>
        <v>0.26500000000000001</v>
      </c>
      <c r="U40" s="94">
        <f>_xll.BDP("JYSW"&amp;$J40&amp;" "&amp;RIGHT(swapLink,LEN(swapLink)-FIND("/",swapLink))&amp;" curncy","ask")</f>
        <v>0.3075</v>
      </c>
      <c r="V40" s="94">
        <f t="shared" si="5"/>
        <v>0.28625</v>
      </c>
      <c r="W40" s="94">
        <f>_xll.BDP("CDSW"&amp;$J40&amp;" "&amp;RIGHT(swapLink,LEN(swapLink)-FIND("/",swapLink))&amp;" curncy","bid")</f>
        <v>1.6807000000000001</v>
      </c>
      <c r="X40" s="94">
        <f>_xll.BDP("CDSW"&amp;$J40&amp;" "&amp;RIGHT(swapLink,LEN(swapLink)-FIND("/",swapLink))&amp;" curncy","ask")</f>
        <v>1.7306999999999999</v>
      </c>
      <c r="Y40" s="94">
        <f t="shared" si="6"/>
        <v>1.7057</v>
      </c>
      <c r="Z40" s="94">
        <f>_xll.BDP("SFSW"&amp;$J40&amp;" "&amp;RIGHT(swapLink,LEN(swapLink)-FIND("/",swapLink))&amp;" curncy","bid")</f>
        <v>7.4999999999999997E-3</v>
      </c>
      <c r="AA40" s="94">
        <f>_xll.BDP("SFSW"&amp;$J40&amp;" "&amp;RIGHT(swapLink,LEN(swapLink)-FIND("/",swapLink))&amp;" curncy","ask")</f>
        <v>2.75E-2</v>
      </c>
      <c r="AB40" s="94">
        <f t="shared" si="7"/>
        <v>1.7500000000000002E-2</v>
      </c>
      <c r="AC40" s="94">
        <f>_xll.BDP("ADSW"&amp;$J40&amp;" "&amp;RIGHT(swapLink,LEN(swapLink)-FIND("/",swapLink))&amp;" curncy","bid")</f>
        <v>2.52</v>
      </c>
      <c r="AD40" s="94">
        <f>_xll.BDP("ADSW"&amp;$J40&amp;" "&amp;RIGHT(swapLink,LEN(swapLink)-FIND("/",swapLink))&amp;" curncy","ask")</f>
        <v>2.5499999999999998</v>
      </c>
      <c r="AE40" s="95">
        <f t="shared" si="8"/>
        <v>2.5350000000000001</v>
      </c>
      <c r="AF40" s="196"/>
      <c r="AG40" s="196"/>
      <c r="AH40" s="196"/>
      <c r="AI40" s="196"/>
      <c r="AJ40" s="196"/>
      <c r="AK40" s="196"/>
      <c r="AL40" s="196"/>
      <c r="AM40" s="196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</row>
    <row r="41" spans="1:55" ht="15" customHeight="1" x14ac:dyDescent="0.25">
      <c r="A41" s="16"/>
      <c r="B41" s="16"/>
      <c r="C41" s="16"/>
      <c r="D41" s="16"/>
      <c r="E41" s="16"/>
      <c r="F41" s="85" t="s">
        <v>98</v>
      </c>
      <c r="G41" s="86" t="s">
        <v>252</v>
      </c>
      <c r="H41" s="87" t="s">
        <v>252</v>
      </c>
      <c r="I41" s="195"/>
      <c r="J41" s="93">
        <v>20</v>
      </c>
      <c r="K41" s="96">
        <f>_xll.BDP(rateSpreadLink&amp;$J41&amp;" "&amp;LEFT(swapLink,LEN(swapLink)-FIND("/",swapLink))&amp;" curncy","bid")</f>
        <v>1.8855</v>
      </c>
      <c r="L41" s="96">
        <f>_xll.BDP(rateSpreadLink&amp;$J41&amp;" "&amp;LEFT(swapLink,LEN(swapLink)-FIND("/",swapLink))&amp;" curncy","ask")</f>
        <v>1.8875</v>
      </c>
      <c r="M41" s="96">
        <f t="shared" si="2"/>
        <v>1.8864999999999998</v>
      </c>
      <c r="N41" s="96">
        <f>_xll.BDP("EUSA"&amp;$J41&amp;" "&amp;RIGHT(swapLink,LEN(swapLink)-FIND("/",swapLink))&amp;" curncy","bid")</f>
        <v>0.91449999999999998</v>
      </c>
      <c r="O41" s="96">
        <f>_xll.BDP("EUSA"&amp;$J42&amp;" "&amp;RIGHT(swapLink,LEN(swapLink)-FIND("/",swapLink))&amp;" curncy","ask")</f>
        <v>0.95799999999999996</v>
      </c>
      <c r="P41" s="96">
        <f t="shared" si="3"/>
        <v>0.93625000000000003</v>
      </c>
      <c r="Q41" s="96">
        <f>_xll.BDP("BPSW"&amp;$J41&amp;" "&amp;RIGHT(swapLink,LEN(swapLink)-FIND("/",swapLink))&amp;" curncy","bid")</f>
        <v>1.2150000000000001</v>
      </c>
      <c r="R41" s="96">
        <f>_xll.BDP("BPSW"&amp;$J41&amp;" "&amp;RIGHT(swapLink,LEN(swapLink)-FIND("/",swapLink))&amp;" curncy","ask")</f>
        <v>1.2254</v>
      </c>
      <c r="S41" s="96">
        <f t="shared" si="4"/>
        <v>1.2202000000000002</v>
      </c>
      <c r="T41" s="96">
        <f>_xll.BDP("JYSW"&amp;$J41&amp;" "&amp;RIGHT(swapLink,LEN(swapLink)-FIND("/",swapLink))&amp;" curncy","bid")</f>
        <v>0.40625</v>
      </c>
      <c r="U41" s="96">
        <f>_xll.BDP("JYSW"&amp;$J41&amp;" "&amp;RIGHT(swapLink,LEN(swapLink)-FIND("/",swapLink))&amp;" curncy","ask")</f>
        <v>0.46625</v>
      </c>
      <c r="V41" s="96">
        <f t="shared" si="5"/>
        <v>0.43625000000000003</v>
      </c>
      <c r="W41" s="96">
        <f>_xll.BDP("CDSW"&amp;$J41&amp;" "&amp;RIGHT(swapLink,LEN(swapLink)-FIND("/",swapLink))&amp;" curncy","bid")</f>
        <v>1.7794000000000001</v>
      </c>
      <c r="X41" s="96">
        <f>_xll.BDP("CDSW"&amp;$J41&amp;" "&amp;RIGHT(swapLink,LEN(swapLink)-FIND("/",swapLink))&amp;" curncy","ask")</f>
        <v>1.8293999999999999</v>
      </c>
      <c r="Y41" s="96">
        <f t="shared" si="6"/>
        <v>1.8044</v>
      </c>
      <c r="Z41" s="96">
        <f>_xll.BDP("SFSW"&amp;$J41&amp;" "&amp;RIGHT(swapLink,LEN(swapLink)-FIND("/",swapLink))&amp;" curncy","bid")</f>
        <v>0.11749999999999999</v>
      </c>
      <c r="AA41" s="96">
        <f>_xll.BDP("SFSW"&amp;$J41&amp;" "&amp;RIGHT(swapLink,LEN(swapLink)-FIND("/",swapLink))&amp;" curncy","ask")</f>
        <v>0.13750000000000001</v>
      </c>
      <c r="AB41" s="96">
        <f t="shared" si="7"/>
        <v>0.1275</v>
      </c>
      <c r="AC41" s="96">
        <f>_xll.BDP("ADSW"&amp;$J41&amp;" "&amp;RIGHT(swapLink,LEN(swapLink)-FIND("/",swapLink))&amp;" curncy","bid")</f>
        <v>2.6549999999999998</v>
      </c>
      <c r="AD41" s="96">
        <f>_xll.BDP("ADSW"&amp;$J41&amp;" "&amp;RIGHT(swapLink,LEN(swapLink)-FIND("/",swapLink))&amp;" curncy","ask")</f>
        <v>2.6850000000000001</v>
      </c>
      <c r="AE41" s="97">
        <f t="shared" si="8"/>
        <v>2.67</v>
      </c>
      <c r="AF41" s="196"/>
      <c r="AG41" s="196"/>
      <c r="AH41" s="196"/>
      <c r="AI41" s="196"/>
      <c r="AJ41" s="196"/>
      <c r="AK41" s="196"/>
      <c r="AL41" s="196"/>
      <c r="AM41" s="196"/>
      <c r="AN41" s="195"/>
      <c r="AO41" s="195"/>
      <c r="AP41" s="195"/>
      <c r="AQ41" s="195"/>
      <c r="AR41" s="195"/>
      <c r="AS41" s="195"/>
      <c r="AT41" s="195"/>
      <c r="AU41" s="195"/>
      <c r="AV41" s="195"/>
      <c r="AW41" s="195"/>
      <c r="AX41" s="195"/>
      <c r="AY41" s="195"/>
      <c r="AZ41" s="195"/>
      <c r="BA41" s="195"/>
      <c r="BB41" s="195"/>
      <c r="BC41" s="195"/>
    </row>
    <row r="42" spans="1:55" ht="15" customHeight="1" x14ac:dyDescent="0.25">
      <c r="A42" s="15"/>
      <c r="B42" s="15"/>
      <c r="C42" s="16"/>
      <c r="D42" s="16"/>
      <c r="E42" s="16"/>
      <c r="F42" s="85" t="s">
        <v>99</v>
      </c>
      <c r="G42" s="91" t="s">
        <v>252</v>
      </c>
      <c r="H42" s="92" t="s">
        <v>252</v>
      </c>
      <c r="I42" s="195"/>
      <c r="J42" s="93">
        <v>25</v>
      </c>
      <c r="K42" s="94">
        <f>_xll.BDP(rateSpreadLink&amp;$J42&amp;" "&amp;LEFT(swapLink,LEN(swapLink)-FIND("/",swapLink))&amp;" curncy","bid")</f>
        <v>1.9285000000000001</v>
      </c>
      <c r="L42" s="94">
        <f>_xll.BDP(rateSpreadLink&amp;$J42&amp;" "&amp;LEFT(swapLink,LEN(swapLink)-FIND("/",swapLink))&amp;" curncy","ask")</f>
        <v>1.929</v>
      </c>
      <c r="M42" s="94">
        <f t="shared" si="2"/>
        <v>1.92875</v>
      </c>
      <c r="N42" s="94">
        <f>_xll.BDP("EUSA"&amp;$J42&amp;" "&amp;RIGHT(swapLink,LEN(swapLink)-FIND("/",swapLink))&amp;" curncy","bid")</f>
        <v>0.95499999999999996</v>
      </c>
      <c r="O42" s="94">
        <f>_xll.BDP("EUSA"&amp;$J43&amp;" "&amp;RIGHT(swapLink,LEN(swapLink)-FIND("/",swapLink))&amp;" curncy","ask")</f>
        <v>0.96699999999999997</v>
      </c>
      <c r="P42" s="94">
        <f t="shared" si="3"/>
        <v>0.96099999999999997</v>
      </c>
      <c r="Q42" s="94">
        <f>_xll.BDP("BPSW"&amp;$J42&amp;" "&amp;RIGHT(swapLink,LEN(swapLink)-FIND("/",swapLink))&amp;" curncy","bid")</f>
        <v>1.2150000000000001</v>
      </c>
      <c r="R42" s="94">
        <f>_xll.BDP("BPSW"&amp;$J42&amp;" "&amp;RIGHT(swapLink,LEN(swapLink)-FIND("/",swapLink))&amp;" curncy","ask")</f>
        <v>1.222</v>
      </c>
      <c r="S42" s="94">
        <f t="shared" si="4"/>
        <v>1.2185000000000001</v>
      </c>
      <c r="T42" s="94">
        <f>_xll.BDP("JYSW"&amp;$J42&amp;" "&amp;RIGHT(swapLink,LEN(swapLink)-FIND("/",swapLink))&amp;" curncy","bid")</f>
        <v>0.47125</v>
      </c>
      <c r="U42" s="94">
        <f>_xll.BDP("JYSW"&amp;$J42&amp;" "&amp;RIGHT(swapLink,LEN(swapLink)-FIND("/",swapLink))&amp;" curncy","ask")</f>
        <v>0.54625000000000001</v>
      </c>
      <c r="V42" s="94">
        <f t="shared" si="5"/>
        <v>0.50875000000000004</v>
      </c>
      <c r="W42" s="94">
        <f>_xll.BDP("CDSW"&amp;$J42&amp;" "&amp;RIGHT(swapLink,LEN(swapLink)-FIND("/",swapLink))&amp;" curncy","bid")</f>
        <v>1.7556</v>
      </c>
      <c r="X42" s="94">
        <f>_xll.BDP("CDSW"&amp;$J42&amp;" "&amp;RIGHT(swapLink,LEN(swapLink)-FIND("/",swapLink))&amp;" curncy","ask")</f>
        <v>1.8056000000000001</v>
      </c>
      <c r="Y42" s="94">
        <f t="shared" si="6"/>
        <v>1.7806000000000002</v>
      </c>
      <c r="Z42" s="94">
        <f>_xll.BDP("SFSW"&amp;$J42&amp;" "&amp;RIGHT(swapLink,LEN(swapLink)-FIND("/",swapLink))&amp;" curncy","bid")</f>
        <v>0.17749999999999999</v>
      </c>
      <c r="AA42" s="94">
        <f>_xll.BDP("SFSW"&amp;$J42&amp;" "&amp;RIGHT(swapLink,LEN(swapLink)-FIND("/",swapLink))&amp;" curncy","ask")</f>
        <v>0.19750000000000001</v>
      </c>
      <c r="AB42" s="94">
        <f t="shared" si="7"/>
        <v>0.1875</v>
      </c>
      <c r="AC42" s="94">
        <f>_xll.BDP("ADSW"&amp;$J42&amp;" "&amp;RIGHT(swapLink,LEN(swapLink)-FIND("/",swapLink))&amp;" curncy","bid")</f>
        <v>2.7250000000000001</v>
      </c>
      <c r="AD42" s="94">
        <f>_xll.BDP("ADSW"&amp;$J42&amp;" "&amp;RIGHT(swapLink,LEN(swapLink)-FIND("/",swapLink))&amp;" curncy","ask")</f>
        <v>2.75</v>
      </c>
      <c r="AE42" s="95">
        <f t="shared" si="8"/>
        <v>2.7374999999999998</v>
      </c>
      <c r="AF42" s="196"/>
      <c r="AG42" s="196"/>
      <c r="AH42" s="196"/>
      <c r="AI42" s="196"/>
      <c r="AJ42" s="196"/>
      <c r="AK42" s="196"/>
      <c r="AL42" s="196"/>
      <c r="AM42" s="196"/>
      <c r="AN42" s="195"/>
      <c r="AO42" s="195"/>
      <c r="AP42" s="195"/>
      <c r="AQ42" s="195"/>
      <c r="AR42" s="195"/>
      <c r="AS42" s="195"/>
      <c r="AT42" s="195"/>
      <c r="AU42" s="195"/>
      <c r="AV42" s="195"/>
      <c r="AW42" s="195"/>
      <c r="AX42" s="195"/>
      <c r="AY42" s="195"/>
      <c r="AZ42" s="195"/>
      <c r="BA42" s="195"/>
      <c r="BB42" s="195"/>
      <c r="BC42" s="195"/>
    </row>
    <row r="43" spans="1:55" ht="15" customHeight="1" x14ac:dyDescent="0.25">
      <c r="A43" s="15"/>
      <c r="B43" s="15"/>
      <c r="C43" s="16"/>
      <c r="D43" s="16"/>
      <c r="E43" s="16"/>
      <c r="F43" s="100" t="s">
        <v>100</v>
      </c>
      <c r="G43" s="101">
        <f>_xll.BDP("US0012M index",LiborPriceLink)</f>
        <v>1.58622</v>
      </c>
      <c r="H43" s="102">
        <f>_xll.BDP("EE0012M index",LiborPriceLink)</f>
        <v>-7.886E-2</v>
      </c>
      <c r="I43" s="195"/>
      <c r="J43" s="103">
        <v>30</v>
      </c>
      <c r="K43" s="104">
        <f>_xll.BDP(rateSpreadLink&amp;$J43&amp;" "&amp;LEFT(swapLink,LEN(swapLink)-FIND("/",swapLink))&amp;" curncy","bid")</f>
        <v>1.9490000000000001</v>
      </c>
      <c r="L43" s="104">
        <f>_xll.BDP(rateSpreadLink&amp;$J43&amp;" "&amp;LEFT(swapLink,LEN(swapLink)-FIND("/",swapLink))&amp;" curncy","ask")</f>
        <v>1.9503999999999999</v>
      </c>
      <c r="M43" s="104">
        <f t="shared" si="2"/>
        <v>1.9497</v>
      </c>
      <c r="N43" s="104">
        <f>_xll.BDP("EUSA"&amp;$J43&amp;" "&amp;RIGHT(swapLink,LEN(swapLink)-FIND("/",swapLink))&amp;" curncy","bid")</f>
        <v>0.96199999999999997</v>
      </c>
      <c r="O43" s="104">
        <f>_xll.BDP("EUSA"&amp;$J44&amp;" "&amp;RIGHT(swapLink,LEN(swapLink)-FIND("/",swapLink))&amp;" curncy","ask")</f>
        <v>6.3600000000000004E-2</v>
      </c>
      <c r="P43" s="104">
        <f t="shared" si="3"/>
        <v>0.51280000000000003</v>
      </c>
      <c r="Q43" s="104">
        <f>_xll.BDP("BPSW"&amp;$J43&amp;" "&amp;RIGHT(swapLink,LEN(swapLink)-FIND("/",swapLink))&amp;" curncy","bid")</f>
        <v>1.2030000000000001</v>
      </c>
      <c r="R43" s="104">
        <f>_xll.BDP("BPSW"&amp;$J43&amp;" "&amp;RIGHT(swapLink,LEN(swapLink)-FIND("/",swapLink))&amp;" curncy","ask")</f>
        <v>1.2113</v>
      </c>
      <c r="S43" s="104">
        <f t="shared" si="4"/>
        <v>1.2071499999999999</v>
      </c>
      <c r="T43" s="104">
        <f>_xll.BDP("JYSW"&amp;$J43&amp;" "&amp;RIGHT(swapLink,LEN(swapLink)-FIND("/",swapLink))&amp;" curncy","bid")</f>
        <v>0.53</v>
      </c>
      <c r="U43" s="104">
        <f>_xll.BDP("JYSW"&amp;$J43&amp;" "&amp;RIGHT(swapLink,LEN(swapLink)-FIND("/",swapLink))&amp;" curncy","ask")</f>
        <v>0.56999999999999995</v>
      </c>
      <c r="V43" s="104">
        <f t="shared" si="5"/>
        <v>0.55000000000000004</v>
      </c>
      <c r="W43" s="104">
        <f>_xll.BDP("CDSW"&amp;$J43&amp;" "&amp;RIGHT(swapLink,LEN(swapLink)-FIND("/",swapLink))&amp;" curncy","bid")</f>
        <v>1.7118</v>
      </c>
      <c r="X43" s="104">
        <f>_xll.BDP("CDSW"&amp;$J43&amp;" "&amp;RIGHT(swapLink,LEN(swapLink)-FIND("/",swapLink))&amp;" curncy","ask")</f>
        <v>1.7618</v>
      </c>
      <c r="Y43" s="104">
        <f t="shared" si="6"/>
        <v>1.7368000000000001</v>
      </c>
      <c r="Z43" s="104">
        <f>_xll.BDP("SFSW"&amp;$J43&amp;" "&amp;RIGHT(swapLink,LEN(swapLink)-FIND("/",swapLink))&amp;" curncy","bid")</f>
        <v>0.22</v>
      </c>
      <c r="AA43" s="104">
        <f>_xll.BDP("SFSW"&amp;$J43&amp;" "&amp;RIGHT(swapLink,LEN(swapLink)-FIND("/",swapLink))&amp;" curncy","ask")</f>
        <v>0.23</v>
      </c>
      <c r="AB43" s="104">
        <f t="shared" si="7"/>
        <v>0.22500000000000001</v>
      </c>
      <c r="AC43" s="104">
        <f>_xll.BDP("ADSW"&amp;$J43&amp;" "&amp;RIGHT(swapLink,LEN(swapLink)-FIND("/",swapLink))&amp;" curncy","bid")</f>
        <v>2.75</v>
      </c>
      <c r="AD43" s="104">
        <f>_xll.BDP("ADSW"&amp;$J43&amp;" "&amp;RIGHT(swapLink,LEN(swapLink)-FIND("/",swapLink))&amp;" curncy","ask")</f>
        <v>2.7749999999999999</v>
      </c>
      <c r="AE43" s="105">
        <f t="shared" si="8"/>
        <v>2.7625000000000002</v>
      </c>
      <c r="AF43" s="195"/>
      <c r="AG43" s="195"/>
      <c r="AH43" s="195"/>
      <c r="AI43" s="195"/>
      <c r="AJ43" s="195"/>
      <c r="AK43" s="195"/>
      <c r="AL43" s="195"/>
      <c r="AM43" s="195"/>
      <c r="AN43" s="195"/>
      <c r="AO43" s="195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BA43" s="195"/>
      <c r="BB43" s="195"/>
      <c r="BC43" s="195"/>
    </row>
    <row r="44" spans="1:55" ht="15" customHeight="1" x14ac:dyDescent="0.25">
      <c r="A44" s="15"/>
      <c r="B44" s="15"/>
      <c r="C44" s="16"/>
      <c r="D44" s="16"/>
      <c r="E44" s="16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  <c r="AD44" s="195"/>
      <c r="AE44" s="195"/>
      <c r="AF44" s="195"/>
      <c r="AG44" s="195"/>
      <c r="AH44" s="195"/>
      <c r="AI44" s="195"/>
      <c r="AJ44" s="195"/>
      <c r="AK44" s="195"/>
      <c r="AL44" s="195"/>
      <c r="AM44" s="195"/>
      <c r="AN44" s="195"/>
      <c r="AO44" s="195"/>
      <c r="AP44" s="195"/>
      <c r="AQ44" s="195"/>
      <c r="AR44" s="195"/>
      <c r="AS44" s="195"/>
      <c r="AT44" s="195"/>
      <c r="AU44" s="195"/>
      <c r="AV44" s="195"/>
      <c r="AW44" s="195"/>
      <c r="AX44" s="195"/>
      <c r="AY44" s="195"/>
      <c r="AZ44" s="195"/>
      <c r="BA44" s="195"/>
      <c r="BB44" s="195"/>
      <c r="BC44" s="195"/>
    </row>
    <row r="45" spans="1:55" ht="15" customHeight="1" x14ac:dyDescent="0.25">
      <c r="A45" s="15"/>
      <c r="B45" s="16"/>
      <c r="C45" s="16"/>
      <c r="D45" s="16"/>
      <c r="E45" s="16"/>
      <c r="F45" s="197" t="s">
        <v>11</v>
      </c>
      <c r="G45" s="196"/>
      <c r="H45" s="196"/>
      <c r="I45" s="196"/>
      <c r="J45" s="208"/>
      <c r="K45" s="197" t="s">
        <v>11</v>
      </c>
      <c r="L45" s="208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5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</row>
    <row r="46" spans="1:55" ht="12" customHeight="1" x14ac:dyDescent="0.25">
      <c r="A46" s="15"/>
      <c r="B46" s="15"/>
      <c r="C46" s="16"/>
      <c r="D46" s="16"/>
      <c r="E46" s="16"/>
      <c r="G46" s="15"/>
      <c r="H46" s="15"/>
      <c r="I46" s="15"/>
      <c r="J46" s="15"/>
      <c r="L46" s="15"/>
      <c r="M46" s="15"/>
      <c r="N46" s="15"/>
      <c r="O46" s="15"/>
      <c r="P46" s="209"/>
      <c r="Q46" s="209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95"/>
      <c r="AD46" s="195"/>
      <c r="AE46" s="195"/>
      <c r="AF46" s="195"/>
      <c r="AG46" s="195"/>
      <c r="AH46" s="195"/>
      <c r="AI46" s="195"/>
      <c r="AJ46" s="195"/>
      <c r="AK46" s="195"/>
      <c r="AL46" s="195"/>
      <c r="AM46" s="195"/>
      <c r="AN46" s="195"/>
      <c r="AO46" s="195"/>
      <c r="AP46" s="195"/>
      <c r="AQ46" s="195"/>
      <c r="AR46" s="195"/>
      <c r="AS46" s="195"/>
      <c r="AT46" s="195"/>
      <c r="AU46" s="195"/>
      <c r="AV46" s="195"/>
      <c r="AW46" s="195"/>
      <c r="AX46" s="195"/>
      <c r="AY46" s="195"/>
      <c r="AZ46" s="195"/>
      <c r="BA46" s="195"/>
      <c r="BB46" s="195"/>
      <c r="BC46" s="195"/>
    </row>
    <row r="47" spans="1:55" s="226" customFormat="1" ht="35.1" customHeight="1" x14ac:dyDescent="0.3">
      <c r="A47" s="218"/>
      <c r="B47" s="218"/>
      <c r="C47" s="220"/>
      <c r="D47" s="220"/>
      <c r="E47" s="220"/>
      <c r="F47" s="240" t="s">
        <v>15</v>
      </c>
      <c r="G47" s="238"/>
      <c r="H47" s="238"/>
      <c r="I47" s="239"/>
      <c r="J47" s="218"/>
      <c r="K47" s="227" t="s">
        <v>67</v>
      </c>
      <c r="L47" s="238" t="s">
        <v>264</v>
      </c>
      <c r="M47" s="238"/>
      <c r="N47" s="241"/>
      <c r="O47" s="238" t="s">
        <v>265</v>
      </c>
      <c r="P47" s="238"/>
      <c r="Q47" s="241"/>
      <c r="R47" s="247" t="s">
        <v>266</v>
      </c>
      <c r="S47" s="247"/>
      <c r="T47" s="248"/>
      <c r="U47" s="238" t="s">
        <v>267</v>
      </c>
      <c r="V47" s="238"/>
      <c r="W47" s="241"/>
      <c r="X47" s="238" t="s">
        <v>50</v>
      </c>
      <c r="Y47" s="238"/>
      <c r="Z47" s="238"/>
      <c r="AA47" s="249" t="s">
        <v>51</v>
      </c>
      <c r="AB47" s="238"/>
      <c r="AC47" s="241"/>
      <c r="AD47" s="238" t="s">
        <v>52</v>
      </c>
      <c r="AE47" s="238"/>
      <c r="AF47" s="241"/>
      <c r="AG47" s="238" t="s">
        <v>53</v>
      </c>
      <c r="AH47" s="238"/>
      <c r="AI47" s="239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</row>
    <row r="48" spans="1:55" ht="15" customHeight="1" x14ac:dyDescent="0.25">
      <c r="A48" s="15"/>
      <c r="B48" s="15"/>
      <c r="C48" s="16"/>
      <c r="D48" s="16"/>
      <c r="E48" s="16"/>
      <c r="F48" s="93" t="s">
        <v>4</v>
      </c>
      <c r="G48" s="106" t="s">
        <v>5</v>
      </c>
      <c r="H48" s="106" t="s">
        <v>6</v>
      </c>
      <c r="I48" s="107" t="s">
        <v>7</v>
      </c>
      <c r="J48" s="195"/>
      <c r="K48" s="93" t="s">
        <v>4</v>
      </c>
      <c r="L48" s="106" t="s">
        <v>5</v>
      </c>
      <c r="M48" s="106" t="s">
        <v>35</v>
      </c>
      <c r="N48" s="106" t="s">
        <v>7</v>
      </c>
      <c r="O48" s="106" t="s">
        <v>5</v>
      </c>
      <c r="P48" s="106" t="s">
        <v>35</v>
      </c>
      <c r="Q48" s="106" t="s">
        <v>7</v>
      </c>
      <c r="R48" s="106" t="s">
        <v>5</v>
      </c>
      <c r="S48" s="106" t="s">
        <v>35</v>
      </c>
      <c r="T48" s="106" t="s">
        <v>7</v>
      </c>
      <c r="U48" s="106" t="s">
        <v>5</v>
      </c>
      <c r="V48" s="106" t="s">
        <v>35</v>
      </c>
      <c r="W48" s="106" t="s">
        <v>7</v>
      </c>
      <c r="X48" s="106" t="s">
        <v>5</v>
      </c>
      <c r="Y48" s="106" t="s">
        <v>35</v>
      </c>
      <c r="Z48" s="106" t="s">
        <v>7</v>
      </c>
      <c r="AA48" s="106" t="s">
        <v>5</v>
      </c>
      <c r="AB48" s="106" t="s">
        <v>35</v>
      </c>
      <c r="AC48" s="106" t="s">
        <v>7</v>
      </c>
      <c r="AD48" s="106" t="s">
        <v>5</v>
      </c>
      <c r="AE48" s="106" t="s">
        <v>35</v>
      </c>
      <c r="AF48" s="106" t="s">
        <v>7</v>
      </c>
      <c r="AG48" s="106" t="s">
        <v>5</v>
      </c>
      <c r="AH48" s="106" t="s">
        <v>35</v>
      </c>
      <c r="AI48" s="107" t="s">
        <v>7</v>
      </c>
      <c r="AJ48" s="195"/>
      <c r="AK48" s="195"/>
      <c r="AL48" s="195"/>
      <c r="AM48" s="195"/>
      <c r="AN48" s="195"/>
      <c r="AO48" s="195"/>
      <c r="AP48" s="195"/>
      <c r="AQ48" s="195"/>
      <c r="AR48" s="195"/>
      <c r="AS48" s="195"/>
      <c r="AT48" s="195"/>
      <c r="AU48" s="195"/>
      <c r="AV48" s="195"/>
      <c r="AW48" s="195"/>
      <c r="AX48" s="195"/>
      <c r="AY48" s="195"/>
      <c r="AZ48" s="195"/>
      <c r="BA48" s="195"/>
      <c r="BB48" s="195"/>
      <c r="BC48" s="195"/>
    </row>
    <row r="49" spans="1:55" ht="15" customHeight="1" x14ac:dyDescent="0.25">
      <c r="A49" s="15"/>
      <c r="B49" s="15"/>
      <c r="C49" s="16"/>
      <c r="D49" s="16"/>
      <c r="E49" s="16"/>
      <c r="F49" s="93" t="s">
        <v>16</v>
      </c>
      <c r="G49" s="108">
        <f>_xll.BDP("USSO1Z "&amp;LEFT(OISLink,LEN(OISLink)-FIND("/",OISLink))&amp;" Curncy","Bid")</f>
        <v>0.38</v>
      </c>
      <c r="H49" s="108">
        <f>_xll.BDP("USSO1Z "&amp;RIGHT(OISLink,LEN(OISLink)-FIND("/",OISLink))&amp;" Curncy","ask")</f>
        <v>0.43</v>
      </c>
      <c r="I49" s="109">
        <f t="shared" ref="I49:I67" si="9">IF(ISERR((G49+H49)/2),"N/A",(G49+H49)/2)</f>
        <v>0.40500000000000003</v>
      </c>
      <c r="J49" s="195"/>
      <c r="K49" s="93" t="s">
        <v>21</v>
      </c>
      <c r="L49" s="110">
        <f>_xll.BDP("USBGC "&amp;LEFT(basisLink,LEN(basisLink)-FIND("/",basisLink))&amp;" Curncy","Bid")</f>
        <v>39.625</v>
      </c>
      <c r="M49" s="110">
        <f>_xll.BDP("USBGC "&amp;LEFT(basisLink,LEN(basisLink)-FIND("/",basisLink))&amp;" Curncy","ASK")</f>
        <v>42.625</v>
      </c>
      <c r="N49" s="110">
        <f>IF(ISERR((L49+M49)/2),"N/A",(L49+M49)/2)</f>
        <v>41.125</v>
      </c>
      <c r="O49" s="110">
        <f>_xll.BDP("USBDC "&amp;LEFT(basisLink,LEN(basisLink)-FIND("/",basisLink))&amp;" Curncy","Bid")</f>
        <v>36</v>
      </c>
      <c r="P49" s="110">
        <f>_xll.BDP("USBDC "&amp;LEFT(basisLink,LEN(basisLink)-FIND("/",basisLink))&amp;" Curncy","ASK")</f>
        <v>46</v>
      </c>
      <c r="Q49" s="110">
        <f t="shared" ref="Q49:Q64" si="10">IF(ISERR((O49+P49)/2),"N/A",(O49+P49)/2)</f>
        <v>41</v>
      </c>
      <c r="R49" s="110">
        <f>_xll.BDP("USBFC "&amp;LEFT(basisLink,LEN(basisLink)-FIND("/",basisLink))&amp;" Curncy","Bid")</f>
        <v>-274</v>
      </c>
      <c r="S49" s="110">
        <f>_xll.BDP("USBFC "&amp;LEFT(basisLink,LEN(basisLink)-FIND("/",basisLink))&amp;" Curncy","ASK")</f>
        <v>-264</v>
      </c>
      <c r="T49" s="110">
        <f>IF(ISERR((R49+S49)/2),"N/A",(R49+S49)/2)</f>
        <v>-269</v>
      </c>
      <c r="U49" s="110">
        <f>_xll.BDP("USBEC "&amp;LEFT(basisLink,LEN(basisLink)-FIND("/",basisLink))&amp;" Curncy","Bid")</f>
        <v>13</v>
      </c>
      <c r="V49" s="110">
        <f>_xll.BDP("USBEC "&amp;LEFT(basisLink,LEN(basisLink)-FIND("/",basisLink))&amp;" Curncy","ASK")</f>
        <v>25</v>
      </c>
      <c r="W49" s="110">
        <f>IF(ISERR((U49+V49)/2),"N/A",(U49+V49)/2)</f>
        <v>19</v>
      </c>
      <c r="X49" s="110">
        <f>_xll.BDP("USBAAC "&amp;LEFT(basisLink,LEN(basisLink)-FIND("/",basisLink))&amp;" Curncy","Bid")</f>
        <v>29</v>
      </c>
      <c r="Y49" s="110">
        <f>_xll.BDP("USBAAC "&amp;LEFT(basisLink,LEN(basisLink)-FIND("/",basisLink))&amp;" Curncy","ASK")</f>
        <v>30</v>
      </c>
      <c r="Z49" s="110">
        <f>IF(ISERR((X49+Y49)/2),"N/A",(X49+Y49)/2)</f>
        <v>29.5</v>
      </c>
      <c r="AA49" s="108"/>
      <c r="AB49" s="108"/>
      <c r="AC49" s="108"/>
      <c r="AD49" s="108"/>
      <c r="AE49" s="108"/>
      <c r="AF49" s="108"/>
      <c r="AG49" s="108"/>
      <c r="AH49" s="108"/>
      <c r="AI49" s="109"/>
      <c r="AJ49" s="195"/>
      <c r="AK49" s="195"/>
      <c r="AL49" s="195"/>
      <c r="AM49" s="195"/>
      <c r="AN49" s="195"/>
      <c r="AO49" s="195"/>
      <c r="AP49" s="195"/>
      <c r="AQ49" s="195"/>
      <c r="AR49" s="195"/>
      <c r="AS49" s="195"/>
      <c r="AT49" s="195"/>
      <c r="AU49" s="195"/>
      <c r="AV49" s="195"/>
      <c r="AW49" s="195"/>
      <c r="AX49" s="195"/>
      <c r="AY49" s="195"/>
      <c r="AZ49" s="195"/>
      <c r="BA49" s="195"/>
      <c r="BB49" s="195"/>
      <c r="BC49" s="195"/>
    </row>
    <row r="50" spans="1:55" ht="15" customHeight="1" x14ac:dyDescent="0.25">
      <c r="A50" s="15"/>
      <c r="B50" s="15"/>
      <c r="C50" s="16"/>
      <c r="D50" s="16"/>
      <c r="E50" s="16"/>
      <c r="F50" s="93" t="s">
        <v>17</v>
      </c>
      <c r="G50" s="111">
        <f>_xll.BDP("USSO2Z "&amp;LEFT(OISLink,LEN(OISLink)-FIND("/",OISLink))&amp;" Curncy","Bid")</f>
        <v>0.39600000000000002</v>
      </c>
      <c r="H50" s="111">
        <f>_xll.BDP("USSO2Z "&amp;LEFT(OISLink,LEN(OISLink)-FIND("/",OISLink))&amp;" Curncy","ask")</f>
        <v>0.41399999999999998</v>
      </c>
      <c r="I50" s="112">
        <f t="shared" si="9"/>
        <v>0.40500000000000003</v>
      </c>
      <c r="J50" s="195"/>
      <c r="K50" s="93" t="s">
        <v>24</v>
      </c>
      <c r="L50" s="113">
        <f>_xll.BDP("USBGF "&amp;LEFT(basisLink,LEN(basisLink)-FIND("/",basisLink))&amp;" Curncy","Bid")</f>
        <v>38</v>
      </c>
      <c r="M50" s="113">
        <f>_xll.BDP("USBGF "&amp;LEFT(basisLink,LEN(basisLink)-FIND("/",basisLink))&amp;" Curncy","ASK")</f>
        <v>41</v>
      </c>
      <c r="N50" s="113">
        <f t="shared" ref="N50:N64" si="11">IF(ISERR((L50+M50)/2),"N/A",(L50+M50)/2)</f>
        <v>39.5</v>
      </c>
      <c r="O50" s="113">
        <f>_xll.BDP("USBDF "&amp;LEFT(basisLink,LEN(basisLink)-FIND("/",basisLink))&amp;" Curncy","Bid")</f>
        <v>34</v>
      </c>
      <c r="P50" s="113">
        <f>_xll.BDP("USBDF "&amp;LEFT(basisLink,LEN(basisLink)-FIND("/",basisLink))&amp;" Curncy","ASK")</f>
        <v>44</v>
      </c>
      <c r="Q50" s="113">
        <f t="shared" si="10"/>
        <v>39</v>
      </c>
      <c r="R50" s="113">
        <f>_xll.BDP("USBFF "&amp;LEFT(basisLink,LEN(basisLink)-FIND("/",basisLink))&amp;" Curncy","Bid")</f>
        <v>-276</v>
      </c>
      <c r="S50" s="113">
        <f>_xll.BDP("USBFF "&amp;LEFT(basisLink,LEN(basisLink)-FIND("/",basisLink))&amp;" Curncy","ASK")</f>
        <v>-266</v>
      </c>
      <c r="T50" s="113">
        <f t="shared" ref="T50:T64" si="12">IF(ISERR((R50+S50)/2),"N/A",(R50+S50)/2)</f>
        <v>-271</v>
      </c>
      <c r="U50" s="113">
        <f>_xll.BDP("USBEF "&amp;LEFT(basisLink,LEN(basisLink)-FIND("/",basisLink))&amp;" Curncy","Bid")</f>
        <v>14</v>
      </c>
      <c r="V50" s="113">
        <f>_xll.BDP("USBEF "&amp;LEFT(basisLink,LEN(basisLink)-FIND("/",basisLink))&amp;" Curncy","ASK")</f>
        <v>26</v>
      </c>
      <c r="W50" s="113">
        <f t="shared" ref="W50:W64" si="13">IF(ISERR((U50+V50)/2),"N/A",(U50+V50)/2)</f>
        <v>20</v>
      </c>
      <c r="X50" s="113">
        <f>_xll.BDP("USBAAF "&amp;LEFT(basisLink,LEN(basisLink)-FIND("/",basisLink))&amp;" Curncy","Bid")</f>
        <v>26.25</v>
      </c>
      <c r="Y50" s="113">
        <f>_xll.BDP("USBAAF "&amp;LEFT(basisLink,LEN(basisLink)-FIND("/",basisLink))&amp;" Curncy","ASK")</f>
        <v>30.25</v>
      </c>
      <c r="Z50" s="113">
        <f t="shared" ref="Z50:Z64" si="14">IF(ISERR((X50+Y50)/2),"N/A",(X50+Y50)/2)</f>
        <v>28.25</v>
      </c>
      <c r="AA50" s="111">
        <f>_xll.BDP("USBCF "&amp;LEFT(basisLink,LEN(basisLink)-FIND("/",basisLink))&amp;" Curncy","Bid")</f>
        <v>31.25</v>
      </c>
      <c r="AB50" s="111">
        <f>_xll.BDP("USBCF "&amp;LEFT(basisLink,LEN(basisLink)-FIND("/",basisLink))&amp;" Curncy","ASK")</f>
        <v>35.25</v>
      </c>
      <c r="AC50" s="111">
        <f t="shared" ref="AC50:AC64" si="15">IF(ISERR((AA50+AB50)/2),"N/A",(AA50+AB50)/2)</f>
        <v>33.25</v>
      </c>
      <c r="AD50" s="111" t="str">
        <f>_xll.BDP("USBBF "&amp;LEFT(basisLink,LEN(basisLink)-FIND("/",basisLink))&amp;" Curncy","Bid")</f>
        <v>#N/A N/A</v>
      </c>
      <c r="AE50" s="111" t="str">
        <f>_xll.BDP("USBBF "&amp;LEFT(basisLink,LEN(basisLink)-FIND("/",basisLink))&amp;" Curncy","ASK")</f>
        <v>#N/A N/A</v>
      </c>
      <c r="AF50" s="111" t="str">
        <f>IF(ISERR((AD50+AE50)/2),"N/A",(AD50+AE50)/2)</f>
        <v>N/A</v>
      </c>
      <c r="AG50" s="111"/>
      <c r="AH50" s="111"/>
      <c r="AI50" s="112"/>
      <c r="AJ50" s="195"/>
      <c r="AK50" s="195"/>
      <c r="AL50" s="195"/>
      <c r="AM50" s="195"/>
      <c r="AN50" s="195"/>
      <c r="AO50" s="195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BA50" s="195"/>
      <c r="BB50" s="195"/>
      <c r="BC50" s="195"/>
    </row>
    <row r="51" spans="1:55" ht="15" customHeight="1" x14ac:dyDescent="0.25">
      <c r="A51" s="15"/>
      <c r="B51" s="15"/>
      <c r="C51" s="16"/>
      <c r="D51" s="16"/>
      <c r="E51" s="16"/>
      <c r="F51" s="93" t="s">
        <v>18</v>
      </c>
      <c r="G51" s="114">
        <f>_xll.BDP("USSO3Z "&amp;LEFT(OISLink,LEN(OISLink)-FIND("/",OISLink))&amp;" Curncy","Bid")</f>
        <v>0.40200000000000002</v>
      </c>
      <c r="H51" s="114">
        <f>_xll.BDP("USSO3Z "&amp;LEFT(OISLink,LEN(OISLink)-FIND("/",OISLink))&amp;" Curncy","ASK")</f>
        <v>0.40200000000000002</v>
      </c>
      <c r="I51" s="115">
        <f t="shared" si="9"/>
        <v>0.40200000000000002</v>
      </c>
      <c r="J51" s="195"/>
      <c r="K51" s="93" t="s">
        <v>27</v>
      </c>
      <c r="L51" s="116">
        <f>_xll.BDP("USBGI "&amp;LEFT(basisLink,LEN(basisLink)-FIND("/",basisLink))&amp;" Curncy","Bid")</f>
        <v>36.625</v>
      </c>
      <c r="M51" s="116">
        <f>_xll.BDP("USBGI "&amp;LEFT(basisLink,LEN(basisLink)-FIND("/",basisLink))&amp;" Curncy","ASK")</f>
        <v>39.625</v>
      </c>
      <c r="N51" s="116">
        <f t="shared" si="11"/>
        <v>38.125</v>
      </c>
      <c r="O51" s="116">
        <f>_xll.BDP("USBDI "&amp;LEFT(basisLink,LEN(basisLink)-FIND("/",basisLink))&amp;" Curncy","Bid")</f>
        <v>33</v>
      </c>
      <c r="P51" s="116">
        <f>_xll.BDP("USBDI "&amp;LEFT(basisLink,LEN(basisLink)-FIND("/",basisLink))&amp;" Curncy","ASK")</f>
        <v>43</v>
      </c>
      <c r="Q51" s="116">
        <f t="shared" si="10"/>
        <v>38</v>
      </c>
      <c r="R51" s="116">
        <f>_xll.BDP("USBFI "&amp;LEFT(basisLink,LEN(basisLink)-FIND("/",basisLink))&amp;" Curncy","Bid")</f>
        <v>-277</v>
      </c>
      <c r="S51" s="116">
        <f>_xll.BDP("USBFI "&amp;LEFT(basisLink,LEN(basisLink)-FIND("/",basisLink))&amp;" Curncy","ASK")</f>
        <v>-267</v>
      </c>
      <c r="T51" s="116">
        <f t="shared" si="12"/>
        <v>-272</v>
      </c>
      <c r="U51" s="116">
        <f>_xll.BDP("USBEI "&amp;LEFT(basisLink,LEN(basisLink)-FIND("/",basisLink))&amp;" Curncy","Bid")</f>
        <v>15</v>
      </c>
      <c r="V51" s="116">
        <f>_xll.BDP("USBEI "&amp;LEFT(basisLink,LEN(basisLink)-FIND("/",basisLink))&amp;" Curncy","ASK")</f>
        <v>27</v>
      </c>
      <c r="W51" s="116">
        <f t="shared" si="13"/>
        <v>21</v>
      </c>
      <c r="X51" s="116">
        <f>_xll.BDP("USBAAI "&amp;LEFT(basisLink,LEN(basisLink)-FIND("/",basisLink))&amp;" Curncy","Bid")</f>
        <v>26.125</v>
      </c>
      <c r="Y51" s="116">
        <f>_xll.BDP("USBAAI "&amp;LEFT(basisLink,LEN(basisLink)-FIND("/",basisLink))&amp;" Curncy","ASK")</f>
        <v>27.125</v>
      </c>
      <c r="Z51" s="116">
        <f t="shared" si="14"/>
        <v>26.625</v>
      </c>
      <c r="AA51" s="114"/>
      <c r="AB51" s="114"/>
      <c r="AC51" s="114"/>
      <c r="AD51" s="114"/>
      <c r="AE51" s="114"/>
      <c r="AF51" s="114"/>
      <c r="AG51" s="114"/>
      <c r="AH51" s="114"/>
      <c r="AI51" s="11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5"/>
      <c r="BB51" s="195"/>
      <c r="BC51" s="195"/>
    </row>
    <row r="52" spans="1:55" ht="15" customHeight="1" x14ac:dyDescent="0.25">
      <c r="A52" s="15"/>
      <c r="B52" s="15"/>
      <c r="C52" s="16"/>
      <c r="D52" s="16"/>
      <c r="E52" s="16"/>
      <c r="F52" s="93" t="s">
        <v>19</v>
      </c>
      <c r="G52" s="111">
        <f>_xll.BDP("USSOA "&amp;LEFT(OISLink,LEN(OISLink)-FIND("/",OISLink))&amp;" Curncy","Bid")</f>
        <v>0.4083</v>
      </c>
      <c r="H52" s="111">
        <f>_xll.BDP("USSOA "&amp;LEFT(OISLink,LEN(OISLink)-FIND("/",OISLink))&amp;" Curncy","ASK")</f>
        <v>0.4083</v>
      </c>
      <c r="I52" s="112">
        <f t="shared" si="9"/>
        <v>0.4083</v>
      </c>
      <c r="J52" s="195"/>
      <c r="K52" s="93" t="s">
        <v>36</v>
      </c>
      <c r="L52" s="113">
        <f>_xll.BDP("USBG"&amp;LEFT($K52,LEN($K52)-1)&amp;" "&amp;LEFT(basisLink,LEN(basisLink)-FIND("/",basisLink))&amp;" Curncy","Bid")</f>
        <v>36.125</v>
      </c>
      <c r="M52" s="113">
        <f>_xll.BDP("USBG"&amp;LEFT($K52,LEN($K52)-1)&amp;" "&amp;LEFT(basisLink,LEN(basisLink)-FIND("/",basisLink))&amp;" Curncy","ASK")</f>
        <v>38.875</v>
      </c>
      <c r="N52" s="113">
        <f t="shared" si="11"/>
        <v>37.5</v>
      </c>
      <c r="O52" s="113">
        <f>_xll.BDP("USBD"&amp;LEFT($K52,LEN($K52)-1)&amp;" "&amp;LEFT(basisLink,LEN(basisLink)-FIND("/",basisLink))&amp;" Curncy","Bid")</f>
        <v>32</v>
      </c>
      <c r="P52" s="113">
        <f>_xll.BDP("USBD"&amp;LEFT($K52,LEN($K52)-1)&amp;" "&amp;LEFT(basisLink,LEN(basisLink)-FIND("/",basisLink))&amp;" Curncy","ASK")</f>
        <v>42</v>
      </c>
      <c r="Q52" s="113">
        <f t="shared" si="10"/>
        <v>37</v>
      </c>
      <c r="R52" s="113">
        <f>_xll.BDP("USBF"&amp;LEFT($K52,LEN($K52)-1)&amp;" "&amp;LEFT(basisLink,LEN(basisLink)-FIND("/",basisLink))&amp;" Curncy","Bid")</f>
        <v>-278</v>
      </c>
      <c r="S52" s="113">
        <f>_xll.BDP("USBF"&amp;LEFT($K52,LEN($K52)-1)&amp;" "&amp;LEFT(basisLink,LEN(basisLink)-FIND("/",basisLink))&amp;" Curncy","ASK")</f>
        <v>-268</v>
      </c>
      <c r="T52" s="113">
        <f t="shared" si="12"/>
        <v>-273</v>
      </c>
      <c r="U52" s="113">
        <f>_xll.BDP("USBE"&amp;LEFT($K52,LEN($K52)-1)&amp;" "&amp;LEFT(basisLink,LEN(basisLink)-FIND("/",basisLink))&amp;" Curncy","Bid")</f>
        <v>17</v>
      </c>
      <c r="V52" s="113">
        <f>_xll.BDP("USBE"&amp;LEFT($K52,LEN($K52)-1)&amp;" "&amp;LEFT(basisLink,LEN(basisLink)-FIND("/",basisLink))&amp;" Curncy","ASK")</f>
        <v>29</v>
      </c>
      <c r="W52" s="113">
        <f t="shared" si="13"/>
        <v>23</v>
      </c>
      <c r="X52" s="113">
        <f>_xll.BDP("USBA"&amp;LEFT($K52,LEN($K52)-1)&amp;" "&amp;LEFT(basisLink,LEN(basisLink)-FIND("/",basisLink))&amp;" Curncy","Bid")</f>
        <v>24.75</v>
      </c>
      <c r="Y52" s="113">
        <f>_xll.BDP("USBA"&amp;LEFT($K52,LEN($K52)-1)&amp;" "&amp;LEFT(basisLink,LEN(basisLink)-FIND("/",basisLink))&amp;" Curncy","ASK")</f>
        <v>25.7</v>
      </c>
      <c r="Z52" s="113">
        <f t="shared" si="14"/>
        <v>25.225000000000001</v>
      </c>
      <c r="AA52" s="111">
        <f>_xll.BDP("USBC"&amp;LEFT($K52,LEN($K52)-1)&amp;" "&amp;LEFT(basisLink,LEN(basisLink)-FIND("/",basisLink))&amp;" Curncy","Bid")</f>
        <v>31.25</v>
      </c>
      <c r="AB52" s="111">
        <f>_xll.BDP("USBC"&amp;LEFT($K52,LEN($K52)-1)&amp;" "&amp;LEFT(basisLink,LEN(basisLink)-FIND("/",basisLink))&amp;" Curncy","ASK")</f>
        <v>32.25</v>
      </c>
      <c r="AC52" s="111">
        <f t="shared" si="15"/>
        <v>31.75</v>
      </c>
      <c r="AD52" s="111" t="str">
        <f>_xll.BDP("USBB"&amp;LEFT($K52,LEN($K52)-1)&amp;" "&amp;LEFT(basisLink,LEN(basisLink)-FIND("/",basisLink))&amp;" Curncy","Bid")</f>
        <v>#N/A N/A</v>
      </c>
      <c r="AE52" s="111" t="str">
        <f>_xll.BDP("USBB"&amp;LEFT($K52,LEN($K52)-1)&amp;" "&amp;LEFT(basisLink,LEN(basisLink)-FIND("/",basisLink))&amp;" Curncy","ASK")</f>
        <v>#N/A N/A</v>
      </c>
      <c r="AF52" s="111" t="str">
        <f t="shared" ref="AF52:AF64" si="16">IF(ISERR((AD52+AE52)/2),"N/A",(AD52+AE52)/2)</f>
        <v>N/A</v>
      </c>
      <c r="AG52" s="111" t="str">
        <f>_xll.BDP("USBL"&amp;LEFT($K52,LEN($K52)-1)&amp;" "&amp;LEFT(basisLink,LEN(basisLink)-FIND("/",basisLink))&amp;" Curncy","Bid")</f>
        <v>#N/A N/A</v>
      </c>
      <c r="AH52" s="111" t="str">
        <f>_xll.BDP("USBL"&amp;LEFT($K52,LEN($K52)-1)&amp;" "&amp;LEFT(basisLink,LEN(basisLink)-FIND("/",basisLink))&amp;" Curncy","ASK")</f>
        <v>#N/A N/A</v>
      </c>
      <c r="AI52" s="112" t="str">
        <f t="shared" ref="AI52:AI64" si="17">IF(ISERR((AG52+AH52)/2),"N/A",(AG52+AH52)/2)</f>
        <v>N/A</v>
      </c>
      <c r="AJ52" s="195"/>
      <c r="AK52" s="195"/>
      <c r="AL52" s="195"/>
      <c r="AM52" s="195"/>
      <c r="AN52" s="195"/>
      <c r="AO52" s="195"/>
      <c r="AP52" s="195"/>
      <c r="AQ52" s="195"/>
      <c r="AR52" s="195"/>
      <c r="AS52" s="195"/>
      <c r="AT52" s="195"/>
      <c r="AU52" s="195"/>
      <c r="AV52" s="195"/>
      <c r="AW52" s="195"/>
      <c r="AX52" s="195"/>
      <c r="AY52" s="195"/>
      <c r="AZ52" s="195"/>
      <c r="BA52" s="195"/>
      <c r="BB52" s="195"/>
      <c r="BC52" s="195"/>
    </row>
    <row r="53" spans="1:55" ht="15" customHeight="1" x14ac:dyDescent="0.25">
      <c r="A53" s="15"/>
      <c r="B53" s="15"/>
      <c r="C53" s="16"/>
      <c r="D53" s="16"/>
      <c r="E53" s="16"/>
      <c r="F53" s="93" t="s">
        <v>20</v>
      </c>
      <c r="G53" s="114">
        <f>_xll.BDP("USSOB "&amp;LEFT(OISLink,LEN(OISLink)-FIND("/",OISLink))&amp;" Curncy","Bid")</f>
        <v>0.4148</v>
      </c>
      <c r="H53" s="114">
        <f>_xll.BDP("USSOB "&amp;LEFT(OISLink,LEN(OISLink)-FIND("/",OISLink))&amp;" Curncy","ASK")</f>
        <v>0.4148</v>
      </c>
      <c r="I53" s="115">
        <f t="shared" si="9"/>
        <v>0.4148</v>
      </c>
      <c r="J53" s="195"/>
      <c r="K53" s="93" t="s">
        <v>29</v>
      </c>
      <c r="L53" s="116" t="str">
        <f>_xll.BDP("USBG1F "&amp;LEFT(basisLink,LEN(basisLink)-FIND("/",basisLink))&amp;" Curncy","Bid")</f>
        <v>#N/A N/A</v>
      </c>
      <c r="M53" s="116" t="str">
        <f>_xll.BDP("USBG1F "&amp;LEFT(basisLink,LEN(basisLink)-FIND("/",basisLink))&amp;" Curncy","ASK")</f>
        <v>#N/A N/A</v>
      </c>
      <c r="N53" s="116" t="str">
        <f t="shared" si="11"/>
        <v>N/A</v>
      </c>
      <c r="O53" s="116" t="str">
        <f>_xll.BDP("USBD1F "&amp;LEFT(basisLink,LEN(basisLink)-FIND("/",basisLink))&amp;" Curncy","Bid")</f>
        <v>#N/A N/A</v>
      </c>
      <c r="P53" s="116" t="str">
        <f>_xll.BDP("USBD1F "&amp;LEFT(basisLink,LEN(basisLink)-FIND("/",basisLink))&amp;" Curncy","ASK")</f>
        <v>#N/A N/A</v>
      </c>
      <c r="Q53" s="116" t="str">
        <f t="shared" si="10"/>
        <v>N/A</v>
      </c>
      <c r="R53" s="116" t="str">
        <f>_xll.BDP("USBF1F "&amp;LEFT(basisLink,LEN(basisLink)-FIND("/",basisLink))&amp;" Curncy","Bid")</f>
        <v>#N/A N/A</v>
      </c>
      <c r="S53" s="116" t="str">
        <f>_xll.BDP("USBF1F "&amp;LEFT(basisLink,LEN(basisLink)-FIND("/",basisLink))&amp;" Curncy","ASK")</f>
        <v>#N/A N/A</v>
      </c>
      <c r="T53" s="116" t="str">
        <f t="shared" si="12"/>
        <v>N/A</v>
      </c>
      <c r="U53" s="116" t="str">
        <f>_xll.BDP("USBE1F "&amp;LEFT(basisLink,LEN(basisLink)-FIND("/",basisLink))&amp;" Curncy","Bid")</f>
        <v>#N/A N/A</v>
      </c>
      <c r="V53" s="116" t="str">
        <f>_xll.BDP("USBE1F "&amp;LEFT(basisLink,LEN(basisLink)-FIND("/",basisLink))&amp;" Curncy","ASK")</f>
        <v>#N/A N/A</v>
      </c>
      <c r="W53" s="116" t="str">
        <f t="shared" si="13"/>
        <v>N/A</v>
      </c>
      <c r="X53" s="116">
        <f>_xll.BDP("USBA1F "&amp;LEFT(basisLink,LEN(basisLink)-FIND("/",basisLink))&amp;" Curncy","Bid")</f>
        <v>23</v>
      </c>
      <c r="Y53" s="116">
        <f>_xll.BDP("USBA1F "&amp;LEFT(basisLink,LEN(basisLink)-FIND("/",basisLink))&amp;" Curncy","ASK")</f>
        <v>25</v>
      </c>
      <c r="Z53" s="116">
        <f t="shared" si="14"/>
        <v>24</v>
      </c>
      <c r="AA53" s="114">
        <f>_xll.BDP("USBC1F "&amp;LEFT(basisLink,LEN(basisLink)-FIND("/",basisLink))&amp;" Curncy","Bid")</f>
        <v>28.875</v>
      </c>
      <c r="AB53" s="114">
        <f>_xll.BDP("USBC1F "&amp;LEFT(basisLink,LEN(basisLink)-FIND("/",basisLink))&amp;" Curncy","ASK")</f>
        <v>30.875</v>
      </c>
      <c r="AC53" s="114">
        <f t="shared" si="15"/>
        <v>29.875</v>
      </c>
      <c r="AD53" s="114" t="str">
        <f>_xll.BDP("USBB1F "&amp;LEFT(basisLink,LEN(basisLink)-FIND("/",basisLink))&amp;" Curncy","Bid")</f>
        <v>#N/A N/A</v>
      </c>
      <c r="AE53" s="114" t="str">
        <f>_xll.BDP("USBB1F "&amp;LEFT(basisLink,LEN(basisLink)-FIND("/",basisLink))&amp;" Curncy","ASK")</f>
        <v>#N/A N/A</v>
      </c>
      <c r="AF53" s="114" t="str">
        <f t="shared" si="16"/>
        <v>N/A</v>
      </c>
      <c r="AG53" s="114"/>
      <c r="AH53" s="114"/>
      <c r="AI53" s="11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</row>
    <row r="54" spans="1:55" ht="15" customHeight="1" x14ac:dyDescent="0.25">
      <c r="A54" s="15"/>
      <c r="B54" s="15"/>
      <c r="C54" s="16"/>
      <c r="D54" s="16"/>
      <c r="E54" s="16"/>
      <c r="F54" s="93" t="s">
        <v>21</v>
      </c>
      <c r="G54" s="111">
        <f>_xll.BDP("USSOC "&amp;LEFT(OISLink,LEN(OISLink)-FIND("/",OISLink))&amp;" Curncy","Bid")</f>
        <v>0.46389999999999998</v>
      </c>
      <c r="H54" s="111">
        <f>_xll.BDP("USSOC "&amp;LEFT(OISLink,LEN(OISLink)-FIND("/",OISLink))&amp;" Curncy","ASK")</f>
        <v>0.46929999999999999</v>
      </c>
      <c r="I54" s="112">
        <f t="shared" si="9"/>
        <v>0.46660000000000001</v>
      </c>
      <c r="J54" s="195"/>
      <c r="K54" s="93" t="s">
        <v>37</v>
      </c>
      <c r="L54" s="113">
        <f>_xll.BDP("USBG"&amp;LEFT($K54,LEN($K54)-1)&amp;" "&amp;LEFT(basisLink,LEN(basisLink)-FIND("/",basisLink))&amp;" Curncy","Bid")</f>
        <v>34.625</v>
      </c>
      <c r="M54" s="113">
        <f>_xll.BDP("USBG"&amp;LEFT($K54,LEN($K54)-1)&amp;" "&amp;LEFT(basisLink,LEN(basisLink)-FIND("/",basisLink))&amp;" Curncy","ASK")</f>
        <v>37.5</v>
      </c>
      <c r="N54" s="113">
        <f t="shared" si="11"/>
        <v>36.0625</v>
      </c>
      <c r="O54" s="113">
        <f>_xll.BDP("USBD"&amp;LEFT($K54,LEN($K54)-1)&amp;" "&amp;LEFT(basisLink,LEN(basisLink)-FIND("/",basisLink))&amp;" Curncy","Bid")</f>
        <v>31</v>
      </c>
      <c r="P54" s="113">
        <f>_xll.BDP("USBD"&amp;LEFT($K54,LEN($K54)-1)&amp;" "&amp;LEFT(basisLink,LEN(basisLink)-FIND("/",basisLink))&amp;" Curncy","ASK")</f>
        <v>41</v>
      </c>
      <c r="Q54" s="113">
        <f t="shared" si="10"/>
        <v>36</v>
      </c>
      <c r="R54" s="113">
        <f>_xll.BDP("USBF"&amp;LEFT($K54,LEN($K54)-1)&amp;" "&amp;LEFT(basisLink,LEN(basisLink)-FIND("/",basisLink))&amp;" Curncy","Bid")</f>
        <v>-276</v>
      </c>
      <c r="S54" s="113">
        <f>_xll.BDP("USBF"&amp;LEFT($K54,LEN($K54)-1)&amp;" "&amp;LEFT(basisLink,LEN(basisLink)-FIND("/",basisLink))&amp;" Curncy","ASK")</f>
        <v>-266</v>
      </c>
      <c r="T54" s="113">
        <f t="shared" si="12"/>
        <v>-271</v>
      </c>
      <c r="U54" s="113">
        <f>_xll.BDP("USBE"&amp;LEFT($K54,LEN($K54)-1)&amp;" "&amp;LEFT(basisLink,LEN(basisLink)-FIND("/",basisLink))&amp;" Curncy","Bid")</f>
        <v>19</v>
      </c>
      <c r="V54" s="113">
        <f>_xll.BDP("USBE"&amp;LEFT($K54,LEN($K54)-1)&amp;" "&amp;LEFT(basisLink,LEN(basisLink)-FIND("/",basisLink))&amp;" Curncy","ASK")</f>
        <v>31</v>
      </c>
      <c r="W54" s="113">
        <f t="shared" si="13"/>
        <v>25</v>
      </c>
      <c r="X54" s="113">
        <f>_xll.BDP("USBA"&amp;LEFT($K54,LEN($K54)-1)&amp;" "&amp;LEFT(basisLink,LEN(basisLink)-FIND("/",basisLink))&amp;" Curncy","Bid")</f>
        <v>21.875</v>
      </c>
      <c r="Y54" s="113">
        <f>_xll.BDP("USBA"&amp;LEFT($K54,LEN($K54)-1)&amp;" "&amp;LEFT(basisLink,LEN(basisLink)-FIND("/",basisLink))&amp;" Curncy","ASK")</f>
        <v>22.875</v>
      </c>
      <c r="Z54" s="113">
        <f t="shared" si="14"/>
        <v>22.375</v>
      </c>
      <c r="AA54" s="111">
        <f>_xll.BDP("USBC"&amp;LEFT($K54,LEN($K54)-1)&amp;" "&amp;LEFT(basisLink,LEN(basisLink)-FIND("/",basisLink))&amp;" Curncy","Bid")</f>
        <v>26.625</v>
      </c>
      <c r="AB54" s="111">
        <f>_xll.BDP("USBC"&amp;LEFT($K54,LEN($K54)-1)&amp;" "&amp;LEFT(basisLink,LEN(basisLink)-FIND("/",basisLink))&amp;" Curncy","ASK")</f>
        <v>30.625</v>
      </c>
      <c r="AC54" s="111">
        <f t="shared" si="15"/>
        <v>28.625</v>
      </c>
      <c r="AD54" s="111" t="str">
        <f>_xll.BDP("USBB"&amp;LEFT($K54,LEN($K54)-1)&amp;" "&amp;LEFT(basisLink,LEN(basisLink)-FIND("/",basisLink))&amp;" Curncy","Bid")</f>
        <v>#N/A N/A</v>
      </c>
      <c r="AE54" s="111" t="str">
        <f>_xll.BDP("USBB"&amp;LEFT($K54,LEN($K54)-1)&amp;" "&amp;LEFT(basisLink,LEN(basisLink)-FIND("/",basisLink))&amp;" Curncy","ASK")</f>
        <v>#N/A N/A</v>
      </c>
      <c r="AF54" s="111" t="str">
        <f t="shared" si="16"/>
        <v>N/A</v>
      </c>
      <c r="AG54" s="111" t="str">
        <f>_xll.BDP("USBL"&amp;LEFT($K54,LEN($K54)-1)&amp;" "&amp;LEFT(basisLink,LEN(basisLink)-FIND("/",basisLink))&amp;" Curncy","Bid")</f>
        <v>#N/A N/A</v>
      </c>
      <c r="AH54" s="111" t="str">
        <f>_xll.BDP("USBL"&amp;LEFT($K54,LEN($K54)-1)&amp;" "&amp;LEFT(basisLink,LEN(basisLink)-FIND("/",basisLink))&amp;" Curncy","ASK")</f>
        <v>#N/A N/A</v>
      </c>
      <c r="AI54" s="112" t="str">
        <f t="shared" si="17"/>
        <v>N/A</v>
      </c>
      <c r="AJ54" s="195"/>
      <c r="AK54" s="195"/>
      <c r="AL54" s="195"/>
      <c r="AM54" s="195"/>
      <c r="AN54" s="195"/>
      <c r="AO54" s="195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BA54" s="195"/>
      <c r="BB54" s="195"/>
      <c r="BC54" s="195"/>
    </row>
    <row r="55" spans="1:55" ht="15" customHeight="1" x14ac:dyDescent="0.25">
      <c r="A55" s="15"/>
      <c r="B55" s="15"/>
      <c r="C55" s="16"/>
      <c r="D55" s="16"/>
      <c r="E55" s="16"/>
      <c r="F55" s="93" t="s">
        <v>22</v>
      </c>
      <c r="G55" s="114">
        <f>_xll.BDP("USSOD "&amp;LEFT(OISLink,LEN(OISLink)-FIND("/",OISLink))&amp;" Curncy","Bid")</f>
        <v>0.49359999999999998</v>
      </c>
      <c r="H55" s="114">
        <f>_xll.BDP("USSOD "&amp;LEFT(OISLink,LEN(OISLink)-FIND("/",OISLink))&amp;" Curncy","ASK")</f>
        <v>0.49719999999999998</v>
      </c>
      <c r="I55" s="115">
        <f t="shared" si="9"/>
        <v>0.49539999999999995</v>
      </c>
      <c r="J55" s="195"/>
      <c r="K55" s="93" t="s">
        <v>38</v>
      </c>
      <c r="L55" s="116">
        <f>_xll.BDP("USBG"&amp;LEFT($K55,LEN($K55)-1)&amp;" "&amp;LEFT(basisLink,LEN(basisLink)-FIND("/",basisLink))&amp;" Curncy","Bid")</f>
        <v>34.25</v>
      </c>
      <c r="M55" s="116">
        <f>_xll.BDP("USBG"&amp;LEFT($K55,LEN($K55)-1)&amp;" "&amp;LEFT(basisLink,LEN(basisLink)-FIND("/",basisLink))&amp;" Curncy","ASK")</f>
        <v>37.25</v>
      </c>
      <c r="N55" s="116">
        <f t="shared" si="11"/>
        <v>35.75</v>
      </c>
      <c r="O55" s="116">
        <f>_xll.BDP("USBD"&amp;LEFT($K55,LEN($K55)-1)&amp;" "&amp;LEFT(basisLink,LEN(basisLink)-FIND("/",basisLink))&amp;" Curncy","Bid")</f>
        <v>30</v>
      </c>
      <c r="P55" s="116">
        <f>_xll.BDP("USBD"&amp;LEFT($K55,LEN($K55)-1)&amp;" "&amp;LEFT(basisLink,LEN(basisLink)-FIND("/",basisLink))&amp;" Curncy","ASK")</f>
        <v>40</v>
      </c>
      <c r="Q55" s="116">
        <f t="shared" si="10"/>
        <v>35</v>
      </c>
      <c r="R55" s="116">
        <f>_xll.BDP("USBF"&amp;LEFT($K55,LEN($K55)-1)&amp;" "&amp;LEFT(basisLink,LEN(basisLink)-FIND("/",basisLink))&amp;" Curncy","Bid")</f>
        <v>-275</v>
      </c>
      <c r="S55" s="116">
        <f>_xll.BDP("USBF"&amp;LEFT($K55,LEN($K55)-1)&amp;" "&amp;LEFT(basisLink,LEN(basisLink)-FIND("/",basisLink))&amp;" Curncy","ASK")</f>
        <v>-265</v>
      </c>
      <c r="T55" s="116">
        <f t="shared" si="12"/>
        <v>-270</v>
      </c>
      <c r="U55" s="116">
        <f>_xll.BDP("USBE"&amp;LEFT($K55,LEN($K55)-1)&amp;" "&amp;LEFT(basisLink,LEN(basisLink)-FIND("/",basisLink))&amp;" Curncy","Bid")</f>
        <v>20</v>
      </c>
      <c r="V55" s="116">
        <f>_xll.BDP("USBE"&amp;LEFT($K55,LEN($K55)-1)&amp;" "&amp;LEFT(basisLink,LEN(basisLink)-FIND("/",basisLink))&amp;" Curncy","ASK")</f>
        <v>32</v>
      </c>
      <c r="W55" s="116">
        <f t="shared" si="13"/>
        <v>26</v>
      </c>
      <c r="X55" s="116">
        <f>_xll.BDP("USBA"&amp;LEFT($K55,LEN($K55)-1)&amp;" "&amp;LEFT(basisLink,LEN(basisLink)-FIND("/",basisLink))&amp;" Curncy","Bid")</f>
        <v>20.125</v>
      </c>
      <c r="Y55" s="116">
        <f>_xll.BDP("USBA"&amp;LEFT($K55,LEN($K55)-1)&amp;" "&amp;LEFT(basisLink,LEN(basisLink)-FIND("/",basisLink))&amp;" Curncy","ASK")</f>
        <v>21.125</v>
      </c>
      <c r="Z55" s="116">
        <f t="shared" si="14"/>
        <v>20.625</v>
      </c>
      <c r="AA55" s="114">
        <f>_xll.BDP("USBC"&amp;LEFT($K55,LEN($K55)-1)&amp;" "&amp;LEFT(basisLink,LEN(basisLink)-FIND("/",basisLink))&amp;" Curncy","Bid")</f>
        <v>25.375</v>
      </c>
      <c r="AB55" s="114">
        <f>_xll.BDP("USBC"&amp;LEFT($K55,LEN($K55)-1)&amp;" "&amp;LEFT(basisLink,LEN(basisLink)-FIND("/",basisLink))&amp;" Curncy","ASK")</f>
        <v>26.375</v>
      </c>
      <c r="AC55" s="114">
        <f t="shared" si="15"/>
        <v>25.875</v>
      </c>
      <c r="AD55" s="114" t="str">
        <f>_xll.BDP("USBB"&amp;LEFT($K55,LEN($K55)-1)&amp;" "&amp;LEFT(basisLink,LEN(basisLink)-FIND("/",basisLink))&amp;" Curncy","Bid")</f>
        <v>#N/A N/A</v>
      </c>
      <c r="AE55" s="114" t="str">
        <f>_xll.BDP("USBB"&amp;LEFT($K55,LEN($K55)-1)&amp;" "&amp;LEFT(basisLink,LEN(basisLink)-FIND("/",basisLink))&amp;" Curncy","ASK")</f>
        <v>#N/A N/A</v>
      </c>
      <c r="AF55" s="114" t="str">
        <f t="shared" si="16"/>
        <v>N/A</v>
      </c>
      <c r="AG55" s="114" t="str">
        <f>_xll.BDP("USBL"&amp;LEFT($K55,LEN($K55)-1)&amp;" "&amp;LEFT(basisLink,LEN(basisLink)-FIND("/",basisLink))&amp;" Curncy","Bid")</f>
        <v>#N/A N/A</v>
      </c>
      <c r="AH55" s="114" t="str">
        <f>_xll.BDP("USBL"&amp;LEFT($K55,LEN($K55)-1)&amp;" "&amp;LEFT(basisLink,LEN(basisLink)-FIND("/",basisLink))&amp;" Curncy","ASK")</f>
        <v>#N/A N/A</v>
      </c>
      <c r="AI55" s="115" t="str">
        <f t="shared" si="17"/>
        <v>N/A</v>
      </c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</row>
    <row r="56" spans="1:55" ht="15" customHeight="1" x14ac:dyDescent="0.25">
      <c r="A56" s="15"/>
      <c r="B56" s="15"/>
      <c r="C56" s="16"/>
      <c r="D56" s="16"/>
      <c r="E56" s="16"/>
      <c r="F56" s="93" t="s">
        <v>23</v>
      </c>
      <c r="G56" s="111">
        <f>_xll.BDP("USSOE "&amp;LEFT(OISLink,LEN(OISLink)-FIND("/",OISLink))&amp;" Curncy","Bid")</f>
        <v>0.51160000000000005</v>
      </c>
      <c r="H56" s="111">
        <f>_xll.BDP("USSOE "&amp;LEFT(OISLink,LEN(OISLink)-FIND("/",OISLink))&amp;" Curncy","ASK")</f>
        <v>0.51160000000000005</v>
      </c>
      <c r="I56" s="112">
        <f t="shared" si="9"/>
        <v>0.51160000000000005</v>
      </c>
      <c r="J56" s="195"/>
      <c r="K56" s="93" t="s">
        <v>39</v>
      </c>
      <c r="L56" s="113">
        <f>_xll.BDP("USBG"&amp;LEFT($K56,LEN($K56)-1)&amp;" "&amp;LEFT(basisLink,LEN(basisLink)-FIND("/",basisLink))&amp;" Curncy","Bid")</f>
        <v>34.25</v>
      </c>
      <c r="M56" s="113">
        <f>_xll.BDP("USBG"&amp;LEFT($K56,LEN($K56)-1)&amp;" "&amp;LEFT(basisLink,LEN(basisLink)-FIND("/",basisLink))&amp;" Curncy","ASK")</f>
        <v>37.125</v>
      </c>
      <c r="N56" s="113">
        <f t="shared" si="11"/>
        <v>35.6875</v>
      </c>
      <c r="O56" s="113">
        <f>_xll.BDP("USBD"&amp;LEFT($K56,LEN($K56)-1)&amp;" "&amp;LEFT(basisLink,LEN(basisLink)-FIND("/",basisLink))&amp;" Curncy","Bid")</f>
        <v>31</v>
      </c>
      <c r="P56" s="113">
        <f>_xll.BDP("USBD"&amp;LEFT($K56,LEN($K56)-1)&amp;" "&amp;LEFT(basisLink,LEN(basisLink)-FIND("/",basisLink))&amp;" Curncy","ASK")</f>
        <v>41</v>
      </c>
      <c r="Q56" s="113">
        <f t="shared" si="10"/>
        <v>36</v>
      </c>
      <c r="R56" s="113">
        <f>_xll.BDP("USBF"&amp;LEFT($K56,LEN($K56)-1)&amp;" "&amp;LEFT(basisLink,LEN(basisLink)-FIND("/",basisLink))&amp;" Curncy","Bid")</f>
        <v>-274</v>
      </c>
      <c r="S56" s="113">
        <f>_xll.BDP("USBF"&amp;LEFT($K56,LEN($K56)-1)&amp;" "&amp;LEFT(basisLink,LEN(basisLink)-FIND("/",basisLink))&amp;" Curncy","ASK")</f>
        <v>-264</v>
      </c>
      <c r="T56" s="113">
        <f t="shared" si="12"/>
        <v>-269</v>
      </c>
      <c r="U56" s="113">
        <f>_xll.BDP("USBE"&amp;LEFT($K56,LEN($K56)-1)&amp;" "&amp;LEFT(basisLink,LEN(basisLink)-FIND("/",basisLink))&amp;" Curncy","Bid")</f>
        <v>21</v>
      </c>
      <c r="V56" s="113">
        <f>_xll.BDP("USBE"&amp;LEFT($K56,LEN($K56)-1)&amp;" "&amp;LEFT(basisLink,LEN(basisLink)-FIND("/",basisLink))&amp;" Curncy","ASK")</f>
        <v>33</v>
      </c>
      <c r="W56" s="113">
        <f t="shared" si="13"/>
        <v>27</v>
      </c>
      <c r="X56" s="113">
        <f>_xll.BDP("USBA"&amp;LEFT($K56,LEN($K56)-1)&amp;" "&amp;LEFT(basisLink,LEN(basisLink)-FIND("/",basisLink))&amp;" Curncy","Bid")</f>
        <v>18.116</v>
      </c>
      <c r="Y56" s="113">
        <f>_xll.BDP("USBA"&amp;LEFT($K56,LEN($K56)-1)&amp;" "&amp;LEFT(basisLink,LEN(basisLink)-FIND("/",basisLink))&amp;" Curncy","ASK")</f>
        <v>20.116</v>
      </c>
      <c r="Z56" s="113">
        <f t="shared" si="14"/>
        <v>19.116</v>
      </c>
      <c r="AA56" s="111">
        <f>_xll.BDP("USBC"&amp;LEFT($K56,LEN($K56)-1)&amp;" "&amp;LEFT(basisLink,LEN(basisLink)-FIND("/",basisLink))&amp;" Curncy","Bid")</f>
        <v>23.375</v>
      </c>
      <c r="AB56" s="111">
        <f>_xll.BDP("USBC"&amp;LEFT($K56,LEN($K56)-1)&amp;" "&amp;LEFT(basisLink,LEN(basisLink)-FIND("/",basisLink))&amp;" Curncy","ASK")</f>
        <v>24.375</v>
      </c>
      <c r="AC56" s="111">
        <f t="shared" si="15"/>
        <v>23.875</v>
      </c>
      <c r="AD56" s="111" t="str">
        <f>_xll.BDP("USBB"&amp;LEFT($K56,LEN($K56)-1)&amp;" "&amp;LEFT(basisLink,LEN(basisLink)-FIND("/",basisLink))&amp;" Curncy","Bid")</f>
        <v>#N/A N/A</v>
      </c>
      <c r="AE56" s="111" t="str">
        <f>_xll.BDP("USBB"&amp;LEFT($K56,LEN($K56)-1)&amp;" "&amp;LEFT(basisLink,LEN(basisLink)-FIND("/",basisLink))&amp;" Curncy","ASK")</f>
        <v>#N/A N/A</v>
      </c>
      <c r="AF56" s="111" t="str">
        <f t="shared" si="16"/>
        <v>N/A</v>
      </c>
      <c r="AG56" s="111" t="str">
        <f>_xll.BDP("USBL"&amp;LEFT($K56,LEN($K56)-1)&amp;" "&amp;LEFT(basisLink,LEN(basisLink)-FIND("/",basisLink))&amp;" Curncy","Bid")</f>
        <v>#N/A N/A</v>
      </c>
      <c r="AH56" s="111" t="str">
        <f>_xll.BDP("USBL"&amp;LEFT($K56,LEN($K56)-1)&amp;" "&amp;LEFT(basisLink,LEN(basisLink)-FIND("/",basisLink))&amp;" Curncy","ASK")</f>
        <v>#N/A N/A</v>
      </c>
      <c r="AI56" s="112" t="str">
        <f t="shared" si="17"/>
        <v>N/A</v>
      </c>
      <c r="AJ56" s="195"/>
      <c r="AK56" s="195"/>
      <c r="AL56" s="195"/>
      <c r="AM56" s="195"/>
      <c r="AN56" s="195"/>
      <c r="AO56" s="195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BA56" s="195"/>
      <c r="BB56" s="195"/>
      <c r="BC56" s="195"/>
    </row>
    <row r="57" spans="1:55" ht="15" customHeight="1" x14ac:dyDescent="0.25">
      <c r="A57" s="15"/>
      <c r="B57" s="15"/>
      <c r="C57" s="16"/>
      <c r="D57" s="16"/>
      <c r="E57" s="16"/>
      <c r="F57" s="93" t="s">
        <v>24</v>
      </c>
      <c r="G57" s="114">
        <f>_xll.BDP("USSOF "&amp;LEFT(OISLink,LEN(OISLink)-FIND("/",OISLink))&amp;" Curncy","Bid")</f>
        <v>0.52649999999999997</v>
      </c>
      <c r="H57" s="114">
        <f>_xll.BDP("USSOF "&amp;LEFT(OISLink,LEN(OISLink)-FIND("/",OISLink))&amp;" Curncy","ASK")</f>
        <v>0.53649999999999998</v>
      </c>
      <c r="I57" s="115">
        <f t="shared" si="9"/>
        <v>0.53149999999999997</v>
      </c>
      <c r="J57" s="195"/>
      <c r="K57" s="93" t="s">
        <v>40</v>
      </c>
      <c r="L57" s="116">
        <f>_xll.BDP("USBG"&amp;LEFT($K57,LEN($K57)-1)&amp;" "&amp;LEFT(basisLink,LEN(basisLink)-FIND("/",basisLink))&amp;" Curncy","Bid")</f>
        <v>34.125</v>
      </c>
      <c r="M57" s="116">
        <f>_xll.BDP("USBG"&amp;LEFT($K57,LEN($K57)-1)&amp;" "&amp;LEFT(basisLink,LEN(basisLink)-FIND("/",basisLink))&amp;" Curncy","ASK")</f>
        <v>37.125</v>
      </c>
      <c r="N57" s="116">
        <f t="shared" si="11"/>
        <v>35.625</v>
      </c>
      <c r="O57" s="116">
        <f>_xll.BDP("USBD"&amp;LEFT($K57,LEN($K57)-1)&amp;" "&amp;LEFT(basisLink,LEN(basisLink)-FIND("/",basisLink))&amp;" Curncy","Bid")</f>
        <v>32</v>
      </c>
      <c r="P57" s="116">
        <f>_xll.BDP("USBD"&amp;LEFT($K57,LEN($K57)-1)&amp;" "&amp;LEFT(basisLink,LEN(basisLink)-FIND("/",basisLink))&amp;" Curncy","ASK")</f>
        <v>42</v>
      </c>
      <c r="Q57" s="116">
        <f t="shared" si="10"/>
        <v>37</v>
      </c>
      <c r="R57" s="116">
        <f>_xll.BDP("USBF"&amp;LEFT($K57,LEN($K57)-1)&amp;" "&amp;LEFT(basisLink,LEN(basisLink)-FIND("/",basisLink))&amp;" Curncy","Bid")</f>
        <v>-272</v>
      </c>
      <c r="S57" s="116">
        <f>_xll.BDP("USBF"&amp;LEFT($K57,LEN($K57)-1)&amp;" "&amp;LEFT(basisLink,LEN(basisLink)-FIND("/",basisLink))&amp;" Curncy","ASK")</f>
        <v>-262</v>
      </c>
      <c r="T57" s="116">
        <f t="shared" si="12"/>
        <v>-267</v>
      </c>
      <c r="U57" s="116">
        <f>_xll.BDP("USBE"&amp;LEFT($K57,LEN($K57)-1)&amp;" "&amp;LEFT(basisLink,LEN(basisLink)-FIND("/",basisLink))&amp;" Curncy","Bid")</f>
        <v>23</v>
      </c>
      <c r="V57" s="116">
        <f>_xll.BDP("USBE"&amp;LEFT($K57,LEN($K57)-1)&amp;" "&amp;LEFT(basisLink,LEN(basisLink)-FIND("/",basisLink))&amp;" Curncy","ASK")</f>
        <v>35</v>
      </c>
      <c r="W57" s="116">
        <f t="shared" si="13"/>
        <v>29</v>
      </c>
      <c r="X57" s="116">
        <f>_xll.BDP("USBA"&amp;LEFT($K57,LEN($K57)-1)&amp;" "&amp;LEFT(basisLink,LEN(basisLink)-FIND("/",basisLink))&amp;" Curncy","Bid")</f>
        <v>17.375</v>
      </c>
      <c r="Y57" s="116">
        <f>_xll.BDP("USBA"&amp;LEFT($K57,LEN($K57)-1)&amp;" "&amp;LEFT(basisLink,LEN(basisLink)-FIND("/",basisLink))&amp;" Curncy","ASK")</f>
        <v>18.375</v>
      </c>
      <c r="Z57" s="116">
        <f t="shared" si="14"/>
        <v>17.875</v>
      </c>
      <c r="AA57" s="114">
        <f>_xll.BDP("USBC"&amp;LEFT($K57,LEN($K57)-1)&amp;" "&amp;LEFT(basisLink,LEN(basisLink)-FIND("/",basisLink))&amp;" Curncy","Bid")</f>
        <v>22</v>
      </c>
      <c r="AB57" s="114">
        <f>_xll.BDP("USBC"&amp;LEFT($K57,LEN($K57)-1)&amp;" "&amp;LEFT(basisLink,LEN(basisLink)-FIND("/",basisLink))&amp;" Curncy","ASK")</f>
        <v>23</v>
      </c>
      <c r="AC57" s="114">
        <f t="shared" si="15"/>
        <v>22.5</v>
      </c>
      <c r="AD57" s="114" t="str">
        <f>_xll.BDP("USBB"&amp;LEFT($K57,LEN($K57)-1)&amp;" "&amp;LEFT(basisLink,LEN(basisLink)-FIND("/",basisLink))&amp;" Curncy","Bid")</f>
        <v>#N/A N/A</v>
      </c>
      <c r="AE57" s="114" t="str">
        <f>_xll.BDP("USBB"&amp;LEFT($K57,LEN($K57)-1)&amp;" "&amp;LEFT(basisLink,LEN(basisLink)-FIND("/",basisLink))&amp;" Curncy","ASK")</f>
        <v>#N/A N/A</v>
      </c>
      <c r="AF57" s="114" t="str">
        <f t="shared" si="16"/>
        <v>N/A</v>
      </c>
      <c r="AG57" s="114" t="str">
        <f>_xll.BDP("USBL"&amp;LEFT($K57,LEN($K57)-1)&amp;" "&amp;LEFT(basisLink,LEN(basisLink)-FIND("/",basisLink))&amp;" Curncy","Bid")</f>
        <v>#N/A N/A</v>
      </c>
      <c r="AH57" s="114" t="str">
        <f>_xll.BDP("USBL"&amp;LEFT($K57,LEN($K57)-1)&amp;" "&amp;LEFT(basisLink,LEN(basisLink)-FIND("/",basisLink))&amp;" Curncy","ASK")</f>
        <v>#N/A N/A</v>
      </c>
      <c r="AI57" s="115" t="str">
        <f t="shared" si="17"/>
        <v>N/A</v>
      </c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5"/>
      <c r="BB57" s="195"/>
      <c r="BC57" s="195"/>
    </row>
    <row r="58" spans="1:55" ht="15" customHeight="1" x14ac:dyDescent="0.25">
      <c r="A58" s="15"/>
      <c r="B58" s="15"/>
      <c r="C58" s="16"/>
      <c r="D58" s="16"/>
      <c r="E58" s="16"/>
      <c r="F58" s="93" t="s">
        <v>25</v>
      </c>
      <c r="G58" s="111">
        <f>_xll.BDP("USSOG "&amp;LEFT(OISLink,LEN(OISLink)-FIND("/",OISLink))&amp;" Curncy","Bid")</f>
        <v>0.55059999999999998</v>
      </c>
      <c r="H58" s="111">
        <f>_xll.BDP("USSOG "&amp;LEFT(OISLink,LEN(OISLink)-FIND("/",OISLink))&amp;" Curncy","ASK")</f>
        <v>0.55059999999999998</v>
      </c>
      <c r="I58" s="112">
        <f t="shared" si="9"/>
        <v>0.55059999999999998</v>
      </c>
      <c r="J58" s="195"/>
      <c r="K58" s="93" t="s">
        <v>41</v>
      </c>
      <c r="L58" s="113">
        <f>_xll.BDP("USBG"&amp;LEFT($K58,LEN($K58)-1)&amp;" "&amp;LEFT(basisLink,LEN(basisLink)-FIND("/",basisLink))&amp;" Curncy","Bid")</f>
        <v>34.25</v>
      </c>
      <c r="M58" s="113">
        <f>_xll.BDP("USBG"&amp;LEFT($K58,LEN($K58)-1)&amp;" "&amp;LEFT(basisLink,LEN(basisLink)-FIND("/",basisLink))&amp;" Curncy","ASK")</f>
        <v>37.125</v>
      </c>
      <c r="N58" s="113">
        <f t="shared" si="11"/>
        <v>35.6875</v>
      </c>
      <c r="O58" s="113">
        <f>_xll.BDP("USBD"&amp;LEFT($K58,LEN($K58)-1)&amp;" "&amp;LEFT(basisLink,LEN(basisLink)-FIND("/",basisLink))&amp;" Curncy","Bid")</f>
        <v>32</v>
      </c>
      <c r="P58" s="113">
        <f>_xll.BDP("USBD"&amp;LEFT($K58,LEN($K58)-1)&amp;" "&amp;LEFT(basisLink,LEN(basisLink)-FIND("/",basisLink))&amp;" Curncy","ASK")</f>
        <v>42</v>
      </c>
      <c r="Q58" s="113">
        <f t="shared" si="10"/>
        <v>37</v>
      </c>
      <c r="R58" s="113">
        <f>_xll.BDP("USBF"&amp;LEFT($K58,LEN($K58)-1)&amp;" "&amp;LEFT(basisLink,LEN(basisLink)-FIND("/",basisLink))&amp;" Curncy","Bid")</f>
        <v>-270</v>
      </c>
      <c r="S58" s="113">
        <f>_xll.BDP("USBF"&amp;LEFT($K58,LEN($K58)-1)&amp;" "&amp;LEFT(basisLink,LEN(basisLink)-FIND("/",basisLink))&amp;" Curncy","ASK")</f>
        <v>-260</v>
      </c>
      <c r="T58" s="113">
        <f t="shared" si="12"/>
        <v>-265</v>
      </c>
      <c r="U58" s="113">
        <f>_xll.BDP("USBE"&amp;LEFT($K58,LEN($K58)-1)&amp;" "&amp;LEFT(basisLink,LEN(basisLink)-FIND("/",basisLink))&amp;" Curncy","Bid")</f>
        <v>25</v>
      </c>
      <c r="V58" s="113">
        <f>_xll.BDP("USBE"&amp;LEFT($K58,LEN($K58)-1)&amp;" "&amp;LEFT(basisLink,LEN(basisLink)-FIND("/",basisLink))&amp;" Curncy","ASK")</f>
        <v>37</v>
      </c>
      <c r="W58" s="113">
        <f t="shared" si="13"/>
        <v>31</v>
      </c>
      <c r="X58" s="113">
        <f>_xll.BDP("USBA"&amp;LEFT($K58,LEN($K58)-1)&amp;" "&amp;LEFT(basisLink,LEN(basisLink)-FIND("/",basisLink))&amp;" Curncy","Bid")</f>
        <v>15.25</v>
      </c>
      <c r="Y58" s="113">
        <f>_xll.BDP("USBA"&amp;LEFT($K58,LEN($K58)-1)&amp;" "&amp;LEFT(basisLink,LEN(basisLink)-FIND("/",basisLink))&amp;" Curncy","ASK")</f>
        <v>16.25</v>
      </c>
      <c r="Z58" s="113">
        <f t="shared" si="14"/>
        <v>15.75</v>
      </c>
      <c r="AA58" s="111">
        <f>_xll.BDP("USBC"&amp;LEFT($K58,LEN($K58)-1)&amp;" "&amp;LEFT(basisLink,LEN(basisLink)-FIND("/",basisLink))&amp;" Curncy","Bid")</f>
        <v>20.375</v>
      </c>
      <c r="AB58" s="111">
        <f>_xll.BDP("USBC"&amp;LEFT($K58,LEN($K58)-1)&amp;" "&amp;LEFT(basisLink,LEN(basisLink)-FIND("/",basisLink))&amp;" Curncy","ASK")</f>
        <v>21.375</v>
      </c>
      <c r="AC58" s="111">
        <f t="shared" si="15"/>
        <v>20.875</v>
      </c>
      <c r="AD58" s="111" t="str">
        <f>_xll.BDP("USBB"&amp;LEFT($K58,LEN($K58)-1)&amp;" "&amp;LEFT(basisLink,LEN(basisLink)-FIND("/",basisLink))&amp;" Curncy","Bid")</f>
        <v>#N/A N/A</v>
      </c>
      <c r="AE58" s="111" t="str">
        <f>_xll.BDP("USBB"&amp;LEFT($K58,LEN($K58)-1)&amp;" "&amp;LEFT(basisLink,LEN(basisLink)-FIND("/",basisLink))&amp;" Curncy","ASK")</f>
        <v>#N/A N/A</v>
      </c>
      <c r="AF58" s="111" t="str">
        <f t="shared" si="16"/>
        <v>N/A</v>
      </c>
      <c r="AG58" s="111" t="str">
        <f>_xll.BDP("USBL"&amp;LEFT($K58,LEN($K58)-1)&amp;" "&amp;LEFT(basisLink,LEN(basisLink)-FIND("/",basisLink))&amp;" Curncy","Bid")</f>
        <v>#N/A N/A</v>
      </c>
      <c r="AH58" s="111" t="str">
        <f>_xll.BDP("USBL"&amp;LEFT($K58,LEN($K58)-1)&amp;" "&amp;LEFT(basisLink,LEN(basisLink)-FIND("/",basisLink))&amp;" Curncy","ASK")</f>
        <v>#N/A N/A</v>
      </c>
      <c r="AI58" s="112" t="str">
        <f t="shared" si="17"/>
        <v>N/A</v>
      </c>
      <c r="AJ58" s="195"/>
      <c r="AK58" s="195"/>
      <c r="AL58" s="195"/>
      <c r="AM58" s="195"/>
      <c r="AN58" s="195"/>
      <c r="AO58" s="195"/>
      <c r="AP58" s="195"/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BA58" s="195"/>
      <c r="BB58" s="195"/>
      <c r="BC58" s="195"/>
    </row>
    <row r="59" spans="1:55" ht="15" customHeight="1" x14ac:dyDescent="0.25">
      <c r="A59" s="15"/>
      <c r="B59" s="15"/>
      <c r="C59" s="16"/>
      <c r="D59" s="16"/>
      <c r="E59" s="16"/>
      <c r="F59" s="93" t="s">
        <v>26</v>
      </c>
      <c r="G59" s="114">
        <f>_xll.BDP("USSOH "&amp;LEFT(OISLink,LEN(OISLink)-FIND("/",OISLink))&amp;" Curncy","Bid")</f>
        <v>0.54500000000000004</v>
      </c>
      <c r="H59" s="114">
        <f>_xll.BDP("USSOH "&amp;LEFT(OISLink,LEN(OISLink)-FIND("/",OISLink))&amp;" Curncy","ASK")</f>
        <v>0.58499999999999996</v>
      </c>
      <c r="I59" s="115">
        <f t="shared" si="9"/>
        <v>0.56499999999999995</v>
      </c>
      <c r="J59" s="195"/>
      <c r="K59" s="93" t="s">
        <v>42</v>
      </c>
      <c r="L59" s="116">
        <f>_xll.BDP("USBG"&amp;LEFT($K59,LEN($K59)-1)&amp;" "&amp;LEFT(basisLink,LEN(basisLink)-FIND("/",basisLink))&amp;" Curncy","Bid")</f>
        <v>34.625</v>
      </c>
      <c r="M59" s="116">
        <f>_xll.BDP("USBG"&amp;LEFT($K59,LEN($K59)-1)&amp;" "&amp;LEFT(basisLink,LEN(basisLink)-FIND("/",basisLink))&amp;" Curncy","ASK")</f>
        <v>37.5</v>
      </c>
      <c r="N59" s="116">
        <f t="shared" si="11"/>
        <v>36.0625</v>
      </c>
      <c r="O59" s="116">
        <f>_xll.BDP("USBD"&amp;LEFT($K59,LEN($K59)-1)&amp;" "&amp;LEFT(basisLink,LEN(basisLink)-FIND("/",basisLink))&amp;" Curncy","Bid")</f>
        <v>34</v>
      </c>
      <c r="P59" s="116">
        <f>_xll.BDP("USBD"&amp;LEFT($K59,LEN($K59)-1)&amp;" "&amp;LEFT(basisLink,LEN(basisLink)-FIND("/",basisLink))&amp;" Curncy","ASK")</f>
        <v>44</v>
      </c>
      <c r="Q59" s="116">
        <f t="shared" si="10"/>
        <v>39</v>
      </c>
      <c r="R59" s="116">
        <f>_xll.BDP("USBF"&amp;LEFT($K59,LEN($K59)-1)&amp;" "&amp;LEFT(basisLink,LEN(basisLink)-FIND("/",basisLink))&amp;" Curncy","Bid")</f>
        <v>-267</v>
      </c>
      <c r="S59" s="116">
        <f>_xll.BDP("USBF"&amp;LEFT($K59,LEN($K59)-1)&amp;" "&amp;LEFT(basisLink,LEN(basisLink)-FIND("/",basisLink))&amp;" Curncy","ASK")</f>
        <v>-257</v>
      </c>
      <c r="T59" s="116">
        <f t="shared" si="12"/>
        <v>-262</v>
      </c>
      <c r="U59" s="116">
        <f>_xll.BDP("USBE"&amp;LEFT($K59,LEN($K59)-1)&amp;" "&amp;LEFT(basisLink,LEN(basisLink)-FIND("/",basisLink))&amp;" Curncy","Bid")</f>
        <v>26</v>
      </c>
      <c r="V59" s="116">
        <f>_xll.BDP("USBE"&amp;LEFT($K59,LEN($K59)-1)&amp;" "&amp;LEFT(basisLink,LEN(basisLink)-FIND("/",basisLink))&amp;" Curncy","ASK")</f>
        <v>38</v>
      </c>
      <c r="W59" s="116">
        <f t="shared" si="13"/>
        <v>32</v>
      </c>
      <c r="X59" s="116">
        <f>_xll.BDP("USBA"&amp;LEFT($K59,LEN($K59)-1)&amp;" "&amp;LEFT(basisLink,LEN(basisLink)-FIND("/",basisLink))&amp;" Curncy","Bid")</f>
        <v>13</v>
      </c>
      <c r="Y59" s="116">
        <f>_xll.BDP("USBA"&amp;LEFT($K59,LEN($K59)-1)&amp;" "&amp;LEFT(basisLink,LEN(basisLink)-FIND("/",basisLink))&amp;" Curncy","ASK")</f>
        <v>14</v>
      </c>
      <c r="Z59" s="116">
        <f t="shared" si="14"/>
        <v>13.5</v>
      </c>
      <c r="AA59" s="114">
        <f>_xll.BDP("USBC"&amp;LEFT($K59,LEN($K59)-1)&amp;" "&amp;LEFT(basisLink,LEN(basisLink)-FIND("/",basisLink))&amp;" Curncy","Bid")</f>
        <v>19.5</v>
      </c>
      <c r="AB59" s="114">
        <f>_xll.BDP("USBC"&amp;LEFT($K59,LEN($K59)-1)&amp;" "&amp;LEFT(basisLink,LEN(basisLink)-FIND("/",basisLink))&amp;" Curncy","ASK")</f>
        <v>20.5</v>
      </c>
      <c r="AC59" s="114">
        <f t="shared" si="15"/>
        <v>20</v>
      </c>
      <c r="AD59" s="114" t="str">
        <f>_xll.BDP("USBB"&amp;LEFT($K59,LEN($K59)-1)&amp;" "&amp;LEFT(basisLink,LEN(basisLink)-FIND("/",basisLink))&amp;" Curncy","Bid")</f>
        <v>#N/A N/A</v>
      </c>
      <c r="AE59" s="114" t="str">
        <f>_xll.BDP("USBB"&amp;LEFT($K59,LEN($K59)-1)&amp;" "&amp;LEFT(basisLink,LEN(basisLink)-FIND("/",basisLink))&amp;" Curncy","ASK")</f>
        <v>#N/A N/A</v>
      </c>
      <c r="AF59" s="114" t="str">
        <f t="shared" si="16"/>
        <v>N/A</v>
      </c>
      <c r="AG59" s="114" t="str">
        <f>_xll.BDP("USBL"&amp;LEFT($K59,LEN($K59)-1)&amp;" "&amp;LEFT(basisLink,LEN(basisLink)-FIND("/",basisLink))&amp;" Curncy","Bid")</f>
        <v>#N/A N/A</v>
      </c>
      <c r="AH59" s="114" t="str">
        <f>_xll.BDP("USBL"&amp;LEFT($K59,LEN($K59)-1)&amp;" "&amp;LEFT(basisLink,LEN(basisLink)-FIND("/",basisLink))&amp;" Curncy","ASK")</f>
        <v>#N/A N/A</v>
      </c>
      <c r="AI59" s="115" t="str">
        <f t="shared" si="17"/>
        <v>N/A</v>
      </c>
      <c r="AJ59" s="195"/>
      <c r="AK59" s="195"/>
      <c r="AL59" s="195"/>
      <c r="AM59" s="195"/>
      <c r="AN59" s="195"/>
      <c r="AO59" s="195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BA59" s="195"/>
      <c r="BB59" s="195"/>
      <c r="BC59" s="195"/>
    </row>
    <row r="60" spans="1:55" ht="15" customHeight="1" x14ac:dyDescent="0.25">
      <c r="A60" s="15"/>
      <c r="B60" s="15"/>
      <c r="C60" s="16"/>
      <c r="D60" s="16"/>
      <c r="E60" s="16"/>
      <c r="F60" s="93" t="s">
        <v>27</v>
      </c>
      <c r="G60" s="111">
        <f>_xll.BDP("USSOI "&amp;LEFT(OISLink,LEN(OISLink)-FIND("/",OISLink))&amp;" Curncy","Bid")</f>
        <v>0.57840000000000003</v>
      </c>
      <c r="H60" s="111">
        <f>_xll.BDP("USSOI "&amp;LEFT(OISLink,LEN(OISLink)-FIND("/",OISLink))&amp;" Curncy","ASK")</f>
        <v>0.57840000000000003</v>
      </c>
      <c r="I60" s="112">
        <f t="shared" si="9"/>
        <v>0.57840000000000003</v>
      </c>
      <c r="J60" s="195"/>
      <c r="K60" s="93" t="s">
        <v>43</v>
      </c>
      <c r="L60" s="113">
        <f>_xll.BDP("USBG"&amp;LEFT($K60,LEN($K60)-1)&amp;" "&amp;LEFT(basisLink,LEN(basisLink)-FIND("/",basisLink))&amp;" Curncy","Bid")</f>
        <v>34.299999999999997</v>
      </c>
      <c r="M60" s="113">
        <f>_xll.BDP("USBG"&amp;LEFT($K60,LEN($K60)-1)&amp;" "&amp;LEFT(basisLink,LEN(basisLink)-FIND("/",basisLink))&amp;" Curncy","ASK")</f>
        <v>38.200000000000003</v>
      </c>
      <c r="N60" s="113">
        <f t="shared" si="11"/>
        <v>36.25</v>
      </c>
      <c r="O60" s="113" t="str">
        <f>_xll.BDP("USBD"&amp;LEFT($K60,LEN($K60)-1)&amp;" "&amp;LEFT(basisLink,LEN(basisLink)-FIND("/",basisLink))&amp;" Curncy","Bid")</f>
        <v>#N/A N/A</v>
      </c>
      <c r="P60" s="113" t="str">
        <f>_xll.BDP("USBD"&amp;LEFT($K60,LEN($K60)-1)&amp;" "&amp;LEFT(basisLink,LEN(basisLink)-FIND("/",basisLink))&amp;" Curncy","ASK")</f>
        <v>#N/A N/A</v>
      </c>
      <c r="Q60" s="113" t="str">
        <f t="shared" si="10"/>
        <v>N/A</v>
      </c>
      <c r="R60" s="113" t="str">
        <f>_xll.BDP("USBF"&amp;LEFT($K60,LEN($K60)-1)&amp;" "&amp;LEFT(basisLink,LEN(basisLink)-FIND("/",basisLink))&amp;" Curncy","Bid")</f>
        <v>#N/A N/A</v>
      </c>
      <c r="S60" s="113" t="str">
        <f>_xll.BDP("USBF"&amp;LEFT($K60,LEN($K60)-1)&amp;" "&amp;LEFT(basisLink,LEN(basisLink)-FIND("/",basisLink))&amp;" Curncy","ASK")</f>
        <v>#N/A N/A</v>
      </c>
      <c r="T60" s="113" t="str">
        <f t="shared" si="12"/>
        <v>N/A</v>
      </c>
      <c r="U60" s="113" t="str">
        <f>_xll.BDP("USBE"&amp;LEFT($K60,LEN($K60)-1)&amp;" "&amp;LEFT(basisLink,LEN(basisLink)-FIND("/",basisLink))&amp;" Curncy","Bid")</f>
        <v>#N/A N/A</v>
      </c>
      <c r="V60" s="113" t="str">
        <f>_xll.BDP("USBE"&amp;LEFT($K60,LEN($K60)-1)&amp;" "&amp;LEFT(basisLink,LEN(basisLink)-FIND("/",basisLink))&amp;" Curncy","ASK")</f>
        <v>#N/A N/A</v>
      </c>
      <c r="W60" s="113" t="str">
        <f t="shared" si="13"/>
        <v>N/A</v>
      </c>
      <c r="X60" s="113">
        <f>_xll.BDP("USBA"&amp;LEFT($K60,LEN($K60)-1)&amp;" "&amp;LEFT(basisLink,LEN(basisLink)-FIND("/",basisLink))&amp;" Curncy","Bid")</f>
        <v>11.875</v>
      </c>
      <c r="Y60" s="113">
        <f>_xll.BDP("USBA"&amp;LEFT($K60,LEN($K60)-1)&amp;" "&amp;LEFT(basisLink,LEN(basisLink)-FIND("/",basisLink))&amp;" Curncy","ASK")</f>
        <v>12.875</v>
      </c>
      <c r="Z60" s="113">
        <f t="shared" si="14"/>
        <v>12.375</v>
      </c>
      <c r="AA60" s="111">
        <f>_xll.BDP("USBC"&amp;LEFT($K60,LEN($K60)-1)&amp;" "&amp;LEFT(basisLink,LEN(basisLink)-FIND("/",basisLink))&amp;" Curncy","Bid")</f>
        <v>19.375</v>
      </c>
      <c r="AB60" s="111">
        <f>_xll.BDP("USBC"&amp;LEFT($K60,LEN($K60)-1)&amp;" "&amp;LEFT(basisLink,LEN(basisLink)-FIND("/",basisLink))&amp;" Curncy","ASK")</f>
        <v>20.375</v>
      </c>
      <c r="AC60" s="111">
        <f t="shared" si="15"/>
        <v>19.875</v>
      </c>
      <c r="AD60" s="111" t="str">
        <f>_xll.BDP("USBB"&amp;LEFT($K60,LEN($K60)-1)&amp;" "&amp;LEFT(basisLink,LEN(basisLink)-FIND("/",basisLink))&amp;" Curncy","Bid")</f>
        <v>#N/A N/A</v>
      </c>
      <c r="AE60" s="111" t="str">
        <f>_xll.BDP("USBB"&amp;LEFT($K60,LEN($K60)-1)&amp;" "&amp;LEFT(basisLink,LEN(basisLink)-FIND("/",basisLink))&amp;" Curncy","ASK")</f>
        <v>#N/A N/A</v>
      </c>
      <c r="AF60" s="111" t="str">
        <f t="shared" si="16"/>
        <v>N/A</v>
      </c>
      <c r="AG60" s="111" t="str">
        <f>_xll.BDP("USBL"&amp;LEFT($K60,LEN($K60)-1)&amp;" "&amp;LEFT(basisLink,LEN(basisLink)-FIND("/",basisLink))&amp;" Curncy","Bid")</f>
        <v>#N/A N/A</v>
      </c>
      <c r="AH60" s="111" t="str">
        <f>_xll.BDP("USBL"&amp;LEFT($K60,LEN($K60)-1)&amp;" "&amp;LEFT(basisLink,LEN(basisLink)-FIND("/",basisLink))&amp;" Curncy","ASK")</f>
        <v>#N/A N/A</v>
      </c>
      <c r="AI60" s="112" t="str">
        <f t="shared" si="17"/>
        <v>N/A</v>
      </c>
      <c r="AJ60" s="195"/>
      <c r="AK60" s="195"/>
      <c r="AL60" s="195"/>
      <c r="AM60" s="195"/>
      <c r="AN60" s="195"/>
      <c r="AO60" s="195"/>
      <c r="AP60" s="195"/>
      <c r="AQ60" s="195"/>
      <c r="AR60" s="195"/>
      <c r="AS60" s="195"/>
      <c r="AT60" s="195"/>
      <c r="AU60" s="195"/>
      <c r="AV60" s="195"/>
      <c r="AW60" s="195"/>
      <c r="AX60" s="195"/>
      <c r="AY60" s="195"/>
      <c r="AZ60" s="195"/>
      <c r="BA60" s="195"/>
      <c r="BB60" s="195"/>
      <c r="BC60" s="195"/>
    </row>
    <row r="61" spans="1:55" ht="15" customHeight="1" x14ac:dyDescent="0.2">
      <c r="B61" s="195"/>
      <c r="D61" s="11"/>
      <c r="F61" s="93" t="s">
        <v>32</v>
      </c>
      <c r="G61" s="114">
        <f>_xll.BDP("USSOJ "&amp;LEFT(OISLink,LEN(OISLink)-FIND("/",OISLink))&amp;" Curncy","Bid")</f>
        <v>0.59240000000000004</v>
      </c>
      <c r="H61" s="114">
        <f>_xll.BDP("USSOJ "&amp;LEFT(OISLink,LEN(OISLink)-FIND("/",OISLink))&amp;" Curncy","ASK")</f>
        <v>0.59240000000000004</v>
      </c>
      <c r="I61" s="115">
        <f t="shared" si="9"/>
        <v>0.59240000000000004</v>
      </c>
      <c r="J61" s="195"/>
      <c r="K61" s="93" t="s">
        <v>44</v>
      </c>
      <c r="L61" s="116">
        <f>_xll.BDP("USBG"&amp;LEFT($K61,LEN($K61)-1)&amp;" "&amp;LEFT(basisLink,LEN(basisLink)-FIND("/",basisLink))&amp;" Curncy","Bid")</f>
        <v>35.25</v>
      </c>
      <c r="M61" s="116">
        <f>_xll.BDP("USBG"&amp;LEFT($K61,LEN($K61)-1)&amp;" "&amp;LEFT(basisLink,LEN(basisLink)-FIND("/",basisLink))&amp;" Curncy","ASK")</f>
        <v>38.125</v>
      </c>
      <c r="N61" s="116">
        <f t="shared" si="11"/>
        <v>36.6875</v>
      </c>
      <c r="O61" s="116" t="str">
        <f>_xll.BDP("USBD"&amp;LEFT($K61,LEN($K61)-1)&amp;" "&amp;LEFT(basisLink,LEN(basisLink)-FIND("/",basisLink))&amp;" Curncy","Bid")</f>
        <v>#N/A N/A</v>
      </c>
      <c r="P61" s="116" t="str">
        <f>_xll.BDP("USBD"&amp;LEFT($K61,LEN($K61)-1)&amp;" "&amp;LEFT(basisLink,LEN(basisLink)-FIND("/",basisLink))&amp;" Curncy","ASK")</f>
        <v>#N/A N/A</v>
      </c>
      <c r="Q61" s="116" t="str">
        <f t="shared" si="10"/>
        <v>N/A</v>
      </c>
      <c r="R61" s="116" t="str">
        <f>_xll.BDP("USBF"&amp;LEFT($K61,LEN($K61)-1)&amp;" "&amp;LEFT(basisLink,LEN(basisLink)-FIND("/",basisLink))&amp;" Curncy","Bid")</f>
        <v>#N/A N/A</v>
      </c>
      <c r="S61" s="116" t="str">
        <f>_xll.BDP("USBF"&amp;LEFT($K61,LEN($K61)-1)&amp;" "&amp;LEFT(basisLink,LEN(basisLink)-FIND("/",basisLink))&amp;" Curncy","ASK")</f>
        <v>#N/A N/A</v>
      </c>
      <c r="T61" s="116" t="str">
        <f t="shared" si="12"/>
        <v>N/A</v>
      </c>
      <c r="U61" s="116" t="str">
        <f>_xll.BDP("USBE"&amp;LEFT($K61,LEN($K61)-1)&amp;" "&amp;LEFT(basisLink,LEN(basisLink)-FIND("/",basisLink))&amp;" Curncy","Bid")</f>
        <v>#N/A N/A</v>
      </c>
      <c r="V61" s="116" t="str">
        <f>_xll.BDP("USBE"&amp;LEFT($K61,LEN($K61)-1)&amp;" "&amp;LEFT(basisLink,LEN(basisLink)-FIND("/",basisLink))&amp;" Curncy","ASK")</f>
        <v>#N/A N/A</v>
      </c>
      <c r="W61" s="116" t="str">
        <f t="shared" si="13"/>
        <v>N/A</v>
      </c>
      <c r="X61" s="116">
        <f>_xll.BDP("USBA"&amp;LEFT($K61,LEN($K61)-1)&amp;" "&amp;LEFT(basisLink,LEN(basisLink)-FIND("/",basisLink))&amp;" Curncy","Bid")</f>
        <v>11.125</v>
      </c>
      <c r="Y61" s="116">
        <f>_xll.BDP("USBA"&amp;LEFT($K61,LEN($K61)-1)&amp;" "&amp;LEFT(basisLink,LEN(basisLink)-FIND("/",basisLink))&amp;" Curncy","ASK")</f>
        <v>12.125</v>
      </c>
      <c r="Z61" s="116">
        <f t="shared" si="14"/>
        <v>11.625</v>
      </c>
      <c r="AA61" s="114">
        <f>_xll.BDP("USBC"&amp;LEFT($K61,LEN($K61)-1)&amp;" "&amp;LEFT(basisLink,LEN(basisLink)-FIND("/",basisLink))&amp;" Curncy","Bid")</f>
        <v>19.125</v>
      </c>
      <c r="AB61" s="114">
        <f>_xll.BDP("USBC"&amp;LEFT($K61,LEN($K61)-1)&amp;" "&amp;LEFT(basisLink,LEN(basisLink)-FIND("/",basisLink))&amp;" Curncy","ASK")</f>
        <v>20.125</v>
      </c>
      <c r="AC61" s="114">
        <f t="shared" si="15"/>
        <v>19.625</v>
      </c>
      <c r="AD61" s="114" t="str">
        <f>_xll.BDP("USBB"&amp;LEFT($K61,LEN($K61)-1)&amp;" "&amp;LEFT(basisLink,LEN(basisLink)-FIND("/",basisLink))&amp;" Curncy","Bid")</f>
        <v>#N/A N/A</v>
      </c>
      <c r="AE61" s="114" t="str">
        <f>_xll.BDP("USBB"&amp;LEFT($K61,LEN($K61)-1)&amp;" "&amp;LEFT(basisLink,LEN(basisLink)-FIND("/",basisLink))&amp;" Curncy","ASK")</f>
        <v>#N/A N/A</v>
      </c>
      <c r="AF61" s="114" t="str">
        <f t="shared" si="16"/>
        <v>N/A</v>
      </c>
      <c r="AG61" s="114" t="str">
        <f>_xll.BDP("USBL"&amp;LEFT($K61,LEN($K61)-1)&amp;" "&amp;LEFT(basisLink,LEN(basisLink)-FIND("/",basisLink))&amp;" Curncy","Bid")</f>
        <v>#N/A N/A</v>
      </c>
      <c r="AH61" s="114" t="str">
        <f>_xll.BDP("USBL"&amp;LEFT($K61,LEN($K61)-1)&amp;" "&amp;LEFT(basisLink,LEN(basisLink)-FIND("/",basisLink))&amp;" Curncy","ASK")</f>
        <v>#N/A N/A</v>
      </c>
      <c r="AI61" s="115" t="str">
        <f t="shared" si="17"/>
        <v>N/A</v>
      </c>
      <c r="AJ61" s="195"/>
      <c r="AK61" s="195"/>
      <c r="AL61" s="195"/>
      <c r="AM61" s="195"/>
      <c r="AN61" s="195"/>
      <c r="AO61" s="195"/>
      <c r="AP61" s="195"/>
      <c r="AQ61" s="195"/>
      <c r="AR61" s="195"/>
      <c r="AS61" s="195"/>
      <c r="AT61" s="195"/>
      <c r="AU61" s="195"/>
      <c r="AV61" s="195"/>
      <c r="AW61" s="195"/>
      <c r="AX61" s="195"/>
      <c r="AY61" s="195"/>
      <c r="AZ61" s="195"/>
      <c r="BA61" s="195"/>
      <c r="BB61" s="195"/>
      <c r="BC61" s="195"/>
    </row>
    <row r="62" spans="1:55" ht="15" customHeight="1" x14ac:dyDescent="0.2">
      <c r="B62" s="195"/>
      <c r="D62" s="11"/>
      <c r="F62" s="93" t="s">
        <v>33</v>
      </c>
      <c r="G62" s="111">
        <f>_xll.BDP("USSOK "&amp;LEFT(OISLink,LEN(OISLink)-FIND("/",OISLink))&amp;" Curncy","Bid")</f>
        <v>0.60329999999999995</v>
      </c>
      <c r="H62" s="111">
        <f>_xll.BDP("USSOK "&amp;LEFT(OISLink,LEN(OISLink)-FIND("/",OISLink))&amp;" Curncy","ASK")</f>
        <v>0.6069</v>
      </c>
      <c r="I62" s="112">
        <f t="shared" si="9"/>
        <v>0.60509999999999997</v>
      </c>
      <c r="J62" s="195"/>
      <c r="K62" s="93" t="s">
        <v>45</v>
      </c>
      <c r="L62" s="113">
        <f>_xll.BDP("USBG"&amp;LEFT($K62,LEN($K62)-1)&amp;" "&amp;LEFT(basisLink,LEN(basisLink)-FIND("/",basisLink))&amp;" Curncy","Bid")</f>
        <v>35</v>
      </c>
      <c r="M62" s="113">
        <f>_xll.BDP("USBG"&amp;LEFT($K62,LEN($K62)-1)&amp;" "&amp;LEFT(basisLink,LEN(basisLink)-FIND("/",basisLink))&amp;" Curncy","ASK")</f>
        <v>39</v>
      </c>
      <c r="N62" s="113">
        <f t="shared" si="11"/>
        <v>37</v>
      </c>
      <c r="O62" s="113">
        <f>_xll.BDP("USBD"&amp;LEFT($K62,LEN($K62)-1)&amp;" "&amp;LEFT(basisLink,LEN(basisLink)-FIND("/",basisLink))&amp;" Curncy","Bid")</f>
        <v>35</v>
      </c>
      <c r="P62" s="113">
        <f>_xll.BDP("USBD"&amp;LEFT($K62,LEN($K62)-1)&amp;" "&amp;LEFT(basisLink,LEN(basisLink)-FIND("/",basisLink))&amp;" Curncy","ASK")</f>
        <v>45</v>
      </c>
      <c r="Q62" s="113">
        <f t="shared" si="10"/>
        <v>40</v>
      </c>
      <c r="R62" s="113">
        <f>_xll.BDP("USBF"&amp;LEFT($K62,LEN($K62)-1)&amp;" "&amp;LEFT(basisLink,LEN(basisLink)-FIND("/",basisLink))&amp;" Curncy","Bid")</f>
        <v>-265</v>
      </c>
      <c r="S62" s="113">
        <f>_xll.BDP("USBF"&amp;LEFT($K62,LEN($K62)-1)&amp;" "&amp;LEFT(basisLink,LEN(basisLink)-FIND("/",basisLink))&amp;" Curncy","ASK")</f>
        <v>-255</v>
      </c>
      <c r="T62" s="113">
        <f t="shared" si="12"/>
        <v>-260</v>
      </c>
      <c r="U62" s="113">
        <f>_xll.BDP("USBE"&amp;LEFT($K62,LEN($K62)-1)&amp;" "&amp;LEFT(basisLink,LEN(basisLink)-FIND("/",basisLink))&amp;" Curncy","Bid")</f>
        <v>30</v>
      </c>
      <c r="V62" s="113">
        <f>_xll.BDP("USBE"&amp;LEFT($K62,LEN($K62)-1)&amp;" "&amp;LEFT(basisLink,LEN(basisLink)-FIND("/",basisLink))&amp;" Curncy","ASK")</f>
        <v>42</v>
      </c>
      <c r="W62" s="113">
        <f t="shared" si="13"/>
        <v>36</v>
      </c>
      <c r="X62" s="113">
        <f>_xll.BDP("USBA"&amp;LEFT($K62,LEN($K62)-1)&amp;" "&amp;LEFT(basisLink,LEN(basisLink)-FIND("/",basisLink))&amp;" Curncy","Bid")</f>
        <v>11.625</v>
      </c>
      <c r="Y62" s="113">
        <f>_xll.BDP("USBA"&amp;LEFT($K62,LEN($K62)-1)&amp;" "&amp;LEFT(basisLink,LEN(basisLink)-FIND("/",basisLink))&amp;" Curncy","ASK")</f>
        <v>12.625</v>
      </c>
      <c r="Z62" s="113">
        <f t="shared" si="14"/>
        <v>12.125</v>
      </c>
      <c r="AA62" s="111">
        <f>_xll.BDP("USBC"&amp;LEFT($K62,LEN($K62)-1)&amp;" "&amp;LEFT(basisLink,LEN(basisLink)-FIND("/",basisLink))&amp;" Curncy","Bid")</f>
        <v>18.875</v>
      </c>
      <c r="AB62" s="111">
        <f>_xll.BDP("USBC"&amp;LEFT($K62,LEN($K62)-1)&amp;" "&amp;LEFT(basisLink,LEN(basisLink)-FIND("/",basisLink))&amp;" Curncy","ASK")</f>
        <v>19.875</v>
      </c>
      <c r="AC62" s="111">
        <f t="shared" si="15"/>
        <v>19.375</v>
      </c>
      <c r="AD62" s="111" t="str">
        <f>_xll.BDP("USBB"&amp;LEFT($K62,LEN($K62)-1)&amp;" "&amp;LEFT(basisLink,LEN(basisLink)-FIND("/",basisLink))&amp;" Curncy","Bid")</f>
        <v>#N/A N/A</v>
      </c>
      <c r="AE62" s="111" t="str">
        <f>_xll.BDP("USBB"&amp;LEFT($K62,LEN($K62)-1)&amp;" "&amp;LEFT(basisLink,LEN(basisLink)-FIND("/",basisLink))&amp;" Curncy","ASK")</f>
        <v>#N/A N/A</v>
      </c>
      <c r="AF62" s="111" t="str">
        <f t="shared" si="16"/>
        <v>N/A</v>
      </c>
      <c r="AG62" s="111" t="str">
        <f>_xll.BDP("USBL"&amp;LEFT($K62,LEN($K62)-1)&amp;" "&amp;LEFT(basisLink,LEN(basisLink)-FIND("/",basisLink))&amp;" Curncy","Bid")</f>
        <v>#N/A N/A</v>
      </c>
      <c r="AH62" s="111" t="str">
        <f>_xll.BDP("USBL"&amp;LEFT($K62,LEN($K62)-1)&amp;" "&amp;LEFT(basisLink,LEN(basisLink)-FIND("/",basisLink))&amp;" Curncy","ASK")</f>
        <v>#N/A N/A</v>
      </c>
      <c r="AI62" s="112" t="str">
        <f t="shared" si="17"/>
        <v>N/A</v>
      </c>
      <c r="AJ62" s="195"/>
      <c r="AK62" s="195"/>
      <c r="AL62" s="195"/>
      <c r="AM62" s="195"/>
      <c r="AN62" s="195"/>
      <c r="AO62" s="195"/>
      <c r="AP62" s="195"/>
      <c r="AQ62" s="195"/>
      <c r="AR62" s="195"/>
      <c r="AS62" s="195"/>
      <c r="AT62" s="195"/>
      <c r="AU62" s="195"/>
      <c r="AV62" s="195"/>
      <c r="AW62" s="195"/>
      <c r="AX62" s="195"/>
      <c r="AY62" s="195"/>
      <c r="AZ62" s="195"/>
      <c r="BA62" s="195"/>
      <c r="BB62" s="195"/>
      <c r="BC62" s="195"/>
    </row>
    <row r="63" spans="1:55" ht="15" customHeight="1" x14ac:dyDescent="0.2">
      <c r="B63" s="195"/>
      <c r="D63" s="11"/>
      <c r="F63" s="93" t="s">
        <v>34</v>
      </c>
      <c r="G63" s="114">
        <f>_xll.BDP("USSO1 "&amp;LEFT(OISLink,LEN(OISLink)-FIND("/",OISLink))&amp;" Curncy","Bid")</f>
        <v>0.61480000000000001</v>
      </c>
      <c r="H63" s="114">
        <f>_xll.BDP("USSO1 "&amp;LEFT(OISLink,LEN(OISLink)-FIND("/",OISLink))&amp;" Curncy","ASK")</f>
        <v>0.61839999999999995</v>
      </c>
      <c r="I63" s="115">
        <f t="shared" si="9"/>
        <v>0.61660000000000004</v>
      </c>
      <c r="J63" s="195"/>
      <c r="K63" s="93" t="s">
        <v>46</v>
      </c>
      <c r="L63" s="116">
        <f>_xll.BDP("USBG"&amp;LEFT($K63,LEN($K63)-1)&amp;" "&amp;LEFT(basisLink,LEN(basisLink)-FIND("/",basisLink))&amp;" Curncy","Bid")</f>
        <v>37.110999999999997</v>
      </c>
      <c r="M63" s="116">
        <f>_xll.BDP("USBG"&amp;LEFT($K63,LEN($K63)-1)&amp;" "&amp;LEFT(basisLink,LEN(basisLink)-FIND("/",basisLink))&amp;" Curncy","ASK")</f>
        <v>37.811</v>
      </c>
      <c r="N63" s="116">
        <f t="shared" si="11"/>
        <v>37.460999999999999</v>
      </c>
      <c r="O63" s="116" t="str">
        <f>_xll.BDP("USBD"&amp;LEFT($K63,LEN($K63)-1)&amp;" "&amp;LEFT(basisLink,LEN(basisLink)-FIND("/",basisLink))&amp;" Curncy","Bid")</f>
        <v>#N/A N/A</v>
      </c>
      <c r="P63" s="116" t="str">
        <f>_xll.BDP("USBD"&amp;LEFT($K63,LEN($K63)-1)&amp;" "&amp;LEFT(basisLink,LEN(basisLink)-FIND("/",basisLink))&amp;" Curncy","ASK")</f>
        <v>#N/A N/A</v>
      </c>
      <c r="Q63" s="116" t="str">
        <f t="shared" si="10"/>
        <v>N/A</v>
      </c>
      <c r="R63" s="116" t="str">
        <f>_xll.BDP("USBF"&amp;LEFT($K63,LEN($K63)-1)&amp;" "&amp;LEFT(basisLink,LEN(basisLink)-FIND("/",basisLink))&amp;" Curncy","Bid")</f>
        <v>#N/A N/A</v>
      </c>
      <c r="S63" s="116" t="str">
        <f>_xll.BDP("USBF"&amp;LEFT($K63,LEN($K63)-1)&amp;" "&amp;LEFT(basisLink,LEN(basisLink)-FIND("/",basisLink))&amp;" Curncy","ASK")</f>
        <v>#N/A N/A</v>
      </c>
      <c r="T63" s="116" t="str">
        <f t="shared" si="12"/>
        <v>N/A</v>
      </c>
      <c r="U63" s="116" t="str">
        <f>_xll.BDP("USBE"&amp;LEFT($K63,LEN($K63)-1)&amp;" "&amp;LEFT(basisLink,LEN(basisLink)-FIND("/",basisLink))&amp;" Curncy","Bid")</f>
        <v>#N/A N/A</v>
      </c>
      <c r="V63" s="116" t="str">
        <f>_xll.BDP("USBE"&amp;LEFT($K63,LEN($K63)-1)&amp;" "&amp;LEFT(basisLink,LEN(basisLink)-FIND("/",basisLink))&amp;" Curncy","ASK")</f>
        <v>#N/A N/A</v>
      </c>
      <c r="W63" s="116" t="str">
        <f t="shared" si="13"/>
        <v>N/A</v>
      </c>
      <c r="X63" s="116">
        <f>_xll.BDP("USBA"&amp;LEFT($K63,LEN($K63)-1)&amp;" "&amp;LEFT(basisLink,LEN(basisLink)-FIND("/",basisLink))&amp;" Curncy","Bid")</f>
        <v>13</v>
      </c>
      <c r="Y63" s="116">
        <f>_xll.BDP("USBA"&amp;LEFT($K63,LEN($K63)-1)&amp;" "&amp;LEFT(basisLink,LEN(basisLink)-FIND("/",basisLink))&amp;" Curncy","ASK")</f>
        <v>14</v>
      </c>
      <c r="Z63" s="116">
        <f t="shared" si="14"/>
        <v>13.5</v>
      </c>
      <c r="AA63" s="114">
        <f>_xll.BDP("USBC"&amp;LEFT($K63,LEN($K63)-1)&amp;" "&amp;LEFT(basisLink,LEN(basisLink)-FIND("/",basisLink))&amp;" Curncy","Bid")</f>
        <v>18.5</v>
      </c>
      <c r="AB63" s="114">
        <f>_xll.BDP("USBC"&amp;LEFT($K63,LEN($K63)-1)&amp;" "&amp;LEFT(basisLink,LEN(basisLink)-FIND("/",basisLink))&amp;" Curncy","ASK")</f>
        <v>19.5</v>
      </c>
      <c r="AC63" s="114">
        <f t="shared" si="15"/>
        <v>19</v>
      </c>
      <c r="AD63" s="114" t="str">
        <f>_xll.BDP("USBB"&amp;LEFT($K63,LEN($K63)-1)&amp;" "&amp;LEFT(basisLink,LEN(basisLink)-FIND("/",basisLink))&amp;" Curncy","Bid")</f>
        <v>#N/A N/A</v>
      </c>
      <c r="AE63" s="114" t="str">
        <f>_xll.BDP("USBB"&amp;LEFT($K63,LEN($K63)-1)&amp;" "&amp;LEFT(basisLink,LEN(basisLink)-FIND("/",basisLink))&amp;" Curncy","ASK")</f>
        <v>#N/A N/A</v>
      </c>
      <c r="AF63" s="114" t="str">
        <f t="shared" si="16"/>
        <v>N/A</v>
      </c>
      <c r="AG63" s="114" t="str">
        <f>_xll.BDP("USBL"&amp;LEFT($K63,LEN($K63)-1)&amp;" "&amp;LEFT(basisLink,LEN(basisLink)-FIND("/",basisLink))&amp;" Curncy","Bid")</f>
        <v>#N/A N/A</v>
      </c>
      <c r="AH63" s="114" t="str">
        <f>_xll.BDP("USBL"&amp;LEFT($K63,LEN($K63)-1)&amp;" "&amp;LEFT(basisLink,LEN(basisLink)-FIND("/",basisLink))&amp;" Curncy","ASK")</f>
        <v>#N/A N/A</v>
      </c>
      <c r="AI63" s="115" t="str">
        <f t="shared" si="17"/>
        <v>N/A</v>
      </c>
      <c r="AJ63" s="195"/>
      <c r="AK63" s="195"/>
      <c r="AL63" s="195"/>
      <c r="AM63" s="195"/>
      <c r="AN63" s="195"/>
      <c r="AO63" s="195"/>
      <c r="AP63" s="195"/>
      <c r="AQ63" s="195"/>
      <c r="AR63" s="195"/>
      <c r="AS63" s="195"/>
      <c r="AT63" s="195"/>
      <c r="AU63" s="195"/>
      <c r="AV63" s="195"/>
      <c r="AW63" s="195"/>
      <c r="AX63" s="195"/>
      <c r="AY63" s="195"/>
      <c r="AZ63" s="195"/>
      <c r="BA63" s="195"/>
      <c r="BB63" s="195"/>
      <c r="BC63" s="195"/>
    </row>
    <row r="64" spans="1:55" ht="15" customHeight="1" x14ac:dyDescent="0.2">
      <c r="B64" s="195"/>
      <c r="D64" s="11"/>
      <c r="F64" s="93" t="s">
        <v>28</v>
      </c>
      <c r="G64" s="111">
        <f>_xll.BDP("USSO1C "&amp;LEFT(OISLink,LEN(OISLink)-FIND("/",OISLink))&amp;" Curncy","Bid")</f>
        <v>0.64600000000000002</v>
      </c>
      <c r="H64" s="111">
        <f>_xll.BDP("USSO1C "&amp;LEFT(OISLink,LEN(OISLink)-FIND("/",OISLink))&amp;" Curncy","ASK")</f>
        <v>0.64600000000000002</v>
      </c>
      <c r="I64" s="112">
        <f t="shared" si="9"/>
        <v>0.64600000000000002</v>
      </c>
      <c r="J64" s="195"/>
      <c r="K64" s="103" t="s">
        <v>47</v>
      </c>
      <c r="L64" s="117">
        <f>_xll.BDP("USBG"&amp;LEFT($K64,LEN($K64)-1)&amp;" "&amp;LEFT(basisLink,LEN(basisLink)-FIND("/",basisLink))&amp;" Curncy","Bid")</f>
        <v>36.25</v>
      </c>
      <c r="M64" s="117">
        <f>_xll.BDP("USBG"&amp;LEFT($K64,LEN($K64)-1)&amp;" "&amp;LEFT(basisLink,LEN(basisLink)-FIND("/",basisLink))&amp;" Curncy","ASK")</f>
        <v>39.25</v>
      </c>
      <c r="N64" s="117">
        <f t="shared" si="11"/>
        <v>37.75</v>
      </c>
      <c r="O64" s="117">
        <f>_xll.BDP("USBD"&amp;LEFT($K64,LEN($K64)-1)&amp;" "&amp;LEFT(basisLink,LEN(basisLink)-FIND("/",basisLink))&amp;" Curncy","Bid")</f>
        <v>36</v>
      </c>
      <c r="P64" s="117">
        <f>_xll.BDP("USBD"&amp;LEFT($K64,LEN($K64)-1)&amp;" "&amp;LEFT(basisLink,LEN(basisLink)-FIND("/",basisLink))&amp;" Curncy","ASK")</f>
        <v>46</v>
      </c>
      <c r="Q64" s="117">
        <f t="shared" si="10"/>
        <v>41</v>
      </c>
      <c r="R64" s="117">
        <f>_xll.BDP("USBF"&amp;LEFT($K64,LEN($K64)-1)&amp;" "&amp;LEFT(basisLink,LEN(basisLink)-FIND("/",basisLink))&amp;" Curncy","Bid")</f>
        <v>-264</v>
      </c>
      <c r="S64" s="117">
        <f>_xll.BDP("USBF"&amp;LEFT($K64,LEN($K64)-1)&amp;" "&amp;LEFT(basisLink,LEN(basisLink)-FIND("/",basisLink))&amp;" Curncy","ASK")</f>
        <v>-254</v>
      </c>
      <c r="T64" s="117">
        <f t="shared" si="12"/>
        <v>-259</v>
      </c>
      <c r="U64" s="117">
        <f>_xll.BDP("USBE"&amp;LEFT($K64,LEN($K64)-1)&amp;" "&amp;LEFT(basisLink,LEN(basisLink)-FIND("/",basisLink))&amp;" Curncy","Bid")</f>
        <v>30</v>
      </c>
      <c r="V64" s="117">
        <f>_xll.BDP("USBE"&amp;LEFT($K64,LEN($K64)-1)&amp;" "&amp;LEFT(basisLink,LEN(basisLink)-FIND("/",basisLink))&amp;" Curncy","ASK")</f>
        <v>42</v>
      </c>
      <c r="W64" s="117">
        <f t="shared" si="13"/>
        <v>36</v>
      </c>
      <c r="X64" s="117">
        <f>_xll.BDP("USBA"&amp;LEFT($K64,LEN($K64)-1)&amp;" "&amp;LEFT(basisLink,LEN(basisLink)-FIND("/",basisLink))&amp;" Curncy","Bid")</f>
        <v>13.36</v>
      </c>
      <c r="Y64" s="117">
        <f>_xll.BDP("USBA"&amp;LEFT($K64,LEN($K64)-1)&amp;" "&amp;LEFT(basisLink,LEN(basisLink)-FIND("/",basisLink))&amp;" Curncy","ASK")</f>
        <v>15.36</v>
      </c>
      <c r="Z64" s="117">
        <f t="shared" si="14"/>
        <v>14.36</v>
      </c>
      <c r="AA64" s="118">
        <f>_xll.BDP("USBC"&amp;LEFT($K64,LEN($K64)-1)&amp;" "&amp;LEFT(basisLink,LEN(basisLink)-FIND("/",basisLink))&amp;" Curncy","Bid")</f>
        <v>18.25</v>
      </c>
      <c r="AB64" s="118">
        <f>_xll.BDP("USBC"&amp;LEFT($K64,LEN($K64)-1)&amp;" "&amp;LEFT(basisLink,LEN(basisLink)-FIND("/",basisLink))&amp;" Curncy","ASK")</f>
        <v>19.25</v>
      </c>
      <c r="AC64" s="118">
        <f t="shared" si="15"/>
        <v>18.75</v>
      </c>
      <c r="AD64" s="118" t="str">
        <f>_xll.BDP("USBB"&amp;LEFT($K64,LEN($K64)-1)&amp;" "&amp;LEFT(basisLink,LEN(basisLink)-FIND("/",basisLink))&amp;" Curncy","Bid")</f>
        <v>#N/A N/A</v>
      </c>
      <c r="AE64" s="118" t="str">
        <f>_xll.BDP("USBB"&amp;LEFT($K64,LEN($K64)-1)&amp;" "&amp;LEFT(basisLink,LEN(basisLink)-FIND("/",basisLink))&amp;" Curncy","ASK")</f>
        <v>#N/A N/A</v>
      </c>
      <c r="AF64" s="118" t="str">
        <f t="shared" si="16"/>
        <v>N/A</v>
      </c>
      <c r="AG64" s="118" t="str">
        <f>_xll.BDP("USBL"&amp;LEFT($K64,LEN($K64)-1)&amp;" "&amp;LEFT(basisLink,LEN(basisLink)-FIND("/",basisLink))&amp;" Curncy","Bid")</f>
        <v>#N/A N/A</v>
      </c>
      <c r="AH64" s="118" t="str">
        <f>_xll.BDP("USBL"&amp;LEFT($K64,LEN($K64)-1)&amp;" "&amp;LEFT(basisLink,LEN(basisLink)-FIND("/",basisLink))&amp;" Curncy","ASK")</f>
        <v>#N/A N/A</v>
      </c>
      <c r="AI64" s="119" t="str">
        <f t="shared" si="17"/>
        <v>N/A</v>
      </c>
      <c r="AJ64" s="195"/>
      <c r="AK64" s="195"/>
      <c r="AL64" s="195"/>
      <c r="AM64" s="195"/>
      <c r="AN64" s="195"/>
      <c r="AO64" s="195"/>
      <c r="AP64" s="195"/>
      <c r="AQ64" s="195"/>
      <c r="AR64" s="195"/>
      <c r="AS64" s="195"/>
      <c r="AT64" s="195"/>
      <c r="AU64" s="195"/>
      <c r="AV64" s="195"/>
      <c r="AW64" s="195"/>
      <c r="AX64" s="195"/>
      <c r="AY64" s="195"/>
      <c r="AZ64" s="195"/>
      <c r="BA64" s="195"/>
      <c r="BB64" s="195"/>
      <c r="BC64" s="195"/>
    </row>
    <row r="65" spans="1:55" ht="15" customHeight="1" x14ac:dyDescent="0.25">
      <c r="B65" s="195"/>
      <c r="D65" s="11"/>
      <c r="F65" s="93" t="s">
        <v>29</v>
      </c>
      <c r="G65" s="114">
        <f>_xll.BDP("USSO1F "&amp;LEFT(OISLink,LEN(OISLink)-FIND("/",OISLink))&amp;" Curncy","Bid")</f>
        <v>0.67300000000000004</v>
      </c>
      <c r="H65" s="114">
        <f>_xll.BDP("USSO1F "&amp;LEFT(OISLink,LEN(OISLink)-FIND("/",OISLink))&amp;" Curncy","ASK")</f>
        <v>0.68</v>
      </c>
      <c r="I65" s="115">
        <f t="shared" si="9"/>
        <v>0.6765000000000001</v>
      </c>
      <c r="J65" s="210"/>
      <c r="K65" s="19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95"/>
      <c r="AD65" s="195"/>
      <c r="AE65" s="195"/>
      <c r="AF65" s="195"/>
      <c r="AG65" s="195"/>
      <c r="AH65" s="195"/>
      <c r="AI65" s="195"/>
      <c r="AJ65" s="195"/>
      <c r="AK65" s="195"/>
      <c r="AL65" s="195"/>
      <c r="AM65" s="195"/>
      <c r="AN65" s="195"/>
      <c r="AO65" s="195"/>
      <c r="AP65" s="195"/>
      <c r="AQ65" s="195"/>
      <c r="AR65" s="195"/>
      <c r="AS65" s="195"/>
      <c r="AT65" s="195"/>
      <c r="AU65" s="195"/>
      <c r="AV65" s="195"/>
      <c r="AW65" s="195"/>
      <c r="AX65" s="195"/>
      <c r="AY65" s="195"/>
      <c r="AZ65" s="195"/>
      <c r="BA65" s="195"/>
      <c r="BB65" s="195"/>
      <c r="BC65" s="195"/>
    </row>
    <row r="66" spans="1:55" ht="15" customHeight="1" x14ac:dyDescent="0.25">
      <c r="B66" s="195"/>
      <c r="D66" s="11"/>
      <c r="F66" s="93" t="s">
        <v>30</v>
      </c>
      <c r="G66" s="111">
        <f>_xll.BDP("USSO1I "&amp;LEFT(OISLink,LEN(OISLink)-FIND("/",OISLink))&amp;" Curncy","Bid")</f>
        <v>0.68500000000000005</v>
      </c>
      <c r="H66" s="111">
        <f>_xll.BDP("USSO1I "&amp;LEFT(OISLink,LEN(OISLink)-FIND("/",OISLink))&amp;" Curncy","ASK")</f>
        <v>0.71499999999999997</v>
      </c>
      <c r="I66" s="112">
        <f t="shared" si="9"/>
        <v>0.7</v>
      </c>
      <c r="J66" s="210"/>
      <c r="K66" s="19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95"/>
      <c r="AD66" s="195"/>
      <c r="AE66" s="195"/>
      <c r="AF66" s="195"/>
      <c r="AG66" s="195"/>
      <c r="AH66" s="195"/>
      <c r="AI66" s="195"/>
      <c r="AJ66" s="195"/>
      <c r="AK66" s="195"/>
      <c r="AL66" s="195"/>
      <c r="AM66" s="195"/>
      <c r="AN66" s="195"/>
      <c r="AO66" s="195"/>
      <c r="AP66" s="195"/>
      <c r="AQ66" s="195"/>
      <c r="AR66" s="195"/>
      <c r="AS66" s="195"/>
      <c r="AT66" s="195"/>
      <c r="AU66" s="195"/>
      <c r="AV66" s="195"/>
      <c r="AW66" s="195"/>
      <c r="AX66" s="195"/>
      <c r="AY66" s="195"/>
      <c r="AZ66" s="195"/>
      <c r="BA66" s="195"/>
      <c r="BB66" s="195"/>
      <c r="BC66" s="195"/>
    </row>
    <row r="67" spans="1:55" ht="15" customHeight="1" x14ac:dyDescent="0.25">
      <c r="B67" s="195"/>
      <c r="D67" s="11"/>
      <c r="F67" s="103" t="s">
        <v>31</v>
      </c>
      <c r="G67" s="120">
        <f>_xll.BDP("USSO2 "&amp;LEFT(OISLink,LEN(OISLink)-FIND("/",OISLink))&amp;" Curncy","Bid")</f>
        <v>0.72299999999999998</v>
      </c>
      <c r="H67" s="120">
        <f>_xll.BDP("USSO2 "&amp;LEFT(OISLink,LEN(OISLink)-FIND("/",OISLink))&amp;" Curncy","ASK")</f>
        <v>0.72299999999999998</v>
      </c>
      <c r="I67" s="121">
        <f t="shared" si="9"/>
        <v>0.72299999999999998</v>
      </c>
      <c r="J67" s="210"/>
      <c r="K67" s="19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95"/>
      <c r="AD67" s="195"/>
      <c r="AE67" s="195"/>
      <c r="AF67" s="195"/>
      <c r="AG67" s="195"/>
      <c r="AH67" s="195"/>
      <c r="AI67" s="195"/>
      <c r="AJ67" s="195"/>
      <c r="AK67" s="195"/>
      <c r="AL67" s="195"/>
      <c r="AM67" s="195"/>
      <c r="AN67" s="195"/>
      <c r="AO67" s="195"/>
      <c r="AP67" s="195"/>
      <c r="AQ67" s="195"/>
      <c r="AR67" s="195"/>
      <c r="AS67" s="195"/>
      <c r="AT67" s="195"/>
      <c r="AU67" s="195"/>
      <c r="AV67" s="195"/>
      <c r="AW67" s="195"/>
      <c r="AX67" s="195"/>
      <c r="AY67" s="195"/>
      <c r="AZ67" s="195"/>
      <c r="BA67" s="195"/>
      <c r="BB67" s="195"/>
      <c r="BC67" s="195"/>
    </row>
    <row r="68" spans="1:55" ht="15" customHeight="1" x14ac:dyDescent="0.25">
      <c r="B68" s="195"/>
      <c r="D68" s="11"/>
      <c r="F68" s="211"/>
      <c r="G68" s="212"/>
      <c r="H68" s="212"/>
      <c r="I68" s="212"/>
      <c r="J68" s="210"/>
      <c r="K68" s="19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95"/>
      <c r="AD68" s="195"/>
      <c r="AE68" s="195"/>
      <c r="AF68" s="195"/>
      <c r="AG68" s="195"/>
      <c r="AH68" s="195"/>
      <c r="AI68" s="195"/>
      <c r="AJ68" s="195"/>
      <c r="AK68" s="195"/>
      <c r="AL68" s="195"/>
      <c r="AM68" s="195"/>
      <c r="AN68" s="195"/>
      <c r="AO68" s="195"/>
      <c r="AP68" s="195"/>
      <c r="AQ68" s="195"/>
      <c r="AR68" s="195"/>
      <c r="AS68" s="195"/>
      <c r="AT68" s="195"/>
      <c r="AU68" s="195"/>
      <c r="AV68" s="195"/>
      <c r="AW68" s="195"/>
      <c r="AX68" s="195"/>
      <c r="AY68" s="195"/>
      <c r="AZ68" s="195"/>
      <c r="BA68" s="195"/>
      <c r="BB68" s="195"/>
      <c r="BC68" s="195"/>
    </row>
    <row r="69" spans="1:55" ht="15" hidden="1" customHeight="1" x14ac:dyDescent="0.25">
      <c r="B69" s="195"/>
      <c r="D69" s="11"/>
      <c r="F69" s="15"/>
      <c r="G69" s="201"/>
      <c r="H69" s="201"/>
      <c r="I69" s="201"/>
      <c r="J69" s="201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95"/>
      <c r="AD69" s="195"/>
      <c r="AE69" s="195"/>
      <c r="AF69" s="195"/>
      <c r="AG69" s="195"/>
      <c r="AH69" s="195"/>
      <c r="AI69" s="195"/>
      <c r="AJ69" s="195"/>
      <c r="AK69" s="195"/>
      <c r="AL69" s="195"/>
      <c r="AM69" s="195"/>
      <c r="AN69" s="195"/>
      <c r="AO69" s="195"/>
      <c r="AP69" s="195"/>
      <c r="AQ69" s="195"/>
      <c r="AR69" s="195"/>
      <c r="AS69" s="195"/>
      <c r="AT69" s="195"/>
      <c r="AU69" s="195"/>
      <c r="AV69" s="195"/>
      <c r="AW69" s="195"/>
      <c r="AX69" s="195"/>
      <c r="AY69" s="195"/>
      <c r="AZ69" s="195"/>
      <c r="BA69" s="195"/>
      <c r="BB69" s="195"/>
      <c r="BC69" s="195"/>
    </row>
    <row r="70" spans="1:55" s="226" customFormat="1" ht="35.1" customHeight="1" x14ac:dyDescent="0.3">
      <c r="A70" s="218"/>
      <c r="B70" s="218"/>
      <c r="C70" s="220"/>
      <c r="D70" s="220"/>
      <c r="E70" s="220"/>
      <c r="F70" s="240" t="s">
        <v>71</v>
      </c>
      <c r="G70" s="238"/>
      <c r="H70" s="238"/>
      <c r="I70" s="238"/>
      <c r="J70" s="241"/>
      <c r="K70" s="238" t="s">
        <v>73</v>
      </c>
      <c r="L70" s="238"/>
      <c r="M70" s="238"/>
      <c r="N70" s="238"/>
      <c r="O70" s="241"/>
      <c r="P70" s="238" t="s">
        <v>76</v>
      </c>
      <c r="Q70" s="238"/>
      <c r="R70" s="238"/>
      <c r="S70" s="238"/>
      <c r="T70" s="241"/>
      <c r="U70" s="238" t="s">
        <v>77</v>
      </c>
      <c r="V70" s="238"/>
      <c r="W70" s="238"/>
      <c r="X70" s="238"/>
      <c r="Y70" s="239"/>
      <c r="Z70" s="220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</row>
    <row r="71" spans="1:55" ht="15" customHeight="1" x14ac:dyDescent="0.25">
      <c r="B71" s="195"/>
      <c r="D71" s="11"/>
      <c r="F71" s="93" t="s">
        <v>72</v>
      </c>
      <c r="G71" s="106" t="s">
        <v>74</v>
      </c>
      <c r="H71" s="106" t="s">
        <v>5</v>
      </c>
      <c r="I71" s="106" t="s">
        <v>6</v>
      </c>
      <c r="J71" s="106" t="s">
        <v>75</v>
      </c>
      <c r="K71" s="122" t="s">
        <v>72</v>
      </c>
      <c r="L71" s="106" t="s">
        <v>74</v>
      </c>
      <c r="M71" s="106" t="s">
        <v>5</v>
      </c>
      <c r="N71" s="106" t="s">
        <v>6</v>
      </c>
      <c r="O71" s="106" t="s">
        <v>7</v>
      </c>
      <c r="P71" s="122" t="s">
        <v>72</v>
      </c>
      <c r="Q71" s="106" t="s">
        <v>74</v>
      </c>
      <c r="R71" s="106" t="s">
        <v>5</v>
      </c>
      <c r="S71" s="106" t="s">
        <v>6</v>
      </c>
      <c r="T71" s="106" t="s">
        <v>75</v>
      </c>
      <c r="U71" s="122" t="s">
        <v>72</v>
      </c>
      <c r="V71" s="106" t="s">
        <v>74</v>
      </c>
      <c r="W71" s="106" t="s">
        <v>5</v>
      </c>
      <c r="X71" s="106" t="s">
        <v>6</v>
      </c>
      <c r="Y71" s="107" t="s">
        <v>75</v>
      </c>
      <c r="Z71" s="16"/>
      <c r="AA71" s="15"/>
      <c r="AB71" s="15"/>
      <c r="AC71" s="195"/>
      <c r="AD71" s="195"/>
      <c r="AE71" s="195"/>
      <c r="AF71" s="195"/>
      <c r="AG71" s="195"/>
      <c r="AH71" s="195"/>
      <c r="AI71" s="195"/>
      <c r="AJ71" s="195"/>
      <c r="AK71" s="195"/>
      <c r="AL71" s="195"/>
      <c r="AM71" s="195"/>
      <c r="AN71" s="195"/>
      <c r="AO71" s="195"/>
      <c r="AP71" s="195"/>
      <c r="AQ71" s="195"/>
      <c r="AR71" s="195"/>
      <c r="AS71" s="195"/>
      <c r="AT71" s="195"/>
      <c r="AU71" s="195"/>
      <c r="AV71" s="195"/>
      <c r="AW71" s="195"/>
      <c r="AX71" s="195"/>
      <c r="AY71" s="195"/>
      <c r="AZ71" s="195"/>
      <c r="BA71" s="195"/>
      <c r="BB71" s="195"/>
      <c r="BC71" s="195"/>
    </row>
    <row r="72" spans="1:55" ht="15" customHeight="1" x14ac:dyDescent="0.25">
      <c r="B72" s="195"/>
      <c r="D72" s="11"/>
      <c r="F72" s="93" t="str">
        <f>_xll.BDP("ED1 comdty","FUT_CUR_GEN_TICKER")</f>
        <v>EDZ6</v>
      </c>
      <c r="G72" s="123" t="str">
        <f>_xll.BDP($F72&amp;" comdty","FUT_MONTH_YR")</f>
        <v>DEC 16</v>
      </c>
      <c r="H72" s="124">
        <f>_xll.BDP($F72&amp;" comdty","bid")</f>
        <v>99.04</v>
      </c>
      <c r="I72" s="124">
        <f>_xll.BDP($F72&amp;" comdty","ASK")</f>
        <v>99.045000000000002</v>
      </c>
      <c r="J72" s="124">
        <f>_xll.BDP($F72&amp;" comdty","last price")</f>
        <v>99.04</v>
      </c>
      <c r="K72" s="122" t="str">
        <f>_xll.BDP("FF1 comdty","FUT_CUR_GEN_TICKER")</f>
        <v>FFV6</v>
      </c>
      <c r="L72" s="123" t="str">
        <f>_xll.BDP($K72&amp;" comdty","FUT_MONTH_YR")</f>
        <v>OCT 16</v>
      </c>
      <c r="M72" s="124">
        <f>_xll.BDP($K72&amp;" comdty","bid")</f>
        <v>99.605000000000004</v>
      </c>
      <c r="N72" s="124">
        <f>_xll.BDP($K72&amp;" comdty","ASK")</f>
        <v>99.607500000000002</v>
      </c>
      <c r="O72" s="124">
        <f>_xll.BDP($K72&amp;" comdty","last price")</f>
        <v>99.605000000000004</v>
      </c>
      <c r="P72" s="122" t="str">
        <f>_xll.BDP("EM1 comdty","FUT_CUR_GEN_TICKER")</f>
        <v>EMV6</v>
      </c>
      <c r="Q72" s="123" t="str">
        <f>_xll.BDP($P72&amp;" comdty","FUT_MONTH_YR")</f>
        <v>OCT 16</v>
      </c>
      <c r="R72" s="124" t="str">
        <f>_xll.BDP($P72&amp;" comdty","bid")</f>
        <v>#N/A N/A</v>
      </c>
      <c r="S72" s="124" t="str">
        <f>_xll.BDP($P72&amp;" comdty","ASK")</f>
        <v>#N/A N/A</v>
      </c>
      <c r="T72" s="124">
        <f>_xll.BDP($P72&amp;" comdty","last price")</f>
        <v>99.454999999999998</v>
      </c>
      <c r="U72" s="122" t="str">
        <f>_xll.BDP("ER1 comdty","FUT_CUR_GEN_TICKER")</f>
        <v>ERZ6</v>
      </c>
      <c r="V72" s="123" t="str">
        <f>_xll.BDP($U72&amp;" comdty","FUT_MONTH_YR")</f>
        <v>DEC 16</v>
      </c>
      <c r="W72" s="124">
        <f>_xll.BDP($U72&amp;" comdty","bid")</f>
        <v>100.3</v>
      </c>
      <c r="X72" s="124">
        <f>_xll.BDP($U72&amp;" comdty","ASK")</f>
        <v>100.30500000000001</v>
      </c>
      <c r="Y72" s="125">
        <f>_xll.BDP($U72&amp;" comdty","last price")</f>
        <v>100.3</v>
      </c>
      <c r="Z72" s="16"/>
      <c r="AA72" s="15"/>
      <c r="AB72" s="15"/>
      <c r="AC72" s="195"/>
      <c r="AD72" s="195"/>
      <c r="AE72" s="195"/>
      <c r="AF72" s="195"/>
      <c r="AG72" s="195"/>
      <c r="AH72" s="195"/>
      <c r="AI72" s="195"/>
      <c r="AJ72" s="195"/>
      <c r="AK72" s="195"/>
      <c r="AL72" s="195"/>
      <c r="AM72" s="195"/>
      <c r="AN72" s="195"/>
      <c r="AO72" s="195"/>
      <c r="AP72" s="195"/>
      <c r="AQ72" s="195"/>
      <c r="AR72" s="195"/>
      <c r="AS72" s="195"/>
      <c r="AT72" s="195"/>
      <c r="AU72" s="195"/>
      <c r="AV72" s="195"/>
      <c r="AW72" s="195"/>
      <c r="AX72" s="195"/>
      <c r="AY72" s="195"/>
      <c r="AZ72" s="195"/>
      <c r="BA72" s="195"/>
      <c r="BB72" s="195"/>
      <c r="BC72" s="195"/>
    </row>
    <row r="73" spans="1:55" ht="15" customHeight="1" x14ac:dyDescent="0.25">
      <c r="B73" s="195"/>
      <c r="D73" s="11"/>
      <c r="F73" s="93" t="str">
        <f>_xll.BDP("ED2 comdty","FUT_CUR_GEN_TICKER")</f>
        <v>EDH7</v>
      </c>
      <c r="G73" s="126" t="str">
        <f>_xll.BDP(F73&amp;" comdty","FUT_MONTH_YR")</f>
        <v>MAR 17</v>
      </c>
      <c r="H73" s="54">
        <f>_xll.BDP($F73&amp;" comdty","bid")</f>
        <v>98.984999999999999</v>
      </c>
      <c r="I73" s="54">
        <f>_xll.BDP($F73&amp;" comdty","ASK")</f>
        <v>98.99</v>
      </c>
      <c r="J73" s="54">
        <f>_xll.BDP($F73&amp;" comdty","last price")</f>
        <v>98.99</v>
      </c>
      <c r="K73" s="122" t="str">
        <f>_xll.BDP("FF2 comdty","FUT_CUR_GEN_TICKER")</f>
        <v>FFX6</v>
      </c>
      <c r="L73" s="126" t="str">
        <f>_xll.BDP($K73&amp;" comdty","FUT_MONTH_YR")</f>
        <v>NOV 16</v>
      </c>
      <c r="M73" s="54">
        <f>_xll.BDP($K73&amp;" comdty","bid")</f>
        <v>99.575000000000003</v>
      </c>
      <c r="N73" s="54">
        <f>_xll.BDP($K73&amp;" comdty","ASK")</f>
        <v>99.58</v>
      </c>
      <c r="O73" s="54">
        <f>_xll.BDP($K73&amp;" comdty","last price")</f>
        <v>99.58</v>
      </c>
      <c r="P73" s="122" t="str">
        <f>_xll.BDP("EM2 comdty","FUT_CUR_GEN_TICKER")</f>
        <v>EMX6</v>
      </c>
      <c r="Q73" s="126" t="str">
        <f>_xll.BDP($P73&amp;" comdty","FUT_MONTH_YR")</f>
        <v>NOV 16</v>
      </c>
      <c r="R73" s="54" t="str">
        <f>_xll.BDP($P73&amp;" comdty","bid")</f>
        <v>#N/A N/A</v>
      </c>
      <c r="S73" s="54" t="str">
        <f>_xll.BDP($P73&amp;" comdty","ASK")</f>
        <v>#N/A N/A</v>
      </c>
      <c r="T73" s="54">
        <f>_xll.BDP($P73&amp;" comdty","last price")</f>
        <v>99.435000000000002</v>
      </c>
      <c r="U73" s="122" t="str">
        <f>_xll.BDP("ER2 comdty","FUT_CUR_GEN_TICKER")</f>
        <v>ERH7</v>
      </c>
      <c r="V73" s="126" t="str">
        <f>_xll.BDP($U73&amp;" comdty","FUT_MONTH_YR")</f>
        <v>MAR 17</v>
      </c>
      <c r="W73" s="54">
        <f>_xll.BDP($U73&amp;" comdty","bid")</f>
        <v>100.3</v>
      </c>
      <c r="X73" s="54">
        <f>_xll.BDP($U73&amp;" comdty","ASK")</f>
        <v>100.30500000000001</v>
      </c>
      <c r="Y73" s="55">
        <f>_xll.BDP($U73&amp;" comdty","last price")</f>
        <v>100.3</v>
      </c>
      <c r="Z73" s="16"/>
      <c r="AA73" s="15"/>
      <c r="AB73" s="15"/>
      <c r="AC73" s="195"/>
      <c r="AD73" s="195"/>
      <c r="AE73" s="195"/>
      <c r="AF73" s="195"/>
      <c r="AG73" s="195"/>
      <c r="AH73" s="195"/>
      <c r="AI73" s="195"/>
      <c r="AJ73" s="195"/>
      <c r="AK73" s="195"/>
      <c r="AL73" s="195"/>
      <c r="AM73" s="195"/>
      <c r="AN73" s="195"/>
      <c r="AO73" s="195"/>
      <c r="AP73" s="195"/>
      <c r="AQ73" s="195"/>
      <c r="AR73" s="195"/>
      <c r="AS73" s="195"/>
      <c r="AT73" s="195"/>
      <c r="AU73" s="195"/>
      <c r="AV73" s="195"/>
      <c r="AW73" s="195"/>
      <c r="AX73" s="195"/>
      <c r="AY73" s="195"/>
      <c r="AZ73" s="195"/>
      <c r="BA73" s="195"/>
      <c r="BB73" s="195"/>
      <c r="BC73" s="195"/>
    </row>
    <row r="74" spans="1:55" ht="15" customHeight="1" x14ac:dyDescent="0.25">
      <c r="B74" s="195"/>
      <c r="D74" s="11"/>
      <c r="F74" s="93" t="str">
        <f>_xll.BDP("ED3 comdty","FUT_CUR_GEN_TICKER")</f>
        <v>EDM7</v>
      </c>
      <c r="G74" s="127" t="str">
        <f>_xll.BDP(F74&amp;" comdty","FUT_MONTH_YR")</f>
        <v>JUN 17</v>
      </c>
      <c r="H74" s="42">
        <f>_xll.BDP($F74&amp;" comdty","bid")</f>
        <v>98.93</v>
      </c>
      <c r="I74" s="42">
        <f>_xll.BDP($F74&amp;" comdty","ASK")</f>
        <v>98.935000000000002</v>
      </c>
      <c r="J74" s="42">
        <f>_xll.BDP($F74&amp;" comdty","last price")</f>
        <v>98.93</v>
      </c>
      <c r="K74" s="122" t="str">
        <f>_xll.BDP("FF3 comdty","FUT_CUR_GEN_TICKER")</f>
        <v>FFZ6</v>
      </c>
      <c r="L74" s="127" t="str">
        <f>_xll.BDP($K74&amp;" comdty","FUT_MONTH_YR")</f>
        <v>DEC 16</v>
      </c>
      <c r="M74" s="42">
        <f>_xll.BDP($K74&amp;" comdty","bid")</f>
        <v>99.495000000000005</v>
      </c>
      <c r="N74" s="42">
        <f>_xll.BDP($K74&amp;" comdty","ASK")</f>
        <v>99.5</v>
      </c>
      <c r="O74" s="42">
        <f>_xll.BDP($K74&amp;" comdty","last price")</f>
        <v>99.5</v>
      </c>
      <c r="P74" s="122" t="str">
        <f>_xll.BDP("EM3 comdty","FUT_CUR_GEN_TICKER")</f>
        <v>EMZ6</v>
      </c>
      <c r="Q74" s="127" t="str">
        <f>_xll.BDP($P74&amp;" comdty","FUT_MONTH_YR")</f>
        <v>DEC 16</v>
      </c>
      <c r="R74" s="42" t="str">
        <f>_xll.BDP($P74&amp;" comdty","bid")</f>
        <v>#N/A N/A</v>
      </c>
      <c r="S74" s="42" t="str">
        <f>_xll.BDP($P74&amp;" comdty","ASK")</f>
        <v>#N/A N/A</v>
      </c>
      <c r="T74" s="42">
        <f>_xll.BDP($P74&amp;" comdty","last price")</f>
        <v>99.325000000000003</v>
      </c>
      <c r="U74" s="122" t="str">
        <f>_xll.BDP("ER3 comdty","FUT_CUR_GEN_TICKER")</f>
        <v>ERM7</v>
      </c>
      <c r="V74" s="127" t="str">
        <f>_xll.BDP($U74&amp;" comdty","FUT_MONTH_YR")</f>
        <v>JUN 17</v>
      </c>
      <c r="W74" s="42">
        <f>_xll.BDP($U74&amp;" comdty","bid")</f>
        <v>100.31</v>
      </c>
      <c r="X74" s="42">
        <f>_xll.BDP($U74&amp;" comdty","ASK")</f>
        <v>100.315</v>
      </c>
      <c r="Y74" s="43">
        <f>_xll.BDP($U74&amp;" comdty","last price")</f>
        <v>100.31</v>
      </c>
      <c r="Z74" s="16"/>
      <c r="AA74" s="15"/>
      <c r="AB74" s="15"/>
      <c r="AC74" s="195"/>
      <c r="AD74" s="195"/>
      <c r="AE74" s="195"/>
      <c r="AF74" s="195"/>
      <c r="AG74" s="195"/>
      <c r="AH74" s="195"/>
      <c r="AI74" s="195"/>
      <c r="AJ74" s="195"/>
      <c r="AK74" s="195"/>
      <c r="AL74" s="195"/>
      <c r="AM74" s="195"/>
      <c r="AN74" s="195"/>
      <c r="AO74" s="195"/>
      <c r="AP74" s="195"/>
      <c r="AQ74" s="195"/>
      <c r="AR74" s="195"/>
      <c r="AS74" s="195"/>
      <c r="AT74" s="195"/>
      <c r="AU74" s="195"/>
      <c r="AV74" s="195"/>
      <c r="AW74" s="195"/>
      <c r="AX74" s="195"/>
      <c r="AY74" s="195"/>
      <c r="AZ74" s="195"/>
      <c r="BA74" s="195"/>
      <c r="BB74" s="195"/>
      <c r="BC74" s="195"/>
    </row>
    <row r="75" spans="1:55" ht="15" customHeight="1" x14ac:dyDescent="0.25">
      <c r="B75" s="195"/>
      <c r="D75" s="11"/>
      <c r="F75" s="93" t="str">
        <f>_xll.BDP("ED4 comdty","FUT_CUR_GEN_TICKER")</f>
        <v>EDU7</v>
      </c>
      <c r="G75" s="126" t="str">
        <f>_xll.BDP(F75&amp;" comdty","FUT_MONTH_YR")</f>
        <v>SEP 17</v>
      </c>
      <c r="H75" s="54">
        <f>_xll.BDP($F75&amp;" comdty","bid")</f>
        <v>98.88</v>
      </c>
      <c r="I75" s="54">
        <f>_xll.BDP($F75&amp;" comdty","ASK")</f>
        <v>98.885000000000005</v>
      </c>
      <c r="J75" s="54">
        <f>_xll.BDP($F75&amp;" comdty","last price")</f>
        <v>98.885000000000005</v>
      </c>
      <c r="K75" s="122" t="str">
        <f>_xll.BDP("FF4 comdty","FUT_CUR_GEN_TICKER")</f>
        <v>FFF7</v>
      </c>
      <c r="L75" s="126" t="str">
        <f>_xll.BDP($K75&amp;" comdty","FUT_MONTH_YR")</f>
        <v>JAN 17</v>
      </c>
      <c r="M75" s="54">
        <f>_xll.BDP($K75&amp;" comdty","bid")</f>
        <v>99.424999999999997</v>
      </c>
      <c r="N75" s="54">
        <f>_xll.BDP($K75&amp;" comdty","ASK")</f>
        <v>99.43</v>
      </c>
      <c r="O75" s="54">
        <f>_xll.BDP($K75&amp;" comdty","last price")</f>
        <v>99.43</v>
      </c>
      <c r="P75" s="122" t="str">
        <f>_xll.BDP("EM4 comdty","FUT_CUR_GEN_TICKER")</f>
        <v>EMF7</v>
      </c>
      <c r="Q75" s="126" t="str">
        <f>_xll.BDP($P75&amp;" comdty","FUT_MONTH_YR")</f>
        <v>JAN 17</v>
      </c>
      <c r="R75" s="54" t="str">
        <f>_xll.BDP($P75&amp;" comdty","bid")</f>
        <v>#N/A N/A</v>
      </c>
      <c r="S75" s="54" t="str">
        <f>_xll.BDP($P75&amp;" comdty","ASK")</f>
        <v>#N/A N/A</v>
      </c>
      <c r="T75" s="54">
        <f>_xll.BDP($P75&amp;" comdty","last price")</f>
        <v>99.307500000000005</v>
      </c>
      <c r="U75" s="122" t="str">
        <f>_xll.BDP("ER4 comdty","FUT_CUR_GEN_TICKER")</f>
        <v>ERU7</v>
      </c>
      <c r="V75" s="126" t="str">
        <f>_xll.BDP($U75&amp;" comdty","FUT_MONTH_YR")</f>
        <v>SEP 17</v>
      </c>
      <c r="W75" s="54">
        <f>_xll.BDP($U75&amp;" comdty","bid")</f>
        <v>100.32</v>
      </c>
      <c r="X75" s="54">
        <f>_xll.BDP($U75&amp;" comdty","ASK")</f>
        <v>100.325</v>
      </c>
      <c r="Y75" s="55">
        <f>_xll.BDP($U75&amp;" comdty","last price")</f>
        <v>100.32</v>
      </c>
      <c r="Z75" s="16"/>
      <c r="AA75" s="15"/>
      <c r="AB75" s="15"/>
      <c r="AC75" s="195"/>
      <c r="AD75" s="195"/>
      <c r="AE75" s="195"/>
      <c r="AF75" s="195"/>
      <c r="AG75" s="195"/>
      <c r="AH75" s="195"/>
      <c r="AI75" s="195"/>
      <c r="AJ75" s="195"/>
      <c r="AK75" s="195"/>
      <c r="AL75" s="195"/>
      <c r="AM75" s="195"/>
      <c r="AN75" s="195"/>
      <c r="AO75" s="195"/>
      <c r="AP75" s="195"/>
      <c r="AQ75" s="195"/>
      <c r="AR75" s="195"/>
      <c r="AS75" s="195"/>
      <c r="AT75" s="195"/>
      <c r="AU75" s="195"/>
      <c r="AV75" s="195"/>
      <c r="AW75" s="195"/>
      <c r="AX75" s="195"/>
      <c r="AY75" s="195"/>
      <c r="AZ75" s="195"/>
      <c r="BA75" s="195"/>
      <c r="BB75" s="195"/>
      <c r="BC75" s="195"/>
    </row>
    <row r="76" spans="1:55" ht="15" customHeight="1" x14ac:dyDescent="0.25">
      <c r="B76" s="195"/>
      <c r="D76" s="11"/>
      <c r="F76" s="93" t="str">
        <f>_xll.BDP("ED5 comdty","FUT_CUR_GEN_TICKER")</f>
        <v>EDZ7</v>
      </c>
      <c r="G76" s="127" t="str">
        <f>_xll.BDP(F76&amp;" comdty","FUT_MONTH_YR")</f>
        <v>DEC 17</v>
      </c>
      <c r="H76" s="42">
        <f>_xll.BDP($F76&amp;" comdty","bid")</f>
        <v>98.83</v>
      </c>
      <c r="I76" s="42">
        <f>_xll.BDP($F76&amp;" comdty","ASK")</f>
        <v>98.834999999999994</v>
      </c>
      <c r="J76" s="42">
        <f>_xll.BDP($F76&amp;" comdty","last price")</f>
        <v>98.83</v>
      </c>
      <c r="K76" s="122" t="str">
        <f>_xll.BDP("FF5 comdty","FUT_CUR_GEN_TICKER")</f>
        <v>FFG7</v>
      </c>
      <c r="L76" s="127" t="str">
        <f>_xll.BDP($K76&amp;" comdty","FUT_MONTH_YR")</f>
        <v>FEB 17</v>
      </c>
      <c r="M76" s="42">
        <f>_xll.BDP($K76&amp;" comdty","bid")</f>
        <v>99.405000000000001</v>
      </c>
      <c r="N76" s="42">
        <f>_xll.BDP($K76&amp;" comdty","ASK")</f>
        <v>99.41</v>
      </c>
      <c r="O76" s="42">
        <f>_xll.BDP($K76&amp;" comdty","last price")</f>
        <v>99.41</v>
      </c>
      <c r="P76" s="122" t="str">
        <f>_xll.BDP("EM5 comdty","FUT_CUR_GEN_TICKER")</f>
        <v>EMG7</v>
      </c>
      <c r="Q76" s="127" t="str">
        <f>_xll.BDP($P76&amp;" comdty","FUT_MONTH_YR")</f>
        <v>FEB 17</v>
      </c>
      <c r="R76" s="42" t="str">
        <f>_xll.BDP($P76&amp;" comdty","bid")</f>
        <v>#N/A N/A</v>
      </c>
      <c r="S76" s="42" t="str">
        <f>_xll.BDP($P76&amp;" comdty","ASK")</f>
        <v>#N/A N/A</v>
      </c>
      <c r="T76" s="42">
        <f>_xll.BDP($P76&amp;" comdty","last price")</f>
        <v>99.3</v>
      </c>
      <c r="U76" s="122" t="str">
        <f>_xll.BDP("ER5 comdty","FUT_CUR_GEN_TICKER")</f>
        <v>ERZ7</v>
      </c>
      <c r="V76" s="127" t="str">
        <f>_xll.BDP($U76&amp;" comdty","FUT_MONTH_YR")</f>
        <v>DEC 17</v>
      </c>
      <c r="W76" s="42">
        <f>_xll.BDP($U76&amp;" comdty","bid")</f>
        <v>100.325</v>
      </c>
      <c r="X76" s="42">
        <f>_xll.BDP($U76&amp;" comdty","ASK")</f>
        <v>100.33</v>
      </c>
      <c r="Y76" s="43">
        <f>_xll.BDP($U76&amp;" comdty","last price")</f>
        <v>100.325</v>
      </c>
      <c r="Z76" s="16"/>
      <c r="AA76" s="15"/>
      <c r="AB76" s="15"/>
      <c r="AC76" s="195"/>
      <c r="AD76" s="195"/>
      <c r="AE76" s="195"/>
      <c r="AF76" s="195"/>
      <c r="AG76" s="195"/>
      <c r="AH76" s="195"/>
      <c r="AI76" s="195"/>
      <c r="AJ76" s="195"/>
      <c r="AK76" s="195"/>
      <c r="AL76" s="195"/>
      <c r="AM76" s="195"/>
      <c r="AN76" s="195"/>
      <c r="AO76" s="195"/>
      <c r="AP76" s="195"/>
      <c r="AQ76" s="195"/>
      <c r="AR76" s="195"/>
      <c r="AS76" s="195"/>
      <c r="AT76" s="195"/>
      <c r="AU76" s="195"/>
      <c r="AV76" s="195"/>
      <c r="AW76" s="195"/>
      <c r="AX76" s="195"/>
      <c r="AY76" s="195"/>
      <c r="AZ76" s="195"/>
      <c r="BA76" s="195"/>
      <c r="BB76" s="195"/>
      <c r="BC76" s="195"/>
    </row>
    <row r="77" spans="1:55" ht="15" customHeight="1" x14ac:dyDescent="0.2">
      <c r="B77" s="195"/>
      <c r="D77" s="11"/>
      <c r="F77" s="93" t="str">
        <f>_xll.BDP("ED6 comdty","FUT_CUR_GEN_TICKER")</f>
        <v>EDH8</v>
      </c>
      <c r="G77" s="126" t="str">
        <f>_xll.BDP(F77&amp;" comdty","FUT_MONTH_YR")</f>
        <v>MAR 18</v>
      </c>
      <c r="H77" s="54">
        <f>_xll.BDP($F77&amp;" comdty","bid")</f>
        <v>98.795000000000002</v>
      </c>
      <c r="I77" s="54">
        <f>_xll.BDP($F77&amp;" comdty","ASK")</f>
        <v>98.8</v>
      </c>
      <c r="J77" s="54">
        <f>_xll.BDP($F77&amp;" comdty","last price")</f>
        <v>98.795000000000002</v>
      </c>
      <c r="K77" s="122" t="str">
        <f>_xll.BDP("FF6 comdty","FUT_CUR_GEN_TICKER")</f>
        <v>FFH7</v>
      </c>
      <c r="L77" s="126" t="str">
        <f>_xll.BDP($K77&amp;" comdty","FUT_MONTH_YR")</f>
        <v>MAR 17</v>
      </c>
      <c r="M77" s="54">
        <f>_xll.BDP($K77&amp;" comdty","bid")</f>
        <v>99.375</v>
      </c>
      <c r="N77" s="54">
        <f>_xll.BDP($K77&amp;" comdty","ASK")</f>
        <v>99.38</v>
      </c>
      <c r="O77" s="54">
        <f>_xll.BDP($K77&amp;" comdty","last price")</f>
        <v>99.375</v>
      </c>
      <c r="P77" s="122" t="str">
        <f>_xll.BDP("EM6 comdty","FUT_CUR_GEN_TICKER")</f>
        <v>EMH7</v>
      </c>
      <c r="Q77" s="126" t="str">
        <f>_xll.BDP($P77&amp;" comdty","FUT_MONTH_YR")</f>
        <v>MAR 17</v>
      </c>
      <c r="R77" s="54" t="str">
        <f>_xll.BDP($P77&amp;" comdty","bid")</f>
        <v>#N/A N/A</v>
      </c>
      <c r="S77" s="54" t="str">
        <f>_xll.BDP($P77&amp;" comdty","ASK")</f>
        <v>#N/A N/A</v>
      </c>
      <c r="T77" s="54">
        <f>_xll.BDP($P77&amp;" comdty","last price")</f>
        <v>99.247500000000002</v>
      </c>
      <c r="U77" s="122" t="str">
        <f>_xll.BDP("ER6 comdty","FUT_CUR_GEN_TICKER")</f>
        <v>ERH8</v>
      </c>
      <c r="V77" s="126" t="str">
        <f>_xll.BDP($U77&amp;" comdty","FUT_MONTH_YR")</f>
        <v>MAR 18</v>
      </c>
      <c r="W77" s="54">
        <f>_xll.BDP($U77&amp;" comdty","bid")</f>
        <v>100.325</v>
      </c>
      <c r="X77" s="54">
        <f>_xll.BDP($U77&amp;" comdty","ASK")</f>
        <v>100.33</v>
      </c>
      <c r="Y77" s="55">
        <f>_xll.BDP($U77&amp;" comdty","last price")</f>
        <v>100.33</v>
      </c>
      <c r="Z77" s="11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L77" s="195"/>
      <c r="AM77" s="195"/>
      <c r="AN77" s="195"/>
      <c r="AO77" s="195"/>
      <c r="AP77" s="195"/>
      <c r="AQ77" s="195"/>
      <c r="AR77" s="195"/>
      <c r="AS77" s="195"/>
      <c r="AT77" s="195"/>
      <c r="AU77" s="195"/>
      <c r="AV77" s="195"/>
      <c r="AW77" s="195"/>
      <c r="AX77" s="195"/>
      <c r="AY77" s="195"/>
      <c r="AZ77" s="195"/>
      <c r="BA77" s="195"/>
      <c r="BB77" s="195"/>
      <c r="BC77" s="195"/>
    </row>
    <row r="78" spans="1:55" ht="15" customHeight="1" x14ac:dyDescent="0.2">
      <c r="B78" s="195"/>
      <c r="D78" s="11"/>
      <c r="F78" s="93" t="str">
        <f>_xll.BDP("ED7 comdty","FUT_CUR_GEN_TICKER")</f>
        <v>EDM8</v>
      </c>
      <c r="G78" s="127" t="str">
        <f>_xll.BDP(F78&amp;" comdty","FUT_MONTH_YR")</f>
        <v>JUN 18</v>
      </c>
      <c r="H78" s="42">
        <f>_xll.BDP($F78&amp;" comdty","bid")</f>
        <v>98.754999999999995</v>
      </c>
      <c r="I78" s="42">
        <f>_xll.BDP($F78&amp;" comdty","ASK")</f>
        <v>98.76</v>
      </c>
      <c r="J78" s="42">
        <f>_xll.BDP($F78&amp;" comdty","last price")</f>
        <v>98.754999999999995</v>
      </c>
      <c r="K78" s="122" t="str">
        <f>_xll.BDP("FF7 comdty","FUT_CUR_GEN_TICKER")</f>
        <v>FFJ7</v>
      </c>
      <c r="L78" s="127" t="str">
        <f>_xll.BDP($K78&amp;" comdty","FUT_MONTH_YR")</f>
        <v>APR 17</v>
      </c>
      <c r="M78" s="42">
        <f>_xll.BDP($K78&amp;" comdty","bid")</f>
        <v>99.355000000000004</v>
      </c>
      <c r="N78" s="42">
        <f>_xll.BDP($K78&amp;" comdty","ASK")</f>
        <v>99.36</v>
      </c>
      <c r="O78" s="42">
        <f>_xll.BDP($K78&amp;" comdty","last price")</f>
        <v>99.36</v>
      </c>
      <c r="P78" s="122" t="str">
        <f>_xll.BDP("EM7 comdty","FUT_CUR_GEN_TICKER")</f>
        <v>EMJ7</v>
      </c>
      <c r="Q78" s="127" t="str">
        <f>_xll.BDP($P78&amp;" comdty","FUT_MONTH_YR")</f>
        <v>APR 17</v>
      </c>
      <c r="R78" s="42" t="str">
        <f>_xll.BDP($P78&amp;" comdty","bid")</f>
        <v>#N/A N/A</v>
      </c>
      <c r="S78" s="42" t="str">
        <f>_xll.BDP($P78&amp;" comdty","ASK")</f>
        <v>#N/A N/A</v>
      </c>
      <c r="T78" s="42">
        <f>_xll.BDP($P78&amp;" comdty","last price")</f>
        <v>99.23</v>
      </c>
      <c r="U78" s="122" t="str">
        <f>_xll.BDP("ER7 comdty","FUT_CUR_GEN_TICKER")</f>
        <v>ERM8</v>
      </c>
      <c r="V78" s="127" t="str">
        <f>_xll.BDP($U78&amp;" comdty","FUT_MONTH_YR")</f>
        <v>JUN 18</v>
      </c>
      <c r="W78" s="42">
        <f>_xll.BDP($U78&amp;" comdty","bid")</f>
        <v>100.32</v>
      </c>
      <c r="X78" s="42">
        <f>_xll.BDP($U78&amp;" comdty","ASK")</f>
        <v>100.33</v>
      </c>
      <c r="Y78" s="43">
        <f>_xll.BDP($U78&amp;" comdty","last price")</f>
        <v>100.325</v>
      </c>
      <c r="Z78" s="11"/>
      <c r="AA78" s="195"/>
      <c r="AB78" s="195"/>
      <c r="AC78" s="195"/>
      <c r="AD78" s="195"/>
      <c r="AE78" s="195"/>
      <c r="AF78" s="195"/>
      <c r="AG78" s="195"/>
      <c r="AH78" s="195"/>
      <c r="AI78" s="195"/>
      <c r="AJ78" s="195"/>
      <c r="AK78" s="195"/>
      <c r="AL78" s="195"/>
      <c r="AM78" s="195"/>
      <c r="AN78" s="195"/>
      <c r="AO78" s="195"/>
      <c r="AP78" s="195"/>
      <c r="AQ78" s="195"/>
      <c r="AR78" s="195"/>
      <c r="AS78" s="195"/>
      <c r="AT78" s="195"/>
      <c r="AU78" s="195"/>
      <c r="AV78" s="195"/>
      <c r="AW78" s="195"/>
      <c r="AX78" s="195"/>
      <c r="AY78" s="195"/>
      <c r="AZ78" s="195"/>
      <c r="BA78" s="195"/>
      <c r="BB78" s="195"/>
      <c r="BC78" s="195"/>
    </row>
    <row r="79" spans="1:55" ht="15" customHeight="1" x14ac:dyDescent="0.2">
      <c r="B79" s="195"/>
      <c r="D79" s="11"/>
      <c r="F79" s="93" t="str">
        <f>_xll.BDP("ED8 comdty","FUT_CUR_GEN_TICKER")</f>
        <v>EDU8</v>
      </c>
      <c r="G79" s="126" t="str">
        <f>_xll.BDP(F79&amp;" comdty","FUT_MONTH_YR")</f>
        <v>SEP 18</v>
      </c>
      <c r="H79" s="54">
        <f>_xll.BDP($F79&amp;" comdty","bid")</f>
        <v>98.71</v>
      </c>
      <c r="I79" s="54">
        <f>_xll.BDP($F79&amp;" comdty","ASK")</f>
        <v>98.715000000000003</v>
      </c>
      <c r="J79" s="54">
        <f>_xll.BDP($F79&amp;" comdty","last price")</f>
        <v>98.71</v>
      </c>
      <c r="K79" s="122" t="str">
        <f>_xll.BDP("FF8 comdty","FUT_CUR_GEN_TICKER")</f>
        <v>FFK7</v>
      </c>
      <c r="L79" s="126" t="str">
        <f>_xll.BDP($K79&amp;" comdty","FUT_MONTH_YR")</f>
        <v>MAY 17</v>
      </c>
      <c r="M79" s="54">
        <f>_xll.BDP($K79&amp;" comdty","bid")</f>
        <v>99.334999999999994</v>
      </c>
      <c r="N79" s="54">
        <f>_xll.BDP($K79&amp;" comdty","ASK")</f>
        <v>99.344999999999999</v>
      </c>
      <c r="O79" s="54">
        <f>_xll.BDP($K79&amp;" comdty","last price")</f>
        <v>99.34</v>
      </c>
      <c r="P79" s="122" t="str">
        <f>_xll.BDP("EM8 comdty","FUT_CUR_GEN_TICKER")</f>
        <v>EMK7</v>
      </c>
      <c r="Q79" s="126" t="str">
        <f>_xll.BDP($P79&amp;" comdty","FUT_MONTH_YR")</f>
        <v>MAY 17</v>
      </c>
      <c r="R79" s="54" t="str">
        <f>_xll.BDP($P79&amp;" comdty","bid")</f>
        <v>#N/A N/A</v>
      </c>
      <c r="S79" s="54" t="str">
        <f>_xll.BDP($P79&amp;" comdty","ASK")</f>
        <v>#N/A N/A</v>
      </c>
      <c r="T79" s="54">
        <f>_xll.BDP($P79&amp;" comdty","last price")</f>
        <v>99.21</v>
      </c>
      <c r="U79" s="122" t="str">
        <f>_xll.BDP("ER8 comdty","FUT_CUR_GEN_TICKER")</f>
        <v>ERU8</v>
      </c>
      <c r="V79" s="126" t="str">
        <f>_xll.BDP($U79&amp;" comdty","FUT_MONTH_YR")</f>
        <v>SEP 18</v>
      </c>
      <c r="W79" s="54">
        <f>_xll.BDP($U79&amp;" comdty","bid")</f>
        <v>100.315</v>
      </c>
      <c r="X79" s="54">
        <f>_xll.BDP($U79&amp;" comdty","ASK")</f>
        <v>100.32</v>
      </c>
      <c r="Y79" s="55">
        <f>_xll.BDP($U79&amp;" comdty","last price")</f>
        <v>100.315</v>
      </c>
      <c r="Z79" s="11"/>
      <c r="AA79" s="195"/>
      <c r="AB79" s="195"/>
      <c r="AC79" s="195"/>
      <c r="AD79" s="195"/>
      <c r="AE79" s="195"/>
      <c r="AF79" s="195"/>
      <c r="AG79" s="195"/>
      <c r="AH79" s="195"/>
      <c r="AI79" s="195"/>
      <c r="AJ79" s="195"/>
      <c r="AK79" s="195"/>
      <c r="AL79" s="195"/>
      <c r="AM79" s="195"/>
      <c r="AN79" s="195"/>
      <c r="AO79" s="195"/>
      <c r="AP79" s="195"/>
      <c r="AQ79" s="195"/>
      <c r="AR79" s="195"/>
      <c r="AS79" s="195"/>
      <c r="AT79" s="195"/>
      <c r="AU79" s="195"/>
      <c r="AV79" s="195"/>
      <c r="AW79" s="195"/>
      <c r="AX79" s="195"/>
      <c r="AY79" s="195"/>
      <c r="AZ79" s="195"/>
      <c r="BA79" s="195"/>
      <c r="BB79" s="195"/>
      <c r="BC79" s="195"/>
    </row>
    <row r="80" spans="1:55" ht="15" customHeight="1" x14ac:dyDescent="0.2">
      <c r="B80" s="195"/>
      <c r="D80" s="11"/>
      <c r="F80" s="93" t="str">
        <f>_xll.BDP("ED9 comdty","FUT_CUR_GEN_TICKER")</f>
        <v>EDZ8</v>
      </c>
      <c r="G80" s="127" t="str">
        <f>_xll.BDP(F80&amp;" comdty","FUT_MONTH_YR")</f>
        <v>DEC 18</v>
      </c>
      <c r="H80" s="42">
        <f>_xll.BDP($F80&amp;" comdty","bid")</f>
        <v>98.66</v>
      </c>
      <c r="I80" s="42">
        <f>_xll.BDP($F80&amp;" comdty","ASK")</f>
        <v>98.665000000000006</v>
      </c>
      <c r="J80" s="42">
        <f>_xll.BDP($F80&amp;" comdty","last price")</f>
        <v>98.66</v>
      </c>
      <c r="K80" s="122" t="str">
        <f>_xll.BDP("FF9 comdty","FUT_CUR_GEN_TICKER")</f>
        <v>FFM7</v>
      </c>
      <c r="L80" s="127" t="str">
        <f>_xll.BDP($K80&amp;" comdty","FUT_MONTH_YR")</f>
        <v>JUN 17</v>
      </c>
      <c r="M80" s="42">
        <f>_xll.BDP($K80&amp;" comdty","bid")</f>
        <v>99.305000000000007</v>
      </c>
      <c r="N80" s="42">
        <f>_xll.BDP($K80&amp;" comdty","ASK")</f>
        <v>99.314999999999998</v>
      </c>
      <c r="O80" s="42">
        <f>_xll.BDP($K80&amp;" comdty","last price")</f>
        <v>99.31</v>
      </c>
      <c r="P80" s="122" t="str">
        <f>_xll.BDP("EM9 comdty","FUT_CUR_GEN_TICKER")</f>
        <v>EMM7</v>
      </c>
      <c r="Q80" s="127" t="str">
        <f>_xll.BDP($P80&amp;" comdty","FUT_MONTH_YR")</f>
        <v>JUN 17</v>
      </c>
      <c r="R80" s="42" t="str">
        <f>_xll.BDP($P80&amp;" comdty","bid")</f>
        <v>#N/A N/A</v>
      </c>
      <c r="S80" s="42" t="str">
        <f>_xll.BDP($P80&amp;" comdty","ASK")</f>
        <v>#N/A N/A</v>
      </c>
      <c r="T80" s="42">
        <f>_xll.BDP($P80&amp;" comdty","last price")</f>
        <v>99.167500000000004</v>
      </c>
      <c r="U80" s="122" t="str">
        <f>_xll.BDP("ER9 comdty","FUT_CUR_GEN_TICKER")</f>
        <v>ERZ8</v>
      </c>
      <c r="V80" s="127" t="str">
        <f>_xll.BDP($U80&amp;" comdty","FUT_MONTH_YR")</f>
        <v>DEC 18</v>
      </c>
      <c r="W80" s="42">
        <f>_xll.BDP($U80&amp;" comdty","bid")</f>
        <v>100.3</v>
      </c>
      <c r="X80" s="42">
        <f>_xll.BDP($U80&amp;" comdty","ASK")</f>
        <v>100.30500000000001</v>
      </c>
      <c r="Y80" s="43">
        <f>_xll.BDP($U80&amp;" comdty","last price")</f>
        <v>100.3</v>
      </c>
      <c r="Z80" s="11"/>
      <c r="AA80" s="195"/>
      <c r="AB80" s="195"/>
      <c r="AC80" s="195"/>
      <c r="AD80" s="195"/>
      <c r="AE80" s="195"/>
      <c r="AF80" s="195"/>
      <c r="AG80" s="195"/>
      <c r="AH80" s="195"/>
      <c r="AI80" s="195"/>
      <c r="AJ80" s="195"/>
      <c r="AK80" s="195"/>
      <c r="AL80" s="195"/>
      <c r="AM80" s="195"/>
      <c r="AN80" s="195"/>
      <c r="AO80" s="195"/>
      <c r="AP80" s="195"/>
      <c r="AQ80" s="195"/>
      <c r="AR80" s="195"/>
      <c r="AS80" s="195"/>
      <c r="AT80" s="195"/>
      <c r="AU80" s="195"/>
      <c r="AV80" s="195"/>
      <c r="AW80" s="195"/>
      <c r="AX80" s="195"/>
      <c r="AY80" s="195"/>
      <c r="AZ80" s="195"/>
      <c r="BA80" s="195"/>
      <c r="BB80" s="195"/>
      <c r="BC80" s="195"/>
    </row>
    <row r="81" spans="1:55" ht="15" customHeight="1" x14ac:dyDescent="0.2">
      <c r="B81" s="195"/>
      <c r="D81" s="11"/>
      <c r="F81" s="93" t="str">
        <f>_xll.BDP("ED10 comdty","FUT_CUR_GEN_TICKER")</f>
        <v>EDH9</v>
      </c>
      <c r="G81" s="126" t="str">
        <f>_xll.BDP(F81&amp;" comdty","FUT_MONTH_YR")</f>
        <v>MAR 19</v>
      </c>
      <c r="H81" s="54">
        <f>_xll.BDP($F81&amp;" comdty","bid")</f>
        <v>98.625</v>
      </c>
      <c r="I81" s="54">
        <f>_xll.BDP($F81&amp;" comdty","ASK")</f>
        <v>98.63</v>
      </c>
      <c r="J81" s="54">
        <f>_xll.BDP($F81&amp;" comdty","last price")</f>
        <v>98.63</v>
      </c>
      <c r="K81" s="122" t="str">
        <f>_xll.BDP("FF10 comdty","FUT_CUR_GEN_TICKER")</f>
        <v>FFN7</v>
      </c>
      <c r="L81" s="126" t="str">
        <f>_xll.BDP($K81&amp;" comdty","FUT_MONTH_YR")</f>
        <v>JUL 17</v>
      </c>
      <c r="M81" s="54">
        <f>_xll.BDP($K81&amp;" comdty","bid")</f>
        <v>99.29</v>
      </c>
      <c r="N81" s="54">
        <f>_xll.BDP($K81&amp;" comdty","ASK")</f>
        <v>99.295000000000002</v>
      </c>
      <c r="O81" s="54">
        <f>_xll.BDP($K81&amp;" comdty","last price")</f>
        <v>99.295000000000002</v>
      </c>
      <c r="P81" s="122" t="str">
        <f>_xll.BDP("EM10 comdty","FUT_CUR_GEN_TICKER")</f>
        <v>EMN7</v>
      </c>
      <c r="Q81" s="126" t="str">
        <f>_xll.BDP($P81&amp;" comdty","FUT_MONTH_YR")</f>
        <v>JUL 17</v>
      </c>
      <c r="R81" s="54" t="str">
        <f>_xll.BDP($P81&amp;" comdty","bid")</f>
        <v>#N/A N/A</v>
      </c>
      <c r="S81" s="54" t="str">
        <f>_xll.BDP($P81&amp;" comdty","ASK")</f>
        <v>#N/A N/A</v>
      </c>
      <c r="T81" s="54">
        <f>_xll.BDP($P81&amp;" comdty","last price")</f>
        <v>99.157499999999999</v>
      </c>
      <c r="U81" s="122" t="str">
        <f>_xll.BDP("ER10 comdty","FUT_CUR_GEN_TICKER")</f>
        <v>ERH9</v>
      </c>
      <c r="V81" s="126" t="str">
        <f>_xll.BDP($U81&amp;" comdty","FUT_MONTH_YR")</f>
        <v>MAR 19</v>
      </c>
      <c r="W81" s="54">
        <f>_xll.BDP($U81&amp;" comdty","bid")</f>
        <v>100.27500000000001</v>
      </c>
      <c r="X81" s="54">
        <f>_xll.BDP($U81&amp;" comdty","ASK")</f>
        <v>100.28</v>
      </c>
      <c r="Y81" s="55">
        <f>_xll.BDP($U81&amp;" comdty","last price")</f>
        <v>100.28</v>
      </c>
      <c r="Z81" s="11"/>
      <c r="AA81" s="195"/>
      <c r="AB81" s="195"/>
      <c r="AC81" s="195"/>
      <c r="AD81" s="195"/>
      <c r="AE81" s="195"/>
      <c r="AF81" s="195"/>
      <c r="AG81" s="195"/>
      <c r="AH81" s="195"/>
      <c r="AI81" s="195"/>
      <c r="AJ81" s="195"/>
      <c r="AK81" s="195"/>
      <c r="AL81" s="195"/>
      <c r="AM81" s="195"/>
      <c r="AN81" s="195"/>
      <c r="AO81" s="195"/>
      <c r="AP81" s="195"/>
      <c r="AQ81" s="195"/>
      <c r="AR81" s="195"/>
      <c r="AS81" s="195"/>
      <c r="AT81" s="195"/>
      <c r="AU81" s="195"/>
      <c r="AV81" s="195"/>
      <c r="AW81" s="195"/>
      <c r="AX81" s="195"/>
      <c r="AY81" s="195"/>
      <c r="AZ81" s="195"/>
      <c r="BA81" s="195"/>
      <c r="BB81" s="195"/>
      <c r="BC81" s="195"/>
    </row>
    <row r="82" spans="1:55" ht="15" customHeight="1" x14ac:dyDescent="0.2">
      <c r="B82" s="195"/>
      <c r="D82" s="11"/>
      <c r="F82" s="93" t="str">
        <f>_xll.BDP("ED11 comdty","FUT_CUR_GEN_TICKER")</f>
        <v>EDM9</v>
      </c>
      <c r="G82" s="127" t="str">
        <f>_xll.BDP(F82&amp;" comdty","FUT_MONTH_YR")</f>
        <v>JUN 19</v>
      </c>
      <c r="H82" s="42">
        <f>_xll.BDP($F82&amp;" comdty","bid")</f>
        <v>98.584999999999994</v>
      </c>
      <c r="I82" s="42">
        <f>_xll.BDP($F82&amp;" comdty","ASK")</f>
        <v>98.59</v>
      </c>
      <c r="J82" s="42">
        <f>_xll.BDP($F82&amp;" comdty","last price")</f>
        <v>98.584999999999994</v>
      </c>
      <c r="K82" s="122" t="str">
        <f>_xll.BDP("FF11 comdty","FUT_CUR_GEN_TICKER")</f>
        <v>FFQ7</v>
      </c>
      <c r="L82" s="127" t="str">
        <f>_xll.BDP($K82&amp;" comdty","FUT_MONTH_YR")</f>
        <v>AUG 17</v>
      </c>
      <c r="M82" s="42">
        <f>_xll.BDP($K82&amp;" comdty","bid")</f>
        <v>99.28</v>
      </c>
      <c r="N82" s="42">
        <f>_xll.BDP($K82&amp;" comdty","ASK")</f>
        <v>99.284999999999997</v>
      </c>
      <c r="O82" s="42">
        <f>_xll.BDP($K82&amp;" comdty","last price")</f>
        <v>99.28</v>
      </c>
      <c r="P82" s="122" t="str">
        <f>_xll.BDP("EM11 comdty","FUT_CUR_GEN_TICKER")</f>
        <v>EMQ7</v>
      </c>
      <c r="Q82" s="127" t="str">
        <f>_xll.BDP($P82&amp;" comdty","FUT_MONTH_YR")</f>
        <v>AUG 17</v>
      </c>
      <c r="R82" s="42" t="str">
        <f>_xll.BDP($P82&amp;" comdty","bid")</f>
        <v>#N/A N/A</v>
      </c>
      <c r="S82" s="42" t="str">
        <f>_xll.BDP($P82&amp;" comdty","ASK")</f>
        <v>#N/A N/A</v>
      </c>
      <c r="T82" s="42">
        <f>_xll.BDP($P82&amp;" comdty","last price")</f>
        <v>99.15</v>
      </c>
      <c r="U82" s="122" t="str">
        <f>_xll.BDP("ER11 comdty","FUT_CUR_GEN_TICKER")</f>
        <v>ERM9</v>
      </c>
      <c r="V82" s="127" t="str">
        <f>_xll.BDP($U82&amp;" comdty","FUT_MONTH_YR")</f>
        <v>JUN 19</v>
      </c>
      <c r="W82" s="42">
        <f>_xll.BDP($U82&amp;" comdty","bid")</f>
        <v>100.25</v>
      </c>
      <c r="X82" s="42">
        <f>_xll.BDP($U82&amp;" comdty","ASK")</f>
        <v>100.255</v>
      </c>
      <c r="Y82" s="43">
        <f>_xll.BDP($U82&amp;" comdty","last price")</f>
        <v>100.25</v>
      </c>
      <c r="Z82" s="11"/>
      <c r="AA82" s="195"/>
      <c r="AB82" s="195"/>
      <c r="AC82" s="195"/>
      <c r="AD82" s="195"/>
      <c r="AE82" s="195"/>
      <c r="AF82" s="195"/>
      <c r="AG82" s="195"/>
      <c r="AH82" s="195"/>
      <c r="AI82" s="195"/>
      <c r="AJ82" s="195"/>
      <c r="AK82" s="195"/>
      <c r="AL82" s="195"/>
      <c r="AM82" s="195"/>
      <c r="AN82" s="195"/>
      <c r="AO82" s="195"/>
      <c r="AP82" s="195"/>
      <c r="AQ82" s="195"/>
      <c r="AR82" s="195"/>
      <c r="AS82" s="195"/>
      <c r="AT82" s="195"/>
      <c r="AU82" s="195"/>
      <c r="AV82" s="195"/>
      <c r="AW82" s="195"/>
      <c r="AX82" s="195"/>
      <c r="AY82" s="195"/>
      <c r="AZ82" s="195"/>
      <c r="BA82" s="195"/>
      <c r="BB82" s="195"/>
      <c r="BC82" s="195"/>
    </row>
    <row r="83" spans="1:55" ht="15" customHeight="1" x14ac:dyDescent="0.2">
      <c r="B83" s="195"/>
      <c r="D83" s="11"/>
      <c r="F83" s="103" t="str">
        <f>_xll.BDP("ED12 comdty","FUT_CUR_GEN_TICKER")</f>
        <v>EDU9</v>
      </c>
      <c r="G83" s="128" t="str">
        <f>_xll.BDP(F83&amp;" comdty","FUT_MONTH_YR")</f>
        <v>SEP 19</v>
      </c>
      <c r="H83" s="82">
        <f>_xll.BDP($F83&amp;" comdty","bid")</f>
        <v>98.54</v>
      </c>
      <c r="I83" s="82">
        <f>_xll.BDP($F83&amp;" comdty","ASK")</f>
        <v>98.545000000000002</v>
      </c>
      <c r="J83" s="82">
        <f>_xll.BDP($F83&amp;" comdty","last price")</f>
        <v>98.545000000000002</v>
      </c>
      <c r="K83" s="129" t="str">
        <f>_xll.BDP("FF12 comdty","FUT_CUR_GEN_TICKER")</f>
        <v>FFU7</v>
      </c>
      <c r="L83" s="128" t="str">
        <f>_xll.BDP($K83&amp;" comdty","FUT_MONTH_YR")</f>
        <v>SEP 17</v>
      </c>
      <c r="M83" s="82">
        <f>_xll.BDP($K83&amp;" comdty","bid")</f>
        <v>99.265000000000001</v>
      </c>
      <c r="N83" s="82">
        <f>_xll.BDP($K83&amp;" comdty","ASK")</f>
        <v>99.275000000000006</v>
      </c>
      <c r="O83" s="82">
        <f>_xll.BDP($K83&amp;" comdty","last price")</f>
        <v>99.27</v>
      </c>
      <c r="P83" s="129" t="str">
        <f>_xll.BDP("EM12 comdty","FUT_CUR_GEN_TICKER")</f>
        <v>EMU7</v>
      </c>
      <c r="Q83" s="128" t="str">
        <f>_xll.BDP($P83&amp;" comdty","FUT_MONTH_YR")</f>
        <v>SEP 17</v>
      </c>
      <c r="R83" s="82" t="str">
        <f>_xll.BDP($P83&amp;" comdty","bid")</f>
        <v>#N/A N/A</v>
      </c>
      <c r="S83" s="82" t="str">
        <f>_xll.BDP($P83&amp;" comdty","ASK")</f>
        <v>#N/A N/A</v>
      </c>
      <c r="T83" s="82">
        <f>_xll.BDP($P83&amp;" comdty","last price")</f>
        <v>99.114999999999995</v>
      </c>
      <c r="U83" s="129" t="str">
        <f>_xll.BDP("ER12 comdty","FUT_CUR_GEN_TICKER")</f>
        <v>ERU9</v>
      </c>
      <c r="V83" s="128" t="str">
        <f>_xll.BDP($U83&amp;" comdty","FUT_MONTH_YR")</f>
        <v>SEP 19</v>
      </c>
      <c r="W83" s="82">
        <f>_xll.BDP($U83&amp;" comdty","bid")</f>
        <v>100.22</v>
      </c>
      <c r="X83" s="82">
        <f>_xll.BDP($U83&amp;" comdty","ASK")</f>
        <v>100.22499999999999</v>
      </c>
      <c r="Y83" s="84">
        <f>_xll.BDP($U83&amp;" comdty","last price")</f>
        <v>100.22</v>
      </c>
      <c r="Z83" s="11"/>
      <c r="AA83" s="195"/>
      <c r="AB83" s="195"/>
      <c r="AC83" s="195"/>
      <c r="AD83" s="195"/>
      <c r="AE83" s="195"/>
      <c r="AF83" s="195"/>
      <c r="AG83" s="195"/>
      <c r="AH83" s="195"/>
      <c r="AI83" s="195"/>
      <c r="AJ83" s="195"/>
      <c r="AK83" s="195"/>
      <c r="AL83" s="195"/>
      <c r="AM83" s="195"/>
      <c r="AN83" s="195"/>
      <c r="AO83" s="195"/>
      <c r="AP83" s="195"/>
      <c r="AQ83" s="195"/>
      <c r="AR83" s="195"/>
      <c r="AS83" s="195"/>
      <c r="AT83" s="195"/>
      <c r="AU83" s="195"/>
      <c r="AV83" s="195"/>
      <c r="AW83" s="195"/>
      <c r="AX83" s="195"/>
      <c r="AY83" s="195"/>
      <c r="AZ83" s="195"/>
      <c r="BA83" s="195"/>
      <c r="BB83" s="195"/>
      <c r="BC83" s="195"/>
    </row>
    <row r="84" spans="1:55" ht="15" customHeight="1" x14ac:dyDescent="0.2">
      <c r="B84" s="195"/>
      <c r="D84" s="11"/>
      <c r="F84" s="195"/>
      <c r="G84" s="195"/>
      <c r="H84" s="195"/>
      <c r="I84" s="195"/>
      <c r="J84" s="195"/>
      <c r="K84" s="195"/>
      <c r="L84" s="195"/>
      <c r="M84" s="195"/>
      <c r="N84" s="195"/>
      <c r="O84" s="195"/>
      <c r="P84" s="195"/>
      <c r="Q84" s="195"/>
      <c r="R84" s="195"/>
      <c r="S84" s="195"/>
      <c r="T84" s="195"/>
      <c r="U84" s="195"/>
      <c r="V84" s="195"/>
      <c r="W84" s="195"/>
      <c r="X84" s="195"/>
      <c r="Y84" s="195"/>
      <c r="Z84" s="195"/>
      <c r="AA84" s="195"/>
      <c r="AB84" s="195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</row>
    <row r="85" spans="1:55" s="231" customFormat="1" ht="35.1" customHeight="1" x14ac:dyDescent="0.3">
      <c r="A85" s="228"/>
      <c r="B85" s="228"/>
      <c r="C85" s="229"/>
      <c r="D85" s="229"/>
      <c r="E85" s="229"/>
      <c r="F85" s="230" t="s">
        <v>69</v>
      </c>
      <c r="G85" s="238" t="s">
        <v>9</v>
      </c>
      <c r="H85" s="238"/>
      <c r="I85" s="241"/>
      <c r="J85" s="238" t="s">
        <v>10</v>
      </c>
      <c r="K85" s="238"/>
      <c r="L85" s="241"/>
      <c r="M85" s="238" t="s">
        <v>13</v>
      </c>
      <c r="N85" s="238"/>
      <c r="O85" s="241"/>
      <c r="P85" s="238" t="s">
        <v>12</v>
      </c>
      <c r="Q85" s="238"/>
      <c r="R85" s="241"/>
      <c r="S85" s="238" t="s">
        <v>14</v>
      </c>
      <c r="T85" s="238"/>
      <c r="U85" s="241"/>
      <c r="V85" s="238" t="s">
        <v>68</v>
      </c>
      <c r="W85" s="238"/>
      <c r="X85" s="239"/>
      <c r="Y85" s="228"/>
      <c r="Z85" s="228"/>
      <c r="AA85" s="228"/>
      <c r="AB85" s="228"/>
      <c r="AC85" s="228"/>
      <c r="AD85" s="228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  <c r="AV85" s="228"/>
      <c r="AW85" s="228"/>
      <c r="AX85" s="228"/>
      <c r="AY85" s="228"/>
      <c r="AZ85" s="228"/>
      <c r="BA85" s="228"/>
      <c r="BB85" s="228"/>
      <c r="BC85" s="228"/>
    </row>
    <row r="86" spans="1:55" ht="15" customHeight="1" x14ac:dyDescent="0.25">
      <c r="B86" s="195"/>
      <c r="D86" s="11"/>
      <c r="F86" s="93" t="s">
        <v>74</v>
      </c>
      <c r="G86" s="106" t="s">
        <v>5</v>
      </c>
      <c r="H86" s="106" t="s">
        <v>6</v>
      </c>
      <c r="I86" s="106" t="s">
        <v>75</v>
      </c>
      <c r="J86" s="106" t="s">
        <v>5</v>
      </c>
      <c r="K86" s="106" t="s">
        <v>6</v>
      </c>
      <c r="L86" s="106" t="s">
        <v>75</v>
      </c>
      <c r="M86" s="106" t="s">
        <v>5</v>
      </c>
      <c r="N86" s="106" t="s">
        <v>6</v>
      </c>
      <c r="O86" s="106" t="s">
        <v>75</v>
      </c>
      <c r="P86" s="106" t="s">
        <v>5</v>
      </c>
      <c r="Q86" s="106" t="s">
        <v>6</v>
      </c>
      <c r="R86" s="106" t="s">
        <v>75</v>
      </c>
      <c r="S86" s="106" t="s">
        <v>5</v>
      </c>
      <c r="T86" s="106" t="s">
        <v>6</v>
      </c>
      <c r="U86" s="106" t="s">
        <v>75</v>
      </c>
      <c r="V86" s="106" t="s">
        <v>5</v>
      </c>
      <c r="W86" s="106" t="s">
        <v>6</v>
      </c>
      <c r="X86" s="107" t="s">
        <v>75</v>
      </c>
      <c r="Y86" s="15"/>
      <c r="Z86" s="15"/>
      <c r="AA86" s="15"/>
      <c r="AB86" s="15"/>
      <c r="AC86" s="195"/>
      <c r="AD86" s="195"/>
      <c r="AE86" s="195"/>
      <c r="AF86" s="195"/>
      <c r="AG86" s="195"/>
      <c r="AH86" s="195"/>
      <c r="AI86" s="195"/>
      <c r="AJ86" s="195"/>
      <c r="AK86" s="195"/>
      <c r="AL86" s="195"/>
      <c r="AM86" s="195"/>
      <c r="AN86" s="195"/>
      <c r="AO86" s="195"/>
      <c r="AP86" s="195"/>
      <c r="AQ86" s="195"/>
      <c r="AR86" s="195"/>
      <c r="AS86" s="195"/>
      <c r="AT86" s="195"/>
      <c r="AU86" s="195"/>
      <c r="AV86" s="195"/>
      <c r="AW86" s="195"/>
      <c r="AX86" s="195"/>
      <c r="AY86" s="195"/>
      <c r="AZ86" s="195"/>
      <c r="BA86" s="195"/>
      <c r="BB86" s="195"/>
      <c r="BC86" s="195"/>
    </row>
    <row r="87" spans="1:55" ht="15" customHeight="1" x14ac:dyDescent="0.25">
      <c r="B87" s="195"/>
      <c r="D87" s="11"/>
      <c r="F87" s="130" t="s">
        <v>87</v>
      </c>
      <c r="G87" s="131">
        <f>_xll.BDP($G85&amp;" curncy","bid")</f>
        <v>1.1108</v>
      </c>
      <c r="H87" s="131">
        <f>_xll.BDP($G85&amp;" curncy","ask")</f>
        <v>1.1109</v>
      </c>
      <c r="I87" s="131">
        <f>_xll.BDP($G85&amp;" curncy","last price")</f>
        <v>1.1108</v>
      </c>
      <c r="J87" s="131">
        <f>_xll.BDP($J85&amp;" curncy","bid")</f>
        <v>1.23</v>
      </c>
      <c r="K87" s="131">
        <f>_xll.BDP($J85&amp;" curncy","ask")</f>
        <v>1.2301</v>
      </c>
      <c r="L87" s="131">
        <f>_xll.BDP($J85&amp;" curncy","last price")</f>
        <v>1.23</v>
      </c>
      <c r="M87" s="131">
        <f>_xll.BDP($M85&amp;" curncy","bid")</f>
        <v>1.3210999999999999</v>
      </c>
      <c r="N87" s="131">
        <f>_xll.BDP($M85&amp;" curncy","ask")</f>
        <v>1.3211999999999999</v>
      </c>
      <c r="O87" s="131">
        <f>_xll.BDP($M85&amp;" curncy","last price")</f>
        <v>1.3211999999999999</v>
      </c>
      <c r="P87" s="131">
        <f>_xll.BDP($P85&amp;" curncy","bid")</f>
        <v>103.88</v>
      </c>
      <c r="Q87" s="131">
        <f>_xll.BDP($P85&amp;" curncy","ask")</f>
        <v>103.89</v>
      </c>
      <c r="R87" s="131">
        <f>_xll.BDP($P85&amp;" curncy","last price")</f>
        <v>103.89</v>
      </c>
      <c r="S87" s="131">
        <f>_xll.BDP($S85&amp;" curncy","bid")</f>
        <v>0.9859</v>
      </c>
      <c r="T87" s="131">
        <f>_xll.BDP($S85&amp;" curncy","ask")</f>
        <v>0.98609999999999998</v>
      </c>
      <c r="U87" s="131">
        <f>_xll.BDP($S85&amp;" curncy","last price")</f>
        <v>0.98599999999999999</v>
      </c>
      <c r="V87" s="131">
        <f>_xll.BDP($V85&amp;" curncy","bid")</f>
        <v>0.75490000000000002</v>
      </c>
      <c r="W87" s="131">
        <f>_xll.BDP($V85&amp;" curncy","ask")</f>
        <v>0.755</v>
      </c>
      <c r="X87" s="132">
        <f>_xll.BDP($V85&amp;" curncy","last price")</f>
        <v>0.755</v>
      </c>
      <c r="Y87" s="15"/>
      <c r="Z87" s="15"/>
      <c r="AA87" s="15"/>
      <c r="AB87" s="15"/>
      <c r="AC87" s="195"/>
      <c r="AD87" s="195"/>
      <c r="AE87" s="195"/>
      <c r="AF87" s="195"/>
      <c r="AG87" s="195"/>
      <c r="AH87" s="195"/>
      <c r="AI87" s="195"/>
      <c r="AJ87" s="195"/>
      <c r="AK87" s="195"/>
      <c r="AL87" s="195"/>
      <c r="AM87" s="195"/>
      <c r="AN87" s="195"/>
      <c r="AO87" s="195"/>
      <c r="AP87" s="195"/>
      <c r="AQ87" s="195"/>
      <c r="AR87" s="195"/>
      <c r="AS87" s="195"/>
      <c r="AT87" s="195"/>
      <c r="AU87" s="195"/>
      <c r="AV87" s="195"/>
      <c r="AW87" s="195"/>
      <c r="AX87" s="195"/>
      <c r="AY87" s="195"/>
      <c r="AZ87" s="195"/>
      <c r="BA87" s="195"/>
      <c r="BB87" s="195"/>
      <c r="BC87" s="195"/>
    </row>
    <row r="88" spans="1:55" ht="15" customHeight="1" x14ac:dyDescent="0.25">
      <c r="B88" s="195"/>
      <c r="D88" s="11"/>
      <c r="F88" s="130" t="s">
        <v>78</v>
      </c>
      <c r="G88" s="75">
        <f>_xll.BDP($G$85&amp;"ON Curncy","BID")</f>
        <v>0.34</v>
      </c>
      <c r="H88" s="75">
        <f>_xll.BDP($G$85&amp;"ON Curncy","ask")</f>
        <v>0.37</v>
      </c>
      <c r="I88" s="75">
        <f>_xll.BDP($G$85&amp;"ON Curncy","last price")</f>
        <v>0.35499999999999998</v>
      </c>
      <c r="J88" s="75">
        <f>_xll.BDP($J$85&amp;"ON Curncy","BID")</f>
        <v>2.1000000000000001E-2</v>
      </c>
      <c r="K88" s="75">
        <f>_xll.BDP($J$85&amp;"ON Curncy","ask")</f>
        <v>0.13900000000000001</v>
      </c>
      <c r="L88" s="75">
        <f>_xll.BDP($J$85&amp;"ON Curncy","last price")</f>
        <v>0.08</v>
      </c>
      <c r="M88" s="75">
        <f>_xll.BDP($M$85&amp;"ON Curncy","BID")</f>
        <v>-0.104</v>
      </c>
      <c r="N88" s="75">
        <f>_xll.BDP($M$85&amp;"ON Curncy","ask")</f>
        <v>-2.5999999999999999E-2</v>
      </c>
      <c r="O88" s="75">
        <f>_xll.BDP($M$85&amp;"ON Curncy","last price")</f>
        <v>-6.5000000000000002E-2</v>
      </c>
      <c r="P88" s="75">
        <f>_xll.BDP($P$85&amp;"ON Curncy","BID")</f>
        <v>-0.36899999999999999</v>
      </c>
      <c r="Q88" s="75">
        <f>_xll.BDP($P$85&amp;"ON Curncy","ask")</f>
        <v>-0.26700000000000002</v>
      </c>
      <c r="R88" s="75">
        <f>_xll.BDP($P$85&amp;"ON Curncy","last price")</f>
        <v>-0.318</v>
      </c>
      <c r="S88" s="75">
        <f>_xll.BDP($S$85&amp;"ON Curncy","BID")</f>
        <v>-0.46100000000000002</v>
      </c>
      <c r="T88" s="75">
        <f>_xll.BDP($S$85&amp;"ON Curncy","ask")</f>
        <v>-0.36899999999999999</v>
      </c>
      <c r="U88" s="75">
        <f>_xll.BDP($S$85&amp;"ON Curncy","last price")</f>
        <v>-0.41499999999999998</v>
      </c>
      <c r="V88" s="75">
        <f>_xll.BDP($V$85&amp;"ON Curncy","BID")</f>
        <v>-0.36699999999999999</v>
      </c>
      <c r="W88" s="75">
        <f>_xll.BDP($V$85&amp;"ON Curncy","ask")</f>
        <v>-3.3000000000000002E-2</v>
      </c>
      <c r="X88" s="133">
        <f>_xll.BDP($V$85&amp;"ON Curncy","last price")</f>
        <v>-0.2</v>
      </c>
      <c r="Y88" s="15"/>
      <c r="Z88" s="15"/>
      <c r="AA88" s="15"/>
      <c r="AB88" s="15"/>
      <c r="AC88" s="195"/>
      <c r="AD88" s="195"/>
      <c r="AE88" s="195"/>
      <c r="AF88" s="195"/>
      <c r="AG88" s="195"/>
      <c r="AH88" s="195"/>
      <c r="AI88" s="195"/>
      <c r="AJ88" s="195"/>
      <c r="AK88" s="195"/>
      <c r="AL88" s="195"/>
      <c r="AM88" s="195"/>
      <c r="AN88" s="195"/>
      <c r="AO88" s="195"/>
      <c r="AP88" s="195"/>
      <c r="AQ88" s="195"/>
      <c r="AR88" s="195"/>
      <c r="AS88" s="195"/>
      <c r="AT88" s="195"/>
      <c r="AU88" s="195"/>
      <c r="AV88" s="195"/>
      <c r="AW88" s="195"/>
      <c r="AX88" s="195"/>
      <c r="AY88" s="195"/>
      <c r="AZ88" s="195"/>
      <c r="BA88" s="195"/>
      <c r="BB88" s="195"/>
      <c r="BC88" s="195"/>
    </row>
    <row r="89" spans="1:55" ht="15" customHeight="1" x14ac:dyDescent="0.25">
      <c r="B89" s="195"/>
      <c r="D89" s="11"/>
      <c r="F89" s="130" t="s">
        <v>79</v>
      </c>
      <c r="G89" s="134">
        <f>_xll.BDP($G$85&amp;"TN Curncy","BID")</f>
        <v>0.35299999999999998</v>
      </c>
      <c r="H89" s="134">
        <f>_xll.BDP($G$85&amp;"TN Curncy","ask")</f>
        <v>0.38300000000000001</v>
      </c>
      <c r="I89" s="134">
        <f>_xll.BDP($G$85&amp;"TN Curncy","last price")</f>
        <v>0.36799999999999999</v>
      </c>
      <c r="J89" s="134">
        <f>_xll.BDP($J$85&amp;"TN Curncy","BID")</f>
        <v>6.9000000000000006E-2</v>
      </c>
      <c r="K89" s="134">
        <f>_xll.BDP($J$85&amp;"TN Curncy","ask")</f>
        <v>0.121</v>
      </c>
      <c r="L89" s="134">
        <f>_xll.BDP($J$85&amp;"TN Curncy","last price")</f>
        <v>9.5000000000000001E-2</v>
      </c>
      <c r="M89" s="134">
        <f>_xll.BDP($M$85&amp;"TN Curncy","BID")</f>
        <v>-9.4E-2</v>
      </c>
      <c r="N89" s="134">
        <f>_xll.BDP($M$85&amp;"TN Curncy","ask")</f>
        <v>-3.5999999999999997E-2</v>
      </c>
      <c r="O89" s="134">
        <f>_xll.BDP($M$85&amp;"TN Curncy","last price")</f>
        <v>-6.5000000000000002E-2</v>
      </c>
      <c r="P89" s="134">
        <f>_xll.BDP($P$85&amp;"TN Curncy","BID")</f>
        <v>-0.36799999999999999</v>
      </c>
      <c r="Q89" s="134">
        <f>_xll.BDP($P$85&amp;"TN Curncy","ask")</f>
        <v>-0.28199999999999997</v>
      </c>
      <c r="R89" s="134">
        <f>_xll.BDP($P$85&amp;"TN Curncy","last price")</f>
        <v>-0.32500000000000001</v>
      </c>
      <c r="S89" s="134">
        <f>_xll.BDP($S$85&amp;"TN Curncy","BID")</f>
        <v>-0.48</v>
      </c>
      <c r="T89" s="134">
        <f>_xll.BDP($S$85&amp;"TN Curncy","ask")</f>
        <v>-0.42</v>
      </c>
      <c r="U89" s="134">
        <f>_xll.BDP($S$85&amp;"TN Curncy","last price")</f>
        <v>-0.45</v>
      </c>
      <c r="V89" s="134">
        <f>_xll.BDP($V$85&amp;"TN Curncy","BID")</f>
        <v>-0.25</v>
      </c>
      <c r="W89" s="134">
        <f>_xll.BDP($V$85&amp;"TN Curncy","ask")</f>
        <v>-0.2</v>
      </c>
      <c r="X89" s="92">
        <f>_xll.BDP($V$85&amp;"TN Curncy","last price")</f>
        <v>-0.22500000000000001</v>
      </c>
      <c r="Y89" s="15"/>
      <c r="Z89" s="15"/>
      <c r="AA89" s="15"/>
      <c r="AB89" s="15"/>
      <c r="AC89" s="195"/>
      <c r="AD89" s="195"/>
      <c r="AE89" s="195"/>
      <c r="AF89" s="195"/>
      <c r="AG89" s="195"/>
      <c r="AH89" s="195"/>
      <c r="AI89" s="195"/>
      <c r="AJ89" s="195"/>
      <c r="AK89" s="195"/>
      <c r="AL89" s="195"/>
      <c r="AM89" s="195"/>
      <c r="AN89" s="195"/>
      <c r="AO89" s="195"/>
      <c r="AP89" s="195"/>
      <c r="AQ89" s="195"/>
      <c r="AR89" s="195"/>
      <c r="AS89" s="195"/>
      <c r="AT89" s="195"/>
      <c r="AU89" s="195"/>
      <c r="AV89" s="195"/>
      <c r="AW89" s="195"/>
      <c r="AX89" s="195"/>
      <c r="AY89" s="195"/>
      <c r="AZ89" s="195"/>
      <c r="BA89" s="195"/>
      <c r="BB89" s="195"/>
      <c r="BC89" s="195"/>
    </row>
    <row r="90" spans="1:55" ht="15" customHeight="1" x14ac:dyDescent="0.25">
      <c r="B90" s="195"/>
      <c r="D90" s="11"/>
      <c r="F90" s="130" t="s">
        <v>80</v>
      </c>
      <c r="G90" s="75">
        <f>_xll.BDP($G$85&amp;"1W Curncy","BID")</f>
        <v>2.59</v>
      </c>
      <c r="H90" s="75">
        <f>_xll.BDP($G$85&amp;"1W Curncy","ask")</f>
        <v>2.81</v>
      </c>
      <c r="I90" s="75">
        <f>_xll.BDP($G$85&amp;"1W Curncy","last price")</f>
        <v>2.7</v>
      </c>
      <c r="J90" s="75">
        <f>_xll.BDP($J$85&amp;"1W Curncy","BID")</f>
        <v>0.8</v>
      </c>
      <c r="K90" s="75">
        <f>_xll.BDP($J$85&amp;"1W Curncy","ask")</f>
        <v>1.1399999999999999</v>
      </c>
      <c r="L90" s="75">
        <f>_xll.BDP($J$85&amp;"1W Curncy","last price")</f>
        <v>0.97</v>
      </c>
      <c r="M90" s="75">
        <f>_xll.BDP($M$85&amp;"1W Curncy","BID")</f>
        <v>-0.6</v>
      </c>
      <c r="N90" s="75">
        <f>_xll.BDP($M$85&amp;"1W Curncy","ask")</f>
        <v>-0.18</v>
      </c>
      <c r="O90" s="75">
        <f>_xll.BDP($M$85&amp;"1W Curncy","last price")</f>
        <v>-0.39</v>
      </c>
      <c r="P90" s="75">
        <f>_xll.BDP($P$85&amp;"1W Curncy","BID")</f>
        <v>-2.67</v>
      </c>
      <c r="Q90" s="75">
        <f>_xll.BDP($P$85&amp;"1W Curncy","ask")</f>
        <v>-1.69</v>
      </c>
      <c r="R90" s="75">
        <f>_xll.BDP($P$85&amp;"1W Curncy","last price")</f>
        <v>-2.1800000000000002</v>
      </c>
      <c r="S90" s="75">
        <f>_xll.BDP($S$85&amp;"1W Curncy","BID")</f>
        <v>-3.25</v>
      </c>
      <c r="T90" s="75">
        <f>_xll.BDP($S$85&amp;"1W Curncy","ask")</f>
        <v>-3.05</v>
      </c>
      <c r="U90" s="75">
        <f>_xll.BDP($S$85&amp;"1W Curncy","last price")</f>
        <v>-3.15</v>
      </c>
      <c r="V90" s="75">
        <f>_xll.BDP($V$85&amp;"1W Curncy","BID")</f>
        <v>-1.45</v>
      </c>
      <c r="W90" s="75">
        <f>_xll.BDP($V$85&amp;"1W Curncy","ask")</f>
        <v>-1.36</v>
      </c>
      <c r="X90" s="133">
        <f>_xll.BDP($V$85&amp;"1W Curncy","last price")</f>
        <v>-1.41</v>
      </c>
      <c r="Y90" s="15"/>
      <c r="Z90" s="15"/>
      <c r="AA90" s="15"/>
      <c r="AB90" s="15"/>
      <c r="AC90" s="195"/>
      <c r="AD90" s="195"/>
      <c r="AE90" s="195"/>
      <c r="AF90" s="195"/>
      <c r="AG90" s="195"/>
      <c r="AH90" s="195"/>
      <c r="AI90" s="195"/>
      <c r="AJ90" s="195"/>
      <c r="AK90" s="195"/>
      <c r="AL90" s="195"/>
      <c r="AM90" s="195"/>
      <c r="AN90" s="195"/>
      <c r="AO90" s="195"/>
      <c r="AP90" s="195"/>
      <c r="AQ90" s="195"/>
      <c r="AR90" s="195"/>
      <c r="AS90" s="195"/>
      <c r="AT90" s="195"/>
      <c r="AU90" s="195"/>
      <c r="AV90" s="195"/>
      <c r="AW90" s="195"/>
      <c r="AX90" s="195"/>
      <c r="AY90" s="195"/>
      <c r="AZ90" s="195"/>
      <c r="BA90" s="195"/>
      <c r="BB90" s="195"/>
      <c r="BC90" s="195"/>
    </row>
    <row r="91" spans="1:55" ht="15" customHeight="1" x14ac:dyDescent="0.25">
      <c r="B91" s="195"/>
      <c r="D91" s="11"/>
      <c r="F91" s="130" t="s">
        <v>81</v>
      </c>
      <c r="G91" s="134">
        <f>_xll.BDP($G$85&amp;"1M Curncy","BID")</f>
        <v>13.68</v>
      </c>
      <c r="H91" s="134">
        <f>_xll.BDP($G$85&amp;"1M Curncy","ask")</f>
        <v>14.04</v>
      </c>
      <c r="I91" s="134">
        <f>_xll.BDP($G$85&amp;"1M Curncy","last price")</f>
        <v>13.86</v>
      </c>
      <c r="J91" s="134">
        <f>_xll.BDP($J$85&amp;"1M Curncy","BID")</f>
        <v>5.44</v>
      </c>
      <c r="K91" s="134">
        <f>_xll.BDP($J$85&amp;"1M Curncy","ask")</f>
        <v>5.74</v>
      </c>
      <c r="L91" s="134">
        <f>_xll.BDP($J$85&amp;"1M Curncy","last price")</f>
        <v>5.59</v>
      </c>
      <c r="M91" s="134">
        <f>_xll.BDP($M$85&amp;"1M Curncy","BID")</f>
        <v>-2.52</v>
      </c>
      <c r="N91" s="134">
        <f>_xll.BDP($M$85&amp;"1M Curncy","ask")</f>
        <v>-1.58</v>
      </c>
      <c r="O91" s="134">
        <f>_xll.BDP($M$85&amp;"1M Curncy","last price")</f>
        <v>-2.0499999999999998</v>
      </c>
      <c r="P91" s="134">
        <f>_xll.BDP($P$85&amp;"1M Curncy","BID")</f>
        <v>-11.8</v>
      </c>
      <c r="Q91" s="134">
        <f>_xll.BDP($P$85&amp;"1M Curncy","ask")</f>
        <v>-11.4</v>
      </c>
      <c r="R91" s="134">
        <f>_xll.BDP($P$85&amp;"1M Curncy","last price")</f>
        <v>-11.6</v>
      </c>
      <c r="S91" s="134">
        <f>_xll.BDP($S$85&amp;"1M Curncy","BID")</f>
        <v>-15.31</v>
      </c>
      <c r="T91" s="134">
        <f>_xll.BDP($S$85&amp;"1M Curncy","ask")</f>
        <v>-14.91</v>
      </c>
      <c r="U91" s="134">
        <f>_xll.BDP($S$85&amp;"1M Curncy","last price")</f>
        <v>-15.11</v>
      </c>
      <c r="V91" s="134">
        <f>_xll.BDP($V$85&amp;"1M Curncy","BID")</f>
        <v>-6.31</v>
      </c>
      <c r="W91" s="134">
        <f>_xll.BDP($V$85&amp;"1M Curncy","ask")</f>
        <v>-6.16</v>
      </c>
      <c r="X91" s="92">
        <f>_xll.BDP($V$85&amp;"1M Curncy","last price")</f>
        <v>-6.23</v>
      </c>
      <c r="Y91" s="15"/>
      <c r="Z91" s="15"/>
      <c r="AA91" s="15"/>
      <c r="AB91" s="15"/>
      <c r="AC91" s="195"/>
      <c r="AD91" s="195"/>
      <c r="AE91" s="195"/>
      <c r="AF91" s="195"/>
      <c r="AG91" s="195"/>
      <c r="AH91" s="195"/>
      <c r="AI91" s="195"/>
      <c r="AJ91" s="195"/>
      <c r="AK91" s="195"/>
      <c r="AL91" s="195"/>
      <c r="AM91" s="195"/>
      <c r="AN91" s="195"/>
      <c r="AO91" s="195"/>
      <c r="AP91" s="195"/>
      <c r="AQ91" s="195"/>
      <c r="AR91" s="195"/>
      <c r="AS91" s="195"/>
      <c r="AT91" s="195"/>
      <c r="AU91" s="195"/>
      <c r="AV91" s="195"/>
      <c r="AW91" s="195"/>
      <c r="AX91" s="195"/>
      <c r="AY91" s="195"/>
      <c r="AZ91" s="195"/>
      <c r="BA91" s="195"/>
      <c r="BB91" s="195"/>
      <c r="BC91" s="195"/>
    </row>
    <row r="92" spans="1:55" ht="15" customHeight="1" x14ac:dyDescent="0.25">
      <c r="B92" s="195"/>
      <c r="D92" s="11"/>
      <c r="F92" s="130" t="s">
        <v>82</v>
      </c>
      <c r="G92" s="75">
        <f>_xll.BDP($G$85&amp;"2M Curncy","BID")</f>
        <v>25.99</v>
      </c>
      <c r="H92" s="75">
        <f>_xll.BDP($G$85&amp;"2M Curncy","ask")</f>
        <v>26.51</v>
      </c>
      <c r="I92" s="75">
        <f>_xll.BDP($G$85&amp;"2M Curncy","last price")</f>
        <v>26.25</v>
      </c>
      <c r="J92" s="75">
        <f>_xll.BDP($J$85&amp;"2M Curncy","BID")</f>
        <v>10.050000000000001</v>
      </c>
      <c r="K92" s="75">
        <f>_xll.BDP($J$85&amp;"2M Curncy","ask")</f>
        <v>11.07</v>
      </c>
      <c r="L92" s="75">
        <f>_xll.BDP($J$85&amp;"2M Curncy","last price")</f>
        <v>10.56</v>
      </c>
      <c r="M92" s="75">
        <f>_xll.BDP($M$85&amp;"2M Curncy","BID")</f>
        <v>-4.1399999999999997</v>
      </c>
      <c r="N92" s="75">
        <f>_xll.BDP($M$85&amp;"2M Curncy","ask")</f>
        <v>-3.62</v>
      </c>
      <c r="O92" s="75">
        <f>_xll.BDP($M$85&amp;"2M Curncy","last price")</f>
        <v>-3.88</v>
      </c>
      <c r="P92" s="75">
        <f>_xll.BDP($P$85&amp;"2M Curncy","BID")</f>
        <v>-22.36</v>
      </c>
      <c r="Q92" s="75">
        <f>_xll.BDP($P$85&amp;"2M Curncy","ask")</f>
        <v>-22.14</v>
      </c>
      <c r="R92" s="75">
        <f>_xll.BDP($P$85&amp;"2M Curncy","last price")</f>
        <v>-22.25</v>
      </c>
      <c r="S92" s="75">
        <f>_xll.BDP($S$85&amp;"2M Curncy","BID")</f>
        <v>-29.96</v>
      </c>
      <c r="T92" s="75">
        <f>_xll.BDP($S$85&amp;"2M Curncy","ask")</f>
        <v>-29.44</v>
      </c>
      <c r="U92" s="75">
        <f>_xll.BDP($S$85&amp;"2M Curncy","last price")</f>
        <v>-29.7</v>
      </c>
      <c r="V92" s="75">
        <f>_xll.BDP($V$85&amp;"2M Curncy","BID")</f>
        <v>-11.9</v>
      </c>
      <c r="W92" s="75">
        <f>_xll.BDP($V$85&amp;"2M Curncy","ask")</f>
        <v>-11.7</v>
      </c>
      <c r="X92" s="133">
        <f>_xll.BDP($V$85&amp;"2M Curncy","last price")</f>
        <v>-11.8</v>
      </c>
      <c r="Y92" s="15"/>
      <c r="Z92" s="15"/>
      <c r="AA92" s="15"/>
      <c r="AB92" s="15"/>
      <c r="AC92" s="195"/>
      <c r="AD92" s="195"/>
      <c r="AE92" s="195"/>
      <c r="AF92" s="195"/>
      <c r="AG92" s="195"/>
      <c r="AH92" s="195"/>
      <c r="AI92" s="195"/>
      <c r="AJ92" s="195"/>
      <c r="AK92" s="195"/>
      <c r="AL92" s="195"/>
      <c r="AM92" s="195"/>
      <c r="AN92" s="195"/>
      <c r="AO92" s="195"/>
      <c r="AP92" s="195"/>
      <c r="AQ92" s="195"/>
      <c r="AR92" s="195"/>
      <c r="AS92" s="195"/>
      <c r="AT92" s="195"/>
      <c r="AU92" s="195"/>
      <c r="AV92" s="195"/>
      <c r="AW92" s="195"/>
      <c r="AX92" s="195"/>
      <c r="AY92" s="195"/>
      <c r="AZ92" s="195"/>
      <c r="BA92" s="195"/>
      <c r="BB92" s="195"/>
      <c r="BC92" s="195"/>
    </row>
    <row r="93" spans="1:55" ht="15" customHeight="1" x14ac:dyDescent="0.25">
      <c r="B93" s="195"/>
      <c r="D93" s="11"/>
      <c r="F93" s="130" t="s">
        <v>83</v>
      </c>
      <c r="G93" s="134">
        <f>_xll.BDP($G$85&amp;"3M Curncy","BID")</f>
        <v>44.76</v>
      </c>
      <c r="H93" s="134">
        <f>_xll.BDP($G$85&amp;"3M Curncy","ask")</f>
        <v>45.21</v>
      </c>
      <c r="I93" s="134">
        <f>_xll.BDP($G$85&amp;"3M Curncy","last price")</f>
        <v>44.99</v>
      </c>
      <c r="J93" s="134">
        <f>_xll.BDP($J$85&amp;"3M Curncy","BID")</f>
        <v>21.53</v>
      </c>
      <c r="K93" s="134">
        <f>_xll.BDP($J$85&amp;"3M Curncy","ask")</f>
        <v>22.25</v>
      </c>
      <c r="L93" s="134">
        <f>_xll.BDP($J$85&amp;"3M Curncy","last price")</f>
        <v>21.89</v>
      </c>
      <c r="M93" s="134">
        <f>_xll.BDP($M$85&amp;"3M Curncy","BID")</f>
        <v>-7.48</v>
      </c>
      <c r="N93" s="134">
        <f>_xll.BDP($M$85&amp;"3M Curncy","ask")</f>
        <v>-6.85</v>
      </c>
      <c r="O93" s="134">
        <f>_xll.BDP($M$85&amp;"3M Curncy","last price")</f>
        <v>-7.16</v>
      </c>
      <c r="P93" s="134">
        <f>_xll.BDP($P$85&amp;"3M Curncy","BID")</f>
        <v>-42.15</v>
      </c>
      <c r="Q93" s="134">
        <f>_xll.BDP($P$85&amp;"3M Curncy","ask")</f>
        <v>-41.65</v>
      </c>
      <c r="R93" s="134">
        <f>_xll.BDP($P$85&amp;"3M Curncy","last price")</f>
        <v>-41.9</v>
      </c>
      <c r="S93" s="134">
        <f>_xll.BDP($S$85&amp;"3M Curncy","BID")</f>
        <v>-52.06</v>
      </c>
      <c r="T93" s="134">
        <f>_xll.BDP($S$85&amp;"3M Curncy","ask")</f>
        <v>-51.46</v>
      </c>
      <c r="U93" s="134">
        <f>_xll.BDP($S$85&amp;"3M Curncy","last price")</f>
        <v>-51.76</v>
      </c>
      <c r="V93" s="134">
        <f>_xll.BDP($V$85&amp;"3M Curncy","BID")</f>
        <v>-17.309999999999999</v>
      </c>
      <c r="W93" s="134">
        <f>_xll.BDP($V$85&amp;"3M Curncy","ask")</f>
        <v>-17.04</v>
      </c>
      <c r="X93" s="92">
        <f>_xll.BDP($V$85&amp;"3M Curncy","last price")</f>
        <v>-17.18</v>
      </c>
      <c r="Y93" s="15"/>
      <c r="Z93" s="15"/>
      <c r="AA93" s="15"/>
      <c r="AB93" s="15"/>
      <c r="AC93" s="195"/>
      <c r="AD93" s="195"/>
      <c r="AE93" s="195"/>
      <c r="AF93" s="195"/>
      <c r="AG93" s="195"/>
      <c r="AH93" s="195"/>
      <c r="AI93" s="195"/>
      <c r="AJ93" s="195"/>
      <c r="AK93" s="195"/>
      <c r="AL93" s="195"/>
      <c r="AM93" s="195"/>
      <c r="AN93" s="195"/>
      <c r="AO93" s="195"/>
      <c r="AP93" s="195"/>
      <c r="AQ93" s="195"/>
      <c r="AR93" s="195"/>
      <c r="AS93" s="195"/>
      <c r="AT93" s="195"/>
      <c r="AU93" s="195"/>
      <c r="AV93" s="195"/>
      <c r="AW93" s="195"/>
      <c r="AX93" s="195"/>
      <c r="AY93" s="195"/>
      <c r="AZ93" s="195"/>
      <c r="BA93" s="195"/>
      <c r="BB93" s="195"/>
      <c r="BC93" s="195"/>
    </row>
    <row r="94" spans="1:55" ht="15" customHeight="1" x14ac:dyDescent="0.25">
      <c r="B94" s="195"/>
      <c r="D94" s="11"/>
      <c r="F94" s="130" t="s">
        <v>84</v>
      </c>
      <c r="G94" s="75">
        <f>_xll.BDP($G$85&amp;"6M Curncy","BID")</f>
        <v>90.87</v>
      </c>
      <c r="H94" s="75">
        <f>_xll.BDP($G$85&amp;"6M Curncy","ask")</f>
        <v>91.91</v>
      </c>
      <c r="I94" s="75">
        <f>_xll.BDP($G$85&amp;"6M Curncy","last price")</f>
        <v>91.39</v>
      </c>
      <c r="J94" s="75">
        <f>_xll.BDP($J$85&amp;"6M Curncy","BID")</f>
        <v>43.48</v>
      </c>
      <c r="K94" s="75">
        <f>_xll.BDP($J$85&amp;"6M Curncy","ask")</f>
        <v>44.8</v>
      </c>
      <c r="L94" s="75">
        <f>_xll.BDP($J$85&amp;"6M Curncy","last price")</f>
        <v>44.14</v>
      </c>
      <c r="M94" s="75">
        <f>_xll.BDP($M$85&amp;"6M Curncy","BID")</f>
        <v>-18.579999999999998</v>
      </c>
      <c r="N94" s="75">
        <f>_xll.BDP($M$85&amp;"6M Curncy","ask")</f>
        <v>-15.41</v>
      </c>
      <c r="O94" s="75">
        <f>_xll.BDP($M$85&amp;"6M Curncy","last price")</f>
        <v>-16.989999999999998</v>
      </c>
      <c r="P94" s="75">
        <f>_xll.BDP($P$85&amp;"6M Curncy","BID")</f>
        <v>-86.21</v>
      </c>
      <c r="Q94" s="75">
        <f>_xll.BDP($P$85&amp;"6M Curncy","ask")</f>
        <v>-85.19</v>
      </c>
      <c r="R94" s="75">
        <f>_xll.BDP($P$85&amp;"6M Curncy","last price")</f>
        <v>-85.7</v>
      </c>
      <c r="S94" s="75">
        <f>_xll.BDP($S$85&amp;"6M Curncy","BID")</f>
        <v>-106.63</v>
      </c>
      <c r="T94" s="75">
        <f>_xll.BDP($S$85&amp;"6M Curncy","ask")</f>
        <v>-104.67</v>
      </c>
      <c r="U94" s="75">
        <f>_xll.BDP($S$85&amp;"6M Curncy","last price")</f>
        <v>-105.65</v>
      </c>
      <c r="V94" s="75">
        <f>_xll.BDP($V$85&amp;"6M Curncy","BID")</f>
        <v>-32.93</v>
      </c>
      <c r="W94" s="75">
        <f>_xll.BDP($V$85&amp;"6M Curncy","ask")</f>
        <v>-32.07</v>
      </c>
      <c r="X94" s="133">
        <f>_xll.BDP($V$85&amp;"6M Curncy","last price")</f>
        <v>-32.5</v>
      </c>
      <c r="Y94" s="15"/>
      <c r="Z94" s="15"/>
      <c r="AA94" s="15"/>
      <c r="AB94" s="15"/>
      <c r="AC94" s="195"/>
      <c r="AD94" s="195"/>
      <c r="AE94" s="195"/>
      <c r="AF94" s="195"/>
      <c r="AG94" s="195"/>
      <c r="AH94" s="195"/>
      <c r="AI94" s="195"/>
      <c r="AJ94" s="195"/>
      <c r="AK94" s="195"/>
      <c r="AL94" s="195"/>
      <c r="AM94" s="195"/>
      <c r="AN94" s="195"/>
      <c r="AO94" s="195"/>
      <c r="AP94" s="195"/>
      <c r="AQ94" s="195"/>
      <c r="AR94" s="195"/>
      <c r="AS94" s="195"/>
      <c r="AT94" s="195"/>
      <c r="AU94" s="195"/>
      <c r="AV94" s="195"/>
      <c r="AW94" s="195"/>
      <c r="AX94" s="195"/>
      <c r="AY94" s="195"/>
      <c r="AZ94" s="195"/>
      <c r="BA94" s="195"/>
      <c r="BB94" s="195"/>
      <c r="BC94" s="195"/>
    </row>
    <row r="95" spans="1:55" ht="15" customHeight="1" x14ac:dyDescent="0.25">
      <c r="B95" s="195"/>
      <c r="D95" s="11"/>
      <c r="F95" s="130" t="s">
        <v>85</v>
      </c>
      <c r="G95" s="134">
        <f>_xll.BDP($G$85&amp;"9M Curncy","BID")</f>
        <v>137.54</v>
      </c>
      <c r="H95" s="134">
        <f>_xll.BDP($G$85&amp;"9M Curncy","ask")</f>
        <v>140.21</v>
      </c>
      <c r="I95" s="134">
        <f>_xll.BDP($G$85&amp;"9M Curncy","last price")</f>
        <v>138.87</v>
      </c>
      <c r="J95" s="134">
        <f>_xll.BDP($J$85&amp;"9M Curncy","BID")</f>
        <v>67.61</v>
      </c>
      <c r="K95" s="134">
        <f>_xll.BDP($J$85&amp;"9M Curncy","ask")</f>
        <v>69.81</v>
      </c>
      <c r="L95" s="134">
        <f>_xll.BDP($J$85&amp;"9M Curncy","last price")</f>
        <v>68.709999999999994</v>
      </c>
      <c r="M95" s="134">
        <f>_xll.BDP($M$85&amp;"9M Curncy","BID")</f>
        <v>-28.98</v>
      </c>
      <c r="N95" s="134">
        <f>_xll.BDP($M$85&amp;"9M Curncy","ask")</f>
        <v>-25.59</v>
      </c>
      <c r="O95" s="134">
        <f>_xll.BDP($M$85&amp;"9M Curncy","last price")</f>
        <v>-27.29</v>
      </c>
      <c r="P95" s="134">
        <f>_xll.BDP($P$85&amp;"9M Curncy","BID")</f>
        <v>-132.71</v>
      </c>
      <c r="Q95" s="134">
        <f>_xll.BDP($P$85&amp;"9M Curncy","ask")</f>
        <v>-131.04</v>
      </c>
      <c r="R95" s="134">
        <f>_xll.BDP($P$85&amp;"9M Curncy","last price")</f>
        <v>-131.88</v>
      </c>
      <c r="S95" s="134">
        <f>_xll.BDP($S$85&amp;"9M Curncy","BID")</f>
        <v>-162.41999999999999</v>
      </c>
      <c r="T95" s="134">
        <f>_xll.BDP($S$85&amp;"9M Curncy","ask")</f>
        <v>-158.94</v>
      </c>
      <c r="U95" s="134">
        <f>_xll.BDP($S$85&amp;"9M Curncy","last price")</f>
        <v>-160.68</v>
      </c>
      <c r="V95" s="134">
        <f>_xll.BDP($V$85&amp;"9M Curncy","BID")</f>
        <v>-48.48</v>
      </c>
      <c r="W95" s="134">
        <f>_xll.BDP($V$85&amp;"9M Curncy","ask")</f>
        <v>-47.12</v>
      </c>
      <c r="X95" s="92">
        <f>_xll.BDP($V$85&amp;"9M Curncy","last price")</f>
        <v>-47.8</v>
      </c>
      <c r="Y95" s="15"/>
      <c r="Z95" s="15"/>
      <c r="AA95" s="15"/>
      <c r="AB95" s="15"/>
      <c r="AC95" s="195"/>
      <c r="AD95" s="195"/>
      <c r="AE95" s="195"/>
      <c r="AF95" s="195"/>
      <c r="AG95" s="195"/>
      <c r="AH95" s="195"/>
      <c r="AI95" s="195"/>
      <c r="AJ95" s="195"/>
      <c r="AK95" s="195"/>
      <c r="AL95" s="195"/>
      <c r="AM95" s="195"/>
      <c r="AN95" s="195"/>
      <c r="AO95" s="195"/>
      <c r="AP95" s="195"/>
      <c r="AQ95" s="195"/>
      <c r="AR95" s="195"/>
      <c r="AS95" s="195"/>
      <c r="AT95" s="195"/>
      <c r="AU95" s="195"/>
      <c r="AV95" s="195"/>
      <c r="AW95" s="195"/>
      <c r="AX95" s="195"/>
      <c r="AY95" s="195"/>
      <c r="AZ95" s="195"/>
      <c r="BA95" s="195"/>
      <c r="BB95" s="195"/>
      <c r="BC95" s="195"/>
    </row>
    <row r="96" spans="1:55" ht="15" customHeight="1" x14ac:dyDescent="0.25">
      <c r="B96" s="195"/>
      <c r="D96" s="11"/>
      <c r="F96" s="135" t="s">
        <v>86</v>
      </c>
      <c r="G96" s="136">
        <f>_xll.BDP($G$85&amp;"12M Curncy","BID")</f>
        <v>188.3</v>
      </c>
      <c r="H96" s="136">
        <f>_xll.BDP($G$85&amp;"12M Curncy","ask")</f>
        <v>190.3</v>
      </c>
      <c r="I96" s="136">
        <f>_xll.BDP($G$85&amp;"12M Curncy","last price")</f>
        <v>189.3</v>
      </c>
      <c r="J96" s="136">
        <f>_xll.BDP($J$85&amp;"12M Curncy","BID")</f>
        <v>93.65</v>
      </c>
      <c r="K96" s="136">
        <f>_xll.BDP($J$85&amp;"12M Curncy","ask")</f>
        <v>96.46</v>
      </c>
      <c r="L96" s="136">
        <f>_xll.BDP($J$85&amp;"12M Curncy","last price")</f>
        <v>95.06</v>
      </c>
      <c r="M96" s="136">
        <f>_xll.BDP($M$85&amp;"12M Curncy","BID")</f>
        <v>-40.58</v>
      </c>
      <c r="N96" s="136">
        <f>_xll.BDP($M$85&amp;"12M Curncy","ask")</f>
        <v>-35.92</v>
      </c>
      <c r="O96" s="136">
        <f>_xll.BDP($M$85&amp;"12M Curncy","last price")</f>
        <v>-38.25</v>
      </c>
      <c r="P96" s="136">
        <f>_xll.BDP($P$85&amp;"12M Curncy","BID")</f>
        <v>-181.53</v>
      </c>
      <c r="Q96" s="136">
        <f>_xll.BDP($P$85&amp;"12M Curncy","ask")</f>
        <v>-180.23</v>
      </c>
      <c r="R96" s="136">
        <f>_xll.BDP($P$85&amp;"12M Curncy","last price")</f>
        <v>-180.88</v>
      </c>
      <c r="S96" s="136">
        <f>_xll.BDP($S$85&amp;"12M Curncy","BID")</f>
        <v>-219.49</v>
      </c>
      <c r="T96" s="136">
        <f>_xll.BDP($S$85&amp;"12M Curncy","ask")</f>
        <v>-214.51</v>
      </c>
      <c r="U96" s="136">
        <f>_xll.BDP($S$85&amp;"12M Curncy","last price")</f>
        <v>-217</v>
      </c>
      <c r="V96" s="136">
        <f>_xll.BDP($V$85&amp;"12M Curncy","BID")</f>
        <v>-63.49</v>
      </c>
      <c r="W96" s="136">
        <f>_xll.BDP($V$85&amp;"12M Curncy","ask")</f>
        <v>-61.51</v>
      </c>
      <c r="X96" s="137">
        <f>_xll.BDP($V$85&amp;"12M Curncy","last price")</f>
        <v>-62.5</v>
      </c>
      <c r="Y96" s="15"/>
      <c r="Z96" s="15"/>
      <c r="AA96" s="15"/>
      <c r="AB96" s="15"/>
      <c r="AC96" s="195"/>
      <c r="AD96" s="195"/>
      <c r="AE96" s="195"/>
      <c r="AF96" s="195"/>
      <c r="AG96" s="195"/>
      <c r="AH96" s="195"/>
      <c r="AI96" s="195"/>
      <c r="AJ96" s="195"/>
      <c r="AK96" s="195"/>
      <c r="AL96" s="195"/>
      <c r="AM96" s="195"/>
      <c r="AN96" s="195"/>
      <c r="AO96" s="195"/>
      <c r="AP96" s="195"/>
      <c r="AQ96" s="195"/>
      <c r="AR96" s="195"/>
      <c r="AS96" s="195"/>
      <c r="AT96" s="195"/>
      <c r="AU96" s="195"/>
      <c r="AV96" s="195"/>
      <c r="AW96" s="195"/>
      <c r="AX96" s="195"/>
      <c r="AY96" s="195"/>
      <c r="AZ96" s="195"/>
      <c r="BA96" s="195"/>
      <c r="BB96" s="195"/>
      <c r="BC96" s="195"/>
    </row>
    <row r="97" spans="1:55" ht="15" customHeight="1" x14ac:dyDescent="0.25">
      <c r="B97" s="195"/>
      <c r="D97" s="11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95"/>
      <c r="AD97" s="195"/>
      <c r="AE97" s="195"/>
      <c r="AF97" s="195"/>
      <c r="AG97" s="195"/>
      <c r="AH97" s="195"/>
      <c r="AI97" s="195"/>
      <c r="AJ97" s="195"/>
      <c r="AK97" s="195"/>
      <c r="AL97" s="195"/>
      <c r="AM97" s="195"/>
      <c r="AN97" s="195"/>
      <c r="AO97" s="195"/>
      <c r="AP97" s="195"/>
      <c r="AQ97" s="195"/>
      <c r="AR97" s="195"/>
      <c r="AS97" s="195"/>
      <c r="AT97" s="195"/>
      <c r="AU97" s="195"/>
      <c r="AV97" s="195"/>
      <c r="AW97" s="195"/>
      <c r="AX97" s="195"/>
      <c r="AY97" s="195"/>
      <c r="AZ97" s="195"/>
      <c r="BA97" s="195"/>
      <c r="BB97" s="195"/>
      <c r="BC97" s="195"/>
    </row>
    <row r="98" spans="1:55" ht="15" customHeight="1" x14ac:dyDescent="0.25">
      <c r="B98" s="195"/>
      <c r="D98" s="11"/>
      <c r="F98" s="197" t="s">
        <v>11</v>
      </c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5"/>
      <c r="X98" s="195"/>
      <c r="Y98" s="195"/>
      <c r="Z98" s="195"/>
      <c r="AA98" s="195"/>
      <c r="AB98" s="195"/>
      <c r="AC98" s="195"/>
      <c r="AD98" s="195"/>
      <c r="AE98" s="195"/>
      <c r="AF98" s="195"/>
      <c r="AG98" s="195"/>
      <c r="AH98" s="195"/>
      <c r="AI98" s="195"/>
      <c r="AJ98" s="195"/>
      <c r="AK98" s="195"/>
      <c r="AL98" s="195"/>
      <c r="AM98" s="195"/>
      <c r="AN98" s="195"/>
      <c r="AO98" s="195"/>
      <c r="AP98" s="195"/>
      <c r="AQ98" s="195"/>
      <c r="AR98" s="195"/>
      <c r="AS98" s="195"/>
      <c r="AT98" s="195"/>
      <c r="AU98" s="195"/>
      <c r="AV98" s="195"/>
      <c r="AW98" s="195"/>
      <c r="AX98" s="195"/>
      <c r="AY98" s="195"/>
      <c r="AZ98" s="195"/>
      <c r="BA98" s="195"/>
      <c r="BB98" s="195"/>
      <c r="BC98" s="195"/>
    </row>
    <row r="99" spans="1:55" ht="12" customHeight="1" x14ac:dyDescent="0.25">
      <c r="B99" s="195"/>
      <c r="D99" s="1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95"/>
      <c r="AD99" s="195"/>
      <c r="AE99" s="195"/>
      <c r="AF99" s="195"/>
      <c r="AG99" s="195"/>
      <c r="AH99" s="195"/>
      <c r="AI99" s="195"/>
      <c r="AJ99" s="195"/>
      <c r="AK99" s="195"/>
      <c r="AL99" s="195"/>
      <c r="AM99" s="195"/>
      <c r="AN99" s="195"/>
      <c r="AO99" s="195"/>
      <c r="AP99" s="195"/>
      <c r="AQ99" s="195"/>
      <c r="AR99" s="195"/>
      <c r="AS99" s="195"/>
      <c r="AT99" s="195"/>
      <c r="AU99" s="195"/>
      <c r="AV99" s="195"/>
      <c r="AW99" s="195"/>
      <c r="AX99" s="195"/>
      <c r="AY99" s="195"/>
      <c r="AZ99" s="195"/>
      <c r="BA99" s="195"/>
      <c r="BB99" s="195"/>
      <c r="BC99" s="195"/>
    </row>
    <row r="100" spans="1:55" s="231" customFormat="1" ht="35.1" customHeight="1" x14ac:dyDescent="0.3">
      <c r="A100" s="228"/>
      <c r="B100" s="228"/>
      <c r="C100" s="229"/>
      <c r="D100" s="229"/>
      <c r="E100" s="229"/>
      <c r="F100" s="237" t="s">
        <v>102</v>
      </c>
      <c r="G100" s="238"/>
      <c r="H100" s="238"/>
      <c r="I100" s="238"/>
      <c r="J100" s="238"/>
      <c r="K100" s="238"/>
      <c r="L100" s="238"/>
      <c r="M100" s="238"/>
      <c r="N100" s="238"/>
      <c r="O100" s="241"/>
      <c r="P100" s="238" t="s">
        <v>88</v>
      </c>
      <c r="Q100" s="238"/>
      <c r="R100" s="238"/>
      <c r="S100" s="238"/>
      <c r="T100" s="238"/>
      <c r="U100" s="238"/>
      <c r="V100" s="238"/>
      <c r="W100" s="238"/>
      <c r="X100" s="239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  <c r="AX100" s="228"/>
      <c r="AY100" s="228"/>
      <c r="AZ100" s="228"/>
      <c r="BA100" s="228"/>
      <c r="BB100" s="228"/>
      <c r="BC100" s="228"/>
    </row>
    <row r="101" spans="1:55" ht="15" customHeight="1" x14ac:dyDescent="0.25">
      <c r="B101" s="195"/>
      <c r="D101" s="11"/>
      <c r="F101" s="93" t="s">
        <v>134</v>
      </c>
      <c r="G101" s="215">
        <v>1</v>
      </c>
      <c r="H101" s="215">
        <v>2</v>
      </c>
      <c r="I101" s="215">
        <v>5</v>
      </c>
      <c r="J101" s="215">
        <v>7</v>
      </c>
      <c r="K101" s="215">
        <v>10</v>
      </c>
      <c r="L101" s="215">
        <v>15</v>
      </c>
      <c r="M101" s="215">
        <v>20</v>
      </c>
      <c r="N101" s="215">
        <v>25</v>
      </c>
      <c r="O101" s="216">
        <v>30</v>
      </c>
      <c r="P101" s="215">
        <v>1</v>
      </c>
      <c r="Q101" s="215">
        <v>2</v>
      </c>
      <c r="R101" s="215">
        <v>5</v>
      </c>
      <c r="S101" s="215">
        <v>7</v>
      </c>
      <c r="T101" s="215">
        <v>10</v>
      </c>
      <c r="U101" s="215">
        <v>15</v>
      </c>
      <c r="V101" s="215">
        <v>20</v>
      </c>
      <c r="W101" s="215">
        <v>25</v>
      </c>
      <c r="X101" s="232">
        <v>30</v>
      </c>
      <c r="Y101" s="195"/>
      <c r="Z101" s="15"/>
      <c r="AA101" s="15"/>
      <c r="AB101" s="15"/>
      <c r="AC101" s="195"/>
      <c r="AD101" s="195"/>
      <c r="AE101" s="195"/>
      <c r="AF101" s="195"/>
      <c r="AG101" s="195"/>
      <c r="AH101" s="195"/>
      <c r="AI101" s="195"/>
      <c r="AJ101" s="195"/>
      <c r="AK101" s="195"/>
      <c r="AL101" s="195"/>
      <c r="AM101" s="195"/>
      <c r="AN101" s="195"/>
      <c r="AO101" s="195"/>
      <c r="AP101" s="195"/>
      <c r="AQ101" s="195"/>
      <c r="AR101" s="195"/>
      <c r="AS101" s="195"/>
      <c r="AT101" s="195"/>
      <c r="AU101" s="195"/>
      <c r="AV101" s="195"/>
      <c r="AW101" s="195"/>
      <c r="AX101" s="195"/>
      <c r="AY101" s="195"/>
      <c r="AZ101" s="195"/>
      <c r="BA101" s="195"/>
      <c r="BB101" s="195"/>
      <c r="BC101" s="195"/>
    </row>
    <row r="102" spans="1:55" ht="15" customHeight="1" x14ac:dyDescent="0.25">
      <c r="B102" s="195"/>
      <c r="D102" s="11"/>
      <c r="F102" s="130" t="s">
        <v>19</v>
      </c>
      <c r="G102" s="213">
        <f>_xll.BDP("USSP0A"&amp;G$101&amp;" "&amp;RIGHT(VolLink,LEN(VolLink)-FIND("/",VolLink))&amp;" curncy","PX LAST")</f>
        <v>4.5599999999999996</v>
      </c>
      <c r="H102" s="213">
        <f>_xll.BDP("USSP0A"&amp;H$101&amp;" "&amp;RIGHT(VolLink,LEN(VolLink)-FIND("/",VolLink))&amp;" curncy","PX LAST")</f>
        <v>13.3</v>
      </c>
      <c r="I102" s="213">
        <f>_xll.BDP("USSP0A"&amp;I$101&amp;" "&amp;RIGHT(VolLink,LEN(VolLink)-FIND("/",VolLink))&amp;" curncy","PX LAST")</f>
        <v>81.72</v>
      </c>
      <c r="J102" s="213">
        <f>_xll.BDP("USSP0A"&amp;J$101&amp;" "&amp;RIGHT(VolLink,LEN(VolLink)-FIND("/",VolLink))&amp;" curncy","PX LAST")</f>
        <v>121.32</v>
      </c>
      <c r="K102" s="213">
        <f>_xll.BDP("USSP0A"&amp;K$101&amp;" "&amp;RIGHT(VolLink,LEN(VolLink)-FIND("/",VolLink))&amp;" curncy","PX LAST")</f>
        <v>159.54</v>
      </c>
      <c r="L102" s="213">
        <f>_xll.BDP("USSP0A"&amp;L$101&amp;" "&amp;RIGHT(VolLink,LEN(VolLink)-FIND("/",VolLink))&amp;" curncy","PX LAST")</f>
        <v>231.24</v>
      </c>
      <c r="M102" s="213">
        <f>_xll.BDP("USSP0A"&amp;M$101&amp;" "&amp;RIGHT(VolLink,LEN(VolLink)-FIND("/",VolLink))&amp;" curncy","PX LAST")</f>
        <v>297.14</v>
      </c>
      <c r="N102" s="213">
        <f>_xll.BDP("USSP0A"&amp;N$101&amp;" "&amp;RIGHT(VolLink,LEN(VolLink)-FIND("/",VolLink))&amp;" curncy","PX LAST")</f>
        <v>347.58</v>
      </c>
      <c r="O102" s="213">
        <f>_xll.BDP("USSP0A"&amp;O$101&amp;" "&amp;RIGHT(VolLink,LEN(VolLink)-FIND("/",VolLink))&amp;" curncy","PX LAST")</f>
        <v>390.21</v>
      </c>
      <c r="P102" s="213">
        <f>_xll.BDP("USSV0A"&amp;P$101&amp;" "&amp;RIGHT(VolLink,LEN(VolLink)-FIND("/",VolLink))&amp;" curncy","PX LAST")</f>
        <v>30.57</v>
      </c>
      <c r="Q102" s="213">
        <f>_xll.BDP("USSV0A"&amp;Q$101&amp;" "&amp;RIGHT(VolLink,LEN(VolLink)-FIND("/",VolLink))&amp;" curncy","PX LAST")</f>
        <v>38.03</v>
      </c>
      <c r="R102" s="213">
        <f>_xll.BDP("USSV0A"&amp;R$101&amp;" "&amp;RIGHT(VolLink,LEN(VolLink)-FIND("/",VolLink))&amp;" curncy","PX LAST")</f>
        <v>51.99</v>
      </c>
      <c r="S102" s="213">
        <f>_xll.BDP("USSV0A"&amp;S$101&amp;" "&amp;RIGHT(VolLink,LEN(VolLink)-FIND("/",VolLink))&amp;" curncy","PX LAST")</f>
        <v>50.9</v>
      </c>
      <c r="T102" s="213">
        <f>_xll.BDP("USSV0A"&amp;T$101&amp;" "&amp;RIGHT(VolLink,LEN(VolLink)-FIND("/",VolLink))&amp;" curncy","PX LAST")</f>
        <v>39.85</v>
      </c>
      <c r="U102" s="213">
        <f>_xll.BDP("USSV0A"&amp;U$101&amp;" "&amp;RIGHT(VolLink,LEN(VolLink)-FIND("/",VolLink))&amp;" curncy","PX LAST")</f>
        <v>39.1</v>
      </c>
      <c r="V102" s="213">
        <f>_xll.BDP("USSV0A"&amp;V$101&amp;" "&amp;RIGHT(VolLink,LEN(VolLink)-FIND("/",VolLink))&amp;" curncy","PX LAST")</f>
        <v>37.32</v>
      </c>
      <c r="W102" s="213">
        <f>_xll.BDP("USSV0A"&amp;W$101&amp;" "&amp;RIGHT(VolLink,LEN(VolLink)-FIND("/",VolLink))&amp;" curncy","PX LAST")</f>
        <v>35.57</v>
      </c>
      <c r="X102" s="214">
        <f>_xll.BDP("USSV0A"&amp;X$101&amp;" "&amp;RIGHT(VolLink,LEN(VolLink)-FIND("/",VolLink))&amp;" curncy","PX LAST")</f>
        <v>34.25</v>
      </c>
      <c r="Y102" s="195"/>
      <c r="Z102" s="195"/>
      <c r="AA102" s="15"/>
      <c r="AB102" s="15"/>
      <c r="AC102" s="195"/>
      <c r="AD102" s="195"/>
      <c r="AE102" s="195"/>
      <c r="AF102" s="195"/>
      <c r="AG102" s="195"/>
      <c r="AH102" s="195"/>
      <c r="AI102" s="195"/>
      <c r="AJ102" s="195"/>
      <c r="AK102" s="195"/>
      <c r="AL102" s="195"/>
      <c r="AM102" s="195"/>
      <c r="AN102" s="195"/>
      <c r="AO102" s="195"/>
      <c r="AP102" s="195"/>
      <c r="AQ102" s="195"/>
      <c r="AR102" s="195"/>
      <c r="AS102" s="195"/>
      <c r="AT102" s="195"/>
      <c r="AU102" s="195"/>
      <c r="AV102" s="195"/>
      <c r="AW102" s="195"/>
      <c r="AX102" s="195"/>
      <c r="AY102" s="195"/>
      <c r="AZ102" s="195"/>
      <c r="BA102" s="195"/>
      <c r="BB102" s="195"/>
      <c r="BC102" s="195"/>
    </row>
    <row r="103" spans="1:55" ht="15" customHeight="1" x14ac:dyDescent="0.25">
      <c r="B103" s="195"/>
      <c r="D103" s="11"/>
      <c r="F103" s="130" t="s">
        <v>21</v>
      </c>
      <c r="G103" s="140">
        <f>_xll.BDP("USSP0C"&amp;G$101&amp;" "&amp;RIGHT(VolLink,LEN(VolLink)-FIND("/",VolLink))&amp;" curncy","PX LAST")</f>
        <v>17.190000000000001</v>
      </c>
      <c r="H103" s="140">
        <f>_xll.BDP("USSP0C"&amp;H$101&amp;" "&amp;RIGHT(VolLink,LEN(VolLink)-FIND("/",VolLink))&amp;" curncy","PX LAST")</f>
        <v>44.81</v>
      </c>
      <c r="I103" s="140">
        <f>_xll.BDP("USSP0C"&amp;I$101&amp;" "&amp;RIGHT(VolLink,LEN(VolLink)-FIND("/",VolLink))&amp;" curncy","PX LAST")</f>
        <v>130.78</v>
      </c>
      <c r="J103" s="140">
        <f>_xll.BDP("USSP0C"&amp;J$101&amp;" "&amp;RIGHT(VolLink,LEN(VolLink)-FIND("/",VolLink))&amp;" curncy","PX LAST")</f>
        <v>200.9</v>
      </c>
      <c r="K103" s="140">
        <f>_xll.BDP("USSP0C"&amp;K$101&amp;" "&amp;RIGHT(VolLink,LEN(VolLink)-FIND("/",VolLink))&amp;" curncy","PX LAST")</f>
        <v>283.68</v>
      </c>
      <c r="L103" s="140">
        <f>_xll.BDP("USSP0C"&amp;L$101&amp;" "&amp;RIGHT(VolLink,LEN(VolLink)-FIND("/",VolLink))&amp;" curncy","PX LAST")</f>
        <v>404.76</v>
      </c>
      <c r="M103" s="140">
        <f>_xll.BDP("USSP0C"&amp;M$101&amp;" "&amp;RIGHT(VolLink,LEN(VolLink)-FIND("/",VolLink))&amp;" curncy","PX LAST")</f>
        <v>511.8</v>
      </c>
      <c r="N103" s="140">
        <f>_xll.BDP("USSP0C"&amp;N$101&amp;" "&amp;RIGHT(VolLink,LEN(VolLink)-FIND("/",VolLink))&amp;" curncy","PX LAST")</f>
        <v>606.66999999999996</v>
      </c>
      <c r="O103" s="140">
        <f>_xll.BDP("USSP0C"&amp;O$101&amp;" "&amp;RIGHT(VolLink,LEN(VolLink)-FIND("/",VolLink))&amp;" curncy","PX LAST")</f>
        <v>690.51</v>
      </c>
      <c r="P103" s="140">
        <f>_xll.BDP("USSV0C"&amp;P$101&amp;" "&amp;RIGHT(VolLink,LEN(VolLink)-FIND("/",VolLink))&amp;" curncy","PX LAST")</f>
        <v>40.590000000000003</v>
      </c>
      <c r="Q103" s="140">
        <f>_xll.BDP("USSV0C"&amp;Q$101&amp;" "&amp;RIGHT(VolLink,LEN(VolLink)-FIND("/",VolLink))&amp;" curncy","PX LAST")</f>
        <v>47.95</v>
      </c>
      <c r="R103" s="140">
        <f>_xll.BDP("USSV0C"&amp;R$101&amp;" "&amp;RIGHT(VolLink,LEN(VolLink)-FIND("/",VolLink))&amp;" curncy","PX LAST")</f>
        <v>49.94</v>
      </c>
      <c r="S103" s="140">
        <f>_xll.BDP("USSV0C"&amp;S$101&amp;" "&amp;RIGHT(VolLink,LEN(VolLink)-FIND("/",VolLink))&amp;" curncy","PX LAST")</f>
        <v>50.74</v>
      </c>
      <c r="T103" s="140">
        <f>_xll.BDP("USSV0C"&amp;T$101&amp;" "&amp;RIGHT(VolLink,LEN(VolLink)-FIND("/",VolLink))&amp;" curncy","PX LAST")</f>
        <v>46.35</v>
      </c>
      <c r="U103" s="140">
        <f>_xll.BDP("USSV0C"&amp;U$101&amp;" "&amp;RIGHT(VolLink,LEN(VolLink)-FIND("/",VolLink))&amp;" curncy","PX LAST")</f>
        <v>41.49</v>
      </c>
      <c r="V103" s="140">
        <f>_xll.BDP("USSV0C"&amp;V$101&amp;" "&amp;RIGHT(VolLink,LEN(VolLink)-FIND("/",VolLink))&amp;" curncy","PX LAST")</f>
        <v>39.04</v>
      </c>
      <c r="W103" s="140">
        <f>_xll.BDP("USSV0C"&amp;W$101&amp;" "&amp;RIGHT(VolLink,LEN(VolLink)-FIND("/",VolLink))&amp;" curncy","PX LAST")</f>
        <v>37.74</v>
      </c>
      <c r="X103" s="141">
        <f>_xll.BDP("USSV0C"&amp;X$101&amp;" "&amp;RIGHT(VolLink,LEN(VolLink)-FIND("/",VolLink))&amp;" curncy","PX LAST")</f>
        <v>36.880000000000003</v>
      </c>
      <c r="Y103" s="195"/>
      <c r="Z103" s="195"/>
      <c r="AA103" s="15"/>
      <c r="AB103" s="15"/>
      <c r="AC103" s="195"/>
      <c r="AD103" s="195"/>
      <c r="AE103" s="195"/>
      <c r="AF103" s="195"/>
      <c r="AG103" s="195"/>
      <c r="AH103" s="195"/>
      <c r="AI103" s="195"/>
      <c r="AJ103" s="195"/>
      <c r="AK103" s="195"/>
      <c r="AL103" s="195"/>
      <c r="AM103" s="195"/>
      <c r="AN103" s="195"/>
      <c r="AO103" s="195"/>
      <c r="AP103" s="195"/>
      <c r="AQ103" s="195"/>
      <c r="AR103" s="195"/>
      <c r="AS103" s="195"/>
      <c r="AT103" s="195"/>
      <c r="AU103" s="195"/>
      <c r="AV103" s="195"/>
      <c r="AW103" s="195"/>
      <c r="AX103" s="195"/>
      <c r="AY103" s="195"/>
      <c r="AZ103" s="195"/>
      <c r="BA103" s="195"/>
      <c r="BB103" s="195"/>
      <c r="BC103" s="195"/>
    </row>
    <row r="104" spans="1:55" ht="15" customHeight="1" x14ac:dyDescent="0.2">
      <c r="B104" s="195"/>
      <c r="D104" s="11"/>
      <c r="F104" s="130" t="s">
        <v>24</v>
      </c>
      <c r="G104" s="138">
        <f>_xll.BDP("USSP0F"&amp;G$101&amp;" "&amp;RIGHT(VolLink,LEN(VolLink)-FIND("/",VolLink))&amp;" curncy","PX LAST")</f>
        <v>12.36</v>
      </c>
      <c r="H104" s="138">
        <f>_xll.BDP("USSP0F"&amp;H$101&amp;" "&amp;RIGHT(VolLink,LEN(VolLink)-FIND("/",VolLink))&amp;" curncy","PX LAST")</f>
        <v>32.700000000000003</v>
      </c>
      <c r="I104" s="138">
        <f>_xll.BDP("USSP0F"&amp;I$101&amp;" "&amp;RIGHT(VolLink,LEN(VolLink)-FIND("/",VolLink))&amp;" curncy","PX LAST")</f>
        <v>209.72</v>
      </c>
      <c r="J104" s="138">
        <f>_xll.BDP("USSP0F"&amp;J$101&amp;" "&amp;RIGHT(VolLink,LEN(VolLink)-FIND("/",VolLink))&amp;" curncy","PX LAST")</f>
        <v>308.85000000000002</v>
      </c>
      <c r="K104" s="138">
        <f>_xll.BDP("USSP0F"&amp;K$101&amp;" "&amp;RIGHT(VolLink,LEN(VolLink)-FIND("/",VolLink))&amp;" curncy","PX LAST")</f>
        <v>411.16</v>
      </c>
      <c r="L104" s="138">
        <f>_xll.BDP("USSP0F"&amp;L$101&amp;" "&amp;RIGHT(VolLink,LEN(VolLink)-FIND("/",VolLink))&amp;" curncy","PX LAST")</f>
        <v>592.24</v>
      </c>
      <c r="M104" s="138">
        <f>_xll.BDP("USSP0F"&amp;M$101&amp;" "&amp;RIGHT(VolLink,LEN(VolLink)-FIND("/",VolLink))&amp;" curncy","PX LAST")</f>
        <v>756.13</v>
      </c>
      <c r="N104" s="138">
        <f>_xll.BDP("USSP0F"&amp;N$101&amp;" "&amp;RIGHT(VolLink,LEN(VolLink)-FIND("/",VolLink))&amp;" curncy","PX LAST")</f>
        <v>896.17</v>
      </c>
      <c r="O104" s="138">
        <f>_xll.BDP("USSP0F"&amp;O$101&amp;" "&amp;RIGHT(VolLink,LEN(VolLink)-FIND("/",VolLink))&amp;" curncy","PX LAST")</f>
        <v>1019.94</v>
      </c>
      <c r="P104" s="138">
        <f>_xll.BDP("USSV0F"&amp;P$101&amp;" "&amp;RIGHT(VolLink,LEN(VolLink)-FIND("/",VolLink))&amp;" curncy","PX LAST")</f>
        <v>39.42</v>
      </c>
      <c r="Q104" s="138">
        <f>_xll.BDP("USSV0F"&amp;Q$101&amp;" "&amp;RIGHT(VolLink,LEN(VolLink)-FIND("/",VolLink))&amp;" curncy","PX LAST")</f>
        <v>48.6</v>
      </c>
      <c r="R104" s="138">
        <f>_xll.BDP("USSV0F"&amp;R$101&amp;" "&amp;RIGHT(VolLink,LEN(VolLink)-FIND("/",VolLink))&amp;" curncy","PX LAST")</f>
        <v>55.74</v>
      </c>
      <c r="S104" s="138">
        <f>_xll.BDP("USSV0F"&amp;S$101&amp;" "&amp;RIGHT(VolLink,LEN(VolLink)-FIND("/",VolLink))&amp;" curncy","PX LAST")</f>
        <v>54.54</v>
      </c>
      <c r="T104" s="138">
        <f>_xll.BDP("USSV0F"&amp;T$101&amp;" "&amp;RIGHT(VolLink,LEN(VolLink)-FIND("/",VolLink))&amp;" curncy","PX LAST")</f>
        <v>46.5</v>
      </c>
      <c r="U104" s="138">
        <f>_xll.BDP("USSV0F"&amp;U$101&amp;" "&amp;RIGHT(VolLink,LEN(VolLink)-FIND("/",VolLink))&amp;" curncy","PX LAST")</f>
        <v>42.92</v>
      </c>
      <c r="V104" s="138">
        <f>_xll.BDP("USSV0F"&amp;V$101&amp;" "&amp;RIGHT(VolLink,LEN(VolLink)-FIND("/",VolLink))&amp;" curncy","PX LAST")</f>
        <v>40.909999999999997</v>
      </c>
      <c r="W104" s="138">
        <f>_xll.BDP("USSV0F"&amp;W$101&amp;" "&amp;RIGHT(VolLink,LEN(VolLink)-FIND("/",VolLink))&amp;" curncy","PX LAST")</f>
        <v>39.61</v>
      </c>
      <c r="X104" s="139">
        <f>_xll.BDP("USSV0F"&amp;X$101&amp;" "&amp;RIGHT(VolLink,LEN(VolLink)-FIND("/",VolLink))&amp;" curncy","PX LAST")</f>
        <v>38.75</v>
      </c>
      <c r="Y104" s="195"/>
      <c r="Z104" s="195"/>
      <c r="AA104" s="195"/>
      <c r="AB104" s="195"/>
      <c r="AC104" s="195"/>
      <c r="AD104" s="195"/>
      <c r="AE104" s="195"/>
      <c r="AF104" s="195"/>
      <c r="AG104" s="195"/>
      <c r="AH104" s="195"/>
      <c r="AI104" s="195"/>
      <c r="AJ104" s="195"/>
      <c r="AK104" s="195"/>
      <c r="AL104" s="195"/>
      <c r="AM104" s="195"/>
      <c r="AN104" s="195"/>
      <c r="AO104" s="195"/>
      <c r="AP104" s="195"/>
      <c r="AQ104" s="195"/>
      <c r="AR104" s="195"/>
      <c r="AS104" s="195"/>
      <c r="AT104" s="195"/>
      <c r="AU104" s="195"/>
      <c r="AV104" s="195"/>
      <c r="AW104" s="195"/>
      <c r="AX104" s="195"/>
      <c r="AY104" s="195"/>
      <c r="AZ104" s="195"/>
      <c r="BA104" s="195"/>
      <c r="BB104" s="195"/>
      <c r="BC104" s="195"/>
    </row>
    <row r="105" spans="1:55" ht="15" customHeight="1" x14ac:dyDescent="0.2">
      <c r="B105" s="195"/>
      <c r="D105" s="11"/>
      <c r="F105" s="130" t="s">
        <v>36</v>
      </c>
      <c r="G105" s="140">
        <f>_xll.BDP("USSP01"&amp;G$101&amp;" "&amp;RIGHT(VolLink,LEN(VolLink)-FIND("/",VolLink))&amp;" curncy","PX LAST")</f>
        <v>43.5</v>
      </c>
      <c r="H105" s="140">
        <f>_xll.BDP("USSP01"&amp;H$101&amp;" "&amp;RIGHT(VolLink,LEN(VolLink)-FIND("/",VolLink))&amp;" curncy","PX LAST")</f>
        <v>98.5</v>
      </c>
      <c r="I105" s="140">
        <f>_xll.BDP("USSP01"&amp;I$101&amp;" "&amp;RIGHT(VolLink,LEN(VolLink)-FIND("/",VolLink))&amp;" curncy","PX LAST")</f>
        <v>306.10000000000002</v>
      </c>
      <c r="J105" s="140">
        <f>_xll.BDP("USSP01"&amp;J$101&amp;" "&amp;RIGHT(VolLink,LEN(VolLink)-FIND("/",VolLink))&amp;" curncy","PX LAST")</f>
        <v>441.32</v>
      </c>
      <c r="K105" s="140">
        <f>_xll.BDP("USSP01"&amp;K$101&amp;" "&amp;RIGHT(VolLink,LEN(VolLink)-FIND("/",VolLink))&amp;" curncy","PX LAST")</f>
        <v>597.16999999999996</v>
      </c>
      <c r="L105" s="140">
        <f>_xll.BDP("USSP01"&amp;L$101&amp;" "&amp;RIGHT(VolLink,LEN(VolLink)-FIND("/",VolLink))&amp;" curncy","PX LAST")</f>
        <v>845.9</v>
      </c>
      <c r="M105" s="140">
        <f>_xll.BDP("USSP01"&amp;M$101&amp;" "&amp;RIGHT(VolLink,LEN(VolLink)-FIND("/",VolLink))&amp;" curncy","PX LAST")</f>
        <v>1061.5899999999999</v>
      </c>
      <c r="N105" s="140">
        <f>_xll.BDP("USSP01"&amp;N$101&amp;" "&amp;RIGHT(VolLink,LEN(VolLink)-FIND("/",VolLink))&amp;" curncy","PX LAST")</f>
        <v>1248.6300000000001</v>
      </c>
      <c r="O105" s="140">
        <f>_xll.BDP("USSP01"&amp;O$101&amp;" "&amp;RIGHT(VolLink,LEN(VolLink)-FIND("/",VolLink))&amp;" curncy","PX LAST")</f>
        <v>1409.76</v>
      </c>
      <c r="P105" s="140">
        <f>_xll.BDP("USSV01"&amp;P$101&amp;" "&amp;RIGHT(VolLink,LEN(VolLink)-FIND("/",VolLink))&amp;" curncy","PX LAST")</f>
        <v>46.9</v>
      </c>
      <c r="Q105" s="140">
        <f>_xll.BDP("USSV01"&amp;Q$101&amp;" "&amp;RIGHT(VolLink,LEN(VolLink)-FIND("/",VolLink))&amp;" curncy","PX LAST")</f>
        <v>47.94</v>
      </c>
      <c r="R105" s="140">
        <f>_xll.BDP("USSV01"&amp;R$101&amp;" "&amp;RIGHT(VolLink,LEN(VolLink)-FIND("/",VolLink))&amp;" curncy","PX LAST")</f>
        <v>55.49</v>
      </c>
      <c r="S105" s="140">
        <f>_xll.BDP("USSV01"&amp;S$101&amp;" "&amp;RIGHT(VolLink,LEN(VolLink)-FIND("/",VolLink))&amp;" curncy","PX LAST")</f>
        <v>53.52</v>
      </c>
      <c r="T105" s="140">
        <f>_xll.BDP("USSV01"&amp;T$101&amp;" "&amp;RIGHT(VolLink,LEN(VolLink)-FIND("/",VolLink))&amp;" curncy","PX LAST")</f>
        <v>47.45</v>
      </c>
      <c r="U105" s="140">
        <f>_xll.BDP("USSV01"&amp;U$101&amp;" "&amp;RIGHT(VolLink,LEN(VolLink)-FIND("/",VolLink))&amp;" curncy","PX LAST")</f>
        <v>42.94</v>
      </c>
      <c r="V105" s="140">
        <f>_xll.BDP("USSV01"&amp;V$101&amp;" "&amp;RIGHT(VolLink,LEN(VolLink)-FIND("/",VolLink))&amp;" curncy","PX LAST")</f>
        <v>40.450000000000003</v>
      </c>
      <c r="W105" s="140">
        <f>_xll.BDP("USSV01"&amp;W$101&amp;" "&amp;RIGHT(VolLink,LEN(VolLink)-FIND("/",VolLink))&amp;" curncy","PX LAST")</f>
        <v>38.97</v>
      </c>
      <c r="X105" s="141">
        <f>_xll.BDP("USSV01"&amp;X$101&amp;" "&amp;RIGHT(VolLink,LEN(VolLink)-FIND("/",VolLink))&amp;" curncy","PX LAST")</f>
        <v>37.909999999999997</v>
      </c>
      <c r="Y105" s="195"/>
      <c r="Z105" s="195"/>
      <c r="AA105" s="195"/>
      <c r="AB105" s="195"/>
      <c r="AC105" s="195"/>
      <c r="AD105" s="195"/>
      <c r="AE105" s="195"/>
      <c r="AF105" s="195"/>
      <c r="AG105" s="195"/>
      <c r="AH105" s="195"/>
      <c r="AI105" s="195"/>
      <c r="AJ105" s="195"/>
      <c r="AK105" s="195"/>
      <c r="AL105" s="195"/>
      <c r="AM105" s="195"/>
      <c r="AN105" s="195"/>
      <c r="AO105" s="195"/>
      <c r="AP105" s="195"/>
      <c r="AQ105" s="195"/>
      <c r="AR105" s="195"/>
      <c r="AS105" s="195"/>
      <c r="AT105" s="195"/>
      <c r="AU105" s="195"/>
      <c r="AV105" s="195"/>
      <c r="AW105" s="195"/>
      <c r="AX105" s="195"/>
      <c r="AY105" s="195"/>
      <c r="AZ105" s="195"/>
      <c r="BA105" s="195"/>
      <c r="BB105" s="195"/>
      <c r="BC105" s="195"/>
    </row>
    <row r="106" spans="1:55" ht="15" customHeight="1" x14ac:dyDescent="0.2">
      <c r="B106" s="195"/>
      <c r="D106" s="11"/>
      <c r="F106" s="130" t="s">
        <v>37</v>
      </c>
      <c r="G106" s="138">
        <f>_xll.BDP("USSP02"&amp;G$101&amp;" "&amp;RIGHT(VolLink,LEN(VolLink)-FIND("/",VolLink))&amp;" curncy","PX LAST")</f>
        <v>78.989999999999995</v>
      </c>
      <c r="H106" s="138">
        <f>_xll.BDP("USSP02"&amp;H$101&amp;" "&amp;RIGHT(VolLink,LEN(VolLink)-FIND("/",VolLink))&amp;" curncy","PX LAST")</f>
        <v>174.09</v>
      </c>
      <c r="I106" s="138">
        <f>_xll.BDP("USSP02"&amp;I$101&amp;" "&amp;RIGHT(VolLink,LEN(VolLink)-FIND("/",VolLink))&amp;" curncy","PX LAST")</f>
        <v>402.49</v>
      </c>
      <c r="J106" s="138">
        <f>_xll.BDP("USSP02"&amp;J$101&amp;" "&amp;RIGHT(VolLink,LEN(VolLink)-FIND("/",VolLink))&amp;" curncy","PX LAST")</f>
        <v>590.85</v>
      </c>
      <c r="K106" s="138">
        <f>_xll.BDP("USSP02"&amp;K$101&amp;" "&amp;RIGHT(VolLink,LEN(VolLink)-FIND("/",VolLink))&amp;" curncy","PX LAST")</f>
        <v>859.65</v>
      </c>
      <c r="L106" s="138">
        <f>_xll.BDP("USSP02"&amp;L$101&amp;" "&amp;RIGHT(VolLink,LEN(VolLink)-FIND("/",VolLink))&amp;" curncy","PX LAST")</f>
        <v>1197.79</v>
      </c>
      <c r="M106" s="138">
        <f>_xll.BDP("USSP02"&amp;M$101&amp;" "&amp;RIGHT(VolLink,LEN(VolLink)-FIND("/",VolLink))&amp;" curncy","PX LAST")</f>
        <v>1477.3</v>
      </c>
      <c r="N106" s="138">
        <f>_xll.BDP("USSP02"&amp;N$101&amp;" "&amp;RIGHT(VolLink,LEN(VolLink)-FIND("/",VolLink))&amp;" curncy","PX LAST")</f>
        <v>1723.71</v>
      </c>
      <c r="O106" s="138">
        <f>_xll.BDP("USSP02"&amp;O$101&amp;" "&amp;RIGHT(VolLink,LEN(VolLink)-FIND("/",VolLink))&amp;" curncy","PX LAST")</f>
        <v>1929.8</v>
      </c>
      <c r="P106" s="138">
        <f>_xll.BDP("USSV02"&amp;P$101&amp;" "&amp;RIGHT(VolLink,LEN(VolLink)-FIND("/",VolLink))&amp;" curncy","PX LAST")</f>
        <v>55.84</v>
      </c>
      <c r="Q106" s="138">
        <f>_xll.BDP("USSV02"&amp;Q$101&amp;" "&amp;RIGHT(VolLink,LEN(VolLink)-FIND("/",VolLink))&amp;" curncy","PX LAST")</f>
        <v>58.88</v>
      </c>
      <c r="R106" s="138">
        <f>_xll.BDP("USSV02"&amp;R$101&amp;" "&amp;RIGHT(VolLink,LEN(VolLink)-FIND("/",VolLink))&amp;" curncy","PX LAST")</f>
        <v>54.95</v>
      </c>
      <c r="S106" s="138">
        <f>_xll.BDP("USSV02"&amp;S$101&amp;" "&amp;RIGHT(VolLink,LEN(VolLink)-FIND("/",VolLink))&amp;" curncy","PX LAST")</f>
        <v>48.04</v>
      </c>
      <c r="T106" s="138">
        <f>_xll.BDP("USSV02"&amp;T$101&amp;" "&amp;RIGHT(VolLink,LEN(VolLink)-FIND("/",VolLink))&amp;" curncy","PX LAST")</f>
        <v>46.59</v>
      </c>
      <c r="U106" s="138">
        <f>_xll.BDP("USSV02"&amp;U$101&amp;" "&amp;RIGHT(VolLink,LEN(VolLink)-FIND("/",VolLink))&amp;" curncy","PX LAST")</f>
        <v>42.4</v>
      </c>
      <c r="V106" s="138">
        <f>_xll.BDP("USSV02"&amp;V$101&amp;" "&amp;RIGHT(VolLink,LEN(VolLink)-FIND("/",VolLink))&amp;" curncy","PX LAST")</f>
        <v>39.65</v>
      </c>
      <c r="W106" s="138">
        <f>_xll.BDP("USSV02"&amp;W$101&amp;" "&amp;RIGHT(VolLink,LEN(VolLink)-FIND("/",VolLink))&amp;" curncy","PX LAST")</f>
        <v>38.07</v>
      </c>
      <c r="X106" s="139">
        <f>_xll.BDP("USSV02"&amp;X$101&amp;" "&amp;RIGHT(VolLink,LEN(VolLink)-FIND("/",VolLink))&amp;" curncy","PX LAST")</f>
        <v>36.92</v>
      </c>
      <c r="Y106" s="195"/>
      <c r="Z106" s="195"/>
      <c r="AA106" s="195"/>
      <c r="AB106" s="195"/>
      <c r="AC106" s="195"/>
      <c r="AD106" s="195"/>
      <c r="AE106" s="195"/>
      <c r="AF106" s="195"/>
      <c r="AG106" s="195"/>
      <c r="AH106" s="195"/>
      <c r="AI106" s="195"/>
      <c r="AJ106" s="195"/>
      <c r="AK106" s="195"/>
      <c r="AL106" s="195"/>
      <c r="AM106" s="195"/>
      <c r="AN106" s="195"/>
      <c r="AO106" s="195"/>
      <c r="AP106" s="195"/>
      <c r="AQ106" s="195"/>
      <c r="AR106" s="195"/>
      <c r="AS106" s="195"/>
      <c r="AT106" s="195"/>
      <c r="AU106" s="195"/>
      <c r="AV106" s="195"/>
      <c r="AW106" s="195"/>
      <c r="AX106" s="195"/>
      <c r="AY106" s="195"/>
      <c r="AZ106" s="195"/>
      <c r="BA106" s="195"/>
      <c r="BB106" s="195"/>
      <c r="BC106" s="195"/>
    </row>
    <row r="107" spans="1:55" ht="15" customHeight="1" x14ac:dyDescent="0.2">
      <c r="B107" s="195"/>
      <c r="D107" s="11"/>
      <c r="F107" s="130" t="s">
        <v>38</v>
      </c>
      <c r="G107" s="140">
        <f>_xll.BDP("USSP03"&amp;G$101&amp;" "&amp;RIGHT(VolLink,LEN(VolLink)-FIND("/",VolLink))&amp;" curncy","PX LAST")</f>
        <v>110.81</v>
      </c>
      <c r="H107" s="140">
        <f>_xll.BDP("USSP03"&amp;H$101&amp;" "&amp;RIGHT(VolLink,LEN(VolLink)-FIND("/",VolLink))&amp;" curncy","PX LAST")</f>
        <v>220.27</v>
      </c>
      <c r="I107" s="140">
        <f>_xll.BDP("USSP03"&amp;I$101&amp;" "&amp;RIGHT(VolLink,LEN(VolLink)-FIND("/",VolLink))&amp;" curncy","PX LAST")</f>
        <v>536.91</v>
      </c>
      <c r="J107" s="140">
        <f>_xll.BDP("USSP03"&amp;J$101&amp;" "&amp;RIGHT(VolLink,LEN(VolLink)-FIND("/",VolLink))&amp;" curncy","PX LAST")</f>
        <v>751.18</v>
      </c>
      <c r="K107" s="140">
        <f>_xll.BDP("USSP03"&amp;K$101&amp;" "&amp;RIGHT(VolLink,LEN(VolLink)-FIND("/",VolLink))&amp;" curncy","PX LAST")</f>
        <v>1051.5999999999999</v>
      </c>
      <c r="L107" s="140">
        <f>_xll.BDP("USSP03"&amp;L$101&amp;" "&amp;RIGHT(VolLink,LEN(VolLink)-FIND("/",VolLink))&amp;" curncy","PX LAST")</f>
        <v>1452.92</v>
      </c>
      <c r="M107" s="140">
        <f>_xll.BDP("USSP03"&amp;M$101&amp;" "&amp;RIGHT(VolLink,LEN(VolLink)-FIND("/",VolLink))&amp;" curncy","PX LAST")</f>
        <v>1775.8</v>
      </c>
      <c r="N107" s="140">
        <f>_xll.BDP("USSP03"&amp;N$101&amp;" "&amp;RIGHT(VolLink,LEN(VolLink)-FIND("/",VolLink))&amp;" curncy","PX LAST")</f>
        <v>2076.44</v>
      </c>
      <c r="O107" s="140">
        <f>_xll.BDP("USSP03"&amp;O$101&amp;" "&amp;RIGHT(VolLink,LEN(VolLink)-FIND("/",VolLink))&amp;" curncy","PX LAST")</f>
        <v>2329.48</v>
      </c>
      <c r="P107" s="140">
        <f>_xll.BDP("USSV03"&amp;P$101&amp;" "&amp;RIGHT(VolLink,LEN(VolLink)-FIND("/",VolLink))&amp;" curncy","PX LAST")</f>
        <v>59.39</v>
      </c>
      <c r="Q107" s="140">
        <f>_xll.BDP("USSV03"&amp;Q$101&amp;" "&amp;RIGHT(VolLink,LEN(VolLink)-FIND("/",VolLink))&amp;" curncy","PX LAST")</f>
        <v>56.43</v>
      </c>
      <c r="R107" s="140">
        <f>_xll.BDP("USSV03"&amp;R$101&amp;" "&amp;RIGHT(VolLink,LEN(VolLink)-FIND("/",VolLink))&amp;" curncy","PX LAST")</f>
        <v>49.95</v>
      </c>
      <c r="S107" s="140">
        <f>_xll.BDP("USSV03"&amp;S$101&amp;" "&amp;RIGHT(VolLink,LEN(VolLink)-FIND("/",VolLink))&amp;" curncy","PX LAST")</f>
        <v>47.97</v>
      </c>
      <c r="T107" s="140">
        <f>_xll.BDP("USSV03"&amp;T$101&amp;" "&amp;RIGHT(VolLink,LEN(VolLink)-FIND("/",VolLink))&amp;" curncy","PX LAST")</f>
        <v>45.58</v>
      </c>
      <c r="U107" s="140">
        <f>_xll.BDP("USSV03"&amp;U$101&amp;" "&amp;RIGHT(VolLink,LEN(VolLink)-FIND("/",VolLink))&amp;" curncy","PX LAST")</f>
        <v>41.61</v>
      </c>
      <c r="V107" s="140">
        <f>_xll.BDP("USSV03"&amp;V$101&amp;" "&amp;RIGHT(VolLink,LEN(VolLink)-FIND("/",VolLink))&amp;" curncy","PX LAST")</f>
        <v>38.9</v>
      </c>
      <c r="W107" s="140">
        <f>_xll.BDP("USSV03"&amp;W$101&amp;" "&amp;RIGHT(VolLink,LEN(VolLink)-FIND("/",VolLink))&amp;" curncy","PX LAST")</f>
        <v>37.61</v>
      </c>
      <c r="X107" s="141">
        <f>_xll.BDP("USSV03"&amp;X$101&amp;" "&amp;RIGHT(VolLink,LEN(VolLink)-FIND("/",VolLink))&amp;" curncy","PX LAST")</f>
        <v>36.72</v>
      </c>
      <c r="Y107" s="195"/>
      <c r="Z107" s="195"/>
      <c r="AA107" s="195"/>
      <c r="AB107" s="195"/>
      <c r="AC107" s="195"/>
      <c r="AD107" s="195"/>
      <c r="AE107" s="195"/>
      <c r="AF107" s="195"/>
      <c r="AG107" s="195"/>
      <c r="AH107" s="195"/>
      <c r="AI107" s="195"/>
      <c r="AJ107" s="195"/>
      <c r="AK107" s="195"/>
      <c r="AL107" s="195"/>
      <c r="AM107" s="195"/>
      <c r="AN107" s="195"/>
      <c r="AO107" s="195"/>
      <c r="AP107" s="195"/>
      <c r="AQ107" s="195"/>
      <c r="AR107" s="195"/>
      <c r="AS107" s="195"/>
      <c r="AT107" s="195"/>
      <c r="AU107" s="195"/>
      <c r="AV107" s="195"/>
      <c r="AW107" s="195"/>
      <c r="AX107" s="195"/>
      <c r="AY107" s="195"/>
      <c r="AZ107" s="195"/>
      <c r="BA107" s="195"/>
      <c r="BB107" s="195"/>
      <c r="BC107" s="195"/>
    </row>
    <row r="108" spans="1:55" ht="15" customHeight="1" x14ac:dyDescent="0.2">
      <c r="B108" s="195"/>
      <c r="D108" s="11"/>
      <c r="F108" s="130" t="s">
        <v>39</v>
      </c>
      <c r="G108" s="138">
        <f>_xll.BDP("USSP04"&amp;G$101&amp;" "&amp;RIGHT(VolLink,LEN(VolLink)-FIND("/",VolLink))&amp;" curncy","PX LAST")</f>
        <v>133.55000000000001</v>
      </c>
      <c r="H108" s="138">
        <f>_xll.BDP("USSP04"&amp;H$101&amp;" "&amp;RIGHT(VolLink,LEN(VolLink)-FIND("/",VolLink))&amp;" curncy","PX LAST")</f>
        <v>264.19</v>
      </c>
      <c r="I108" s="138">
        <f>_xll.BDP("USSP04"&amp;I$101&amp;" "&amp;RIGHT(VolLink,LEN(VolLink)-FIND("/",VolLink))&amp;" curncy","PX LAST")</f>
        <v>635.33000000000004</v>
      </c>
      <c r="J108" s="138">
        <f>_xll.BDP("USSP04"&amp;J$101&amp;" "&amp;RIGHT(VolLink,LEN(VolLink)-FIND("/",VolLink))&amp;" curncy","PX LAST")</f>
        <v>872.49</v>
      </c>
      <c r="K108" s="138">
        <f>_xll.BDP("USSP04"&amp;K$101&amp;" "&amp;RIGHT(VolLink,LEN(VolLink)-FIND("/",VolLink))&amp;" curncy","PX LAST")</f>
        <v>1200.78</v>
      </c>
      <c r="L108" s="138">
        <f>_xll.BDP("USSP04"&amp;L$101&amp;" "&amp;RIGHT(VolLink,LEN(VolLink)-FIND("/",VolLink))&amp;" curncy","PX LAST")</f>
        <v>1651.91</v>
      </c>
      <c r="M108" s="138">
        <f>_xll.BDP("USSP04"&amp;M$101&amp;" "&amp;RIGHT(VolLink,LEN(VolLink)-FIND("/",VolLink))&amp;" curncy","PX LAST")</f>
        <v>2010.81</v>
      </c>
      <c r="N108" s="138">
        <f>_xll.BDP("USSP04"&amp;N$101&amp;" "&amp;RIGHT(VolLink,LEN(VolLink)-FIND("/",VolLink))&amp;" curncy","PX LAST")</f>
        <v>2353.2199999999998</v>
      </c>
      <c r="O108" s="138">
        <f>_xll.BDP("USSP04"&amp;O$101&amp;" "&amp;RIGHT(VolLink,LEN(VolLink)-FIND("/",VolLink))&amp;" curncy","PX LAST")</f>
        <v>2633.46</v>
      </c>
      <c r="P108" s="138">
        <f>_xll.BDP("USSV04"&amp;P$101&amp;" "&amp;RIGHT(VolLink,LEN(VolLink)-FIND("/",VolLink))&amp;" curncy","PX LAST")</f>
        <v>58.06</v>
      </c>
      <c r="Q108" s="138">
        <f>_xll.BDP("USSV04"&amp;Q$101&amp;" "&amp;RIGHT(VolLink,LEN(VolLink)-FIND("/",VolLink))&amp;" curncy","PX LAST")</f>
        <v>55.12</v>
      </c>
      <c r="R108" s="138">
        <f>_xll.BDP("USSV04"&amp;R$101&amp;" "&amp;RIGHT(VolLink,LEN(VolLink)-FIND("/",VolLink))&amp;" curncy","PX LAST")</f>
        <v>49.19</v>
      </c>
      <c r="S108" s="138">
        <f>_xll.BDP("USSV04"&amp;S$101&amp;" "&amp;RIGHT(VolLink,LEN(VolLink)-FIND("/",VolLink))&amp;" curncy","PX LAST")</f>
        <v>46.91</v>
      </c>
      <c r="T108" s="138">
        <f>_xll.BDP("USSV04"&amp;T$101&amp;" "&amp;RIGHT(VolLink,LEN(VolLink)-FIND("/",VolLink))&amp;" curncy","PX LAST")</f>
        <v>44.29</v>
      </c>
      <c r="U108" s="138">
        <f>_xll.BDP("USSV04"&amp;U$101&amp;" "&amp;RIGHT(VolLink,LEN(VolLink)-FIND("/",VolLink))&amp;" curncy","PX LAST")</f>
        <v>40.74</v>
      </c>
      <c r="V108" s="138">
        <f>_xll.BDP("USSV04"&amp;V$101&amp;" "&amp;RIGHT(VolLink,LEN(VolLink)-FIND("/",VolLink))&amp;" curncy","PX LAST")</f>
        <v>38.24</v>
      </c>
      <c r="W108" s="138">
        <f>_xll.BDP("USSV04"&amp;W$101&amp;" "&amp;RIGHT(VolLink,LEN(VolLink)-FIND("/",VolLink))&amp;" curncy","PX LAST")</f>
        <v>37.14</v>
      </c>
      <c r="X108" s="139">
        <f>_xll.BDP("USSV04"&amp;X$101&amp;" "&amp;RIGHT(VolLink,LEN(VolLink)-FIND("/",VolLink))&amp;" curncy","PX LAST")</f>
        <v>36.47</v>
      </c>
      <c r="Y108" s="195"/>
      <c r="Z108" s="195"/>
      <c r="AA108" s="195"/>
      <c r="AB108" s="195"/>
      <c r="AC108" s="195"/>
      <c r="AD108" s="195"/>
      <c r="AE108" s="195"/>
      <c r="AF108" s="195"/>
      <c r="AG108" s="195"/>
      <c r="AH108" s="195"/>
      <c r="AI108" s="195"/>
      <c r="AJ108" s="195"/>
      <c r="AK108" s="195"/>
      <c r="AL108" s="195"/>
      <c r="AM108" s="195"/>
      <c r="AN108" s="195"/>
      <c r="AO108" s="195"/>
      <c r="AP108" s="195"/>
      <c r="AQ108" s="195"/>
      <c r="AR108" s="195"/>
      <c r="AS108" s="195"/>
      <c r="AT108" s="195"/>
      <c r="AU108" s="195"/>
      <c r="AV108" s="195"/>
      <c r="AW108" s="195"/>
      <c r="AX108" s="195"/>
      <c r="AY108" s="195"/>
      <c r="AZ108" s="195"/>
      <c r="BA108" s="195"/>
      <c r="BB108" s="195"/>
      <c r="BC108" s="195"/>
    </row>
    <row r="109" spans="1:55" ht="15" customHeight="1" x14ac:dyDescent="0.2">
      <c r="B109" s="195"/>
      <c r="D109" s="11"/>
      <c r="F109" s="130" t="s">
        <v>40</v>
      </c>
      <c r="G109" s="140">
        <f>_xll.BDP("USSP05"&amp;G$101&amp;" "&amp;RIGHT(VolLink,LEN(VolLink)-FIND("/",VolLink))&amp;" curncy","PX LAST")</f>
        <v>151.24</v>
      </c>
      <c r="H109" s="140">
        <f>_xll.BDP("USSP05"&amp;H$101&amp;" "&amp;RIGHT(VolLink,LEN(VolLink)-FIND("/",VolLink))&amp;" curncy","PX LAST")</f>
        <v>298.42</v>
      </c>
      <c r="I109" s="140">
        <f>_xll.BDP("USSP05"&amp;I$101&amp;" "&amp;RIGHT(VolLink,LEN(VolLink)-FIND("/",VolLink))&amp;" curncy","PX LAST")</f>
        <v>712.58</v>
      </c>
      <c r="J109" s="140">
        <f>_xll.BDP("USSP05"&amp;J$101&amp;" "&amp;RIGHT(VolLink,LEN(VolLink)-FIND("/",VolLink))&amp;" curncy","PX LAST")</f>
        <v>969.09</v>
      </c>
      <c r="K109" s="140">
        <f>_xll.BDP("USSP05"&amp;K$101&amp;" "&amp;RIGHT(VolLink,LEN(VolLink)-FIND("/",VolLink))&amp;" curncy","PX LAST")</f>
        <v>1320.93</v>
      </c>
      <c r="L109" s="140">
        <f>_xll.BDP("USSP05"&amp;L$101&amp;" "&amp;RIGHT(VolLink,LEN(VolLink)-FIND("/",VolLink))&amp;" curncy","PX LAST")</f>
        <v>1811.99</v>
      </c>
      <c r="M109" s="140">
        <f>_xll.BDP("USSP05"&amp;M$101&amp;" "&amp;RIGHT(VolLink,LEN(VolLink)-FIND("/",VolLink))&amp;" curncy","PX LAST")</f>
        <v>2200.75</v>
      </c>
      <c r="N109" s="140">
        <f>_xll.BDP("USSP05"&amp;N$101&amp;" "&amp;RIGHT(VolLink,LEN(VolLink)-FIND("/",VolLink))&amp;" curncy","PX LAST")</f>
        <v>2576.61</v>
      </c>
      <c r="O109" s="140">
        <f>_xll.BDP("USSP05"&amp;O$101&amp;" "&amp;RIGHT(VolLink,LEN(VolLink)-FIND("/",VolLink))&amp;" curncy","PX LAST")</f>
        <v>2896.06</v>
      </c>
      <c r="P109" s="140">
        <f>_xll.BDP("USSV05"&amp;P$101&amp;" "&amp;RIGHT(VolLink,LEN(VolLink)-FIND("/",VolLink))&amp;" curncy","PX LAST")</f>
        <v>66.349999999999994</v>
      </c>
      <c r="Q109" s="140">
        <f>_xll.BDP("USSV05"&amp;Q$101&amp;" "&amp;RIGHT(VolLink,LEN(VolLink)-FIND("/",VolLink))&amp;" curncy","PX LAST")</f>
        <v>53.21</v>
      </c>
      <c r="R109" s="140">
        <f>_xll.BDP("USSV05"&amp;R$101&amp;" "&amp;RIGHT(VolLink,LEN(VolLink)-FIND("/",VolLink))&amp;" curncy","PX LAST")</f>
        <v>47.99</v>
      </c>
      <c r="S109" s="140">
        <f>_xll.BDP("USSV05"&amp;S$101&amp;" "&amp;RIGHT(VolLink,LEN(VolLink)-FIND("/",VolLink))&amp;" curncy","PX LAST")</f>
        <v>45.61</v>
      </c>
      <c r="T109" s="140">
        <f>_xll.BDP("USSV05"&amp;T$101&amp;" "&amp;RIGHT(VolLink,LEN(VolLink)-FIND("/",VolLink))&amp;" curncy","PX LAST")</f>
        <v>43.05</v>
      </c>
      <c r="U109" s="140">
        <f>_xll.BDP("USSV05"&amp;U$101&amp;" "&amp;RIGHT(VolLink,LEN(VolLink)-FIND("/",VolLink))&amp;" curncy","PX LAST")</f>
        <v>39.89</v>
      </c>
      <c r="V109" s="140">
        <f>_xll.BDP("USSV05"&amp;V$101&amp;" "&amp;RIGHT(VolLink,LEN(VolLink)-FIND("/",VolLink))&amp;" curncy","PX LAST")</f>
        <v>37.619999999999997</v>
      </c>
      <c r="W109" s="140">
        <f>_xll.BDP("USSV05"&amp;W$101&amp;" "&amp;RIGHT(VolLink,LEN(VolLink)-FIND("/",VolLink))&amp;" curncy","PX LAST")</f>
        <v>36.71</v>
      </c>
      <c r="X109" s="141">
        <f>_xll.BDP("USSV05"&amp;X$101&amp;" "&amp;RIGHT(VolLink,LEN(VolLink)-FIND("/",VolLink))&amp;" curncy","PX LAST")</f>
        <v>36.25</v>
      </c>
      <c r="Y109" s="195"/>
      <c r="Z109" s="195"/>
      <c r="AA109" s="195"/>
      <c r="AB109" s="195"/>
      <c r="AC109" s="195"/>
      <c r="AD109" s="195"/>
      <c r="AE109" s="195"/>
      <c r="AF109" s="195"/>
      <c r="AG109" s="195"/>
      <c r="AH109" s="195"/>
      <c r="AI109" s="195"/>
      <c r="AJ109" s="195"/>
      <c r="AK109" s="195"/>
      <c r="AL109" s="195"/>
      <c r="AM109" s="195"/>
      <c r="AN109" s="195"/>
      <c r="AO109" s="195"/>
      <c r="AP109" s="195"/>
      <c r="AQ109" s="195"/>
      <c r="AR109" s="195"/>
      <c r="AS109" s="195"/>
      <c r="AT109" s="195"/>
      <c r="AU109" s="195"/>
      <c r="AV109" s="195"/>
      <c r="AW109" s="195"/>
      <c r="AX109" s="195"/>
      <c r="AY109" s="195"/>
      <c r="AZ109" s="195"/>
      <c r="BA109" s="195"/>
      <c r="BB109" s="195"/>
      <c r="BC109" s="195"/>
    </row>
    <row r="110" spans="1:55" ht="15" customHeight="1" x14ac:dyDescent="0.2">
      <c r="B110" s="195"/>
      <c r="D110" s="11"/>
      <c r="F110" s="130" t="s">
        <v>41</v>
      </c>
      <c r="G110" s="138">
        <f>_xll.BDP("USSP07"&amp;G$101&amp;" "&amp;RIGHT(VolLink,LEN(VolLink)-FIND("/",VolLink))&amp;" curncy","PX LAST")</f>
        <v>155.09</v>
      </c>
      <c r="H110" s="138">
        <f>_xll.BDP("USSP07"&amp;H$101&amp;" "&amp;RIGHT(VolLink,LEN(VolLink)-FIND("/",VolLink))&amp;" curncy","PX LAST")</f>
        <v>335.87</v>
      </c>
      <c r="I110" s="138">
        <f>_xll.BDP("USSP07"&amp;I$101&amp;" "&amp;RIGHT(VolLink,LEN(VolLink)-FIND("/",VolLink))&amp;" curncy","PX LAST")</f>
        <v>796.92</v>
      </c>
      <c r="J110" s="138">
        <f>_xll.BDP("USSP07"&amp;J$101&amp;" "&amp;RIGHT(VolLink,LEN(VolLink)-FIND("/",VolLink))&amp;" curncy","PX LAST")</f>
        <v>1075.8800000000001</v>
      </c>
      <c r="K110" s="138">
        <f>_xll.BDP("USSP07"&amp;K$101&amp;" "&amp;RIGHT(VolLink,LEN(VolLink)-FIND("/",VolLink))&amp;" curncy","PX LAST")</f>
        <v>1451.53</v>
      </c>
      <c r="L110" s="138">
        <f>_xll.BDP("USSP07"&amp;L$101&amp;" "&amp;RIGHT(VolLink,LEN(VolLink)-FIND("/",VolLink))&amp;" curncy","PX LAST")</f>
        <v>1964.88</v>
      </c>
      <c r="M110" s="138">
        <f>_xll.BDP("USSP07"&amp;M$101&amp;" "&amp;RIGHT(VolLink,LEN(VolLink)-FIND("/",VolLink))&amp;" curncy","PX LAST")</f>
        <v>2354.4899999999998</v>
      </c>
      <c r="N110" s="138">
        <f>_xll.BDP("USSP07"&amp;N$101&amp;" "&amp;RIGHT(VolLink,LEN(VolLink)-FIND("/",VolLink))&amp;" curncy","PX LAST")</f>
        <v>2730.9</v>
      </c>
      <c r="O110" s="138">
        <f>_xll.BDP("USSP07"&amp;O$101&amp;" "&amp;RIGHT(VolLink,LEN(VolLink)-FIND("/",VolLink))&amp;" curncy","PX LAST")</f>
        <v>3067.83</v>
      </c>
      <c r="P110" s="138">
        <f>_xll.BDP("USSV07"&amp;P$101&amp;" "&amp;RIGHT(VolLink,LEN(VolLink)-FIND("/",VolLink))&amp;" curncy","PX LAST")</f>
        <v>49.35</v>
      </c>
      <c r="Q110" s="138">
        <f>_xll.BDP("USSV07"&amp;Q$101&amp;" "&amp;RIGHT(VolLink,LEN(VolLink)-FIND("/",VolLink))&amp;" curncy","PX LAST")</f>
        <v>47.7</v>
      </c>
      <c r="R110" s="138">
        <f>_xll.BDP("USSV07"&amp;R$101&amp;" "&amp;RIGHT(VolLink,LEN(VolLink)-FIND("/",VolLink))&amp;" curncy","PX LAST")</f>
        <v>43.84</v>
      </c>
      <c r="S110" s="138">
        <f>_xll.BDP("USSV07"&amp;S$101&amp;" "&amp;RIGHT(VolLink,LEN(VolLink)-FIND("/",VolLink))&amp;" curncy","PX LAST")</f>
        <v>42.32</v>
      </c>
      <c r="T110" s="138">
        <f>_xll.BDP("USSV07"&amp;T$101&amp;" "&amp;RIGHT(VolLink,LEN(VolLink)-FIND("/",VolLink))&amp;" curncy","PX LAST")</f>
        <v>40.33</v>
      </c>
      <c r="U110" s="138">
        <f>_xll.BDP("USSV07"&amp;U$101&amp;" "&amp;RIGHT(VolLink,LEN(VolLink)-FIND("/",VolLink))&amp;" curncy","PX LAST")</f>
        <v>37.409999999999997</v>
      </c>
      <c r="V110" s="138">
        <f>_xll.BDP("USSV07"&amp;V$101&amp;" "&amp;RIGHT(VolLink,LEN(VolLink)-FIND("/",VolLink))&amp;" curncy","PX LAST")</f>
        <v>34.950000000000003</v>
      </c>
      <c r="W110" s="138">
        <f>_xll.BDP("USSV07"&amp;W$101&amp;" "&amp;RIGHT(VolLink,LEN(VolLink)-FIND("/",VolLink))&amp;" curncy","PX LAST")</f>
        <v>33.229999999999997</v>
      </c>
      <c r="X110" s="139">
        <f>_xll.BDP("USSV07"&amp;X$101&amp;" "&amp;RIGHT(VolLink,LEN(VolLink)-FIND("/",VolLink))&amp;" curncy","PX LAST")</f>
        <v>33.4</v>
      </c>
      <c r="Y110" s="195"/>
      <c r="Z110" s="195"/>
      <c r="AA110" s="195"/>
      <c r="AB110" s="195"/>
      <c r="AC110" s="195"/>
      <c r="AD110" s="195"/>
      <c r="AE110" s="195"/>
      <c r="AF110" s="195"/>
      <c r="AG110" s="195"/>
      <c r="AH110" s="195"/>
      <c r="AI110" s="195"/>
      <c r="AJ110" s="195"/>
      <c r="AK110" s="195"/>
      <c r="AL110" s="195"/>
      <c r="AM110" s="195"/>
      <c r="AN110" s="195"/>
      <c r="AO110" s="195"/>
      <c r="AP110" s="195"/>
      <c r="AQ110" s="195"/>
      <c r="AR110" s="195"/>
      <c r="AS110" s="195"/>
      <c r="AT110" s="195"/>
      <c r="AU110" s="195"/>
      <c r="AV110" s="195"/>
      <c r="AW110" s="195"/>
      <c r="AX110" s="195"/>
      <c r="AY110" s="195"/>
      <c r="AZ110" s="195"/>
      <c r="BA110" s="195"/>
      <c r="BB110" s="195"/>
      <c r="BC110" s="195"/>
    </row>
    <row r="111" spans="1:55" ht="15" customHeight="1" x14ac:dyDescent="0.2">
      <c r="B111" s="195"/>
      <c r="D111" s="11"/>
      <c r="F111" s="130" t="s">
        <v>42</v>
      </c>
      <c r="G111" s="140">
        <f>_xll.BDP("USSP10"&amp;G$101&amp;" "&amp;RIGHT(VolLink,LEN(VolLink)-FIND("/",VolLink))&amp;" curncy","PX LAST")</f>
        <v>179.14</v>
      </c>
      <c r="H111" s="140">
        <f>_xll.BDP("USSP10"&amp;H$101&amp;" "&amp;RIGHT(VolLink,LEN(VolLink)-FIND("/",VolLink))&amp;" curncy","PX LAST")</f>
        <v>333.61</v>
      </c>
      <c r="I111" s="140">
        <f>_xll.BDP("USSP10"&amp;I$101&amp;" "&amp;RIGHT(VolLink,LEN(VolLink)-FIND("/",VolLink))&amp;" curncy","PX LAST")</f>
        <v>767.64</v>
      </c>
      <c r="J111" s="140">
        <f>_xll.BDP("USSP10"&amp;J$101&amp;" "&amp;RIGHT(VolLink,LEN(VolLink)-FIND("/",VolLink))&amp;" curncy","PX LAST")</f>
        <v>1073.99</v>
      </c>
      <c r="K111" s="140">
        <f>_xll.BDP("USSP10"&amp;K$101&amp;" "&amp;RIGHT(VolLink,LEN(VolLink)-FIND("/",VolLink))&amp;" curncy","PX LAST")</f>
        <v>1534.59</v>
      </c>
      <c r="L111" s="140">
        <f>_xll.BDP("USSP10"&amp;L$101&amp;" "&amp;RIGHT(VolLink,LEN(VolLink)-FIND("/",VolLink))&amp;" curncy","PX LAST")</f>
        <v>2052.71</v>
      </c>
      <c r="M111" s="140">
        <f>_xll.BDP("USSP10"&amp;M$101&amp;" "&amp;RIGHT(VolLink,LEN(VolLink)-FIND("/",VolLink))&amp;" curncy","PX LAST")</f>
        <v>2426.9899999999998</v>
      </c>
      <c r="N111" s="140">
        <f>_xll.BDP("USSP10"&amp;N$101&amp;" "&amp;RIGHT(VolLink,LEN(VolLink)-FIND("/",VolLink))&amp;" curncy","PX LAST")</f>
        <v>2812.46</v>
      </c>
      <c r="O111" s="140">
        <f>_xll.BDP("USSP10"&amp;O$101&amp;" "&amp;RIGHT(VolLink,LEN(VolLink)-FIND("/",VolLink))&amp;" curncy","PX LAST")</f>
        <v>3134.59</v>
      </c>
      <c r="P111" s="140">
        <f>_xll.BDP("USSV10"&amp;P$101&amp;" "&amp;RIGHT(VolLink,LEN(VolLink)-FIND("/",VolLink))&amp;" curncy","PX LAST")</f>
        <v>41.68</v>
      </c>
      <c r="Q111" s="140">
        <f>_xll.BDP("USSV10"&amp;Q$101&amp;" "&amp;RIGHT(VolLink,LEN(VolLink)-FIND("/",VolLink))&amp;" curncy","PX LAST")</f>
        <v>39.44</v>
      </c>
      <c r="R111" s="140">
        <f>_xll.BDP("USSV10"&amp;R$101&amp;" "&amp;RIGHT(VolLink,LEN(VolLink)-FIND("/",VolLink))&amp;" curncy","PX LAST")</f>
        <v>34.99</v>
      </c>
      <c r="S111" s="140">
        <f>_xll.BDP("USSV10"&amp;S$101&amp;" "&amp;RIGHT(VolLink,LEN(VolLink)-FIND("/",VolLink))&amp;" curncy","PX LAST")</f>
        <v>34.25</v>
      </c>
      <c r="T111" s="140">
        <f>_xll.BDP("USSV10"&amp;T$101&amp;" "&amp;RIGHT(VolLink,LEN(VolLink)-FIND("/",VolLink))&amp;" curncy","PX LAST")</f>
        <v>36.520000000000003</v>
      </c>
      <c r="U111" s="140">
        <f>_xll.BDP("USSV10"&amp;U$101&amp;" "&amp;RIGHT(VolLink,LEN(VolLink)-FIND("/",VolLink))&amp;" curncy","PX LAST")</f>
        <v>34.07</v>
      </c>
      <c r="V111" s="140">
        <f>_xll.BDP("USSV10"&amp;V$101&amp;" "&amp;RIGHT(VolLink,LEN(VolLink)-FIND("/",VolLink))&amp;" curncy","PX LAST")</f>
        <v>31.58</v>
      </c>
      <c r="W111" s="140">
        <f>_xll.BDP("USSV10"&amp;W$101&amp;" "&amp;RIGHT(VolLink,LEN(VolLink)-FIND("/",VolLink))&amp;" curncy","PX LAST")</f>
        <v>31.11</v>
      </c>
      <c r="X111" s="141">
        <f>_xll.BDP("USSV10"&amp;X$101&amp;" "&amp;RIGHT(VolLink,LEN(VolLink)-FIND("/",VolLink))&amp;" curncy","PX LAST")</f>
        <v>29.96</v>
      </c>
      <c r="Y111" s="195"/>
      <c r="Z111" s="195"/>
      <c r="AA111" s="195"/>
      <c r="AB111" s="195"/>
      <c r="AC111" s="195"/>
      <c r="AD111" s="195"/>
      <c r="AE111" s="195"/>
      <c r="AF111" s="195"/>
      <c r="AG111" s="195"/>
      <c r="AH111" s="195"/>
      <c r="AI111" s="195"/>
      <c r="AJ111" s="195"/>
      <c r="AK111" s="195"/>
      <c r="AL111" s="195"/>
      <c r="AM111" s="195"/>
      <c r="AN111" s="195"/>
      <c r="AO111" s="195"/>
      <c r="AP111" s="195"/>
      <c r="AQ111" s="195"/>
      <c r="AR111" s="195"/>
      <c r="AS111" s="195"/>
      <c r="AT111" s="195"/>
      <c r="AU111" s="195"/>
      <c r="AV111" s="195"/>
      <c r="AW111" s="195"/>
      <c r="AX111" s="195"/>
      <c r="AY111" s="195"/>
      <c r="AZ111" s="195"/>
      <c r="BA111" s="195"/>
      <c r="BB111" s="195"/>
      <c r="BC111" s="195"/>
    </row>
    <row r="112" spans="1:55" ht="15" customHeight="1" x14ac:dyDescent="0.2">
      <c r="B112" s="195"/>
      <c r="D112" s="11"/>
      <c r="F112" s="130" t="s">
        <v>44</v>
      </c>
      <c r="G112" s="138">
        <f>_xll.BDP("USSP15"&amp;G$101&amp;" "&amp;RIGHT(VolLink,LEN(VolLink)-FIND("/",VolLink))&amp;" curncy","PX LAST")</f>
        <v>170.89</v>
      </c>
      <c r="H112" s="138">
        <f>_xll.BDP("USSP15"&amp;H$101&amp;" "&amp;RIGHT(VolLink,LEN(VolLink)-FIND("/",VolLink))&amp;" curncy","PX LAST")</f>
        <v>333</v>
      </c>
      <c r="I112" s="138">
        <f>_xll.BDP("USSP15"&amp;I$101&amp;" "&amp;RIGHT(VolLink,LEN(VolLink)-FIND("/",VolLink))&amp;" curncy","PX LAST")</f>
        <v>763.77</v>
      </c>
      <c r="J112" s="138">
        <f>_xll.BDP("USSP15"&amp;J$101&amp;" "&amp;RIGHT(VolLink,LEN(VolLink)-FIND("/",VolLink))&amp;" curncy","PX LAST")</f>
        <v>1052.19</v>
      </c>
      <c r="K112" s="138">
        <f>_xll.BDP("USSP15"&amp;K$101&amp;" "&amp;RIGHT(VolLink,LEN(VolLink)-FIND("/",VolLink))&amp;" curncy","PX LAST")</f>
        <v>1475.68</v>
      </c>
      <c r="L112" s="138">
        <f>_xll.BDP("USSP15"&amp;L$101&amp;" "&amp;RIGHT(VolLink,LEN(VolLink)-FIND("/",VolLink))&amp;" curncy","PX LAST")</f>
        <v>1983.39</v>
      </c>
      <c r="M112" s="138">
        <f>_xll.BDP("USSP15"&amp;M$101&amp;" "&amp;RIGHT(VolLink,LEN(VolLink)-FIND("/",VolLink))&amp;" curncy","PX LAST")</f>
        <v>2355.25</v>
      </c>
      <c r="N112" s="138">
        <f>_xll.BDP("USSP15"&amp;N$101&amp;" "&amp;RIGHT(VolLink,LEN(VolLink)-FIND("/",VolLink))&amp;" curncy","PX LAST")</f>
        <v>2735.1</v>
      </c>
      <c r="O112" s="138">
        <f>_xll.BDP("USSP15"&amp;O$101&amp;" "&amp;RIGHT(VolLink,LEN(VolLink)-FIND("/",VolLink))&amp;" curncy","PX LAST")</f>
        <v>3039.2</v>
      </c>
      <c r="P112" s="138">
        <f>_xll.BDP("USSV15"&amp;P$101&amp;" "&amp;RIGHT(VolLink,LEN(VolLink)-FIND("/",VolLink))&amp;" curncy","PX LAST")</f>
        <v>36.270000000000003</v>
      </c>
      <c r="Q112" s="138">
        <f>_xll.BDP("USSV15"&amp;Q$101&amp;" "&amp;RIGHT(VolLink,LEN(VolLink)-FIND("/",VolLink))&amp;" curncy","PX LAST")</f>
        <v>34.78</v>
      </c>
      <c r="R112" s="138">
        <f>_xll.BDP("USSV15"&amp;R$101&amp;" "&amp;RIGHT(VolLink,LEN(VolLink)-FIND("/",VolLink))&amp;" curncy","PX LAST")</f>
        <v>31.04</v>
      </c>
      <c r="S112" s="138">
        <f>_xll.BDP("USSV15"&amp;S$101&amp;" "&amp;RIGHT(VolLink,LEN(VolLink)-FIND("/",VolLink))&amp;" curncy","PX LAST")</f>
        <v>31.84</v>
      </c>
      <c r="T112" s="138">
        <f>_xll.BDP("USSV15"&amp;T$101&amp;" "&amp;RIGHT(VolLink,LEN(VolLink)-FIND("/",VolLink))&amp;" curncy","PX LAST")</f>
        <v>31.97</v>
      </c>
      <c r="U112" s="138">
        <f>_xll.BDP("USSV15"&amp;U$101&amp;" "&amp;RIGHT(VolLink,LEN(VolLink)-FIND("/",VolLink))&amp;" curncy","PX LAST")</f>
        <v>30.03</v>
      </c>
      <c r="V112" s="138">
        <f>_xll.BDP("USSV15"&amp;V$101&amp;" "&amp;RIGHT(VolLink,LEN(VolLink)-FIND("/",VolLink))&amp;" curncy","PX LAST")</f>
        <v>28.46</v>
      </c>
      <c r="W112" s="138">
        <f>_xll.BDP("USSV15"&amp;W$101&amp;" "&amp;RIGHT(VolLink,LEN(VolLink)-FIND("/",VolLink))&amp;" curncy","PX LAST")</f>
        <v>27.35</v>
      </c>
      <c r="X112" s="139">
        <f>_xll.BDP("USSV15"&amp;X$101&amp;" "&amp;RIGHT(VolLink,LEN(VolLink)-FIND("/",VolLink))&amp;" curncy","PX LAST")</f>
        <v>26.79</v>
      </c>
      <c r="Y112" s="195"/>
      <c r="Z112" s="195"/>
      <c r="AA112" s="195"/>
      <c r="AB112" s="195"/>
      <c r="AC112" s="195"/>
      <c r="AD112" s="195"/>
      <c r="AE112" s="195"/>
      <c r="AF112" s="195"/>
      <c r="AG112" s="195"/>
      <c r="AH112" s="195"/>
      <c r="AI112" s="195"/>
      <c r="AJ112" s="195"/>
      <c r="AK112" s="195"/>
      <c r="AL112" s="195"/>
      <c r="AM112" s="195"/>
      <c r="AN112" s="195"/>
      <c r="AO112" s="195"/>
      <c r="AP112" s="195"/>
      <c r="AQ112" s="195"/>
      <c r="AR112" s="195"/>
      <c r="AS112" s="195"/>
      <c r="AT112" s="195"/>
      <c r="AU112" s="195"/>
      <c r="AV112" s="195"/>
      <c r="AW112" s="195"/>
      <c r="AX112" s="195"/>
      <c r="AY112" s="195"/>
      <c r="AZ112" s="195"/>
      <c r="BA112" s="195"/>
      <c r="BB112" s="195"/>
      <c r="BC112" s="195"/>
    </row>
    <row r="113" spans="1:55" ht="15" customHeight="1" x14ac:dyDescent="0.2">
      <c r="B113" s="195"/>
      <c r="D113" s="11"/>
      <c r="F113" s="130" t="s">
        <v>45</v>
      </c>
      <c r="G113" s="140">
        <f>_xll.BDP("USSP20"&amp;G$101&amp;" "&amp;RIGHT(VolLink,LEN(VolLink)-FIND("/",VolLink))&amp;" curncy","PX LAST")</f>
        <v>160.63999999999999</v>
      </c>
      <c r="H113" s="140">
        <f>_xll.BDP("USSP20"&amp;H$101&amp;" "&amp;RIGHT(VolLink,LEN(VolLink)-FIND("/",VolLink))&amp;" curncy","PX LAST")</f>
        <v>315.94</v>
      </c>
      <c r="I113" s="140">
        <f>_xll.BDP("USSP20"&amp;I$101&amp;" "&amp;RIGHT(VolLink,LEN(VolLink)-FIND("/",VolLink))&amp;" curncy","PX LAST")</f>
        <v>746.18</v>
      </c>
      <c r="J113" s="140">
        <f>_xll.BDP("USSP20"&amp;J$101&amp;" "&amp;RIGHT(VolLink,LEN(VolLink)-FIND("/",VolLink))&amp;" curncy","PX LAST")</f>
        <v>1019.64</v>
      </c>
      <c r="K113" s="140">
        <f>_xll.BDP("USSP20"&amp;K$101&amp;" "&amp;RIGHT(VolLink,LEN(VolLink)-FIND("/",VolLink))&amp;" curncy","PX LAST")</f>
        <v>1410.22</v>
      </c>
      <c r="L113" s="140">
        <f>_xll.BDP("USSP20"&amp;L$101&amp;" "&amp;RIGHT(VolLink,LEN(VolLink)-FIND("/",VolLink))&amp;" curncy","PX LAST")</f>
        <v>1899.98</v>
      </c>
      <c r="M113" s="140">
        <f>_xll.BDP("USSP20"&amp;M$101&amp;" "&amp;RIGHT(VolLink,LEN(VolLink)-FIND("/",VolLink))&amp;" curncy","PX LAST")</f>
        <v>2278.02</v>
      </c>
      <c r="N113" s="140">
        <f>_xll.BDP("USSP20"&amp;N$101&amp;" "&amp;RIGHT(VolLink,LEN(VolLink)-FIND("/",VolLink))&amp;" curncy","PX LAST")</f>
        <v>2636.39</v>
      </c>
      <c r="O113" s="140">
        <f>_xll.BDP("USSP20"&amp;O$101&amp;" "&amp;RIGHT(VolLink,LEN(VolLink)-FIND("/",VolLink))&amp;" curncy","PX LAST")</f>
        <v>2931.35</v>
      </c>
      <c r="P113" s="140">
        <f>_xll.BDP("USSV20"&amp;P$101&amp;" "&amp;RIGHT(VolLink,LEN(VolLink)-FIND("/",VolLink))&amp;" curncy","PX LAST")</f>
        <v>34.159999999999997</v>
      </c>
      <c r="Q113" s="140">
        <f>_xll.BDP("USSV20"&amp;Q$101&amp;" "&amp;RIGHT(VolLink,LEN(VolLink)-FIND("/",VolLink))&amp;" curncy","PX LAST")</f>
        <v>32.99</v>
      </c>
      <c r="R113" s="140">
        <f>_xll.BDP("USSV20"&amp;R$101&amp;" "&amp;RIGHT(VolLink,LEN(VolLink)-FIND("/",VolLink))&amp;" curncy","PX LAST")</f>
        <v>30.21</v>
      </c>
      <c r="S113" s="140">
        <f>_xll.BDP("USSV20"&amp;S$101&amp;" "&amp;RIGHT(VolLink,LEN(VolLink)-FIND("/",VolLink))&amp;" curncy","PX LAST")</f>
        <v>30.55</v>
      </c>
      <c r="T113" s="140">
        <f>_xll.BDP("USSV20"&amp;T$101&amp;" "&amp;RIGHT(VolLink,LEN(VolLink)-FIND("/",VolLink))&amp;" curncy","PX LAST")</f>
        <v>30.07</v>
      </c>
      <c r="U113" s="140">
        <f>_xll.BDP("USSV20"&amp;U$101&amp;" "&amp;RIGHT(VolLink,LEN(VolLink)-FIND("/",VolLink))&amp;" curncy","PX LAST")</f>
        <v>27.86</v>
      </c>
      <c r="V113" s="140">
        <f>_xll.BDP("USSV20"&amp;V$101&amp;" "&amp;RIGHT(VolLink,LEN(VolLink)-FIND("/",VolLink))&amp;" curncy","PX LAST")</f>
        <v>26.59</v>
      </c>
      <c r="W113" s="140">
        <f>_xll.BDP("USSV20"&amp;W$101&amp;" "&amp;RIGHT(VolLink,LEN(VolLink)-FIND("/",VolLink))&amp;" curncy","PX LAST")</f>
        <v>26.1</v>
      </c>
      <c r="X113" s="141">
        <f>_xll.BDP("USSV20"&amp;X$101&amp;" "&amp;RIGHT(VolLink,LEN(VolLink)-FIND("/",VolLink))&amp;" curncy","PX LAST")</f>
        <v>25.05</v>
      </c>
      <c r="Y113" s="195"/>
      <c r="Z113" s="195"/>
      <c r="AA113" s="195"/>
      <c r="AB113" s="195"/>
      <c r="AC113" s="195"/>
      <c r="AD113" s="195"/>
      <c r="AE113" s="195"/>
      <c r="AF113" s="195"/>
      <c r="AG113" s="195"/>
      <c r="AH113" s="195"/>
      <c r="AI113" s="195"/>
      <c r="AJ113" s="195"/>
      <c r="AK113" s="195"/>
      <c r="AL113" s="195"/>
      <c r="AM113" s="195"/>
      <c r="AN113" s="195"/>
      <c r="AO113" s="195"/>
      <c r="AP113" s="195"/>
      <c r="AQ113" s="195"/>
      <c r="AR113" s="195"/>
      <c r="AS113" s="195"/>
      <c r="AT113" s="195"/>
      <c r="AU113" s="195"/>
      <c r="AV113" s="195"/>
      <c r="AW113" s="195"/>
      <c r="AX113" s="195"/>
      <c r="AY113" s="195"/>
      <c r="AZ113" s="195"/>
      <c r="BA113" s="195"/>
      <c r="BB113" s="195"/>
      <c r="BC113" s="195"/>
    </row>
    <row r="114" spans="1:55" ht="15" customHeight="1" x14ac:dyDescent="0.2">
      <c r="B114" s="195"/>
      <c r="D114" s="11"/>
      <c r="F114" s="130" t="s">
        <v>46</v>
      </c>
      <c r="G114" s="138">
        <f>_xll.BDP("USSP25"&amp;G$101&amp;" "&amp;RIGHT(VolLink,LEN(VolLink)-FIND("/",VolLink))&amp;" curncy","PX LAST")</f>
        <v>152.24</v>
      </c>
      <c r="H114" s="138">
        <f>_xll.BDP("USSP25"&amp;H$101&amp;" "&amp;RIGHT(VolLink,LEN(VolLink)-FIND("/",VolLink))&amp;" curncy","PX LAST")</f>
        <v>301.43</v>
      </c>
      <c r="I114" s="138">
        <f>_xll.BDP("USSP25"&amp;I$101&amp;" "&amp;RIGHT(VolLink,LEN(VolLink)-FIND("/",VolLink))&amp;" curncy","PX LAST")</f>
        <v>725.94</v>
      </c>
      <c r="J114" s="138">
        <f>_xll.BDP("USSP25"&amp;J$101&amp;" "&amp;RIGHT(VolLink,LEN(VolLink)-FIND("/",VolLink))&amp;" curncy","PX LAST")</f>
        <v>985.94</v>
      </c>
      <c r="K114" s="138">
        <f>_xll.BDP("USSP25"&amp;K$101&amp;" "&amp;RIGHT(VolLink,LEN(VolLink)-FIND("/",VolLink))&amp;" curncy","PX LAST")</f>
        <v>1357.79</v>
      </c>
      <c r="L114" s="138">
        <f>_xll.BDP("USSP25"&amp;L$101&amp;" "&amp;RIGHT(VolLink,LEN(VolLink)-FIND("/",VolLink))&amp;" curncy","PX LAST")</f>
        <v>1878.79</v>
      </c>
      <c r="M114" s="138">
        <f>_xll.BDP("USSP25"&amp;M$101&amp;" "&amp;RIGHT(VolLink,LEN(VolLink)-FIND("/",VolLink))&amp;" curncy","PX LAST")</f>
        <v>2285.5</v>
      </c>
      <c r="N114" s="138">
        <f>_xll.BDP("USSP25"&amp;N$101&amp;" "&amp;RIGHT(VolLink,LEN(VolLink)-FIND("/",VolLink))&amp;" curncy","PX LAST")</f>
        <v>2677.97</v>
      </c>
      <c r="O114" s="138">
        <f>_xll.BDP("USSP25"&amp;O$101&amp;" "&amp;RIGHT(VolLink,LEN(VolLink)-FIND("/",VolLink))&amp;" curncy","PX LAST")</f>
        <v>3013.33</v>
      </c>
      <c r="P114" s="138">
        <f>_xll.BDP("USSV25"&amp;P$101&amp;" "&amp;RIGHT(VolLink,LEN(VolLink)-FIND("/",VolLink))&amp;" curncy","PX LAST")</f>
        <v>32.659999999999997</v>
      </c>
      <c r="Q114" s="138">
        <f>_xll.BDP("USSV25"&amp;Q$101&amp;" "&amp;RIGHT(VolLink,LEN(VolLink)-FIND("/",VolLink))&amp;" curncy","PX LAST")</f>
        <v>31.68</v>
      </c>
      <c r="R114" s="138">
        <f>_xll.BDP("USSV25"&amp;R$101&amp;" "&amp;RIGHT(VolLink,LEN(VolLink)-FIND("/",VolLink))&amp;" curncy","PX LAST")</f>
        <v>29.72</v>
      </c>
      <c r="S114" s="138">
        <f>_xll.BDP("USSV25"&amp;S$101&amp;" "&amp;RIGHT(VolLink,LEN(VolLink)-FIND("/",VolLink))&amp;" curncy","PX LAST")</f>
        <v>30.55</v>
      </c>
      <c r="T114" s="138">
        <f>_xll.BDP("USSV25"&amp;T$101&amp;" "&amp;RIGHT(VolLink,LEN(VolLink)-FIND("/",VolLink))&amp;" curncy","PX LAST")</f>
        <v>30.51</v>
      </c>
      <c r="U114" s="138">
        <f>_xll.BDP("USSV25"&amp;U$101&amp;" "&amp;RIGHT(VolLink,LEN(VolLink)-FIND("/",VolLink))&amp;" curncy","PX LAST")</f>
        <v>28.4</v>
      </c>
      <c r="V114" s="138">
        <f>_xll.BDP("USSV25"&amp;V$101&amp;" "&amp;RIGHT(VolLink,LEN(VolLink)-FIND("/",VolLink))&amp;" curncy","PX LAST")</f>
        <v>27.51</v>
      </c>
      <c r="W114" s="138">
        <f>_xll.BDP("USSV25"&amp;W$101&amp;" "&amp;RIGHT(VolLink,LEN(VolLink)-FIND("/",VolLink))&amp;" curncy","PX LAST")</f>
        <v>26.64</v>
      </c>
      <c r="X114" s="139">
        <f>_xll.BDP("USSV25"&amp;X$101&amp;" "&amp;RIGHT(VolLink,LEN(VolLink)-FIND("/",VolLink))&amp;" curncy","PX LAST")</f>
        <v>25.53</v>
      </c>
      <c r="Y114" s="195"/>
      <c r="Z114" s="195"/>
      <c r="AA114" s="195"/>
      <c r="AB114" s="195"/>
      <c r="AC114" s="195"/>
      <c r="AD114" s="195"/>
      <c r="AE114" s="195"/>
      <c r="AF114" s="195"/>
      <c r="AG114" s="195"/>
      <c r="AH114" s="195"/>
      <c r="AI114" s="195"/>
      <c r="AJ114" s="195"/>
      <c r="AK114" s="195"/>
      <c r="AL114" s="195"/>
      <c r="AM114" s="195"/>
      <c r="AN114" s="195"/>
      <c r="AO114" s="195"/>
      <c r="AP114" s="195"/>
      <c r="AQ114" s="195"/>
      <c r="AR114" s="195"/>
      <c r="AS114" s="195"/>
      <c r="AT114" s="195"/>
      <c r="AU114" s="195"/>
      <c r="AV114" s="195"/>
      <c r="AW114" s="195"/>
      <c r="AX114" s="195"/>
      <c r="AY114" s="195"/>
      <c r="AZ114" s="195"/>
      <c r="BA114" s="195"/>
      <c r="BB114" s="195"/>
      <c r="BC114" s="195"/>
    </row>
    <row r="115" spans="1:55" ht="15" customHeight="1" x14ac:dyDescent="0.2">
      <c r="B115" s="195"/>
      <c r="D115" s="11"/>
      <c r="F115" s="135" t="s">
        <v>47</v>
      </c>
      <c r="G115" s="142">
        <f>_xll.BDP("USSP30"&amp;G$101&amp;" "&amp;RIGHT(VolLink,LEN(VolLink)-FIND("/",VolLink))&amp;" curncy","PX LAST")</f>
        <v>140.44</v>
      </c>
      <c r="H115" s="142">
        <f>_xll.BDP("USSP30"&amp;H$101&amp;" "&amp;RIGHT(VolLink,LEN(VolLink)-FIND("/",VolLink))&amp;" curncy","PX LAST")</f>
        <v>280.33999999999997</v>
      </c>
      <c r="I115" s="142">
        <f>_xll.BDP("USSP30"&amp;I$101&amp;" "&amp;RIGHT(VolLink,LEN(VolLink)-FIND("/",VolLink))&amp;" curncy","PX LAST")</f>
        <v>689.8</v>
      </c>
      <c r="J115" s="142">
        <f>_xll.BDP("USSP30"&amp;J$101&amp;" "&amp;RIGHT(VolLink,LEN(VolLink)-FIND("/",VolLink))&amp;" curncy","PX LAST")</f>
        <v>947.43</v>
      </c>
      <c r="K115" s="142">
        <f>_xll.BDP("USSP30"&amp;K$101&amp;" "&amp;RIGHT(VolLink,LEN(VolLink)-FIND("/",VolLink))&amp;" curncy","PX LAST")</f>
        <v>1314.5</v>
      </c>
      <c r="L115" s="142">
        <f>_xll.BDP("USSP30"&amp;L$101&amp;" "&amp;RIGHT(VolLink,LEN(VolLink)-FIND("/",VolLink))&amp;" curncy","PX LAST")</f>
        <v>1822.47</v>
      </c>
      <c r="M115" s="142">
        <f>_xll.BDP("USSP30"&amp;M$101&amp;" "&amp;RIGHT(VolLink,LEN(VolLink)-FIND("/",VolLink))&amp;" curncy","PX LAST")</f>
        <v>2258.41</v>
      </c>
      <c r="N115" s="142">
        <f>_xll.BDP("USSP30"&amp;N$101&amp;" "&amp;RIGHT(VolLink,LEN(VolLink)-FIND("/",VolLink))&amp;" curncy","PX LAST")</f>
        <v>2669.07</v>
      </c>
      <c r="O115" s="142">
        <f>_xll.BDP("USSP30"&amp;O$101&amp;" "&amp;RIGHT(VolLink,LEN(VolLink)-FIND("/",VolLink))&amp;" curncy","PX LAST")</f>
        <v>3023.23</v>
      </c>
      <c r="P115" s="142">
        <f>_xll.BDP("USSV30"&amp;P$101&amp;" "&amp;RIGHT(VolLink,LEN(VolLink)-FIND("/",VolLink))&amp;" curncy","PX LAST")</f>
        <v>34.26</v>
      </c>
      <c r="Q115" s="142">
        <f>_xll.BDP("USSV30"&amp;Q$101&amp;" "&amp;RIGHT(VolLink,LEN(VolLink)-FIND("/",VolLink))&amp;" curncy","PX LAST")</f>
        <v>33.4</v>
      </c>
      <c r="R115" s="142">
        <f>_xll.BDP("USSV30"&amp;R$101&amp;" "&amp;RIGHT(VolLink,LEN(VolLink)-FIND("/",VolLink))&amp;" curncy","PX LAST")</f>
        <v>32.119999999999997</v>
      </c>
      <c r="S115" s="142">
        <f>_xll.BDP("USSV30"&amp;S$101&amp;" "&amp;RIGHT(VolLink,LEN(VolLink)-FIND("/",VolLink))&amp;" curncy","PX LAST")</f>
        <v>31.14</v>
      </c>
      <c r="T115" s="142">
        <f>_xll.BDP("USSV30"&amp;T$101&amp;" "&amp;RIGHT(VolLink,LEN(VolLink)-FIND("/",VolLink))&amp;" curncy","PX LAST")</f>
        <v>29.56</v>
      </c>
      <c r="U115" s="142">
        <f>_xll.BDP("USSV30"&amp;U$101&amp;" "&amp;RIGHT(VolLink,LEN(VolLink)-FIND("/",VolLink))&amp;" curncy","PX LAST")</f>
        <v>29.27</v>
      </c>
      <c r="V115" s="142">
        <f>_xll.BDP("USSV30"&amp;V$101&amp;" "&amp;RIGHT(VolLink,LEN(VolLink)-FIND("/",VolLink))&amp;" curncy","PX LAST")</f>
        <v>27.83</v>
      </c>
      <c r="W115" s="142">
        <f>_xll.BDP("USSV30"&amp;W$101&amp;" "&amp;RIGHT(VolLink,LEN(VolLink)-FIND("/",VolLink))&amp;" curncy","PX LAST")</f>
        <v>26.72</v>
      </c>
      <c r="X115" s="143">
        <f>_xll.BDP("USSV30"&amp;X$101&amp;" "&amp;RIGHT(VolLink,LEN(VolLink)-FIND("/",VolLink))&amp;" curncy","PX LAST")</f>
        <v>25.78</v>
      </c>
      <c r="Y115" s="195"/>
      <c r="Z115" s="195"/>
      <c r="AA115" s="195"/>
      <c r="AB115" s="195"/>
      <c r="AC115" s="195"/>
      <c r="AD115" s="195"/>
      <c r="AE115" s="195"/>
      <c r="AF115" s="195"/>
      <c r="AG115" s="195"/>
      <c r="AH115" s="195"/>
      <c r="AI115" s="195"/>
      <c r="AJ115" s="195"/>
      <c r="AK115" s="195"/>
      <c r="AL115" s="195"/>
      <c r="AM115" s="195"/>
      <c r="AN115" s="195"/>
      <c r="AO115" s="195"/>
      <c r="AP115" s="195"/>
      <c r="AQ115" s="195"/>
      <c r="AR115" s="195"/>
      <c r="AS115" s="195"/>
      <c r="AT115" s="195"/>
      <c r="AU115" s="195"/>
      <c r="AV115" s="195"/>
      <c r="AW115" s="195"/>
      <c r="AX115" s="195"/>
      <c r="AY115" s="195"/>
      <c r="AZ115" s="195"/>
      <c r="BA115" s="195"/>
      <c r="BB115" s="195"/>
      <c r="BC115" s="195"/>
    </row>
    <row r="116" spans="1:55" ht="15" customHeight="1" x14ac:dyDescent="0.25">
      <c r="B116" s="195"/>
      <c r="D116" s="11"/>
      <c r="F116" s="198"/>
      <c r="G116" s="199"/>
      <c r="H116" s="199"/>
      <c r="I116" s="199"/>
      <c r="J116" s="199"/>
      <c r="K116" s="199"/>
      <c r="L116" s="199"/>
      <c r="M116" s="199"/>
      <c r="N116" s="199"/>
      <c r="O116" s="199"/>
      <c r="P116" s="200"/>
      <c r="Q116" s="200"/>
      <c r="R116" s="200"/>
      <c r="S116" s="200"/>
      <c r="T116" s="200"/>
      <c r="U116" s="200"/>
      <c r="V116" s="200"/>
      <c r="W116" s="200"/>
      <c r="X116" s="200"/>
      <c r="Y116" s="195"/>
      <c r="Z116" s="195"/>
      <c r="AA116" s="195"/>
      <c r="AB116" s="195"/>
      <c r="AC116" s="195"/>
      <c r="AD116" s="195"/>
      <c r="AE116" s="195"/>
      <c r="AF116" s="195"/>
      <c r="AG116" s="195"/>
      <c r="AH116" s="195"/>
      <c r="AI116" s="195"/>
      <c r="AJ116" s="195"/>
      <c r="AK116" s="195"/>
      <c r="AL116" s="195"/>
      <c r="AM116" s="195"/>
      <c r="AN116" s="195"/>
      <c r="AO116" s="195"/>
      <c r="AP116" s="195"/>
      <c r="AQ116" s="195"/>
      <c r="AR116" s="195"/>
      <c r="AS116" s="195"/>
      <c r="AT116" s="195"/>
      <c r="AU116" s="195"/>
      <c r="AV116" s="195"/>
      <c r="AW116" s="195"/>
      <c r="AX116" s="195"/>
      <c r="AY116" s="195"/>
      <c r="AZ116" s="195"/>
      <c r="BA116" s="195"/>
      <c r="BB116" s="195"/>
      <c r="BC116" s="195"/>
    </row>
    <row r="117" spans="1:55" s="226" customFormat="1" ht="35.1" customHeight="1" x14ac:dyDescent="0.3">
      <c r="A117" s="218"/>
      <c r="B117" s="218"/>
      <c r="C117" s="220"/>
      <c r="D117" s="220"/>
      <c r="E117" s="220"/>
      <c r="F117" s="237" t="s">
        <v>104</v>
      </c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238"/>
      <c r="T117" s="238"/>
      <c r="U117" s="238"/>
      <c r="V117" s="238"/>
      <c r="W117" s="239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</row>
    <row r="118" spans="1:55" ht="15" customHeight="1" x14ac:dyDescent="0.2">
      <c r="B118" s="195"/>
      <c r="D118" s="11"/>
      <c r="F118" s="265" t="s">
        <v>105</v>
      </c>
      <c r="G118" s="261"/>
      <c r="H118" s="263"/>
      <c r="I118" s="261" t="s">
        <v>107</v>
      </c>
      <c r="J118" s="261"/>
      <c r="K118" s="263"/>
      <c r="L118" s="261" t="s">
        <v>106</v>
      </c>
      <c r="M118" s="261"/>
      <c r="N118" s="263"/>
      <c r="O118" s="261" t="s">
        <v>109</v>
      </c>
      <c r="P118" s="261"/>
      <c r="Q118" s="263"/>
      <c r="R118" s="261" t="s">
        <v>108</v>
      </c>
      <c r="S118" s="261"/>
      <c r="T118" s="263"/>
      <c r="U118" s="261" t="s">
        <v>230</v>
      </c>
      <c r="V118" s="261"/>
      <c r="W118" s="262"/>
      <c r="X118" s="195"/>
      <c r="Y118" s="195"/>
      <c r="Z118" s="195"/>
      <c r="AA118" s="195"/>
      <c r="AB118" s="195"/>
      <c r="AC118" s="195"/>
      <c r="AD118" s="195"/>
      <c r="AE118" s="195"/>
      <c r="AF118" s="195"/>
      <c r="AG118" s="195"/>
      <c r="AH118" s="195"/>
      <c r="AI118" s="195"/>
      <c r="AJ118" s="195"/>
      <c r="AK118" s="195"/>
      <c r="AL118" s="195"/>
      <c r="AM118" s="195"/>
      <c r="AN118" s="195"/>
      <c r="AO118" s="195"/>
      <c r="AP118" s="195"/>
      <c r="AQ118" s="195"/>
      <c r="AR118" s="195"/>
      <c r="AS118" s="195"/>
      <c r="AT118" s="195"/>
      <c r="AU118" s="195"/>
      <c r="AV118" s="195"/>
      <c r="AW118" s="195"/>
      <c r="AX118" s="195"/>
      <c r="AY118" s="195"/>
      <c r="AZ118" s="195"/>
      <c r="BA118" s="195"/>
      <c r="BB118" s="195"/>
      <c r="BC118" s="195"/>
    </row>
    <row r="119" spans="1:55" ht="15" customHeight="1" x14ac:dyDescent="0.2">
      <c r="B119" s="195"/>
      <c r="D119" s="11"/>
      <c r="F119" s="93" t="s">
        <v>72</v>
      </c>
      <c r="G119" s="106" t="s">
        <v>74</v>
      </c>
      <c r="H119" s="106" t="s">
        <v>75</v>
      </c>
      <c r="I119" s="122" t="s">
        <v>72</v>
      </c>
      <c r="J119" s="106" t="s">
        <v>74</v>
      </c>
      <c r="K119" s="106" t="s">
        <v>75</v>
      </c>
      <c r="L119" s="122" t="s">
        <v>72</v>
      </c>
      <c r="M119" s="106" t="s">
        <v>74</v>
      </c>
      <c r="N119" s="106" t="s">
        <v>75</v>
      </c>
      <c r="O119" s="122" t="s">
        <v>72</v>
      </c>
      <c r="P119" s="106" t="s">
        <v>74</v>
      </c>
      <c r="Q119" s="106" t="s">
        <v>75</v>
      </c>
      <c r="R119" s="122" t="s">
        <v>72</v>
      </c>
      <c r="S119" s="106" t="s">
        <v>74</v>
      </c>
      <c r="T119" s="106" t="s">
        <v>75</v>
      </c>
      <c r="U119" s="122" t="s">
        <v>72</v>
      </c>
      <c r="V119" s="106" t="s">
        <v>74</v>
      </c>
      <c r="W119" s="107" t="s">
        <v>75</v>
      </c>
      <c r="X119" s="195"/>
      <c r="Y119" s="195"/>
      <c r="Z119" s="195"/>
      <c r="AA119" s="195"/>
      <c r="AB119" s="195"/>
      <c r="AC119" s="195"/>
      <c r="AD119" s="195"/>
      <c r="AE119" s="195"/>
      <c r="AF119" s="195"/>
      <c r="AG119" s="195"/>
      <c r="AH119" s="195"/>
      <c r="AI119" s="195"/>
      <c r="AJ119" s="195"/>
      <c r="AK119" s="195"/>
      <c r="AL119" s="195"/>
      <c r="AM119" s="195"/>
      <c r="AN119" s="195"/>
      <c r="AO119" s="195"/>
      <c r="AP119" s="195"/>
      <c r="AQ119" s="195"/>
      <c r="AR119" s="195"/>
      <c r="AS119" s="195"/>
      <c r="AT119" s="195"/>
      <c r="AU119" s="195"/>
      <c r="AV119" s="195"/>
      <c r="AW119" s="195"/>
      <c r="AX119" s="195"/>
      <c r="AY119" s="195"/>
      <c r="AZ119" s="195"/>
      <c r="BA119" s="195"/>
      <c r="BB119" s="195"/>
      <c r="BC119" s="195"/>
    </row>
    <row r="120" spans="1:55" ht="15" customHeight="1" x14ac:dyDescent="0.2">
      <c r="B120" s="195"/>
      <c r="D120" s="11"/>
      <c r="F120" s="130" t="str">
        <f>_xll.BDP("CL1 comdty","FUT_CUR_GEN_TICKER")</f>
        <v>CLX6</v>
      </c>
      <c r="G120" s="144" t="str">
        <f>_xll.BDP($F120&amp;" comdty","FUT_MONTH_YR")</f>
        <v>NOV 16</v>
      </c>
      <c r="H120" s="145">
        <f>_xll.BDP($F120&amp;" comdty","last price")</f>
        <v>51.14</v>
      </c>
      <c r="I120" s="146" t="str">
        <f>_xll.BDP("NG1 comdty","FUT_CUR_GEN_TICKER")</f>
        <v>NGX6</v>
      </c>
      <c r="J120" s="144" t="str">
        <f>_xll.BDP($I120&amp;" comdty","FUT_MONTH_YR")</f>
        <v>NOV 16</v>
      </c>
      <c r="K120" s="145">
        <f>_xll.BDP($I120&amp;" comdty","last price")</f>
        <v>3.2959999999999998</v>
      </c>
      <c r="L120" s="146" t="str">
        <f>_xll.BDP("GC1 comdty","FUT_CUR_GEN_TICKER")</f>
        <v>GCV6</v>
      </c>
      <c r="M120" s="144" t="str">
        <f>_xll.BDP($L120&amp;" comdty","FUT_MONTH_YR")</f>
        <v>OCT 16</v>
      </c>
      <c r="N120" s="145">
        <f>_xll.BDP($L120&amp;" comdty","last price")</f>
        <v>1258.9000000000001</v>
      </c>
      <c r="O120" s="146" t="str">
        <f>_xll.BDP("CU1 comdty","FUT_CUR_GEN_TICKER")</f>
        <v>CUV6</v>
      </c>
      <c r="P120" s="144" t="str">
        <f>_xll.BDP($O120&amp;" comdty","FUT_MONTH_YR")</f>
        <v>OCT 16</v>
      </c>
      <c r="Q120" s="145">
        <f>_xll.BDP($O120&amp;" comdty","last price")</f>
        <v>37980</v>
      </c>
      <c r="R120" s="146" t="str">
        <f>_xll.BDP("W 1 comdty","FUT_CUR_GEN_TICKER")</f>
        <v>W Z6</v>
      </c>
      <c r="S120" s="144" t="str">
        <f>_xll.BDP($R120&amp;" comdty","FUT_MONTH_YR")</f>
        <v>DEC 16</v>
      </c>
      <c r="T120" s="145">
        <f>_xll.BDP($R120&amp;" comdty","last price")</f>
        <v>405.25</v>
      </c>
      <c r="U120" s="146" t="str">
        <f>_xll.BDP("C 1 comdty","FUT_CUR_GEN_TICKER")</f>
        <v>C Z6</v>
      </c>
      <c r="V120" s="144" t="str">
        <f>_xll.BDP($R120&amp;" comdty","FUT_MONTH_YR")</f>
        <v>DEC 16</v>
      </c>
      <c r="W120" s="147">
        <f>_xll.BDP($R120&amp;" comdty","last price")</f>
        <v>405.25</v>
      </c>
      <c r="X120" s="195"/>
      <c r="Y120" s="195"/>
      <c r="Z120" s="195"/>
      <c r="AA120" s="195"/>
      <c r="AB120" s="195"/>
      <c r="AC120" s="195"/>
      <c r="AD120" s="195"/>
      <c r="AE120" s="195"/>
      <c r="AF120" s="195"/>
      <c r="AG120" s="195"/>
      <c r="AH120" s="195"/>
      <c r="AI120" s="195"/>
      <c r="AJ120" s="195"/>
      <c r="AK120" s="195"/>
      <c r="AL120" s="195"/>
      <c r="AM120" s="195"/>
      <c r="AN120" s="195"/>
      <c r="AO120" s="195"/>
      <c r="AP120" s="195"/>
      <c r="AQ120" s="195"/>
      <c r="AR120" s="195"/>
      <c r="AS120" s="195"/>
      <c r="AT120" s="195"/>
      <c r="AU120" s="195"/>
      <c r="AV120" s="195"/>
      <c r="AW120" s="195"/>
      <c r="AX120" s="195"/>
      <c r="AY120" s="195"/>
      <c r="AZ120" s="195"/>
      <c r="BA120" s="195"/>
      <c r="BB120" s="195"/>
      <c r="BC120" s="195"/>
    </row>
    <row r="121" spans="1:55" ht="15" customHeight="1" x14ac:dyDescent="0.2">
      <c r="B121" s="195"/>
      <c r="D121" s="11"/>
      <c r="F121" s="130" t="str">
        <f>_xll.BDP("CL2 comdty","FUT_CUR_GEN_TICKER")</f>
        <v>CLZ6</v>
      </c>
      <c r="G121" s="127" t="str">
        <f>_xll.BDP($F121&amp;" comdty","FUT_MONTH_YR")</f>
        <v>DEC 16</v>
      </c>
      <c r="H121" s="75">
        <f>_xll.BDP($F121&amp;" comdty","last price")</f>
        <v>51.62</v>
      </c>
      <c r="I121" s="146" t="str">
        <f>_xll.BDP("NG2 comdty","FUT_CUR_GEN_TICKER")</f>
        <v>NGZ6</v>
      </c>
      <c r="J121" s="127" t="str">
        <f>_xll.BDP($I121&amp;" comdty","FUT_MONTH_YR")</f>
        <v>DEC 16</v>
      </c>
      <c r="K121" s="75">
        <f>_xll.BDP($I121&amp;" comdty","last price")</f>
        <v>3.47</v>
      </c>
      <c r="L121" s="146" t="str">
        <f>_xll.BDP("GC2 comdty","FUT_CUR_GEN_TICKER")</f>
        <v>GCZ6</v>
      </c>
      <c r="M121" s="127" t="str">
        <f>_xll.BDP($L121&amp;" comdty","FUT_MONTH_YR")</f>
        <v>DEC 16</v>
      </c>
      <c r="N121" s="75">
        <f>_xll.BDP($L121&amp;" comdty","last price")</f>
        <v>1258.3</v>
      </c>
      <c r="O121" s="146" t="str">
        <f>_xll.BDP("CU2 comdty","FUT_CUR_GEN_TICKER")</f>
        <v>CUX6</v>
      </c>
      <c r="P121" s="127" t="str">
        <f>_xll.BDP($O121&amp;" comdty","FUT_MONTH_YR")</f>
        <v>NOV 16</v>
      </c>
      <c r="Q121" s="75">
        <f>_xll.BDP($O121&amp;" comdty","last price")</f>
        <v>37980</v>
      </c>
      <c r="R121" s="146" t="str">
        <f>_xll.BDP("W 2 comdty","FUT_CUR_GEN_TICKER")</f>
        <v>W H7</v>
      </c>
      <c r="S121" s="127" t="str">
        <f>_xll.BDP($R121&amp;" comdty","FUT_MONTH_YR")</f>
        <v>MAR 17</v>
      </c>
      <c r="T121" s="75">
        <f>_xll.BDP($R121&amp;" comdty","last price")</f>
        <v>424.5</v>
      </c>
      <c r="U121" s="146" t="str">
        <f>_xll.BDP("C 2 comdty","FUT_CUR_GEN_TICKER")</f>
        <v>C H7</v>
      </c>
      <c r="V121" s="127" t="str">
        <f>_xll.BDP($R121&amp;" comdty","FUT_MONTH_YR")</f>
        <v>MAR 17</v>
      </c>
      <c r="W121" s="133">
        <f>_xll.BDP($R121&amp;" comdty","last price")</f>
        <v>424.5</v>
      </c>
      <c r="X121" s="195"/>
      <c r="Y121" s="195"/>
      <c r="Z121" s="195"/>
      <c r="AA121" s="195"/>
      <c r="AB121" s="195"/>
      <c r="AC121" s="195"/>
      <c r="AD121" s="195"/>
      <c r="AE121" s="195"/>
      <c r="AF121" s="195"/>
      <c r="AG121" s="195"/>
      <c r="AH121" s="195"/>
      <c r="AI121" s="195"/>
      <c r="AJ121" s="195"/>
      <c r="AK121" s="195"/>
      <c r="AL121" s="195"/>
      <c r="AM121" s="195"/>
      <c r="AN121" s="195"/>
      <c r="AO121" s="195"/>
      <c r="AP121" s="195"/>
      <c r="AQ121" s="195"/>
      <c r="AR121" s="195"/>
      <c r="AS121" s="195"/>
      <c r="AT121" s="195"/>
      <c r="AU121" s="195"/>
      <c r="AV121" s="195"/>
      <c r="AW121" s="195"/>
      <c r="AX121" s="195"/>
      <c r="AY121" s="195"/>
      <c r="AZ121" s="195"/>
      <c r="BA121" s="195"/>
      <c r="BB121" s="195"/>
      <c r="BC121" s="195"/>
    </row>
    <row r="122" spans="1:55" ht="15" customHeight="1" x14ac:dyDescent="0.2">
      <c r="B122" s="195"/>
      <c r="D122" s="11"/>
      <c r="F122" s="130" t="str">
        <f>_xll.BDP("CL3 comdty","FUT_CUR_GEN_TICKER")</f>
        <v>CLF7</v>
      </c>
      <c r="G122" s="126" t="str">
        <f>_xll.BDP($F122&amp;" comdty","FUT_MONTH_YR")</f>
        <v>JAN 17</v>
      </c>
      <c r="H122" s="74">
        <f>_xll.BDP($F122&amp;" comdty","last price")</f>
        <v>52.16</v>
      </c>
      <c r="I122" s="146" t="str">
        <f>_xll.BDP("NG3 comdty","FUT_CUR_GEN_TICKER")</f>
        <v>NGF7</v>
      </c>
      <c r="J122" s="126" t="str">
        <f>_xll.BDP($I122&amp;" comdty","FUT_MONTH_YR")</f>
        <v>JAN 17</v>
      </c>
      <c r="K122" s="74">
        <f>_xll.BDP($I122&amp;" comdty","last price")</f>
        <v>3.5920000000000001</v>
      </c>
      <c r="L122" s="146" t="str">
        <f>_xll.BDP("GC3 comdty","FUT_CUR_GEN_TICKER")</f>
        <v>GCG7</v>
      </c>
      <c r="M122" s="126" t="str">
        <f>_xll.BDP($L122&amp;" comdty","FUT_MONTH_YR")</f>
        <v>FEB 17</v>
      </c>
      <c r="N122" s="74">
        <f>_xll.BDP($L122&amp;" comdty","last price")</f>
        <v>1261.7</v>
      </c>
      <c r="O122" s="146" t="str">
        <f>_xll.BDP("CU3 comdty","FUT_CUR_GEN_TICKER")</f>
        <v>CUZ6</v>
      </c>
      <c r="P122" s="126" t="str">
        <f>_xll.BDP($O122&amp;" comdty","FUT_MONTH_YR")</f>
        <v>DEC 16</v>
      </c>
      <c r="Q122" s="74">
        <f>_xll.BDP($O122&amp;" comdty","last price")</f>
        <v>38000</v>
      </c>
      <c r="R122" s="146" t="str">
        <f>_xll.BDP("W 3 comdty","FUT_CUR_GEN_TICKER")</f>
        <v>W K7</v>
      </c>
      <c r="S122" s="126" t="str">
        <f>_xll.BDP($R122&amp;" comdty","FUT_MONTH_YR")</f>
        <v>MAY 17</v>
      </c>
      <c r="T122" s="74">
        <f>_xll.BDP($R122&amp;" comdty","last price")</f>
        <v>437.5</v>
      </c>
      <c r="U122" s="146" t="str">
        <f>_xll.BDP("C 3 comdty","FUT_CUR_GEN_TICKER")</f>
        <v>C K7</v>
      </c>
      <c r="V122" s="126" t="str">
        <f>_xll.BDP($R122&amp;" comdty","FUT_MONTH_YR")</f>
        <v>MAY 17</v>
      </c>
      <c r="W122" s="148">
        <f>_xll.BDP($R122&amp;" comdty","last price")</f>
        <v>437.5</v>
      </c>
      <c r="X122" s="195"/>
      <c r="Y122" s="195"/>
      <c r="Z122" s="195"/>
      <c r="AA122" s="195"/>
      <c r="AB122" s="195"/>
      <c r="AC122" s="195"/>
      <c r="AD122" s="195"/>
      <c r="AE122" s="195"/>
      <c r="AF122" s="195"/>
      <c r="AG122" s="195"/>
      <c r="AH122" s="195"/>
      <c r="AI122" s="195"/>
      <c r="AJ122" s="195"/>
      <c r="AK122" s="195"/>
      <c r="AL122" s="195"/>
      <c r="AM122" s="195"/>
      <c r="AN122" s="195"/>
      <c r="AO122" s="195"/>
      <c r="AP122" s="195"/>
      <c r="AQ122" s="195"/>
      <c r="AR122" s="195"/>
      <c r="AS122" s="195"/>
      <c r="AT122" s="195"/>
      <c r="AU122" s="195"/>
      <c r="AV122" s="195"/>
      <c r="AW122" s="195"/>
      <c r="AX122" s="195"/>
      <c r="AY122" s="195"/>
      <c r="AZ122" s="195"/>
      <c r="BA122" s="195"/>
      <c r="BB122" s="195"/>
      <c r="BC122" s="195"/>
    </row>
    <row r="123" spans="1:55" ht="15" customHeight="1" x14ac:dyDescent="0.2">
      <c r="B123" s="195"/>
      <c r="D123" s="11"/>
      <c r="F123" s="135" t="str">
        <f>_xll.BDP("CL4 comdty","FUT_CUR_GEN_TICKER")</f>
        <v>CLG7</v>
      </c>
      <c r="G123" s="149" t="str">
        <f>_xll.BDP($F123&amp;" comdty","FUT_MONTH_YR")</f>
        <v>FEB 17</v>
      </c>
      <c r="H123" s="136">
        <f>_xll.BDP($F123&amp;" comdty","last price")</f>
        <v>52.56</v>
      </c>
      <c r="I123" s="150" t="str">
        <f>_xll.BDP("NG4 comdty","FUT_CUR_GEN_TICKER")</f>
        <v>NGG7</v>
      </c>
      <c r="J123" s="149" t="str">
        <f>_xll.BDP($I123&amp;" comdty","FUT_MONTH_YR")</f>
        <v>FEB 17</v>
      </c>
      <c r="K123" s="136">
        <f>_xll.BDP($I123&amp;" comdty","last price")</f>
        <v>3.5870000000000002</v>
      </c>
      <c r="L123" s="150" t="str">
        <f>_xll.BDP("GC4 comdty","FUT_CUR_GEN_TICKER")</f>
        <v>GCJ7</v>
      </c>
      <c r="M123" s="149" t="str">
        <f>_xll.BDP($L123&amp;" comdty","FUT_MONTH_YR")</f>
        <v>APR 17</v>
      </c>
      <c r="N123" s="136">
        <f>_xll.BDP($L123&amp;" comdty","last price")</f>
        <v>1267.3</v>
      </c>
      <c r="O123" s="150" t="str">
        <f>_xll.BDP("CU4 comdty","FUT_CUR_GEN_TICKER")</f>
        <v>CUF7</v>
      </c>
      <c r="P123" s="149" t="str">
        <f>_xll.BDP($O123&amp;" comdty","FUT_MONTH_YR")</f>
        <v>JAN 17</v>
      </c>
      <c r="Q123" s="136">
        <f>_xll.BDP($O123&amp;" comdty","last price")</f>
        <v>38010</v>
      </c>
      <c r="R123" s="150" t="str">
        <f>_xll.BDP("W 4 comdty","FUT_CUR_GEN_TICKER")</f>
        <v>W N7</v>
      </c>
      <c r="S123" s="149" t="str">
        <f>_xll.BDP($R123&amp;" comdty","FUT_MONTH_YR")</f>
        <v>JUL 17</v>
      </c>
      <c r="T123" s="136">
        <f>_xll.BDP($R123&amp;" comdty","last price")</f>
        <v>448.75</v>
      </c>
      <c r="U123" s="150" t="str">
        <f>_xll.BDP("C 4 comdty","FUT_CUR_GEN_TICKER")</f>
        <v>C N7</v>
      </c>
      <c r="V123" s="149" t="str">
        <f>_xll.BDP($R123&amp;" comdty","FUT_MONTH_YR")</f>
        <v>JUL 17</v>
      </c>
      <c r="W123" s="137">
        <f>_xll.BDP($R123&amp;" comdty","last price")</f>
        <v>448.75</v>
      </c>
      <c r="X123" s="195"/>
      <c r="Y123" s="195"/>
      <c r="Z123" s="195"/>
      <c r="AA123" s="195"/>
      <c r="AB123" s="195"/>
      <c r="AC123" s="195"/>
      <c r="AD123" s="195"/>
      <c r="AE123" s="195"/>
      <c r="AF123" s="195"/>
      <c r="AG123" s="195"/>
      <c r="AH123" s="195"/>
      <c r="AI123" s="195"/>
      <c r="AJ123" s="195"/>
      <c r="AK123" s="195"/>
      <c r="AL123" s="195"/>
      <c r="AM123" s="195"/>
      <c r="AN123" s="195"/>
      <c r="AO123" s="195"/>
      <c r="AP123" s="195"/>
      <c r="AQ123" s="195"/>
      <c r="AR123" s="195"/>
      <c r="AS123" s="195"/>
      <c r="AT123" s="195"/>
      <c r="AU123" s="195"/>
      <c r="AV123" s="195"/>
      <c r="AW123" s="195"/>
      <c r="AX123" s="195"/>
      <c r="AY123" s="195"/>
      <c r="AZ123" s="195"/>
      <c r="BA123" s="195"/>
      <c r="BB123" s="195"/>
      <c r="BC123" s="195"/>
    </row>
    <row r="124" spans="1:55" ht="15" customHeight="1" x14ac:dyDescent="0.2">
      <c r="B124" s="195"/>
      <c r="D124" s="11"/>
      <c r="F124" s="195"/>
      <c r="G124" s="195"/>
      <c r="H124" s="195"/>
      <c r="I124" s="195"/>
      <c r="J124" s="195"/>
      <c r="K124" s="195"/>
      <c r="L124" s="195"/>
      <c r="M124" s="195"/>
      <c r="N124" s="195"/>
      <c r="O124" s="195"/>
      <c r="P124" s="195"/>
      <c r="Q124" s="195"/>
      <c r="R124" s="195"/>
      <c r="S124" s="195"/>
      <c r="T124" s="195"/>
      <c r="U124" s="195"/>
      <c r="V124" s="195"/>
      <c r="W124" s="195"/>
      <c r="X124" s="195"/>
      <c r="Y124" s="195"/>
      <c r="Z124" s="195"/>
      <c r="AA124" s="195"/>
      <c r="AB124" s="195"/>
      <c r="AC124" s="195"/>
      <c r="AD124" s="195"/>
      <c r="AE124" s="195"/>
      <c r="AF124" s="195"/>
      <c r="AG124" s="195"/>
      <c r="AH124" s="195"/>
      <c r="AI124" s="195"/>
      <c r="AJ124" s="195"/>
      <c r="AK124" s="195"/>
      <c r="AL124" s="195"/>
      <c r="AM124" s="195"/>
      <c r="AN124" s="195"/>
      <c r="AO124" s="195"/>
      <c r="AP124" s="195"/>
      <c r="AQ124" s="195"/>
      <c r="AR124" s="195"/>
      <c r="AS124" s="195"/>
      <c r="AT124" s="195"/>
      <c r="AU124" s="195"/>
      <c r="AV124" s="195"/>
      <c r="AW124" s="195"/>
      <c r="AX124" s="195"/>
      <c r="AY124" s="195"/>
      <c r="AZ124" s="195"/>
      <c r="BA124" s="195"/>
      <c r="BB124" s="195"/>
      <c r="BC124" s="195"/>
    </row>
    <row r="125" spans="1:55" ht="15" customHeight="1" x14ac:dyDescent="0.25">
      <c r="B125" s="195"/>
      <c r="D125" s="11"/>
      <c r="F125" s="197" t="s">
        <v>11</v>
      </c>
      <c r="G125" s="195"/>
      <c r="H125" s="195"/>
      <c r="I125" s="195"/>
      <c r="J125" s="195"/>
      <c r="K125" s="195"/>
      <c r="L125" s="195"/>
      <c r="M125" s="195"/>
      <c r="N125" s="195"/>
      <c r="O125" s="195"/>
      <c r="P125" s="195"/>
      <c r="Q125" s="195"/>
      <c r="R125" s="195"/>
      <c r="S125" s="195"/>
      <c r="T125" s="195"/>
      <c r="U125" s="195"/>
      <c r="V125" s="195"/>
      <c r="W125" s="195"/>
      <c r="X125" s="195"/>
      <c r="Y125" s="195"/>
      <c r="Z125" s="195"/>
      <c r="AA125" s="195"/>
      <c r="AB125" s="195"/>
      <c r="AC125" s="195"/>
      <c r="AD125" s="195"/>
      <c r="AE125" s="195"/>
      <c r="AF125" s="195"/>
      <c r="AG125" s="195"/>
      <c r="AH125" s="195"/>
      <c r="AI125" s="195"/>
      <c r="AJ125" s="195"/>
      <c r="AK125" s="195"/>
      <c r="AL125" s="195"/>
      <c r="AM125" s="195"/>
      <c r="AN125" s="195"/>
      <c r="AO125" s="195"/>
      <c r="AP125" s="195"/>
      <c r="AQ125" s="195"/>
      <c r="AR125" s="195"/>
      <c r="AS125" s="195"/>
      <c r="AT125" s="195"/>
      <c r="AU125" s="195"/>
      <c r="AV125" s="195"/>
      <c r="AW125" s="195"/>
      <c r="AX125" s="195"/>
      <c r="AY125" s="195"/>
      <c r="AZ125" s="195"/>
      <c r="BA125" s="195"/>
      <c r="BB125" s="195"/>
      <c r="BC125" s="195"/>
    </row>
    <row r="126" spans="1:55" ht="12" customHeight="1" x14ac:dyDescent="0.2">
      <c r="B126" s="195"/>
      <c r="D126" s="11"/>
      <c r="G126" s="195"/>
      <c r="H126" s="195"/>
      <c r="I126" s="195"/>
      <c r="J126" s="195"/>
      <c r="K126" s="195"/>
      <c r="L126" s="195"/>
      <c r="M126" s="195"/>
      <c r="N126" s="195"/>
      <c r="O126" s="195"/>
      <c r="P126" s="195"/>
      <c r="Q126" s="195"/>
      <c r="R126" s="195"/>
      <c r="S126" s="195"/>
      <c r="T126" s="195"/>
      <c r="U126" s="195"/>
      <c r="V126" s="195"/>
      <c r="W126" s="195"/>
      <c r="X126" s="195"/>
      <c r="Y126" s="195"/>
      <c r="Z126" s="195"/>
      <c r="AA126" s="195"/>
      <c r="AB126" s="195"/>
      <c r="AC126" s="195"/>
      <c r="AD126" s="195"/>
      <c r="AE126" s="195"/>
      <c r="AF126" s="195"/>
      <c r="AG126" s="195"/>
      <c r="AH126" s="195"/>
      <c r="AI126" s="195"/>
      <c r="AJ126" s="195"/>
      <c r="AK126" s="195"/>
      <c r="AL126" s="195"/>
      <c r="AM126" s="195"/>
      <c r="AN126" s="195"/>
      <c r="AO126" s="195"/>
      <c r="AP126" s="195"/>
      <c r="AQ126" s="195"/>
      <c r="AR126" s="195"/>
      <c r="AS126" s="195"/>
      <c r="AT126" s="195"/>
      <c r="AU126" s="195"/>
      <c r="AV126" s="195"/>
      <c r="AW126" s="195"/>
      <c r="AX126" s="195"/>
      <c r="AY126" s="195"/>
      <c r="AZ126" s="195"/>
      <c r="BA126" s="195"/>
      <c r="BB126" s="195"/>
      <c r="BC126" s="195"/>
    </row>
    <row r="127" spans="1:55" s="231" customFormat="1" ht="35.1" customHeight="1" x14ac:dyDescent="0.3">
      <c r="A127" s="228"/>
      <c r="B127" s="228"/>
      <c r="C127" s="229"/>
      <c r="D127" s="229"/>
      <c r="E127" s="229"/>
      <c r="F127" s="237" t="s">
        <v>133</v>
      </c>
      <c r="G127" s="238"/>
      <c r="H127" s="238"/>
      <c r="I127" s="238"/>
      <c r="J127" s="238"/>
      <c r="K127" s="238"/>
      <c r="L127" s="238"/>
      <c r="M127" s="239"/>
      <c r="N127" s="233"/>
      <c r="O127" s="237" t="s">
        <v>195</v>
      </c>
      <c r="P127" s="238"/>
      <c r="Q127" s="238"/>
      <c r="R127" s="238"/>
      <c r="S127" s="238"/>
      <c r="T127" s="238"/>
      <c r="U127" s="238"/>
      <c r="V127" s="238"/>
      <c r="W127" s="238"/>
      <c r="X127" s="239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34"/>
      <c r="AL127" s="234"/>
      <c r="AM127" s="234"/>
      <c r="AN127" s="234"/>
      <c r="AO127" s="228"/>
      <c r="AP127" s="228"/>
      <c r="AQ127" s="228"/>
      <c r="AR127" s="228"/>
      <c r="AS127" s="228"/>
      <c r="AT127" s="228"/>
      <c r="AU127" s="228"/>
      <c r="AV127" s="228"/>
      <c r="AW127" s="228"/>
      <c r="AX127" s="228"/>
      <c r="AY127" s="228"/>
      <c r="AZ127" s="228"/>
      <c r="BA127" s="228"/>
      <c r="BB127" s="228"/>
      <c r="BC127" s="228"/>
    </row>
    <row r="128" spans="1:55" ht="15" customHeight="1" x14ac:dyDescent="0.2">
      <c r="B128" s="195"/>
      <c r="D128" s="11"/>
      <c r="F128" s="264" t="s">
        <v>165</v>
      </c>
      <c r="G128" s="253"/>
      <c r="H128" s="254" t="s">
        <v>166</v>
      </c>
      <c r="I128" s="254"/>
      <c r="J128" s="254" t="s">
        <v>167</v>
      </c>
      <c r="K128" s="254"/>
      <c r="L128" s="254" t="s">
        <v>168</v>
      </c>
      <c r="M128" s="255"/>
      <c r="N128" s="195"/>
      <c r="O128" s="264" t="s">
        <v>166</v>
      </c>
      <c r="P128" s="253"/>
      <c r="Q128" s="254" t="s">
        <v>167</v>
      </c>
      <c r="R128" s="253"/>
      <c r="S128" s="254" t="s">
        <v>168</v>
      </c>
      <c r="T128" s="253"/>
      <c r="U128" s="254" t="s">
        <v>200</v>
      </c>
      <c r="V128" s="253"/>
      <c r="W128" s="254" t="s">
        <v>199</v>
      </c>
      <c r="X128" s="255"/>
      <c r="Y128" s="195"/>
      <c r="Z128" s="195"/>
      <c r="AA128" s="195"/>
      <c r="AB128" s="195"/>
      <c r="AC128" s="195"/>
      <c r="AD128" s="195"/>
      <c r="AE128" s="195"/>
      <c r="AF128" s="195"/>
      <c r="AG128" s="195"/>
      <c r="AH128" s="195"/>
      <c r="AI128" s="195"/>
      <c r="AJ128" s="195"/>
      <c r="AK128" s="195"/>
      <c r="AL128" s="195"/>
      <c r="AM128" s="195"/>
      <c r="AN128" s="195"/>
      <c r="AO128" s="195"/>
      <c r="AP128" s="195"/>
      <c r="AQ128" s="195"/>
      <c r="AR128" s="195"/>
      <c r="AS128" s="195"/>
      <c r="AT128" s="195"/>
      <c r="AU128" s="195"/>
      <c r="AV128" s="195"/>
      <c r="AW128" s="195"/>
      <c r="AX128" s="195"/>
      <c r="AY128" s="195"/>
      <c r="AZ128" s="195"/>
      <c r="BA128" s="195"/>
      <c r="BB128" s="195"/>
      <c r="BC128" s="195"/>
    </row>
    <row r="129" spans="2:55" ht="15" customHeight="1" x14ac:dyDescent="0.2">
      <c r="B129" s="195"/>
      <c r="D129" s="11"/>
      <c r="F129" s="151" t="s">
        <v>134</v>
      </c>
      <c r="G129" s="75" t="s">
        <v>135</v>
      </c>
      <c r="H129" s="75" t="s">
        <v>134</v>
      </c>
      <c r="I129" s="75" t="s">
        <v>135</v>
      </c>
      <c r="J129" s="75" t="s">
        <v>134</v>
      </c>
      <c r="K129" s="75" t="s">
        <v>135</v>
      </c>
      <c r="L129" s="75" t="s">
        <v>134</v>
      </c>
      <c r="M129" s="133" t="s">
        <v>135</v>
      </c>
      <c r="N129" s="195"/>
      <c r="O129" s="151" t="s">
        <v>87</v>
      </c>
      <c r="P129" s="96" t="str">
        <f>_xll.BDP("USSA0XF1 "&amp;LEFT(FRALink,LEN(FRALink)-FIND("/",FRALink))&amp;" curncy","last price")</f>
        <v>#N/A N/A</v>
      </c>
      <c r="Q129" s="75" t="s">
        <v>87</v>
      </c>
      <c r="R129" s="96" t="str">
        <f>_xll.BDP("USSA0XI1  "&amp;LEFT(FRALink,LEN(FRALink)-FIND("/",FRALink))&amp;" curncy","last price")</f>
        <v>#N/A N/A</v>
      </c>
      <c r="S129" s="75" t="s">
        <v>87</v>
      </c>
      <c r="T129" s="96" t="str">
        <f>_xll.BDP("USSA0X1  "&amp;LEFT(FRALink,LEN(FRALink)-FIND("/",FRALink))&amp;" curncy","last price")</f>
        <v>#N/A N/A</v>
      </c>
      <c r="U129" s="75" t="s">
        <v>87</v>
      </c>
      <c r="V129" s="96" t="str">
        <f>_xll.BDP("USSA0X1C  "&amp;LEFT(FRALink,LEN(FRALink)-FIND("/",FRALink))&amp;" curncy","last price")</f>
        <v>#N/A N/A</v>
      </c>
      <c r="W129" s="75" t="s">
        <v>87</v>
      </c>
      <c r="X129" s="97" t="str">
        <f>_xll.BDP("USSA0X1F  "&amp;LEFT(FRALink,LEN(FRALink)-FIND("/",FRALink))&amp;" curncy","last price")</f>
        <v>#N/A N/A</v>
      </c>
      <c r="Y129" s="195"/>
      <c r="Z129" s="195"/>
      <c r="AA129" s="195"/>
      <c r="AB129" s="195"/>
      <c r="AC129" s="195"/>
      <c r="AD129" s="195"/>
      <c r="AE129" s="195"/>
      <c r="AF129" s="195"/>
      <c r="AG129" s="195"/>
      <c r="AH129" s="195"/>
      <c r="AI129" s="195"/>
      <c r="AJ129" s="195"/>
      <c r="AK129" s="195"/>
      <c r="AL129" s="195"/>
      <c r="AM129" s="195"/>
      <c r="AN129" s="195"/>
      <c r="AO129" s="195"/>
      <c r="AP129" s="195"/>
      <c r="AQ129" s="195"/>
      <c r="AR129" s="195"/>
      <c r="AS129" s="195"/>
      <c r="AT129" s="195"/>
      <c r="AU129" s="195"/>
      <c r="AV129" s="195"/>
      <c r="AW129" s="195"/>
      <c r="AX129" s="195"/>
      <c r="AY129" s="195"/>
      <c r="AZ129" s="195"/>
      <c r="BA129" s="195"/>
      <c r="BB129" s="195"/>
      <c r="BC129" s="195"/>
    </row>
    <row r="130" spans="2:55" ht="15" customHeight="1" x14ac:dyDescent="0.2">
      <c r="B130" s="195"/>
      <c r="D130" s="11"/>
      <c r="F130" s="152" t="s">
        <v>136</v>
      </c>
      <c r="G130" s="94">
        <f>_xll.BDP("USFR00c "&amp;LEFT(FRALink,LEN(FRALink)-FIND("/",FRALink))&amp;" curncy","last price")</f>
        <v>0.876</v>
      </c>
      <c r="H130" s="74" t="s">
        <v>151</v>
      </c>
      <c r="I130" s="94">
        <f>_xll.BDP("USFR00F "&amp;LEFT(FRALink,LEN(FRALink)-FIND("/",FRALink))&amp;" curncy","last price")</f>
        <v>1.26</v>
      </c>
      <c r="J130" s="74" t="s">
        <v>169</v>
      </c>
      <c r="K130" s="94" t="str">
        <f>_xll.BDP("USFR0AJ "&amp;LEFT(FRALink,LEN(FRALink)-FIND("/",FRALink))&amp;" curncy","last price")</f>
        <v>#N/A N/A</v>
      </c>
      <c r="L130" s="74" t="s">
        <v>176</v>
      </c>
      <c r="M130" s="95">
        <f>_xll.BDP("USFR001 "&amp;LEFT(FRALink,LEN(FRALink)-FIND("/",FRALink))&amp;" curncy","last price")</f>
        <v>1.585</v>
      </c>
      <c r="N130" s="195"/>
      <c r="O130" s="152" t="s">
        <v>196</v>
      </c>
      <c r="P130" s="94" t="str">
        <f>_xll.BDP("USSAMXS1 "&amp;LEFT(FRALink,LEN(FRALink)-FIND("/",FRALink))&amp;" curncy","last price")</f>
        <v>#N/A N/A</v>
      </c>
      <c r="Q130" s="74" t="s">
        <v>213</v>
      </c>
      <c r="R130" s="94" t="str">
        <f>_xll.BDP("USSAMXD1  "&amp;LEFT(FRALink,LEN(FRALink)-FIND("/",FRALink))&amp;" curncy","last price")</f>
        <v>#N/A N/A</v>
      </c>
      <c r="S130" s="74" t="s">
        <v>217</v>
      </c>
      <c r="T130" s="94">
        <f>_xll.BDP("USSAMR1 "&amp;LEFT(FRALink,LEN(FRALink)-FIND("/",FRALink))&amp;" curncy","last price")</f>
        <v>1.0149999999999999</v>
      </c>
      <c r="U130" s="74" t="s">
        <v>221</v>
      </c>
      <c r="V130" s="94" t="str">
        <f>_xll.BDP("USSAMJ1C "&amp;LEFT(FRALink,LEN(FRALink)-FIND("/",FRALink))&amp;" curncy","last price")</f>
        <v>#N/A N/A</v>
      </c>
      <c r="W130" s="74" t="s">
        <v>196</v>
      </c>
      <c r="X130" s="95" t="str">
        <f>_xll.BDP("USSAMS1F "&amp;LEFT(FRALink,LEN(FRALink)-FIND("/",FRALink))&amp;" curncy","last price")</f>
        <v>#N/A N/A</v>
      </c>
      <c r="Y130" s="195"/>
      <c r="Z130" s="195"/>
      <c r="AA130" s="195"/>
      <c r="AB130" s="195"/>
      <c r="AC130" s="195"/>
      <c r="AD130" s="195"/>
      <c r="AE130" s="195"/>
      <c r="AF130" s="195"/>
      <c r="AG130" s="195"/>
      <c r="AH130" s="195"/>
      <c r="AI130" s="195"/>
      <c r="AJ130" s="195"/>
      <c r="AK130" s="195"/>
      <c r="AL130" s="195"/>
      <c r="AM130" s="195"/>
      <c r="AN130" s="195"/>
      <c r="AO130" s="195"/>
      <c r="AP130" s="195"/>
      <c r="AQ130" s="195"/>
      <c r="AR130" s="195"/>
      <c r="AS130" s="195"/>
      <c r="AT130" s="195"/>
      <c r="AU130" s="195"/>
      <c r="AV130" s="195"/>
      <c r="AW130" s="195"/>
      <c r="AX130" s="195"/>
      <c r="AY130" s="195"/>
      <c r="AZ130" s="195"/>
      <c r="BA130" s="195"/>
      <c r="BB130" s="195"/>
      <c r="BC130" s="195"/>
    </row>
    <row r="131" spans="2:55" ht="15" customHeight="1" x14ac:dyDescent="0.2">
      <c r="B131" s="195"/>
      <c r="D131" s="11"/>
      <c r="F131" s="151" t="s">
        <v>137</v>
      </c>
      <c r="G131" s="96">
        <f>_xll.BDP("USFR0AD "&amp;LEFT(FRALink,LEN(FRALink)-FIND("/",FRALink))&amp;" curncy","last price")</f>
        <v>0.89100000000000001</v>
      </c>
      <c r="H131" s="75" t="s">
        <v>152</v>
      </c>
      <c r="I131" s="96">
        <f>_xll.BDP("USFR0AG "&amp;LEFT(FRALink,LEN(FRALink)-FIND("/",FRALink))&amp;" curncy","last price")</f>
        <v>1.28</v>
      </c>
      <c r="J131" s="75" t="s">
        <v>170</v>
      </c>
      <c r="K131" s="96" t="str">
        <f>_xll.BDP("USFR0BK "&amp;LEFT(FRALink,LEN(FRALink)-FIND("/",FRALink))&amp;" curncy","last price")</f>
        <v>#N/A N/A</v>
      </c>
      <c r="L131" s="75" t="s">
        <v>177</v>
      </c>
      <c r="M131" s="97" t="str">
        <f>_xll.BDP("USFR0A1A "&amp;LEFT(FRALink,LEN(FRALink)-FIND("/",FRALink))&amp;" curncy","last price")</f>
        <v>#N/A N/A</v>
      </c>
      <c r="N131" s="195"/>
      <c r="O131" s="151" t="s">
        <v>197</v>
      </c>
      <c r="P131" s="96" t="str">
        <f>_xll.BDP("USSAJXD1 "&amp;LEFT(FRALink,LEN(FRALink)-FIND("/",FRALink))&amp;" curncy","last price")</f>
        <v>#N/A N/A</v>
      </c>
      <c r="Q131" s="75" t="s">
        <v>214</v>
      </c>
      <c r="R131" s="96" t="str">
        <f>_xll.BDP("USSAJXM1 "&amp;LEFT(FRALink,LEN(FRALink)-FIND("/",FRALink))&amp;" curncy","last price")</f>
        <v>#N/A N/A</v>
      </c>
      <c r="S131" s="75" t="s">
        <v>218</v>
      </c>
      <c r="T131" s="96">
        <f>_xll.BDP("USSAJN1 "&amp;LEFT(FRALink,LEN(FRALink)-FIND("/",FRALink))&amp;" curncy","last price")</f>
        <v>1.0449999999999999</v>
      </c>
      <c r="U131" s="75" t="s">
        <v>222</v>
      </c>
      <c r="V131" s="96" t="str">
        <f>_xll.BDP("USSAJS1C "&amp;LEFT(FRALink,LEN(FRALink)-FIND("/",FRALink))&amp;" curncy","last price")</f>
        <v>#N/A N/A</v>
      </c>
      <c r="W131" s="75" t="s">
        <v>210</v>
      </c>
      <c r="X131" s="97" t="str">
        <f>_xll.BDP("USSAJD1F "&amp;LEFT(FRALink,LEN(FRALink)-FIND("/",FRALink))&amp;" curncy","last price")</f>
        <v>#N/A N/A</v>
      </c>
      <c r="Y131" s="195"/>
      <c r="Z131" s="195"/>
      <c r="AA131" s="195"/>
      <c r="AB131" s="195"/>
      <c r="AC131" s="195"/>
      <c r="AD131" s="195"/>
      <c r="AE131" s="195"/>
      <c r="AF131" s="195"/>
      <c r="AG131" s="195"/>
      <c r="AH131" s="195"/>
      <c r="AI131" s="195"/>
      <c r="AJ131" s="195"/>
      <c r="AK131" s="195"/>
      <c r="AL131" s="195"/>
      <c r="AM131" s="195"/>
      <c r="AN131" s="195"/>
      <c r="AO131" s="195"/>
      <c r="AP131" s="195"/>
      <c r="AQ131" s="195"/>
      <c r="AR131" s="195"/>
      <c r="AS131" s="195"/>
      <c r="AT131" s="195"/>
      <c r="AU131" s="195"/>
      <c r="AV131" s="195"/>
      <c r="AW131" s="195"/>
      <c r="AX131" s="195"/>
      <c r="AY131" s="195"/>
      <c r="AZ131" s="195"/>
      <c r="BA131" s="195"/>
      <c r="BB131" s="195"/>
      <c r="BC131" s="195"/>
    </row>
    <row r="132" spans="2:55" ht="15" customHeight="1" x14ac:dyDescent="0.2">
      <c r="B132" s="195"/>
      <c r="D132" s="11"/>
      <c r="F132" s="152" t="s">
        <v>138</v>
      </c>
      <c r="G132" s="94">
        <f>_xll.BDP("USFR0BE "&amp;LEFT(FRALink,LEN(FRALink)-FIND("/",FRALink))&amp;" curncy","last price")</f>
        <v>0.94650000000000001</v>
      </c>
      <c r="H132" s="74" t="s">
        <v>153</v>
      </c>
      <c r="I132" s="94">
        <f>_xll.BDP("USFR0BH "&amp;LEFT(FRALink,LEN(FRALink)-FIND("/",FRALink))&amp;" curncy","last price")</f>
        <v>1.306</v>
      </c>
      <c r="J132" s="74" t="s">
        <v>171</v>
      </c>
      <c r="K132" s="94" t="str">
        <f>_xll.BDP("USFR0C1 "&amp;LEFT(FRALink,LEN(FRALink)-FIND("/",FRALink))&amp;" curncy","last price")</f>
        <v>#N/A Invalid Security</v>
      </c>
      <c r="L132" s="74" t="s">
        <v>178</v>
      </c>
      <c r="M132" s="95" t="str">
        <f>_xll.BDP("USFR0B1B "&amp;LEFT(FRALink,LEN(FRALink)-FIND("/",FRALink))&amp;" curncy","last price")</f>
        <v>#N/A N/A</v>
      </c>
      <c r="N132" s="195"/>
      <c r="O132" s="152" t="s">
        <v>198</v>
      </c>
      <c r="P132" s="94" t="str">
        <f>_xll.BDP("USSASXM1 "&amp;LEFT(FRALink,LEN(FRALink)-FIND("/",FRALink))&amp;" curncy","last price")</f>
        <v>#N/A N/A</v>
      </c>
      <c r="Q132" s="74" t="s">
        <v>215</v>
      </c>
      <c r="R132" s="94" t="str">
        <f>_xll.BDP("USSASXJ1 "&amp;LEFT(FRALink,LEN(FRALink)-FIND("/",FRALink))&amp;" curncy","last price")</f>
        <v>#N/A N/A</v>
      </c>
      <c r="S132" s="74" t="s">
        <v>219</v>
      </c>
      <c r="T132" s="94">
        <f>_xll.BDP("USSASE1 "&amp;LEFT(FRALink,LEN(FRALink)-FIND("/",FRALink))&amp;" curncy","last price")</f>
        <v>1.0649999999999999</v>
      </c>
      <c r="U132" s="74" t="s">
        <v>223</v>
      </c>
      <c r="V132" s="94" t="str">
        <f>_xll.BDP("USSASD1C "&amp;LEFT(FRALink,LEN(FRALink)-FIND("/",FRALink))&amp;" curncy","last price")</f>
        <v>#N/A N/A</v>
      </c>
      <c r="W132" s="74" t="s">
        <v>198</v>
      </c>
      <c r="X132" s="95" t="str">
        <f>_xll.BDP("USSASM1F "&amp;LEFT(FRALink,LEN(FRALink)-FIND("/",FRALink))&amp;" curncy","last price")</f>
        <v>#N/A N/A</v>
      </c>
      <c r="Y132" s="195"/>
      <c r="Z132" s="195"/>
      <c r="AA132" s="195"/>
      <c r="AB132" s="195"/>
      <c r="AC132" s="195"/>
      <c r="AD132" s="195"/>
      <c r="AE132" s="195"/>
      <c r="AF132" s="195"/>
      <c r="AG132" s="195"/>
      <c r="AH132" s="195"/>
      <c r="AI132" s="195"/>
      <c r="AJ132" s="195"/>
      <c r="AK132" s="195"/>
      <c r="AL132" s="195"/>
      <c r="AM132" s="195"/>
      <c r="AN132" s="195"/>
      <c r="AO132" s="195"/>
      <c r="AP132" s="195"/>
      <c r="AQ132" s="195"/>
      <c r="AR132" s="195"/>
      <c r="AS132" s="195"/>
      <c r="AT132" s="195"/>
      <c r="AU132" s="195"/>
      <c r="AV132" s="195"/>
      <c r="AW132" s="195"/>
      <c r="AX132" s="195"/>
      <c r="AY132" s="195"/>
      <c r="AZ132" s="195"/>
      <c r="BA132" s="195"/>
      <c r="BB132" s="195"/>
      <c r="BC132" s="195"/>
    </row>
    <row r="133" spans="2:55" ht="15" customHeight="1" x14ac:dyDescent="0.2">
      <c r="B133" s="195"/>
      <c r="D133" s="11"/>
      <c r="F133" s="151" t="s">
        <v>139</v>
      </c>
      <c r="G133" s="96">
        <f>_xll.BDP("USFR0CF "&amp;LEFT(FRALink,LEN(FRALink)-FIND("/",FRALink))&amp;" curncy","last price")</f>
        <v>0.97519999999999996</v>
      </c>
      <c r="H133" s="75" t="s">
        <v>154</v>
      </c>
      <c r="I133" s="96">
        <f>_xll.BDP("USFR0CI "&amp;LEFT(FRALink,LEN(FRALink)-FIND("/",FRALink))&amp;" curncy","last price")</f>
        <v>1.32</v>
      </c>
      <c r="J133" s="75" t="s">
        <v>172</v>
      </c>
      <c r="K133" s="96" t="str">
        <f>_xll.BDP("USFR0D1A "&amp;LEFT(FRALink,LEN(FRALink)-FIND("/",FRALink))&amp;" curncy","last price")</f>
        <v>#N/A N/A</v>
      </c>
      <c r="L133" s="75" t="s">
        <v>179</v>
      </c>
      <c r="M133" s="97" t="str">
        <f>_xll.BDP("USFR0C1C "&amp;LEFT(FRALink,LEN(FRALink)-FIND("/",FRALink))&amp;" curncy","last price")</f>
        <v>#N/A N/A</v>
      </c>
      <c r="N133" s="195"/>
      <c r="O133" s="151" t="s">
        <v>209</v>
      </c>
      <c r="P133" s="96" t="str">
        <f>_xll.BDP("USSADXJ1 "&amp;LEFT(FRALink,LEN(FRALink)-FIND("/",FRALink))&amp;" curncy","last price")</f>
        <v>#N/A N/A</v>
      </c>
      <c r="Q133" s="75" t="s">
        <v>209</v>
      </c>
      <c r="R133" s="96" t="str">
        <f>_xll.BDP("USSADXS1 "&amp;LEFT(FRALink,LEN(FRALink)-FIND("/",FRALink))&amp;" curncy","last price")</f>
        <v>#N/A N/A</v>
      </c>
      <c r="S133" s="75" t="s">
        <v>220</v>
      </c>
      <c r="T133" s="96">
        <f>_xll.BDP("USSADE1 "&amp;LEFT(FRALink,LEN(FRALink)-FIND("/",FRALink))&amp;" curncy","last price")</f>
        <v>0.97499999999999998</v>
      </c>
      <c r="U133" s="75" t="s">
        <v>224</v>
      </c>
      <c r="V133" s="96" t="str">
        <f>_xll.BDP("USSADM1C "&amp;LEFT(FRALink,LEN(FRALink)-FIND("/",FRALink))&amp;" curncy","last price")</f>
        <v>#N/A N/A</v>
      </c>
      <c r="W133" s="75" t="s">
        <v>209</v>
      </c>
      <c r="X133" s="97" t="str">
        <f>_xll.BDP("USSADJ1F "&amp;LEFT(FRALink,LEN(FRALink)-FIND("/",FRALink))&amp;" curncy","last price")</f>
        <v>#N/A N/A</v>
      </c>
      <c r="Y133" s="195"/>
      <c r="Z133" s="195"/>
      <c r="AA133" s="195"/>
      <c r="AB133" s="195"/>
      <c r="AC133" s="195"/>
      <c r="AD133" s="195"/>
      <c r="AE133" s="195"/>
      <c r="AF133" s="195"/>
      <c r="AG133" s="195"/>
      <c r="AH133" s="195"/>
      <c r="AI133" s="195"/>
      <c r="AJ133" s="195"/>
      <c r="AK133" s="195"/>
      <c r="AL133" s="195"/>
      <c r="AM133" s="195"/>
      <c r="AN133" s="195"/>
      <c r="AO133" s="195"/>
      <c r="AP133" s="195"/>
      <c r="AQ133" s="195"/>
      <c r="AR133" s="195"/>
      <c r="AS133" s="195"/>
      <c r="AT133" s="195"/>
      <c r="AU133" s="195"/>
      <c r="AV133" s="195"/>
      <c r="AW133" s="195"/>
      <c r="AX133" s="195"/>
      <c r="AY133" s="195"/>
      <c r="AZ133" s="195"/>
      <c r="BA133" s="195"/>
      <c r="BB133" s="195"/>
      <c r="BC133" s="195"/>
    </row>
    <row r="134" spans="2:55" ht="15" customHeight="1" x14ac:dyDescent="0.2">
      <c r="B134" s="195"/>
      <c r="D134" s="11"/>
      <c r="F134" s="152" t="s">
        <v>140</v>
      </c>
      <c r="G134" s="94">
        <f>_xll.BDP("USFR0DG "&amp;LEFT(FRALink,LEN(FRALink)-FIND("/",FRALink))&amp;" curncy","last price")</f>
        <v>0.98570000000000002</v>
      </c>
      <c r="H134" s="74" t="s">
        <v>155</v>
      </c>
      <c r="I134" s="94">
        <f>_xll.BDP("USFR0DJ "&amp;LEFT(FRALink,LEN(FRALink)-FIND("/",FRALink))&amp;" curncy","last price")</f>
        <v>1.331</v>
      </c>
      <c r="J134" s="74" t="s">
        <v>173</v>
      </c>
      <c r="K134" s="94" t="str">
        <f>_xll.BDP("USFR0E1B "&amp;LEFT(FRALink,LEN(FRALink)-FIND("/",FRALink))&amp;" curncy","last price")</f>
        <v>#N/A N/A</v>
      </c>
      <c r="L134" s="74" t="s">
        <v>180</v>
      </c>
      <c r="M134" s="95" t="str">
        <f>_xll.BDP("USFR0D1D "&amp;LEFT(FRALink,LEN(FRALink)-FIND("/",FRALink))&amp;" curncy","last price")</f>
        <v>#N/A N/A</v>
      </c>
      <c r="N134" s="195"/>
      <c r="O134" s="152" t="s">
        <v>196</v>
      </c>
      <c r="P134" s="94" t="str">
        <f>_xll.BDP("USSAMXS2 "&amp;LEFT(FRALink,LEN(FRALink)-FIND("/",FRALink))&amp;" curncy","last price")</f>
        <v>#N/A N/A</v>
      </c>
      <c r="Q134" s="74" t="s">
        <v>213</v>
      </c>
      <c r="R134" s="94" t="str">
        <f>_xll.BDP("USSAMXD2 "&amp;LEFT(FRALink,LEN(FRALink)-FIND("/",FRALink))&amp;" curncy","last price")</f>
        <v>#N/A N/A</v>
      </c>
      <c r="S134" s="74" t="s">
        <v>217</v>
      </c>
      <c r="T134" s="94" t="str">
        <f>_xll.BDP("USSAM21 "&amp;LEFT(FRALink,LEN(FRALink)-FIND("/",FRALink))&amp;" curncy","last price")</f>
        <v>#N/A N/A</v>
      </c>
      <c r="U134" s="74" t="s">
        <v>221</v>
      </c>
      <c r="V134" s="94" t="str">
        <f>_xll.BDP("USSAJ1C2 "&amp;LEFT(FRALink,LEN(FRALink)-FIND("/",FRALink))&amp;" curncy","last price")</f>
        <v>#N/A N/A</v>
      </c>
      <c r="W134" s="74" t="s">
        <v>196</v>
      </c>
      <c r="X134" s="95" t="str">
        <f>_xll.BDP("USSAM1F2 "&amp;LEFT(FRALink,LEN(FRALink)-FIND("/",FRALink))&amp;" curncy","last price")</f>
        <v>#N/A N/A</v>
      </c>
      <c r="Y134" s="195"/>
      <c r="Z134" s="195"/>
      <c r="AA134" s="195"/>
      <c r="AB134" s="195"/>
      <c r="AC134" s="195"/>
      <c r="AD134" s="195"/>
      <c r="AE134" s="195"/>
      <c r="AF134" s="195"/>
      <c r="AG134" s="195"/>
      <c r="AH134" s="195"/>
      <c r="AI134" s="195"/>
      <c r="AJ134" s="195"/>
      <c r="AK134" s="195"/>
      <c r="AL134" s="195"/>
      <c r="AM134" s="195"/>
      <c r="AN134" s="195"/>
      <c r="AO134" s="195"/>
      <c r="AP134" s="195"/>
      <c r="AQ134" s="195"/>
      <c r="AR134" s="195"/>
      <c r="AS134" s="195"/>
      <c r="AT134" s="195"/>
      <c r="AU134" s="195"/>
      <c r="AV134" s="195"/>
      <c r="AW134" s="195"/>
      <c r="AX134" s="195"/>
      <c r="AY134" s="195"/>
      <c r="AZ134" s="195"/>
      <c r="BA134" s="195"/>
      <c r="BB134" s="195"/>
      <c r="BC134" s="195"/>
    </row>
    <row r="135" spans="2:55" ht="15" customHeight="1" x14ac:dyDescent="0.2">
      <c r="B135" s="195"/>
      <c r="D135" s="11"/>
      <c r="F135" s="151" t="s">
        <v>141</v>
      </c>
      <c r="G135" s="96">
        <f>_xll.BDP("USFR0EH "&amp;LEFT(FRALink,LEN(FRALink)-FIND("/",FRALink))&amp;" curncy","last price")</f>
        <v>1.0306999999999999</v>
      </c>
      <c r="H135" s="75" t="s">
        <v>156</v>
      </c>
      <c r="I135" s="96">
        <f>_xll.BDP("USFR0EK "&amp;LEFT(FRALink,LEN(FRALink)-FIND("/",FRALink))&amp;" curncy","last price")</f>
        <v>1.3380000000000001</v>
      </c>
      <c r="J135" s="75" t="s">
        <v>174</v>
      </c>
      <c r="K135" s="96" t="str">
        <f>_xll.BDP("USFR0F1C "&amp;LEFT(FRALink,LEN(FRALink)-FIND("/",FRALink))&amp;" curncy","last price")</f>
        <v>#N/A N/A</v>
      </c>
      <c r="L135" s="75" t="s">
        <v>181</v>
      </c>
      <c r="M135" s="97" t="str">
        <f>_xll.BDP("USFR0E1E "&amp;LEFT(FRALink,LEN(FRALink)-FIND("/",FRALink))&amp;" curncy","last price")</f>
        <v>#N/A N/A</v>
      </c>
      <c r="N135" s="195"/>
      <c r="O135" s="151" t="s">
        <v>210</v>
      </c>
      <c r="P135" s="96" t="str">
        <f>_xll.BDP("USSAJXD2 "&amp;LEFT(FRALink,LEN(FRALink)-FIND("/",FRALink))&amp;" curncy","last price")</f>
        <v>#N/A N/A</v>
      </c>
      <c r="Q135" s="75" t="s">
        <v>214</v>
      </c>
      <c r="R135" s="96" t="str">
        <f>_xll.BDP("USSAJXM21 "&amp;LEFT(FRALink,LEN(FRALink)-FIND("/",FRALink))&amp;" curncy","last price")</f>
        <v>#N/A N/A</v>
      </c>
      <c r="S135" s="75" t="s">
        <v>218</v>
      </c>
      <c r="T135" s="96" t="str">
        <f>_xll.BDP("USSAJXJ2 "&amp;LEFT(FRALink,LEN(FRALink)-FIND("/",FRALink))&amp;" curncy","last price")</f>
        <v>#N/A N/A</v>
      </c>
      <c r="U135" s="153"/>
      <c r="V135" s="153"/>
      <c r="W135" s="153"/>
      <c r="X135" s="154"/>
      <c r="Y135" s="195"/>
      <c r="Z135" s="195"/>
      <c r="AA135" s="195"/>
      <c r="AB135" s="195"/>
      <c r="AC135" s="195"/>
      <c r="AD135" s="195"/>
      <c r="AE135" s="195"/>
      <c r="AF135" s="195"/>
      <c r="AG135" s="195"/>
      <c r="AH135" s="195"/>
      <c r="AI135" s="195"/>
      <c r="AJ135" s="195"/>
      <c r="AK135" s="195"/>
      <c r="AL135" s="195"/>
      <c r="AM135" s="195"/>
      <c r="AN135" s="195"/>
      <c r="AO135" s="195"/>
      <c r="AP135" s="195"/>
      <c r="AQ135" s="195"/>
      <c r="AR135" s="195"/>
      <c r="AS135" s="195"/>
      <c r="AT135" s="195"/>
      <c r="AU135" s="195"/>
      <c r="AV135" s="195"/>
      <c r="AW135" s="195"/>
      <c r="AX135" s="195"/>
      <c r="AY135" s="195"/>
      <c r="AZ135" s="195"/>
      <c r="BA135" s="195"/>
      <c r="BB135" s="195"/>
      <c r="BC135" s="195"/>
    </row>
    <row r="136" spans="2:55" ht="15" customHeight="1" x14ac:dyDescent="0.2">
      <c r="B136" s="195"/>
      <c r="D136" s="11"/>
      <c r="F136" s="152" t="s">
        <v>142</v>
      </c>
      <c r="G136" s="94">
        <f>_xll.BDP("USFR0FI "&amp;LEFT(FRALink,LEN(FRALink)-FIND("/",FRALink))&amp;" curncy","last price")</f>
        <v>1.022</v>
      </c>
      <c r="H136" s="74" t="s">
        <v>157</v>
      </c>
      <c r="I136" s="94">
        <f>_xll.BDP("USFR0F1 "&amp;LEFT(FRALink,LEN(FRALink)-FIND("/",FRALink))&amp;" curncy","last price")</f>
        <v>1.341</v>
      </c>
      <c r="J136" s="74" t="s">
        <v>175</v>
      </c>
      <c r="K136" s="94" t="str">
        <f>_xll.BDP("USFR0G1D "&amp;LEFT(FRALink,LEN(FRALink)-FIND("/",FRALink))&amp;" curncy","last price")</f>
        <v>#N/A N/A</v>
      </c>
      <c r="L136" s="74" t="s">
        <v>182</v>
      </c>
      <c r="M136" s="95" t="str">
        <f>_xll.BDP("USFR0F1F "&amp;LEFT(FRALink,LEN(FRALink)-FIND("/",FRALink))&amp;" curncy","last price")</f>
        <v>#N/A N/A</v>
      </c>
      <c r="N136" s="195"/>
      <c r="O136" s="152" t="s">
        <v>211</v>
      </c>
      <c r="P136" s="94" t="str">
        <f>_xll.BDP("USSASXM2 "&amp;LEFT(FRALink,LEN(FRALink)-FIND("/",FRALink))&amp;" curncy","last price")</f>
        <v>#N/A N/A</v>
      </c>
      <c r="Q136" s="74" t="s">
        <v>215</v>
      </c>
      <c r="R136" s="94" t="str">
        <f>_xll.BDP("USSASXJ2 "&amp;LEFT(FRALink,LEN(FRALink)-FIND("/",FRALink))&amp;" curncy","last price")</f>
        <v>#N/A N/A</v>
      </c>
      <c r="S136" s="74" t="s">
        <v>219</v>
      </c>
      <c r="T136" s="94" t="str">
        <f>_xll.BDP("USSAS21 "&amp;LEFT(FRALink,LEN(FRALink)-FIND("/",FRALink))&amp;" curncy","last price")</f>
        <v>#N/A N/A</v>
      </c>
      <c r="U136" s="155"/>
      <c r="V136" s="155"/>
      <c r="W136" s="155"/>
      <c r="X136" s="156"/>
      <c r="Y136" s="195"/>
      <c r="Z136" s="195"/>
      <c r="AA136" s="195"/>
      <c r="AB136" s="195"/>
      <c r="AC136" s="195"/>
      <c r="AD136" s="195"/>
      <c r="AE136" s="195"/>
      <c r="AF136" s="195"/>
      <c r="AG136" s="195"/>
      <c r="AH136" s="195"/>
      <c r="AI136" s="195"/>
      <c r="AJ136" s="195"/>
      <c r="AK136" s="195"/>
      <c r="AL136" s="195"/>
      <c r="AM136" s="195"/>
      <c r="AN136" s="195"/>
      <c r="AO136" s="195"/>
      <c r="AP136" s="195"/>
      <c r="AQ136" s="195"/>
      <c r="AR136" s="195"/>
      <c r="AS136" s="195"/>
      <c r="AT136" s="195"/>
      <c r="AU136" s="195"/>
      <c r="AV136" s="195"/>
      <c r="AW136" s="195"/>
      <c r="AX136" s="195"/>
      <c r="AY136" s="195"/>
      <c r="AZ136" s="195"/>
      <c r="BA136" s="195"/>
      <c r="BB136" s="195"/>
      <c r="BC136" s="195"/>
    </row>
    <row r="137" spans="2:55" ht="15" customHeight="1" x14ac:dyDescent="0.2">
      <c r="B137" s="195"/>
      <c r="D137" s="11"/>
      <c r="F137" s="151" t="s">
        <v>143</v>
      </c>
      <c r="G137" s="96">
        <f>_xll.BDP("USFR0GJ "&amp;LEFT(FRALink,LEN(FRALink)-FIND("/",FRALink))&amp;" curncy","last price")</f>
        <v>1.0605</v>
      </c>
      <c r="H137" s="75" t="s">
        <v>158</v>
      </c>
      <c r="I137" s="96">
        <f>_xll.BDP("USFR0G1A "&amp;LEFT(FRALink,LEN(FRALink)-FIND("/",FRALink))&amp;" curncy","last price")</f>
        <v>1.381</v>
      </c>
      <c r="J137" s="75"/>
      <c r="K137" s="96"/>
      <c r="L137" s="75" t="s">
        <v>183</v>
      </c>
      <c r="M137" s="97" t="str">
        <f>_xll.BDP("USFR0I1I "&amp;LEFT(FRALink,LEN(FRALink)-FIND("/",FRALink))&amp;" curncy","last price")</f>
        <v>#N/A N/A</v>
      </c>
      <c r="N137" s="195"/>
      <c r="O137" s="157" t="s">
        <v>212</v>
      </c>
      <c r="P137" s="158" t="str">
        <f>_xll.BDP("USSADXJ2 "&amp;LEFT(FRALink,LEN(FRALink)-FIND("/",FRALink))&amp;" curncy","last price")</f>
        <v>#N/A N/A</v>
      </c>
      <c r="Q137" s="159" t="s">
        <v>216</v>
      </c>
      <c r="R137" s="158" t="str">
        <f>_xll.BDP("USSADXS2 "&amp;LEFT(FRALink,LEN(FRALink)-FIND("/",FRALink))&amp;" curncy","last price")</f>
        <v>#N/A N/A</v>
      </c>
      <c r="S137" s="159" t="s">
        <v>220</v>
      </c>
      <c r="T137" s="158" t="str">
        <f>_xll.BDP("USSAD21 "&amp;LEFT(FRALink,LEN(FRALink)-FIND("/",FRALink))&amp;" curncy","last price")</f>
        <v>#N/A N/A</v>
      </c>
      <c r="U137" s="160"/>
      <c r="V137" s="160"/>
      <c r="W137" s="160"/>
      <c r="X137" s="161"/>
      <c r="Y137" s="195"/>
      <c r="Z137" s="195"/>
      <c r="AA137" s="195"/>
      <c r="AB137" s="195"/>
      <c r="AC137" s="195"/>
      <c r="AD137" s="195"/>
      <c r="AE137" s="195"/>
      <c r="AF137" s="195"/>
      <c r="AG137" s="195"/>
      <c r="AH137" s="195"/>
      <c r="AI137" s="195"/>
      <c r="AJ137" s="195"/>
      <c r="AK137" s="195"/>
      <c r="AL137" s="195"/>
      <c r="AM137" s="195"/>
      <c r="AN137" s="195"/>
      <c r="AO137" s="195"/>
      <c r="AP137" s="195"/>
      <c r="AQ137" s="195"/>
      <c r="AR137" s="195"/>
      <c r="AS137" s="195"/>
      <c r="AT137" s="195"/>
      <c r="AU137" s="195"/>
      <c r="AV137" s="195"/>
      <c r="AW137" s="195"/>
      <c r="AX137" s="195"/>
      <c r="AY137" s="195"/>
      <c r="AZ137" s="195"/>
      <c r="BA137" s="195"/>
      <c r="BB137" s="195"/>
      <c r="BC137" s="195"/>
    </row>
    <row r="138" spans="2:55" ht="15" customHeight="1" x14ac:dyDescent="0.2">
      <c r="B138" s="195"/>
      <c r="D138" s="11"/>
      <c r="F138" s="152" t="s">
        <v>144</v>
      </c>
      <c r="G138" s="94">
        <f>_xll.BDP("USFR0HK "&amp;LEFT(FRALink,LEN(FRALink)-FIND("/",FRALink))&amp;" curncy","last price")</f>
        <v>1.06</v>
      </c>
      <c r="H138" s="74" t="s">
        <v>159</v>
      </c>
      <c r="I138" s="94">
        <f>_xll.BDP("USFR0H1B "&amp;LEFT(FRALink,LEN(FRALink)-FIND("/",FRALink))&amp;" curncy","last price")</f>
        <v>1.3959999999999999</v>
      </c>
      <c r="J138" s="74"/>
      <c r="K138" s="94"/>
      <c r="L138" s="74" t="s">
        <v>184</v>
      </c>
      <c r="M138" s="95">
        <f>_xll.BDP("USFR012 "&amp;LEFT(FRALink,LEN(FRALink)-FIND("/",FRALink))&amp;" curncy","last price")</f>
        <v>1.583</v>
      </c>
      <c r="N138" s="195"/>
      <c r="O138" s="29" t="s">
        <v>201</v>
      </c>
      <c r="P138" s="106"/>
      <c r="Q138" s="106" t="s">
        <v>59</v>
      </c>
      <c r="R138" s="106"/>
      <c r="S138" s="106" t="s">
        <v>202</v>
      </c>
      <c r="T138" s="106"/>
      <c r="U138" s="106" t="s">
        <v>203</v>
      </c>
      <c r="V138" s="106"/>
      <c r="W138" s="106" t="s">
        <v>60</v>
      </c>
      <c r="X138" s="107"/>
      <c r="Y138" s="195"/>
      <c r="Z138" s="195"/>
      <c r="AA138" s="195"/>
      <c r="AB138" s="195"/>
      <c r="AC138" s="195"/>
      <c r="AD138" s="195"/>
      <c r="AE138" s="195"/>
      <c r="AF138" s="195"/>
      <c r="AG138" s="195"/>
      <c r="AH138" s="195"/>
      <c r="AI138" s="195"/>
      <c r="AJ138" s="195"/>
      <c r="AK138" s="195"/>
      <c r="AL138" s="195"/>
      <c r="AM138" s="195"/>
      <c r="AN138" s="195"/>
      <c r="AO138" s="195"/>
      <c r="AP138" s="195"/>
      <c r="AQ138" s="195"/>
      <c r="AR138" s="195"/>
      <c r="AS138" s="195"/>
      <c r="AT138" s="195"/>
      <c r="AU138" s="195"/>
      <c r="AV138" s="195"/>
      <c r="AW138" s="195"/>
      <c r="AX138" s="195"/>
      <c r="AY138" s="195"/>
      <c r="AZ138" s="195"/>
      <c r="BA138" s="195"/>
      <c r="BB138" s="195"/>
      <c r="BC138" s="195"/>
    </row>
    <row r="139" spans="2:55" ht="15" customHeight="1" x14ac:dyDescent="0.2">
      <c r="B139" s="195"/>
      <c r="D139" s="11"/>
      <c r="F139" s="151" t="s">
        <v>145</v>
      </c>
      <c r="G139" s="96">
        <f>_xll.BDP("USFR0I1 "&amp;LEFT(FRALink,LEN(FRALink)-FIND("/",FRALink))&amp;" curncy","last price")</f>
        <v>1.1009</v>
      </c>
      <c r="H139" s="75" t="s">
        <v>160</v>
      </c>
      <c r="I139" s="96">
        <f>_xll.BDP("USFR0I1C "&amp;LEFT(FRALink,LEN(FRALink)-FIND("/",FRALink))&amp;" curncy","last price")</f>
        <v>1.413</v>
      </c>
      <c r="J139" s="75"/>
      <c r="K139" s="96"/>
      <c r="L139" s="75" t="s">
        <v>185</v>
      </c>
      <c r="M139" s="97" t="str">
        <f>_xll.BDP("USFR1C2C "&amp;LEFT(FRALink,LEN(FRALink)-FIND("/",FRALink))&amp;" curncy","last price")</f>
        <v>#N/A N/A</v>
      </c>
      <c r="N139" s="195"/>
      <c r="O139" s="162" t="s">
        <v>87</v>
      </c>
      <c r="P139" s="163" t="str">
        <f>_xll.BDP("USSA0X1I  "&amp;LEFT(FRALink,LEN(FRALink)-FIND("/",FRALink))&amp;" curncy","last price")</f>
        <v>#N/A N/A</v>
      </c>
      <c r="Q139" s="164" t="s">
        <v>87</v>
      </c>
      <c r="R139" s="163" t="str">
        <f>_xll.BDP("USSA0X2  "&amp;LEFT(FRALink,LEN(FRALink)-FIND("/",FRALink))&amp;" curncy","last price")</f>
        <v>#N/A N/A</v>
      </c>
      <c r="S139" s="164" t="s">
        <v>87</v>
      </c>
      <c r="T139" s="163" t="str">
        <f>_xll.BDP("USSA0X3  "&amp;LEFT(FRALink,LEN(FRALink)-FIND("/",FRALink))&amp;" curncy","last price")</f>
        <v>#N/A N/A</v>
      </c>
      <c r="U139" s="164" t="s">
        <v>87</v>
      </c>
      <c r="V139" s="163" t="str">
        <f>_xll.BDP("USSA0X4  "&amp;LEFT(FRALink,LEN(FRALink)-FIND("/",FRALink))&amp;" curncy","last price")</f>
        <v>#N/A N/A</v>
      </c>
      <c r="W139" s="164" t="s">
        <v>87</v>
      </c>
      <c r="X139" s="165" t="str">
        <f>_xll.BDP("USSA0X5  "&amp;LEFT(FRALink,LEN(FRALink)-FIND("/",FRALink))&amp;" curncy","last price")</f>
        <v>#N/A N/A</v>
      </c>
      <c r="Y139" s="195"/>
      <c r="Z139" s="195"/>
      <c r="AA139" s="195"/>
      <c r="AB139" s="195"/>
      <c r="AC139" s="195"/>
      <c r="AD139" s="195"/>
      <c r="AE139" s="195"/>
      <c r="AF139" s="195"/>
      <c r="AG139" s="195"/>
      <c r="AH139" s="195"/>
      <c r="AI139" s="195"/>
      <c r="AJ139" s="195"/>
      <c r="AK139" s="195"/>
      <c r="AL139" s="195"/>
      <c r="AM139" s="195"/>
      <c r="AN139" s="195"/>
      <c r="AO139" s="195"/>
      <c r="AP139" s="195"/>
      <c r="AQ139" s="195"/>
      <c r="AR139" s="195"/>
      <c r="AS139" s="195"/>
      <c r="AT139" s="195"/>
      <c r="AU139" s="195"/>
      <c r="AV139" s="195"/>
      <c r="AW139" s="195"/>
      <c r="AX139" s="195"/>
      <c r="AY139" s="195"/>
      <c r="AZ139" s="195"/>
      <c r="BA139" s="195"/>
      <c r="BB139" s="195"/>
      <c r="BC139" s="195"/>
    </row>
    <row r="140" spans="2:55" ht="15" customHeight="1" x14ac:dyDescent="0.2">
      <c r="B140" s="195"/>
      <c r="D140" s="11"/>
      <c r="F140" s="152" t="s">
        <v>146</v>
      </c>
      <c r="G140" s="94">
        <f>_xll.BDP("USFR0J1A "&amp;LEFT(FRALink,LEN(FRALink)-FIND("/",FRALink))&amp;" curncy","last price")</f>
        <v>1.0940000000000001</v>
      </c>
      <c r="H140" s="74" t="s">
        <v>161</v>
      </c>
      <c r="I140" s="94">
        <f>_xll.BDP("USFR0J1D "&amp;LEFT(FRALink,LEN(FRALink)-FIND("/",FRALink))&amp;" curncy","last price")</f>
        <v>1.429</v>
      </c>
      <c r="J140" s="74"/>
      <c r="K140" s="94"/>
      <c r="L140" s="74" t="s">
        <v>186</v>
      </c>
      <c r="M140" s="95" t="str">
        <f>_xll.BDP("USFR1F2F "&amp;LEFT(FRALink,LEN(FRALink)-FIND("/",FRALink))&amp;" curncy","last price")</f>
        <v>#N/A N/A</v>
      </c>
      <c r="N140" s="195"/>
      <c r="O140" s="152" t="s">
        <v>215</v>
      </c>
      <c r="P140" s="94" t="str">
        <f>_xll.BDP("USSASJ1I "&amp;LEFT(FRALink,LEN(FRALink)-FIND("/",FRALink))&amp;" curncy","last price")</f>
        <v>#N/A N/A</v>
      </c>
      <c r="Q140" s="74" t="s">
        <v>219</v>
      </c>
      <c r="R140" s="94" t="str">
        <f>_xll.BDP("USSASE2 "&amp;LEFT(FRALink,LEN(FRALink)-FIND("/",FRALink))&amp;" curncy","last price")</f>
        <v>#N/A N/A</v>
      </c>
      <c r="S140" s="74" t="s">
        <v>219</v>
      </c>
      <c r="T140" s="94" t="str">
        <f>_xll.BDP("USSASE3  "&amp;LEFT(FRALink,LEN(FRALink)-FIND("/",FRALink))&amp;" curncy","last price")</f>
        <v>#N/A N/A</v>
      </c>
      <c r="U140" s="74" t="s">
        <v>219</v>
      </c>
      <c r="V140" s="94" t="str">
        <f>_xll.BDP("USSASE4  "&amp;LEFT(FRALink,LEN(FRALink)-FIND("/",FRALink))&amp;" curncy","last price")</f>
        <v>#N/A N/A</v>
      </c>
      <c r="W140" s="74" t="s">
        <v>219</v>
      </c>
      <c r="X140" s="95" t="str">
        <f>_xll.BDP("USSASE5  "&amp;LEFT(FRALink,LEN(FRALink)-FIND("/",FRALink))&amp;" curncy","last price")</f>
        <v>#N/A N/A</v>
      </c>
      <c r="Y140" s="195"/>
      <c r="Z140" s="195"/>
      <c r="AA140" s="195"/>
      <c r="AB140" s="195"/>
      <c r="AC140" s="195"/>
      <c r="AD140" s="195"/>
      <c r="AE140" s="195"/>
      <c r="AF140" s="195"/>
      <c r="AG140" s="195"/>
      <c r="AH140" s="195"/>
      <c r="AI140" s="195"/>
      <c r="AJ140" s="195"/>
      <c r="AK140" s="195"/>
      <c r="AL140" s="195"/>
      <c r="AM140" s="195"/>
      <c r="AN140" s="195"/>
      <c r="AO140" s="195"/>
      <c r="AP140" s="195"/>
      <c r="AQ140" s="195"/>
      <c r="AR140" s="195"/>
      <c r="AS140" s="195"/>
      <c r="AT140" s="195"/>
      <c r="AU140" s="195"/>
      <c r="AV140" s="195"/>
      <c r="AW140" s="195"/>
      <c r="AX140" s="195"/>
      <c r="AY140" s="195"/>
      <c r="AZ140" s="195"/>
      <c r="BA140" s="195"/>
      <c r="BB140" s="195"/>
      <c r="BC140" s="195"/>
    </row>
    <row r="141" spans="2:55" ht="15" customHeight="1" x14ac:dyDescent="0.2">
      <c r="B141" s="195"/>
      <c r="D141" s="11"/>
      <c r="F141" s="151" t="s">
        <v>147</v>
      </c>
      <c r="G141" s="96">
        <f>_xll.BDP("USFR0K1B "&amp;LEFT(FRALink,LEN(FRALink)-FIND("/",FRALink))&amp;" curncy","last price")</f>
        <v>1.1040000000000001</v>
      </c>
      <c r="H141" s="75" t="s">
        <v>162</v>
      </c>
      <c r="I141" s="96">
        <f>_xll.BDP("USFR011FB "&amp;LEFT(FRALink,LEN(FRALink)-FIND("/",FRALink))&amp;" curncy","last price")</f>
        <v>1.4159999999999999</v>
      </c>
      <c r="J141" s="75"/>
      <c r="K141" s="96"/>
      <c r="L141" s="75" t="s">
        <v>187</v>
      </c>
      <c r="M141" s="97" t="str">
        <f>_xll.BDP("USFR1I2I "&amp;LEFT(FRALink,LEN(FRALink)-FIND("/",FRALink))&amp;" curncy","last price")</f>
        <v>#N/A N/A</v>
      </c>
      <c r="N141" s="195"/>
      <c r="O141" s="151" t="s">
        <v>216</v>
      </c>
      <c r="P141" s="96" t="str">
        <f>_xll.BDP("USSADS1I "&amp;LEFT(FRALink,LEN(FRALink)-FIND("/",FRALink))&amp;" curncy","last price")</f>
        <v>#N/A N/A</v>
      </c>
      <c r="Q141" s="75" t="s">
        <v>220</v>
      </c>
      <c r="R141" s="96" t="str">
        <f>_xll.BDP("USSADE2 "&amp;LEFT(FRALink,LEN(FRALink)-FIND("/",FRALink))&amp;" curncy","last price")</f>
        <v>#N/A N/A</v>
      </c>
      <c r="S141" s="75" t="s">
        <v>220</v>
      </c>
      <c r="T141" s="96" t="str">
        <f>_xll.BDP("USSADE3  "&amp;LEFT(FRALink,LEN(FRALink)-FIND("/",FRALink))&amp;" curncy","last price")</f>
        <v>#N/A N/A</v>
      </c>
      <c r="U141" s="75" t="s">
        <v>220</v>
      </c>
      <c r="V141" s="96" t="str">
        <f>_xll.BDP("USSADE4  "&amp;LEFT(FRALink,LEN(FRALink)-FIND("/",FRALink))&amp;" curncy","last price")</f>
        <v>#N/A N/A</v>
      </c>
      <c r="W141" s="75" t="s">
        <v>220</v>
      </c>
      <c r="X141" s="97" t="str">
        <f>_xll.BDP("USSADE5  "&amp;LEFT(FRALink,LEN(FRALink)-FIND("/",FRALink))&amp;" curncy","last price")</f>
        <v>#N/A N/A</v>
      </c>
      <c r="Y141" s="195"/>
      <c r="Z141" s="195"/>
      <c r="AA141" s="195"/>
      <c r="AB141" s="195"/>
      <c r="AC141" s="195"/>
      <c r="AD141" s="195"/>
      <c r="AE141" s="195"/>
      <c r="AF141" s="195"/>
      <c r="AG141" s="195"/>
      <c r="AH141" s="195"/>
      <c r="AI141" s="195"/>
      <c r="AJ141" s="195"/>
      <c r="AK141" s="195"/>
      <c r="AL141" s="195"/>
      <c r="AM141" s="195"/>
      <c r="AN141" s="195"/>
      <c r="AO141" s="195"/>
      <c r="AP141" s="195"/>
      <c r="AQ141" s="195"/>
      <c r="AR141" s="195"/>
      <c r="AS141" s="195"/>
      <c r="AT141" s="195"/>
      <c r="AU141" s="195"/>
      <c r="AV141" s="195"/>
      <c r="AW141" s="195"/>
      <c r="AX141" s="195"/>
      <c r="AY141" s="195"/>
      <c r="AZ141" s="195"/>
      <c r="BA141" s="195"/>
      <c r="BB141" s="195"/>
      <c r="BC141" s="195"/>
    </row>
    <row r="142" spans="2:55" ht="15" customHeight="1" x14ac:dyDescent="0.2">
      <c r="B142" s="195"/>
      <c r="D142" s="11"/>
      <c r="F142" s="152" t="s">
        <v>148</v>
      </c>
      <c r="G142" s="94">
        <f>_xll.BDP("USFR011C "&amp;LEFT(FRALink,LEN(FRALink)-FIND("/",FRALink))&amp;" curncy","last price")</f>
        <v>1.1460999999999999</v>
      </c>
      <c r="H142" s="74" t="s">
        <v>163</v>
      </c>
      <c r="I142" s="94" t="str">
        <f>_xll.BDP("USFR1A1G "&amp;LEFT(FRALink,LEN(FRALink)-FIND("/",FRALink))&amp;" curncy","last price")</f>
        <v>#N/A N/A</v>
      </c>
      <c r="J142" s="74"/>
      <c r="K142" s="94"/>
      <c r="L142" s="74" t="s">
        <v>188</v>
      </c>
      <c r="M142" s="95" t="str">
        <f>_xll.BDP("USFR023 "&amp;LEFT(FRALink,LEN(FRALink)-FIND("/",FRALink))&amp;" curncy","last price")</f>
        <v>#N/A N/A</v>
      </c>
      <c r="N142" s="195"/>
      <c r="O142" s="152" t="s">
        <v>213</v>
      </c>
      <c r="P142" s="94" t="str">
        <f>_xll.BDP("USSAMD1I "&amp;LEFT(FRALink,LEN(FRALink)-FIND("/",FRALink))&amp;" curncy","last price")</f>
        <v>#N/A N/A</v>
      </c>
      <c r="Q142" s="74" t="s">
        <v>217</v>
      </c>
      <c r="R142" s="94" t="str">
        <f>_xll.BDP("USSAMR2 "&amp;LEFT(FRALink,LEN(FRALink)-FIND("/",FRALink))&amp;" curncy","last price")</f>
        <v>#N/A N/A</v>
      </c>
      <c r="S142" s="74" t="s">
        <v>217</v>
      </c>
      <c r="T142" s="94" t="str">
        <f>_xll.BDP("USSAMR3  "&amp;LEFT(FRALink,LEN(FRALink)-FIND("/",FRALink))&amp;" curncy","last price")</f>
        <v>#N/A N/A</v>
      </c>
      <c r="U142" s="74" t="s">
        <v>217</v>
      </c>
      <c r="V142" s="94" t="str">
        <f>_xll.BDP("USSAMR4  "&amp;LEFT(FRALink,LEN(FRALink)-FIND("/",FRALink))&amp;" curncy","last price")</f>
        <v>#N/A N/A</v>
      </c>
      <c r="W142" s="74" t="s">
        <v>217</v>
      </c>
      <c r="X142" s="95" t="str">
        <f>_xll.BDP("USSAMR5  "&amp;LEFT(FRALink,LEN(FRALink)-FIND("/",FRALink))&amp;" curncy","last price")</f>
        <v>#N/A N/A</v>
      </c>
      <c r="Y142" s="195"/>
      <c r="Z142" s="195"/>
      <c r="AA142" s="195"/>
      <c r="AB142" s="195"/>
      <c r="AC142" s="195"/>
      <c r="AD142" s="195"/>
      <c r="AE142" s="195"/>
      <c r="AF142" s="195"/>
      <c r="AG142" s="195"/>
      <c r="AH142" s="195"/>
      <c r="AI142" s="195"/>
      <c r="AJ142" s="195"/>
      <c r="AK142" s="195"/>
      <c r="AL142" s="195"/>
      <c r="AM142" s="195"/>
      <c r="AN142" s="195"/>
      <c r="AO142" s="195"/>
      <c r="AP142" s="195"/>
      <c r="AQ142" s="195"/>
      <c r="AR142" s="195"/>
      <c r="AS142" s="195"/>
      <c r="AT142" s="195"/>
      <c r="AU142" s="195"/>
      <c r="AV142" s="195"/>
      <c r="AW142" s="195"/>
      <c r="AX142" s="195"/>
      <c r="AY142" s="195"/>
      <c r="AZ142" s="195"/>
      <c r="BA142" s="195"/>
      <c r="BB142" s="195"/>
      <c r="BC142" s="195"/>
    </row>
    <row r="143" spans="2:55" ht="15" customHeight="1" x14ac:dyDescent="0.2">
      <c r="B143" s="195"/>
      <c r="D143" s="11"/>
      <c r="F143" s="151" t="s">
        <v>149</v>
      </c>
      <c r="G143" s="96">
        <f>_xll.BDP("USFR1F1I "&amp;LEFT(FRALink,LEN(FRALink)-FIND("/",FRALink))&amp;" curncy","last price")</f>
        <v>1.2056</v>
      </c>
      <c r="H143" s="75" t="s">
        <v>164</v>
      </c>
      <c r="I143" s="96">
        <f>_xll.BDP("USFR1F2 "&amp;LEFT(FRALink,LEN(FRALink)-FIND("/",FRALink))&amp;" curncy","last price")</f>
        <v>1.415</v>
      </c>
      <c r="J143" s="75"/>
      <c r="K143" s="96"/>
      <c r="L143" s="75" t="s">
        <v>189</v>
      </c>
      <c r="M143" s="97" t="str">
        <f>_xll.BDP("USFR2C3C "&amp;LEFT(FRALink,LEN(FRALink)-FIND("/",FRALink))&amp;" curncy","last price")</f>
        <v>#N/A N/A</v>
      </c>
      <c r="N143" s="195"/>
      <c r="O143" s="151" t="s">
        <v>214</v>
      </c>
      <c r="P143" s="96" t="str">
        <f>_xll.BDP("USSAJM1I "&amp;LEFT(FRALink,LEN(FRALink)-FIND("/",FRALink))&amp;" curncy","last price")</f>
        <v>#N/A N/A</v>
      </c>
      <c r="Q143" s="75" t="s">
        <v>218</v>
      </c>
      <c r="R143" s="96" t="str">
        <f>_xll.BDP("USSAJN2 "&amp;LEFT(FRALink,LEN(FRALink)-FIND("/",FRALink))&amp;" curncy","last price")</f>
        <v>#N/A N/A</v>
      </c>
      <c r="S143" s="75" t="s">
        <v>218</v>
      </c>
      <c r="T143" s="96" t="str">
        <f>_xll.BDP("USSAJN3  "&amp;LEFT(FRALink,LEN(FRALink)-FIND("/",FRALink))&amp;" curncy","last price")</f>
        <v>#N/A N/A</v>
      </c>
      <c r="U143" s="75" t="s">
        <v>218</v>
      </c>
      <c r="V143" s="96" t="str">
        <f>_xll.BDP("USSAJN4  "&amp;LEFT(FRALink,LEN(FRALink)-FIND("/",FRALink))&amp;" curncy","last price")</f>
        <v>#N/A N/A</v>
      </c>
      <c r="W143" s="75" t="s">
        <v>218</v>
      </c>
      <c r="X143" s="97" t="str">
        <f>_xll.BDP("USSAJN5  "&amp;LEFT(FRALink,LEN(FRALink)-FIND("/",FRALink))&amp;" curncy","last price")</f>
        <v>#N/A N/A</v>
      </c>
      <c r="Y143" s="195"/>
      <c r="Z143" s="195"/>
      <c r="AA143" s="195"/>
      <c r="AB143" s="195"/>
      <c r="AC143" s="195"/>
      <c r="AD143" s="195"/>
      <c r="AE143" s="195"/>
      <c r="AF143" s="195"/>
      <c r="AG143" s="195"/>
      <c r="AH143" s="195"/>
      <c r="AI143" s="195"/>
      <c r="AJ143" s="195"/>
      <c r="AK143" s="195"/>
      <c r="AL143" s="195"/>
      <c r="AM143" s="195"/>
      <c r="AN143" s="195"/>
      <c r="AO143" s="195"/>
      <c r="AP143" s="195"/>
      <c r="AQ143" s="195"/>
      <c r="AR143" s="195"/>
      <c r="AS143" s="195"/>
      <c r="AT143" s="195"/>
      <c r="AU143" s="195"/>
      <c r="AV143" s="195"/>
      <c r="AW143" s="195"/>
      <c r="AX143" s="195"/>
      <c r="AY143" s="195"/>
      <c r="AZ143" s="195"/>
      <c r="BA143" s="195"/>
      <c r="BB143" s="195"/>
      <c r="BC143" s="195"/>
    </row>
    <row r="144" spans="2:55" ht="15" customHeight="1" x14ac:dyDescent="0.2">
      <c r="B144" s="195"/>
      <c r="D144" s="11"/>
      <c r="F144" s="152" t="s">
        <v>150</v>
      </c>
      <c r="G144" s="94">
        <f>_xll.BDP("USFR1I2 "&amp;LEFT(FRALink,LEN(FRALink)-FIND("/",FRALink))&amp;" curncy","last price")</f>
        <v>1.2551000000000001</v>
      </c>
      <c r="H144" s="74"/>
      <c r="I144" s="94"/>
      <c r="J144" s="74"/>
      <c r="K144" s="155"/>
      <c r="L144" s="74" t="s">
        <v>190</v>
      </c>
      <c r="M144" s="95" t="str">
        <f>_xll.BDP("USFR2F3F "&amp;LEFT(FRALink,LEN(FRALink)-FIND("/",FRALink))&amp;" curncy","last price")</f>
        <v>#N/A N/A</v>
      </c>
      <c r="N144" s="195"/>
      <c r="O144" s="166" t="s">
        <v>215</v>
      </c>
      <c r="P144" s="167" t="str">
        <f>_xll.BDP("USSAJ1I2 "&amp;LEFT(FRALink,LEN(FRALink)-FIND("/",FRALink))&amp;" curncy","last price")</f>
        <v>#N/A N/A</v>
      </c>
      <c r="Q144" s="168"/>
      <c r="R144" s="167"/>
      <c r="S144" s="168"/>
      <c r="T144" s="168"/>
      <c r="U144" s="168"/>
      <c r="V144" s="168"/>
      <c r="W144" s="168"/>
      <c r="X144" s="169"/>
      <c r="Y144" s="195"/>
      <c r="Z144" s="195"/>
      <c r="AA144" s="195"/>
      <c r="AB144" s="195"/>
      <c r="AC144" s="195"/>
      <c r="AD144" s="195"/>
      <c r="AE144" s="195"/>
      <c r="AF144" s="195"/>
      <c r="AG144" s="195"/>
      <c r="AH144" s="195"/>
      <c r="AI144" s="195"/>
      <c r="AJ144" s="195"/>
      <c r="AK144" s="195"/>
      <c r="AL144" s="195"/>
      <c r="AM144" s="195"/>
      <c r="AN144" s="195"/>
      <c r="AO144" s="195"/>
      <c r="AP144" s="195"/>
      <c r="AQ144" s="195"/>
      <c r="AR144" s="195"/>
      <c r="AS144" s="195"/>
      <c r="AT144" s="195"/>
      <c r="AU144" s="195"/>
      <c r="AV144" s="195"/>
      <c r="AW144" s="195"/>
      <c r="AX144" s="195"/>
      <c r="AY144" s="195"/>
      <c r="AZ144" s="195"/>
      <c r="BA144" s="195"/>
      <c r="BB144" s="195"/>
      <c r="BC144" s="195"/>
    </row>
    <row r="145" spans="1:183" ht="15" customHeight="1" x14ac:dyDescent="0.2">
      <c r="B145" s="195"/>
      <c r="D145" s="11"/>
      <c r="F145" s="151"/>
      <c r="G145" s="96"/>
      <c r="H145" s="153"/>
      <c r="I145" s="153"/>
      <c r="J145" s="153"/>
      <c r="K145" s="153"/>
      <c r="L145" s="75" t="s">
        <v>191</v>
      </c>
      <c r="M145" s="97" t="str">
        <f>_xll.BDP("USFR2I3I "&amp;LEFT(FRALink,LEN(FRALink)-FIND("/",FRALink))&amp;" curncy","last price")</f>
        <v>#N/A N/A</v>
      </c>
      <c r="N145" s="195"/>
      <c r="O145" s="29" t="s">
        <v>204</v>
      </c>
      <c r="P145" s="106"/>
      <c r="Q145" s="106" t="s">
        <v>205</v>
      </c>
      <c r="R145" s="106"/>
      <c r="S145" s="106" t="s">
        <v>206</v>
      </c>
      <c r="T145" s="106"/>
      <c r="U145" s="106" t="s">
        <v>207</v>
      </c>
      <c r="V145" s="106"/>
      <c r="W145" s="106" t="s">
        <v>208</v>
      </c>
      <c r="X145" s="107"/>
      <c r="Y145" s="195"/>
      <c r="Z145" s="195"/>
      <c r="AA145" s="195"/>
      <c r="AB145" s="195"/>
      <c r="AC145" s="195"/>
      <c r="AD145" s="195"/>
      <c r="AE145" s="195"/>
      <c r="AF145" s="195"/>
      <c r="AG145" s="195"/>
      <c r="AH145" s="195"/>
      <c r="AI145" s="195"/>
      <c r="AJ145" s="195"/>
      <c r="AK145" s="195"/>
      <c r="AL145" s="195"/>
      <c r="AM145" s="195"/>
      <c r="AN145" s="195"/>
      <c r="AO145" s="195"/>
      <c r="AP145" s="195"/>
      <c r="AQ145" s="195"/>
      <c r="AR145" s="195"/>
      <c r="AS145" s="195"/>
      <c r="AT145" s="195"/>
      <c r="AU145" s="195"/>
      <c r="AV145" s="195"/>
      <c r="AW145" s="195"/>
      <c r="AX145" s="195"/>
      <c r="AY145" s="195"/>
      <c r="AZ145" s="195"/>
      <c r="BA145" s="195"/>
      <c r="BB145" s="195"/>
      <c r="BC145" s="195"/>
    </row>
    <row r="146" spans="1:183" ht="15" customHeight="1" x14ac:dyDescent="0.2">
      <c r="B146" s="195"/>
      <c r="D146" s="11"/>
      <c r="F146" s="170"/>
      <c r="G146" s="94"/>
      <c r="H146" s="155"/>
      <c r="I146" s="155"/>
      <c r="J146" s="155"/>
      <c r="K146" s="155"/>
      <c r="L146" s="74" t="s">
        <v>192</v>
      </c>
      <c r="M146" s="95" t="str">
        <f>_xll.BDP("USFR0304 "&amp;LEFT(FRALink,LEN(FRALink)-FIND("/",FRALink))&amp;" curncy","last price")</f>
        <v>#N/A N/A</v>
      </c>
      <c r="N146" s="195"/>
      <c r="O146" s="171" t="s">
        <v>87</v>
      </c>
      <c r="P146" s="172" t="str">
        <f>_xll.BDP("USSA0X6  "&amp;LEFT(FRALink,LEN(FRALink)-FIND("/",FRALink))&amp;" curncy","last price")</f>
        <v>#N/A N/A</v>
      </c>
      <c r="Q146" s="145" t="s">
        <v>87</v>
      </c>
      <c r="R146" s="172" t="str">
        <f>_xll.BDP("USSA0X7  "&amp;LEFT(FRALink,LEN(FRALink)-FIND("/",FRALink))&amp;" curncy","last price")</f>
        <v>#N/A N/A</v>
      </c>
      <c r="S146" s="145" t="s">
        <v>87</v>
      </c>
      <c r="T146" s="172" t="str">
        <f>_xll.BDP("USSA0X8  "&amp;LEFT(FRALink,LEN(FRALink)-FIND("/",FRALink))&amp;" curncy","last price")</f>
        <v>#N/A N/A</v>
      </c>
      <c r="U146" s="145" t="s">
        <v>87</v>
      </c>
      <c r="V146" s="172" t="str">
        <f>_xll.BDP("USSA0X9  "&amp;LEFT(FRALink,LEN(FRALink)-FIND("/",FRALink))&amp;" curncy","last price")</f>
        <v>#N/A N/A</v>
      </c>
      <c r="W146" s="145" t="s">
        <v>87</v>
      </c>
      <c r="X146" s="173" t="str">
        <f>_xll.BDP("USSA0X10  "&amp;LEFT(FRALink,LEN(FRALink)-FIND("/",FRALink))&amp;" curncy","last price")</f>
        <v>#N/A N/A</v>
      </c>
      <c r="Y146" s="195"/>
      <c r="Z146" s="195"/>
      <c r="AA146" s="195"/>
      <c r="AB146" s="195"/>
      <c r="AC146" s="195"/>
      <c r="AD146" s="195"/>
      <c r="AE146" s="195"/>
      <c r="AF146" s="195"/>
      <c r="AG146" s="195"/>
      <c r="AH146" s="195"/>
      <c r="AI146" s="195"/>
      <c r="AJ146" s="195"/>
      <c r="AK146" s="195"/>
      <c r="AL146" s="195"/>
      <c r="AM146" s="195"/>
      <c r="AN146" s="195"/>
      <c r="AO146" s="195"/>
      <c r="AP146" s="195"/>
      <c r="AQ146" s="195"/>
      <c r="AR146" s="195"/>
      <c r="AS146" s="195"/>
      <c r="AT146" s="195"/>
      <c r="AU146" s="195"/>
      <c r="AV146" s="195"/>
      <c r="AW146" s="195"/>
      <c r="AX146" s="195"/>
      <c r="AY146" s="195"/>
      <c r="AZ146" s="195"/>
      <c r="BA146" s="195"/>
      <c r="BB146" s="195"/>
      <c r="BC146" s="195"/>
    </row>
    <row r="147" spans="1:183" ht="15" customHeight="1" x14ac:dyDescent="0.2">
      <c r="B147" s="195"/>
      <c r="D147" s="11"/>
      <c r="F147" s="174"/>
      <c r="G147" s="153"/>
      <c r="H147" s="153"/>
      <c r="I147" s="153"/>
      <c r="J147" s="153"/>
      <c r="K147" s="153"/>
      <c r="L147" s="153"/>
      <c r="M147" s="154"/>
      <c r="N147" s="195"/>
      <c r="O147" s="151" t="s">
        <v>219</v>
      </c>
      <c r="P147" s="96" t="str">
        <f>_xll.BDP("USSASE6  "&amp;LEFT(FRALink,LEN(FRALink)-FIND("/",FRALink))&amp;" curncy","last price")</f>
        <v>#N/A N/A</v>
      </c>
      <c r="Q147" s="75" t="s">
        <v>219</v>
      </c>
      <c r="R147" s="96" t="str">
        <f>_xll.BDP("USSASE7  "&amp;LEFT(FRALink,LEN(FRALink)-FIND("/",FRALink))&amp;" curncy","last price")</f>
        <v>#N/A N/A</v>
      </c>
      <c r="S147" s="75" t="s">
        <v>219</v>
      </c>
      <c r="T147" s="96" t="str">
        <f>_xll.BDP("USSASE8  "&amp;LEFT(FRALink,LEN(FRALink)-FIND("/",FRALink))&amp;" curncy","last price")</f>
        <v>#N/A N/A</v>
      </c>
      <c r="U147" s="75" t="s">
        <v>219</v>
      </c>
      <c r="V147" s="96" t="str">
        <f>_xll.BDP("USSASE9  "&amp;LEFT(FRALink,LEN(FRALink)-FIND("/",FRALink))&amp;" curncy","last price")</f>
        <v>#N/A N/A</v>
      </c>
      <c r="W147" s="75" t="s">
        <v>219</v>
      </c>
      <c r="X147" s="97" t="str">
        <f>_xll.BDP("USSASE10  "&amp;LEFT(FRALink,LEN(FRALink)-FIND("/",FRALink))&amp;" curncy","last price")</f>
        <v>#N/A N/A</v>
      </c>
      <c r="Y147" s="195"/>
      <c r="Z147" s="195"/>
      <c r="AA147" s="195"/>
      <c r="AB147" s="195"/>
      <c r="AC147" s="195"/>
      <c r="AD147" s="195"/>
      <c r="AE147" s="195"/>
      <c r="AF147" s="195"/>
      <c r="AG147" s="195"/>
      <c r="AH147" s="195"/>
      <c r="AI147" s="195"/>
      <c r="AJ147" s="195"/>
      <c r="AK147" s="195"/>
      <c r="AL147" s="195"/>
      <c r="AM147" s="195"/>
      <c r="AN147" s="195"/>
      <c r="AO147" s="195"/>
      <c r="AP147" s="195"/>
      <c r="AQ147" s="195"/>
      <c r="AR147" s="195"/>
      <c r="AS147" s="195"/>
      <c r="AT147" s="195"/>
      <c r="AU147" s="195"/>
      <c r="AV147" s="195"/>
      <c r="AW147" s="195"/>
      <c r="AX147" s="195"/>
      <c r="AY147" s="195"/>
      <c r="AZ147" s="195"/>
      <c r="BA147" s="195"/>
      <c r="BB147" s="195"/>
      <c r="BC147" s="195"/>
    </row>
    <row r="148" spans="1:183" ht="15" customHeight="1" x14ac:dyDescent="0.2">
      <c r="B148" s="195"/>
      <c r="D148" s="11"/>
      <c r="F148" s="170"/>
      <c r="G148" s="155"/>
      <c r="H148" s="155"/>
      <c r="I148" s="155"/>
      <c r="J148" s="155"/>
      <c r="K148" s="155"/>
      <c r="L148" s="155"/>
      <c r="M148" s="156"/>
      <c r="N148" s="195"/>
      <c r="O148" s="152" t="s">
        <v>220</v>
      </c>
      <c r="P148" s="94" t="str">
        <f>_xll.BDP("USSADE6  "&amp;LEFT(FRALink,LEN(FRALink)-FIND("/",FRALink))&amp;" curncy","last price")</f>
        <v>#N/A N/A</v>
      </c>
      <c r="Q148" s="74" t="s">
        <v>220</v>
      </c>
      <c r="R148" s="94" t="str">
        <f>_xll.BDP("USSADE7  "&amp;LEFT(FRALink,LEN(FRALink)-FIND("/",FRALink))&amp;" curncy","last price")</f>
        <v>#N/A N/A</v>
      </c>
      <c r="S148" s="74" t="s">
        <v>220</v>
      </c>
      <c r="T148" s="94" t="str">
        <f>_xll.BDP("USSADE8  "&amp;LEFT(FRALink,LEN(FRALink)-FIND("/",FRALink))&amp;" curncy","last price")</f>
        <v>#N/A N/A</v>
      </c>
      <c r="U148" s="74" t="s">
        <v>220</v>
      </c>
      <c r="V148" s="94" t="str">
        <f>_xll.BDP("USSADE9  "&amp;LEFT(FRALink,LEN(FRALink)-FIND("/",FRALink))&amp;" curncy","last price")</f>
        <v>#N/A N/A</v>
      </c>
      <c r="W148" s="74" t="s">
        <v>217</v>
      </c>
      <c r="X148" s="95" t="str">
        <f>_xll.BDP("USSAMR10  "&amp;LEFT(FRALink,LEN(FRALink)-FIND("/",FRALink))&amp;" curncy","last price")</f>
        <v>#N/A Invalid Security</v>
      </c>
      <c r="Y148" s="195"/>
      <c r="Z148" s="195"/>
      <c r="AA148" s="195"/>
      <c r="AB148" s="195"/>
      <c r="AC148" s="195"/>
      <c r="AD148" s="195"/>
      <c r="AE148" s="195"/>
      <c r="AF148" s="195"/>
      <c r="AG148" s="195"/>
      <c r="AH148" s="195"/>
      <c r="AI148" s="195"/>
      <c r="AJ148" s="195"/>
      <c r="AK148" s="195"/>
      <c r="AL148" s="195"/>
      <c r="AM148" s="195"/>
      <c r="AN148" s="195"/>
      <c r="AO148" s="195"/>
      <c r="AP148" s="195"/>
      <c r="AQ148" s="195"/>
      <c r="AR148" s="195"/>
      <c r="AS148" s="195"/>
      <c r="AT148" s="195"/>
      <c r="AU148" s="195"/>
      <c r="AV148" s="195"/>
      <c r="AW148" s="195"/>
      <c r="AX148" s="195"/>
      <c r="AY148" s="195"/>
      <c r="AZ148" s="195"/>
      <c r="BA148" s="195"/>
      <c r="BB148" s="195"/>
      <c r="BC148" s="195"/>
    </row>
    <row r="149" spans="1:183" ht="15" customHeight="1" x14ac:dyDescent="0.2">
      <c r="B149" s="195"/>
      <c r="D149" s="11"/>
      <c r="F149" s="174"/>
      <c r="G149" s="153"/>
      <c r="H149" s="153"/>
      <c r="I149" s="153"/>
      <c r="J149" s="153"/>
      <c r="K149" s="153"/>
      <c r="L149" s="153"/>
      <c r="M149" s="154"/>
      <c r="N149" s="195"/>
      <c r="O149" s="151" t="s">
        <v>217</v>
      </c>
      <c r="P149" s="96" t="str">
        <f>_xll.BDP("USSAMR6  "&amp;LEFT(FRALink,LEN(FRALink)-FIND("/",FRALink))&amp;" curncy","last price")</f>
        <v>#N/A N/A</v>
      </c>
      <c r="Q149" s="75" t="s">
        <v>217</v>
      </c>
      <c r="R149" s="96" t="str">
        <f>_xll.BDP("USSAMR7  "&amp;LEFT(FRALink,LEN(FRALink)-FIND("/",FRALink))&amp;" curncy","last price")</f>
        <v>#N/A N/A</v>
      </c>
      <c r="S149" s="75" t="s">
        <v>217</v>
      </c>
      <c r="T149" s="96" t="str">
        <f>_xll.BDP("USSAMR8  "&amp;LEFT(FRALink,LEN(FRALink)-FIND("/",FRALink))&amp;" curncy","last price")</f>
        <v>#N/A N/A</v>
      </c>
      <c r="U149" s="75" t="s">
        <v>217</v>
      </c>
      <c r="V149" s="96" t="str">
        <f>_xll.BDP("USSAMR9  "&amp;LEFT(FRALink,LEN(FRALink)-FIND("/",FRALink))&amp;" curncy","last price")</f>
        <v>#N/A N/A</v>
      </c>
      <c r="W149" s="153"/>
      <c r="X149" s="154"/>
      <c r="Y149" s="195"/>
      <c r="Z149" s="195"/>
      <c r="AA149" s="195"/>
      <c r="AB149" s="195"/>
      <c r="AC149" s="195"/>
      <c r="AD149" s="195"/>
      <c r="AE149" s="195"/>
      <c r="AF149" s="195"/>
      <c r="AG149" s="195"/>
      <c r="AH149" s="195"/>
      <c r="AI149" s="195"/>
      <c r="AJ149" s="195"/>
      <c r="AK149" s="195"/>
      <c r="AL149" s="195"/>
      <c r="AM149" s="195"/>
      <c r="AN149" s="195"/>
      <c r="AO149" s="195"/>
      <c r="AP149" s="195"/>
      <c r="AQ149" s="195"/>
      <c r="AR149" s="195"/>
      <c r="AS149" s="195"/>
      <c r="AT149" s="195"/>
      <c r="AU149" s="195"/>
      <c r="AV149" s="195"/>
      <c r="AW149" s="195"/>
      <c r="AX149" s="195"/>
      <c r="AY149" s="195"/>
      <c r="AZ149" s="195"/>
      <c r="BA149" s="195"/>
      <c r="BB149" s="195"/>
      <c r="BC149" s="195"/>
    </row>
    <row r="150" spans="1:183" ht="15" customHeight="1" x14ac:dyDescent="0.2">
      <c r="B150" s="195"/>
      <c r="D150" s="11"/>
      <c r="F150" s="175"/>
      <c r="G150" s="176"/>
      <c r="H150" s="176"/>
      <c r="I150" s="176"/>
      <c r="J150" s="176"/>
      <c r="K150" s="176"/>
      <c r="L150" s="176"/>
      <c r="M150" s="177"/>
      <c r="N150" s="195"/>
      <c r="O150" s="178" t="s">
        <v>218</v>
      </c>
      <c r="P150" s="179" t="str">
        <f>_xll.BDP("USSAJN6  "&amp;LEFT(FRALink,LEN(FRALink)-FIND("/",FRALink))&amp;" curncy","last price")</f>
        <v>#N/A N/A</v>
      </c>
      <c r="Q150" s="83" t="s">
        <v>218</v>
      </c>
      <c r="R150" s="179" t="str">
        <f>_xll.BDP("USSAJN7  "&amp;LEFT(FRALink,LEN(FRALink)-FIND("/",FRALink))&amp;" curncy","last price")</f>
        <v>#N/A N/A</v>
      </c>
      <c r="S150" s="83" t="s">
        <v>218</v>
      </c>
      <c r="T150" s="179" t="str">
        <f>_xll.BDP("USSAJN8  "&amp;LEFT(FRALink,LEN(FRALink)-FIND("/",FRALink))&amp;" curncy","last price")</f>
        <v>#N/A N/A</v>
      </c>
      <c r="U150" s="83" t="s">
        <v>218</v>
      </c>
      <c r="V150" s="179" t="str">
        <f>_xll.BDP("USSAJN9  "&amp;LEFT(FRALink,LEN(FRALink)-FIND("/",FRALink))&amp;" curncy","last price")</f>
        <v>#N/A N/A</v>
      </c>
      <c r="W150" s="83"/>
      <c r="X150" s="180"/>
      <c r="Y150" s="195"/>
      <c r="Z150" s="195"/>
      <c r="AA150" s="195"/>
      <c r="AB150" s="195"/>
      <c r="AC150" s="195"/>
      <c r="AD150" s="195"/>
      <c r="AE150" s="195"/>
      <c r="AF150" s="195"/>
      <c r="AG150" s="195"/>
      <c r="AH150" s="195"/>
      <c r="AI150" s="195"/>
      <c r="AJ150" s="195"/>
      <c r="AK150" s="195"/>
      <c r="AL150" s="195"/>
      <c r="AM150" s="195"/>
      <c r="AN150" s="195"/>
      <c r="AO150" s="195"/>
      <c r="AP150" s="195"/>
      <c r="AQ150" s="195"/>
      <c r="AR150" s="195"/>
      <c r="AS150" s="195"/>
      <c r="AT150" s="195"/>
      <c r="AU150" s="195"/>
      <c r="AV150" s="195"/>
      <c r="AW150" s="195"/>
      <c r="AX150" s="195"/>
      <c r="AY150" s="195"/>
      <c r="AZ150" s="195"/>
      <c r="BA150" s="195"/>
      <c r="BB150" s="195"/>
      <c r="BC150" s="195"/>
    </row>
    <row r="151" spans="1:183" ht="15" customHeight="1" x14ac:dyDescent="0.2">
      <c r="B151" s="195"/>
      <c r="D151" s="11"/>
      <c r="F151" s="195"/>
      <c r="G151" s="195"/>
      <c r="H151" s="195"/>
      <c r="I151" s="195"/>
      <c r="J151" s="195"/>
      <c r="K151" s="195"/>
      <c r="L151" s="195"/>
      <c r="M151" s="195"/>
      <c r="N151" s="195"/>
      <c r="O151" s="195"/>
      <c r="P151" s="195"/>
      <c r="Q151" s="195"/>
      <c r="R151" s="195"/>
      <c r="S151" s="195"/>
      <c r="T151" s="195"/>
      <c r="U151" s="195"/>
      <c r="V151" s="195"/>
      <c r="W151" s="195"/>
      <c r="X151" s="195"/>
      <c r="Y151" s="195"/>
      <c r="Z151" s="195"/>
      <c r="AA151" s="195"/>
      <c r="AB151" s="195"/>
      <c r="AC151" s="195"/>
      <c r="AD151" s="195"/>
      <c r="AE151" s="195"/>
      <c r="AF151" s="195"/>
      <c r="AG151" s="195"/>
      <c r="AH151" s="195"/>
      <c r="AI151" s="195"/>
      <c r="AJ151" s="195"/>
      <c r="AK151" s="195"/>
      <c r="AL151" s="195"/>
      <c r="AM151" s="195"/>
      <c r="AN151" s="195"/>
      <c r="AO151" s="195"/>
      <c r="AP151" s="195"/>
      <c r="AQ151" s="195"/>
      <c r="AR151" s="195"/>
      <c r="AS151" s="195"/>
      <c r="AT151" s="195"/>
      <c r="AU151" s="195"/>
      <c r="AV151" s="195"/>
      <c r="AW151" s="195"/>
      <c r="AX151" s="195"/>
      <c r="AY151" s="195"/>
      <c r="AZ151" s="195"/>
      <c r="BA151" s="195"/>
      <c r="BB151" s="195"/>
      <c r="BC151" s="195"/>
    </row>
    <row r="152" spans="1:183" s="226" customFormat="1" ht="35.1" customHeight="1" x14ac:dyDescent="0.3">
      <c r="A152" s="218"/>
      <c r="B152" s="218"/>
      <c r="C152" s="220"/>
      <c r="D152" s="220"/>
      <c r="E152" s="220"/>
      <c r="F152" s="237" t="s">
        <v>225</v>
      </c>
      <c r="G152" s="238"/>
      <c r="H152" s="238"/>
      <c r="I152" s="238"/>
      <c r="J152" s="238"/>
      <c r="K152" s="238"/>
      <c r="L152" s="238"/>
      <c r="M152" s="238"/>
      <c r="N152" s="238"/>
      <c r="O152" s="238"/>
      <c r="P152" s="238"/>
      <c r="Q152" s="238"/>
      <c r="R152" s="238"/>
      <c r="S152" s="238"/>
      <c r="T152" s="238"/>
      <c r="U152" s="238"/>
      <c r="V152" s="238"/>
      <c r="W152" s="238"/>
      <c r="X152" s="238"/>
      <c r="Y152" s="238"/>
      <c r="Z152" s="239"/>
      <c r="AA152" s="218"/>
      <c r="AB152" s="218"/>
      <c r="AC152" s="218"/>
      <c r="AD152" s="218"/>
      <c r="AE152" s="218"/>
      <c r="AF152" s="218"/>
      <c r="AG152" s="218"/>
      <c r="AH152" s="218"/>
      <c r="AI152" s="218"/>
      <c r="AJ152" s="218"/>
      <c r="AK152" s="218"/>
      <c r="AL152" s="218"/>
      <c r="AM152" s="218"/>
      <c r="AN152" s="218"/>
      <c r="AO152" s="218"/>
      <c r="AP152" s="218"/>
      <c r="AQ152" s="218"/>
      <c r="AR152" s="218"/>
      <c r="AS152" s="218"/>
      <c r="AT152" s="218"/>
      <c r="AU152" s="218"/>
      <c r="AV152" s="218"/>
      <c r="AW152" s="218"/>
      <c r="AX152" s="218"/>
      <c r="AY152" s="218"/>
      <c r="AZ152" s="218"/>
      <c r="BA152" s="218"/>
      <c r="BB152" s="218"/>
      <c r="BC152" s="218"/>
      <c r="BD152" s="218"/>
      <c r="BE152" s="218"/>
      <c r="BF152" s="218"/>
      <c r="BG152" s="218"/>
      <c r="BH152" s="218"/>
      <c r="BI152" s="218"/>
      <c r="BJ152" s="218"/>
      <c r="BK152" s="218"/>
      <c r="BL152" s="218"/>
      <c r="BM152" s="218"/>
      <c r="BN152" s="218"/>
      <c r="BO152" s="218"/>
      <c r="BP152" s="218"/>
      <c r="BQ152" s="218"/>
      <c r="BR152" s="218"/>
      <c r="BS152" s="218"/>
      <c r="BT152" s="218"/>
      <c r="BU152" s="218"/>
      <c r="BV152" s="218"/>
      <c r="BW152" s="218"/>
      <c r="BX152" s="218"/>
      <c r="BY152" s="218"/>
      <c r="BZ152" s="218"/>
      <c r="CA152" s="218"/>
      <c r="CB152" s="218"/>
      <c r="CC152" s="218"/>
      <c r="CD152" s="218"/>
      <c r="CE152" s="218"/>
      <c r="CF152" s="218"/>
      <c r="CG152" s="218"/>
      <c r="CH152" s="218"/>
      <c r="CI152" s="218"/>
      <c r="CJ152" s="218"/>
      <c r="CK152" s="218"/>
      <c r="CL152" s="218"/>
      <c r="CM152" s="218"/>
      <c r="CN152" s="218"/>
      <c r="CO152" s="218"/>
      <c r="CP152" s="218"/>
      <c r="CQ152" s="218"/>
      <c r="CR152" s="218"/>
      <c r="CS152" s="218"/>
      <c r="CT152" s="218"/>
      <c r="CU152" s="218"/>
      <c r="CV152" s="218"/>
      <c r="CW152" s="218"/>
      <c r="CX152" s="218"/>
      <c r="CY152" s="218"/>
      <c r="CZ152" s="218"/>
      <c r="DA152" s="218"/>
      <c r="DB152" s="218"/>
      <c r="DC152" s="218"/>
      <c r="DD152" s="218"/>
      <c r="DE152" s="218"/>
      <c r="DF152" s="218"/>
      <c r="DG152" s="218"/>
      <c r="DH152" s="218"/>
      <c r="DI152" s="218"/>
      <c r="DJ152" s="218"/>
      <c r="DK152" s="218"/>
      <c r="DL152" s="218"/>
      <c r="DM152" s="218"/>
      <c r="DN152" s="218"/>
      <c r="DO152" s="218"/>
      <c r="DP152" s="218"/>
      <c r="DQ152" s="218"/>
      <c r="DR152" s="218"/>
      <c r="DS152" s="218"/>
      <c r="DT152" s="218"/>
      <c r="DU152" s="218"/>
      <c r="DV152" s="218"/>
      <c r="DW152" s="218"/>
      <c r="DX152" s="218"/>
      <c r="DY152" s="218"/>
      <c r="DZ152" s="218"/>
      <c r="EA152" s="218"/>
      <c r="EB152" s="218"/>
      <c r="EC152" s="218"/>
      <c r="ED152" s="218"/>
      <c r="EE152" s="218"/>
      <c r="EF152" s="218"/>
      <c r="EG152" s="218"/>
      <c r="EH152" s="218"/>
      <c r="EI152" s="218"/>
      <c r="EJ152" s="218"/>
      <c r="EK152" s="218"/>
      <c r="EL152" s="218"/>
      <c r="EM152" s="218"/>
      <c r="EN152" s="218"/>
      <c r="EO152" s="218"/>
      <c r="EP152" s="218"/>
      <c r="EQ152" s="218"/>
      <c r="ER152" s="218"/>
      <c r="ES152" s="218"/>
      <c r="ET152" s="218"/>
      <c r="EU152" s="218"/>
      <c r="EV152" s="218"/>
      <c r="EW152" s="218"/>
      <c r="EX152" s="218"/>
      <c r="EY152" s="218"/>
      <c r="EZ152" s="218"/>
      <c r="FA152" s="218"/>
      <c r="FB152" s="218"/>
      <c r="FC152" s="218"/>
      <c r="FD152" s="218"/>
      <c r="FE152" s="218"/>
      <c r="FF152" s="218"/>
      <c r="FG152" s="218"/>
      <c r="FH152" s="218"/>
      <c r="FI152" s="218"/>
      <c r="FJ152" s="218"/>
      <c r="FK152" s="218"/>
      <c r="FL152" s="218"/>
      <c r="FM152" s="218"/>
      <c r="FN152" s="218"/>
      <c r="FO152" s="218"/>
      <c r="FP152" s="218"/>
      <c r="FQ152" s="218"/>
      <c r="FR152" s="218"/>
      <c r="FS152" s="218"/>
      <c r="FT152" s="218"/>
      <c r="FU152" s="218"/>
      <c r="FV152" s="218"/>
      <c r="FW152" s="218"/>
      <c r="FX152" s="218"/>
      <c r="FY152" s="218"/>
      <c r="FZ152" s="218"/>
      <c r="GA152" s="218"/>
    </row>
    <row r="153" spans="1:183" ht="15" customHeight="1" x14ac:dyDescent="0.2">
      <c r="B153" s="195"/>
      <c r="D153" s="11"/>
      <c r="F153" s="181"/>
      <c r="G153" s="254" t="s">
        <v>226</v>
      </c>
      <c r="H153" s="254"/>
      <c r="I153" s="252" t="s">
        <v>59</v>
      </c>
      <c r="J153" s="253"/>
      <c r="K153" s="254" t="s">
        <v>202</v>
      </c>
      <c r="L153" s="253"/>
      <c r="M153" s="254" t="s">
        <v>203</v>
      </c>
      <c r="N153" s="253"/>
      <c r="O153" s="254" t="s">
        <v>60</v>
      </c>
      <c r="P153" s="253"/>
      <c r="Q153" s="254" t="s">
        <v>204</v>
      </c>
      <c r="R153" s="253"/>
      <c r="S153" s="254" t="s">
        <v>205</v>
      </c>
      <c r="T153" s="253"/>
      <c r="U153" s="254" t="s">
        <v>206</v>
      </c>
      <c r="V153" s="253"/>
      <c r="W153" s="254" t="s">
        <v>207</v>
      </c>
      <c r="X153" s="253"/>
      <c r="Y153" s="254" t="s">
        <v>208</v>
      </c>
      <c r="Z153" s="255"/>
      <c r="AA153" s="195"/>
      <c r="AB153" s="195"/>
      <c r="AC153" s="195"/>
      <c r="AD153" s="195"/>
      <c r="AE153" s="195"/>
      <c r="AF153" s="195"/>
      <c r="AG153" s="195"/>
      <c r="AH153" s="195"/>
      <c r="AI153" s="195"/>
      <c r="AJ153" s="195"/>
      <c r="AK153" s="195"/>
      <c r="AL153" s="195"/>
      <c r="AM153" s="195"/>
      <c r="AN153" s="195"/>
      <c r="AO153" s="195"/>
      <c r="AP153" s="195"/>
      <c r="AQ153" s="195"/>
      <c r="AR153" s="195"/>
      <c r="AS153" s="195"/>
      <c r="AT153" s="195"/>
      <c r="AU153" s="195"/>
      <c r="AV153" s="195"/>
      <c r="AW153" s="195"/>
      <c r="AX153" s="195"/>
      <c r="AY153" s="195"/>
      <c r="AZ153" s="195"/>
      <c r="BA153" s="195"/>
      <c r="BB153" s="195"/>
      <c r="BC153" s="195"/>
    </row>
    <row r="154" spans="1:183" ht="15" customHeight="1" x14ac:dyDescent="0.2">
      <c r="B154" s="195"/>
      <c r="D154" s="11"/>
      <c r="F154" s="182" t="s">
        <v>134</v>
      </c>
      <c r="G154" s="106" t="s">
        <v>5</v>
      </c>
      <c r="H154" s="106" t="s">
        <v>6</v>
      </c>
      <c r="I154" s="106" t="s">
        <v>5</v>
      </c>
      <c r="J154" s="106" t="s">
        <v>6</v>
      </c>
      <c r="K154" s="106" t="s">
        <v>5</v>
      </c>
      <c r="L154" s="106" t="s">
        <v>6</v>
      </c>
      <c r="M154" s="106" t="s">
        <v>5</v>
      </c>
      <c r="N154" s="106" t="s">
        <v>6</v>
      </c>
      <c r="O154" s="106" t="s">
        <v>5</v>
      </c>
      <c r="P154" s="106" t="s">
        <v>6</v>
      </c>
      <c r="Q154" s="106" t="s">
        <v>5</v>
      </c>
      <c r="R154" s="106" t="s">
        <v>6</v>
      </c>
      <c r="S154" s="106" t="s">
        <v>5</v>
      </c>
      <c r="T154" s="106" t="s">
        <v>6</v>
      </c>
      <c r="U154" s="106" t="s">
        <v>5</v>
      </c>
      <c r="V154" s="106" t="s">
        <v>6</v>
      </c>
      <c r="W154" s="106" t="s">
        <v>5</v>
      </c>
      <c r="X154" s="106" t="s">
        <v>6</v>
      </c>
      <c r="Y154" s="106" t="s">
        <v>5</v>
      </c>
      <c r="Z154" s="107" t="s">
        <v>6</v>
      </c>
      <c r="AA154" s="195"/>
      <c r="AB154" s="195"/>
      <c r="AC154" s="195"/>
      <c r="AD154" s="195"/>
      <c r="AE154" s="195"/>
      <c r="AF154" s="195"/>
      <c r="AG154" s="195"/>
      <c r="AH154" s="195"/>
      <c r="AI154" s="195"/>
      <c r="AJ154" s="195"/>
      <c r="AK154" s="195"/>
      <c r="AL154" s="195"/>
      <c r="AM154" s="195"/>
      <c r="AN154" s="195"/>
      <c r="AO154" s="195"/>
      <c r="AP154" s="195"/>
      <c r="AQ154" s="195"/>
      <c r="AR154" s="195"/>
      <c r="AS154" s="195"/>
      <c r="AT154" s="195"/>
      <c r="AU154" s="195"/>
      <c r="AV154" s="195"/>
      <c r="AW154" s="195"/>
      <c r="AX154" s="195"/>
      <c r="AY154" s="195"/>
      <c r="AZ154" s="195"/>
      <c r="BA154" s="195"/>
      <c r="BB154" s="195"/>
      <c r="BC154" s="195"/>
    </row>
    <row r="155" spans="1:183" ht="15" customHeight="1" x14ac:dyDescent="0.2">
      <c r="B155" s="195"/>
      <c r="D155" s="11"/>
      <c r="F155" s="130" t="s">
        <v>36</v>
      </c>
      <c r="G155" s="183" t="str">
        <f>_xll.BDP("USCS011 "&amp;LEFT(FRALink,LEN(FRALink)-FIND("/",FRALink))&amp;" curncy","bid")</f>
        <v>#N/A N/A</v>
      </c>
      <c r="H155" s="183" t="str">
        <f>_xll.BDP("USCS011 "&amp;LEFT(FRALink,LEN(FRALink)-FIND("/",FRALink))&amp;" curncy","ask")</f>
        <v>#N/A N/A</v>
      </c>
      <c r="I155" s="183" t="str">
        <f>_xll.BDP("USCS021 "&amp;LEFT(FRALink,LEN(FRALink)-FIND("/",FRALink))&amp;" curncy","bid")</f>
        <v>#N/A N/A</v>
      </c>
      <c r="J155" s="183" t="str">
        <f>_xll.BDP("USCS021 "&amp;LEFT(FRALink,LEN(FRALink)-FIND("/",FRALink))&amp;" curncy","ask")</f>
        <v>#N/A N/A</v>
      </c>
      <c r="K155" s="183" t="str">
        <f>_xll.BDP("USCS031 "&amp;LEFT(FRALink,LEN(FRALink)-FIND("/",FRALink))&amp;" curncy","bid")</f>
        <v>#N/A N/A</v>
      </c>
      <c r="L155" s="183" t="str">
        <f>_xll.BDP("USCS031 "&amp;LEFT(FRALink,LEN(FRALink)-FIND("/",FRALink))&amp;" curncy","ask")</f>
        <v>#N/A N/A</v>
      </c>
      <c r="M155" s="183" t="str">
        <f>_xll.BDP("USCS041 "&amp;LEFT(FRALink,LEN(FRALink)-FIND("/",FRALink))&amp;" curncy","bid")</f>
        <v>#N/A N/A</v>
      </c>
      <c r="N155" s="183" t="str">
        <f>_xll.BDP("USCS041 "&amp;LEFT(FRALink,LEN(FRALink)-FIND("/",FRALink))&amp;" curncy","ask")</f>
        <v>#N/A N/A</v>
      </c>
      <c r="O155" s="183" t="str">
        <f>_xll.BDP("USCS051 "&amp;LEFT(FRALink,LEN(FRALink)-FIND("/",FRALink))&amp;" curncy","bid")</f>
        <v>#N/A N/A</v>
      </c>
      <c r="P155" s="183" t="str">
        <f>_xll.BDP("USCS051 "&amp;LEFT(FRALink,LEN(FRALink)-FIND("/",FRALink))&amp;" curncy","ask")</f>
        <v>#N/A N/A</v>
      </c>
      <c r="Q155" s="183" t="str">
        <f>_xll.BDP("USCS061 "&amp;LEFT(FRALink,LEN(FRALink)-FIND("/",FRALink))&amp;" curncy","bid")</f>
        <v>#N/A N/A</v>
      </c>
      <c r="R155" s="183" t="str">
        <f>_xll.BDP("USCS061 "&amp;LEFT(FRALink,LEN(FRALink)-FIND("/",FRALink))&amp;" curncy","ask")</f>
        <v>#N/A N/A</v>
      </c>
      <c r="S155" s="183" t="str">
        <f>_xll.BDP("USCS071 "&amp;LEFT(FRALink,LEN(FRALink)-FIND("/",FRALink))&amp;" curncy","bid")</f>
        <v>#N/A N/A</v>
      </c>
      <c r="T155" s="183" t="str">
        <f>_xll.BDP("USCS071 "&amp;LEFT(FRALink,LEN(FRALink)-FIND("/",FRALink))&amp;" curncy","ask")</f>
        <v>#N/A N/A</v>
      </c>
      <c r="U155" s="183" t="str">
        <f>_xll.BDP("USCS081 "&amp;LEFT(FRALink,LEN(FRALink)-FIND("/",FRALink))&amp;" curncy","bid")</f>
        <v>#N/A N/A</v>
      </c>
      <c r="V155" s="183" t="str">
        <f>_xll.BDP("USCS081 "&amp;LEFT(FRALink,LEN(FRALink)-FIND("/",FRALink))&amp;" curncy","ask")</f>
        <v>#N/A N/A</v>
      </c>
      <c r="W155" s="183" t="str">
        <f>_xll.BDP("USCS091 "&amp;LEFT(FRALink,LEN(FRALink)-FIND("/",FRALink))&amp;" curncy","bid")</f>
        <v>#N/A N/A</v>
      </c>
      <c r="X155" s="183" t="str">
        <f>_xll.BDP("USCS091 "&amp;LEFT(FRALink,LEN(FRALink)-FIND("/",FRALink))&amp;" curncy","ask")</f>
        <v>#N/A N/A</v>
      </c>
      <c r="Y155" s="183" t="str">
        <f>_xll.BDP("USCS101 "&amp;LEFT(FRALink,LEN(FRALink)-FIND("/",FRALink))&amp;" curncy","bid")</f>
        <v>#N/A N/A</v>
      </c>
      <c r="Z155" s="184" t="str">
        <f>_xll.BDP("USCS101 "&amp;LEFT(FRALink,LEN(FRALink)-FIND("/",FRALink))&amp;" curncy","ask")</f>
        <v>#N/A N/A</v>
      </c>
      <c r="AA155" s="195"/>
      <c r="AB155" s="195"/>
      <c r="AC155" s="195"/>
      <c r="AD155" s="195"/>
      <c r="AE155" s="195"/>
      <c r="AF155" s="195"/>
      <c r="AG155" s="195"/>
      <c r="AH155" s="195"/>
      <c r="AI155" s="195"/>
      <c r="AJ155" s="195"/>
      <c r="AK155" s="195"/>
      <c r="AL155" s="195"/>
      <c r="AM155" s="195"/>
      <c r="AN155" s="195"/>
      <c r="AO155" s="195"/>
      <c r="AP155" s="195"/>
      <c r="AQ155" s="195"/>
      <c r="AR155" s="195"/>
      <c r="AS155" s="195"/>
      <c r="AT155" s="195"/>
      <c r="AU155" s="195"/>
      <c r="AV155" s="195"/>
      <c r="AW155" s="195"/>
      <c r="AX155" s="195"/>
      <c r="AY155" s="195"/>
      <c r="AZ155" s="195"/>
      <c r="BA155" s="195"/>
      <c r="BB155" s="195"/>
      <c r="BC155" s="195"/>
    </row>
    <row r="156" spans="1:183" ht="15" customHeight="1" x14ac:dyDescent="0.2">
      <c r="B156" s="195"/>
      <c r="D156" s="11"/>
      <c r="F156" s="130" t="s">
        <v>37</v>
      </c>
      <c r="G156" s="185" t="str">
        <f>_xll.BDP("USCS012 "&amp;LEFT(FRALink,LEN(FRALink)-FIND("/",FRALink))&amp;" curncy","bid")</f>
        <v>#N/A N/A</v>
      </c>
      <c r="H156" s="185" t="str">
        <f>_xll.BDP("USCS012 "&amp;LEFT(FRALink,LEN(FRALink)-FIND("/",FRALink))&amp;" curncy","ask")</f>
        <v>#N/A N/A</v>
      </c>
      <c r="I156" s="185" t="str">
        <f>_xll.BDP("USCS022 "&amp;LEFT(FRALink,LEN(FRALink)-FIND("/",FRALink))&amp;" curncy","bid")</f>
        <v>#N/A N/A</v>
      </c>
      <c r="J156" s="185" t="str">
        <f>_xll.BDP("USCS022 "&amp;LEFT(FRALink,LEN(FRALink)-FIND("/",FRALink))&amp;" curncy","ask")</f>
        <v>#N/A N/A</v>
      </c>
      <c r="K156" s="185" t="str">
        <f>_xll.BDP("USCS032 "&amp;LEFT(FRALink,LEN(FRALink)-FIND("/",FRALink))&amp;" curncy","bid")</f>
        <v>#N/A N/A</v>
      </c>
      <c r="L156" s="185" t="str">
        <f>_xll.BDP("USCS032 "&amp;LEFT(FRALink,LEN(FRALink)-FIND("/",FRALink))&amp;" curncy","ask")</f>
        <v>#N/A N/A</v>
      </c>
      <c r="M156" s="185" t="str">
        <f>_xll.BDP("USCS042 "&amp;LEFT(FRALink,LEN(FRALink)-FIND("/",FRALink))&amp;" curncy","bid")</f>
        <v>#N/A N/A</v>
      </c>
      <c r="N156" s="185" t="str">
        <f>_xll.BDP("USCS042 "&amp;LEFT(FRALink,LEN(FRALink)-FIND("/",FRALink))&amp;" curncy","ask")</f>
        <v>#N/A N/A</v>
      </c>
      <c r="O156" s="185" t="str">
        <f>_xll.BDP("USCS052 "&amp;LEFT(FRALink,LEN(FRALink)-FIND("/",FRALink))&amp;" curncy","bid")</f>
        <v>#N/A N/A</v>
      </c>
      <c r="P156" s="185" t="str">
        <f>_xll.BDP("USCS052 "&amp;LEFT(FRALink,LEN(FRALink)-FIND("/",FRALink))&amp;" curncy","ask")</f>
        <v>#N/A N/A</v>
      </c>
      <c r="Q156" s="185" t="str">
        <f>_xll.BDP("USCS062 "&amp;LEFT(FRALink,LEN(FRALink)-FIND("/",FRALink))&amp;" curncy","bid")</f>
        <v>#N/A N/A</v>
      </c>
      <c r="R156" s="185" t="str">
        <f>_xll.BDP("USCS062 "&amp;LEFT(FRALink,LEN(FRALink)-FIND("/",FRALink))&amp;" curncy","ask")</f>
        <v>#N/A N/A</v>
      </c>
      <c r="S156" s="185" t="str">
        <f>_xll.BDP("USCS072 "&amp;LEFT(FRALink,LEN(FRALink)-FIND("/",FRALink))&amp;" curncy","bid")</f>
        <v>#N/A N/A</v>
      </c>
      <c r="T156" s="185" t="str">
        <f>_xll.BDP("USCS072 "&amp;LEFT(FRALink,LEN(FRALink)-FIND("/",FRALink))&amp;" curncy","ask")</f>
        <v>#N/A N/A</v>
      </c>
      <c r="U156" s="185" t="str">
        <f>_xll.BDP("USCS082 "&amp;LEFT(FRALink,LEN(FRALink)-FIND("/",FRALink))&amp;" curncy","bid")</f>
        <v>#N/A N/A</v>
      </c>
      <c r="V156" s="185" t="str">
        <f>_xll.BDP("USCS082 "&amp;LEFT(FRALink,LEN(FRALink)-FIND("/",FRALink))&amp;" curncy","ask")</f>
        <v>#N/A N/A</v>
      </c>
      <c r="W156" s="185" t="str">
        <f>_xll.BDP("USCS092 "&amp;LEFT(FRALink,LEN(FRALink)-FIND("/",FRALink))&amp;" curncy","bid")</f>
        <v>#N/A N/A</v>
      </c>
      <c r="X156" s="185" t="str">
        <f>_xll.BDP("USCS092 "&amp;LEFT(FRALink,LEN(FRALink)-FIND("/",FRALink))&amp;" curncy","ask")</f>
        <v>#N/A N/A</v>
      </c>
      <c r="Y156" s="185" t="str">
        <f>_xll.BDP("USCS102 "&amp;LEFT(FRALink,LEN(FRALink)-FIND("/",FRALink))&amp;" curncy","bid")</f>
        <v>#N/A N/A</v>
      </c>
      <c r="Z156" s="186" t="str">
        <f>_xll.BDP("USCS102 "&amp;LEFT(FRALink,LEN(FRALink)-FIND("/",FRALink))&amp;" curncy","ask")</f>
        <v>#N/A N/A</v>
      </c>
      <c r="AA156" s="195"/>
      <c r="AB156" s="195"/>
      <c r="AC156" s="195"/>
      <c r="AD156" s="195"/>
      <c r="AE156" s="195"/>
      <c r="AF156" s="195"/>
      <c r="AG156" s="195"/>
      <c r="AH156" s="195"/>
      <c r="AI156" s="195"/>
      <c r="AJ156" s="195"/>
      <c r="AK156" s="195"/>
      <c r="AL156" s="195"/>
      <c r="AM156" s="195"/>
      <c r="AN156" s="195"/>
      <c r="AO156" s="195"/>
      <c r="AP156" s="195"/>
      <c r="AQ156" s="195"/>
      <c r="AR156" s="195"/>
      <c r="AS156" s="195"/>
      <c r="AT156" s="195"/>
      <c r="AU156" s="195"/>
      <c r="AV156" s="195"/>
      <c r="AW156" s="195"/>
      <c r="AX156" s="195"/>
      <c r="AY156" s="195"/>
      <c r="AZ156" s="195"/>
      <c r="BA156" s="195"/>
      <c r="BB156" s="195"/>
      <c r="BC156" s="195"/>
    </row>
    <row r="157" spans="1:183" ht="15" customHeight="1" x14ac:dyDescent="0.2">
      <c r="B157" s="195"/>
      <c r="D157" s="11"/>
      <c r="F157" s="130" t="s">
        <v>38</v>
      </c>
      <c r="G157" s="187" t="str">
        <f>_xll.BDP("USCS013 "&amp;LEFT(FRALink,LEN(FRALink)-FIND("/",FRALink))&amp;" curncy","bid")</f>
        <v>#N/A N/A</v>
      </c>
      <c r="H157" s="187" t="str">
        <f>_xll.BDP("USCS013 "&amp;LEFT(FRALink,LEN(FRALink)-FIND("/",FRALink))&amp;" curncy","ask")</f>
        <v>#N/A N/A</v>
      </c>
      <c r="I157" s="187" t="str">
        <f>_xll.BDP("USCS023 "&amp;LEFT(FRALink,LEN(FRALink)-FIND("/",FRALink))&amp;" curncy","bid")</f>
        <v>#N/A N/A</v>
      </c>
      <c r="J157" s="187" t="str">
        <f>_xll.BDP("USCS023 "&amp;LEFT(FRALink,LEN(FRALink)-FIND("/",FRALink))&amp;" curncy","ask")</f>
        <v>#N/A N/A</v>
      </c>
      <c r="K157" s="187" t="str">
        <f>_xll.BDP("USCS033 "&amp;LEFT(FRALink,LEN(FRALink)-FIND("/",FRALink))&amp;" curncy","bid")</f>
        <v>#N/A N/A</v>
      </c>
      <c r="L157" s="187" t="str">
        <f>_xll.BDP("USCS033 "&amp;LEFT(FRALink,LEN(FRALink)-FIND("/",FRALink))&amp;" curncy","ask")</f>
        <v>#N/A N/A</v>
      </c>
      <c r="M157" s="187" t="str">
        <f>_xll.BDP("USCS043 "&amp;LEFT(FRALink,LEN(FRALink)-FIND("/",FRALink))&amp;" curncy","bid")</f>
        <v>#N/A N/A</v>
      </c>
      <c r="N157" s="187" t="str">
        <f>_xll.BDP("USCS043 "&amp;LEFT(FRALink,LEN(FRALink)-FIND("/",FRALink))&amp;" curncy","ask")</f>
        <v>#N/A N/A</v>
      </c>
      <c r="O157" s="187" t="str">
        <f>_xll.BDP("USCS053 "&amp;LEFT(FRALink,LEN(FRALink)-FIND("/",FRALink))&amp;" curncy","bid")</f>
        <v>#N/A N/A</v>
      </c>
      <c r="P157" s="187" t="str">
        <f>_xll.BDP("USCS053 "&amp;LEFT(FRALink,LEN(FRALink)-FIND("/",FRALink))&amp;" curncy","ask")</f>
        <v>#N/A N/A</v>
      </c>
      <c r="Q157" s="187" t="str">
        <f>_xll.BDP("USCS063 "&amp;LEFT(FRALink,LEN(FRALink)-FIND("/",FRALink))&amp;" curncy","bid")</f>
        <v>#N/A N/A</v>
      </c>
      <c r="R157" s="187" t="str">
        <f>_xll.BDP("USCS063 "&amp;LEFT(FRALink,LEN(FRALink)-FIND("/",FRALink))&amp;" curncy","ask")</f>
        <v>#N/A N/A</v>
      </c>
      <c r="S157" s="187" t="str">
        <f>_xll.BDP("USCS073 "&amp;LEFT(FRALink,LEN(FRALink)-FIND("/",FRALink))&amp;" curncy","bid")</f>
        <v>#N/A N/A</v>
      </c>
      <c r="T157" s="187" t="str">
        <f>_xll.BDP("USCS073 "&amp;LEFT(FRALink,LEN(FRALink)-FIND("/",FRALink))&amp;" curncy","ask")</f>
        <v>#N/A N/A</v>
      </c>
      <c r="U157" s="187" t="str">
        <f>_xll.BDP("USCS083 "&amp;LEFT(FRALink,LEN(FRALink)-FIND("/",FRALink))&amp;" curncy","bid")</f>
        <v>#N/A N/A</v>
      </c>
      <c r="V157" s="187" t="str">
        <f>_xll.BDP("USCS083 "&amp;LEFT(FRALink,LEN(FRALink)-FIND("/",FRALink))&amp;" curncy","ask")</f>
        <v>#N/A N/A</v>
      </c>
      <c r="W157" s="187" t="str">
        <f>_xll.BDP("USCS093 "&amp;LEFT(FRALink,LEN(FRALink)-FIND("/",FRALink))&amp;" curncy","bid")</f>
        <v>#N/A N/A</v>
      </c>
      <c r="X157" s="187" t="str">
        <f>_xll.BDP("USCS093 "&amp;LEFT(FRALink,LEN(FRALink)-FIND("/",FRALink))&amp;" curncy","ask")</f>
        <v>#N/A N/A</v>
      </c>
      <c r="Y157" s="187" t="str">
        <f>_xll.BDP("USCS103 "&amp;LEFT(FRALink,LEN(FRALink)-FIND("/",FRALink))&amp;" curncy","bid")</f>
        <v>#N/A N/A</v>
      </c>
      <c r="Z157" s="188" t="str">
        <f>_xll.BDP("USCS103 "&amp;LEFT(FRALink,LEN(FRALink)-FIND("/",FRALink))&amp;" curncy","ask")</f>
        <v>#N/A N/A</v>
      </c>
      <c r="AA157" s="195"/>
      <c r="AB157" s="195"/>
      <c r="AC157" s="195"/>
      <c r="AD157" s="195"/>
      <c r="AE157" s="195"/>
      <c r="AF157" s="195"/>
      <c r="AG157" s="195"/>
      <c r="AH157" s="195"/>
      <c r="AI157" s="195"/>
      <c r="AJ157" s="195"/>
      <c r="AK157" s="195"/>
      <c r="AL157" s="195"/>
      <c r="AM157" s="195"/>
      <c r="AN157" s="195"/>
      <c r="AO157" s="195"/>
      <c r="AP157" s="195"/>
      <c r="AQ157" s="195"/>
      <c r="AR157" s="195"/>
      <c r="AS157" s="195"/>
      <c r="AT157" s="195"/>
      <c r="AU157" s="195"/>
      <c r="AV157" s="195"/>
      <c r="AW157" s="195"/>
      <c r="AX157" s="195"/>
      <c r="AY157" s="195"/>
      <c r="AZ157" s="195"/>
      <c r="BA157" s="195"/>
      <c r="BB157" s="195"/>
      <c r="BC157" s="195"/>
    </row>
    <row r="158" spans="1:183" ht="15" customHeight="1" x14ac:dyDescent="0.2">
      <c r="B158" s="195"/>
      <c r="D158" s="11"/>
      <c r="F158" s="130" t="s">
        <v>39</v>
      </c>
      <c r="G158" s="185" t="str">
        <f>_xll.BDP("USCS014 "&amp;LEFT(FRALink,LEN(FRALink)-FIND("/",FRALink))&amp;" curncy","bid")</f>
        <v>#N/A N/A</v>
      </c>
      <c r="H158" s="185" t="str">
        <f>_xll.BDP("USCS014 "&amp;LEFT(FRALink,LEN(FRALink)-FIND("/",FRALink))&amp;" curncy","ask")</f>
        <v>#N/A N/A</v>
      </c>
      <c r="I158" s="185" t="str">
        <f>_xll.BDP("USCS024 "&amp;LEFT(FRALink,LEN(FRALink)-FIND("/",FRALink))&amp;" curncy","bid")</f>
        <v>#N/A N/A</v>
      </c>
      <c r="J158" s="185" t="str">
        <f>_xll.BDP("USCS024 "&amp;LEFT(FRALink,LEN(FRALink)-FIND("/",FRALink))&amp;" curncy","ask")</f>
        <v>#N/A N/A</v>
      </c>
      <c r="K158" s="185" t="str">
        <f>_xll.BDP("USCS034 "&amp;LEFT(FRALink,LEN(FRALink)-FIND("/",FRALink))&amp;" curncy","bid")</f>
        <v>#N/A N/A</v>
      </c>
      <c r="L158" s="185" t="str">
        <f>_xll.BDP("USCS034 "&amp;LEFT(FRALink,LEN(FRALink)-FIND("/",FRALink))&amp;" curncy","ask")</f>
        <v>#N/A N/A</v>
      </c>
      <c r="M158" s="185" t="str">
        <f>_xll.BDP("USCS044 "&amp;LEFT(FRALink,LEN(FRALink)-FIND("/",FRALink))&amp;" curncy","bid")</f>
        <v>#N/A N/A</v>
      </c>
      <c r="N158" s="185" t="str">
        <f>_xll.BDP("USCS044 "&amp;LEFT(FRALink,LEN(FRALink)-FIND("/",FRALink))&amp;" curncy","ask")</f>
        <v>#N/A N/A</v>
      </c>
      <c r="O158" s="185" t="str">
        <f>_xll.BDP("USCS054 "&amp;LEFT(FRALink,LEN(FRALink)-FIND("/",FRALink))&amp;" curncy","bid")</f>
        <v>#N/A N/A</v>
      </c>
      <c r="P158" s="185" t="str">
        <f>_xll.BDP("USCS054 "&amp;LEFT(FRALink,LEN(FRALink)-FIND("/",FRALink))&amp;" curncy","ask")</f>
        <v>#N/A N/A</v>
      </c>
      <c r="Q158" s="185" t="str">
        <f>_xll.BDP("USCS064 "&amp;LEFT(FRALink,LEN(FRALink)-FIND("/",FRALink))&amp;" curncy","bid")</f>
        <v>#N/A N/A</v>
      </c>
      <c r="R158" s="185" t="str">
        <f>_xll.BDP("USCS064 "&amp;LEFT(FRALink,LEN(FRALink)-FIND("/",FRALink))&amp;" curncy","ask")</f>
        <v>#N/A N/A</v>
      </c>
      <c r="S158" s="185" t="str">
        <f>_xll.BDP("USCS074 "&amp;LEFT(FRALink,LEN(FRALink)-FIND("/",FRALink))&amp;" curncy","bid")</f>
        <v>#N/A N/A</v>
      </c>
      <c r="T158" s="185" t="str">
        <f>_xll.BDP("USCS074 "&amp;LEFT(FRALink,LEN(FRALink)-FIND("/",FRALink))&amp;" curncy","ask")</f>
        <v>#N/A N/A</v>
      </c>
      <c r="U158" s="185" t="str">
        <f>_xll.BDP("USCS084 "&amp;LEFT(FRALink,LEN(FRALink)-FIND("/",FRALink))&amp;" curncy","bid")</f>
        <v>#N/A N/A</v>
      </c>
      <c r="V158" s="185" t="str">
        <f>_xll.BDP("USCS084 "&amp;LEFT(FRALink,LEN(FRALink)-FIND("/",FRALink))&amp;" curncy","ask")</f>
        <v>#N/A N/A</v>
      </c>
      <c r="W158" s="185" t="str">
        <f>_xll.BDP("USCS094 "&amp;LEFT(FRALink,LEN(FRALink)-FIND("/",FRALink))&amp;" curncy","bid")</f>
        <v>#N/A N/A</v>
      </c>
      <c r="X158" s="185" t="str">
        <f>_xll.BDP("USCS094 "&amp;LEFT(FRALink,LEN(FRALink)-FIND("/",FRALink))&amp;" curncy","ask")</f>
        <v>#N/A N/A</v>
      </c>
      <c r="Y158" s="185" t="str">
        <f>_xll.BDP("USCS104 "&amp;LEFT(FRALink,LEN(FRALink)-FIND("/",FRALink))&amp;" curncy","bid")</f>
        <v>#N/A N/A</v>
      </c>
      <c r="Z158" s="186" t="str">
        <f>_xll.BDP("USCS104 "&amp;LEFT(FRALink,LEN(FRALink)-FIND("/",FRALink))&amp;" curncy","ask")</f>
        <v>#N/A N/A</v>
      </c>
      <c r="AA158" s="195"/>
      <c r="AB158" s="195"/>
      <c r="AC158" s="195"/>
      <c r="AD158" s="195"/>
      <c r="AE158" s="195"/>
      <c r="AF158" s="195"/>
      <c r="AG158" s="195"/>
      <c r="AH158" s="195"/>
      <c r="AI158" s="195"/>
      <c r="AJ158" s="195"/>
      <c r="AK158" s="195"/>
      <c r="AL158" s="195"/>
      <c r="AM158" s="195"/>
      <c r="AN158" s="195"/>
      <c r="AO158" s="195"/>
      <c r="AP158" s="195"/>
      <c r="AQ158" s="195"/>
      <c r="AR158" s="195"/>
      <c r="AS158" s="195"/>
      <c r="AT158" s="195"/>
      <c r="AU158" s="195"/>
      <c r="AV158" s="195"/>
      <c r="AW158" s="195"/>
      <c r="AX158" s="195"/>
      <c r="AY158" s="195"/>
      <c r="AZ158" s="195"/>
      <c r="BA158" s="195"/>
      <c r="BB158" s="195"/>
      <c r="BC158" s="195"/>
    </row>
    <row r="159" spans="1:183" ht="15" customHeight="1" x14ac:dyDescent="0.2">
      <c r="B159" s="195"/>
      <c r="D159" s="11"/>
      <c r="F159" s="130" t="s">
        <v>40</v>
      </c>
      <c r="G159" s="187" t="str">
        <f>_xll.BDP("USCS015 "&amp;LEFT(FRALink,LEN(FRALink)-FIND("/",FRALink))&amp;" curncy","bid")</f>
        <v>#N/A N/A</v>
      </c>
      <c r="H159" s="187" t="str">
        <f>_xll.BDP("USCS015 "&amp;LEFT(FRALink,LEN(FRALink)-FIND("/",FRALink))&amp;" curncy","ask")</f>
        <v>#N/A N/A</v>
      </c>
      <c r="I159" s="187" t="str">
        <f>_xll.BDP("USCS025 "&amp;LEFT(FRALink,LEN(FRALink)-FIND("/",FRALink))&amp;" curncy","bid")</f>
        <v>#N/A N/A</v>
      </c>
      <c r="J159" s="187" t="str">
        <f>_xll.BDP("USCS025 "&amp;LEFT(FRALink,LEN(FRALink)-FIND("/",FRALink))&amp;" curncy","ask")</f>
        <v>#N/A N/A</v>
      </c>
      <c r="K159" s="187" t="str">
        <f>_xll.BDP("USCS035 "&amp;LEFT(FRALink,LEN(FRALink)-FIND("/",FRALink))&amp;" curncy","bid")</f>
        <v>#N/A N/A</v>
      </c>
      <c r="L159" s="187" t="str">
        <f>_xll.BDP("USCS035 "&amp;LEFT(FRALink,LEN(FRALink)-FIND("/",FRALink))&amp;" curncy","ask")</f>
        <v>#N/A N/A</v>
      </c>
      <c r="M159" s="187" t="str">
        <f>_xll.BDP("USCS045 "&amp;LEFT(FRALink,LEN(FRALink)-FIND("/",FRALink))&amp;" curncy","bid")</f>
        <v>#N/A N/A</v>
      </c>
      <c r="N159" s="187" t="str">
        <f>_xll.BDP("USCS045 "&amp;LEFT(FRALink,LEN(FRALink)-FIND("/",FRALink))&amp;" curncy","ask")</f>
        <v>#N/A N/A</v>
      </c>
      <c r="O159" s="187" t="str">
        <f>_xll.BDP("USCS055 "&amp;LEFT(FRALink,LEN(FRALink)-FIND("/",FRALink))&amp;" curncy","bid")</f>
        <v>#N/A N/A</v>
      </c>
      <c r="P159" s="187" t="str">
        <f>_xll.BDP("USCS055 "&amp;LEFT(FRALink,LEN(FRALink)-FIND("/",FRALink))&amp;" curncy","ask")</f>
        <v>#N/A N/A</v>
      </c>
      <c r="Q159" s="187" t="str">
        <f>_xll.BDP("USCS065 "&amp;LEFT(FRALink,LEN(FRALink)-FIND("/",FRALink))&amp;" curncy","bid")</f>
        <v>#N/A N/A</v>
      </c>
      <c r="R159" s="187" t="str">
        <f>_xll.BDP("USCS065 "&amp;LEFT(FRALink,LEN(FRALink)-FIND("/",FRALink))&amp;" curncy","ask")</f>
        <v>#N/A N/A</v>
      </c>
      <c r="S159" s="187" t="str">
        <f>_xll.BDP("USCS075 "&amp;LEFT(FRALink,LEN(FRALink)-FIND("/",FRALink))&amp;" curncy","bid")</f>
        <v>#N/A N/A</v>
      </c>
      <c r="T159" s="187" t="str">
        <f>_xll.BDP("USCS075 "&amp;LEFT(FRALink,LEN(FRALink)-FIND("/",FRALink))&amp;" curncy","ask")</f>
        <v>#N/A N/A</v>
      </c>
      <c r="U159" s="187" t="str">
        <f>_xll.BDP("USCS085 "&amp;LEFT(FRALink,LEN(FRALink)-FIND("/",FRALink))&amp;" curncy","bid")</f>
        <v>#N/A N/A</v>
      </c>
      <c r="V159" s="187" t="str">
        <f>_xll.BDP("USCS085 "&amp;LEFT(FRALink,LEN(FRALink)-FIND("/",FRALink))&amp;" curncy","ask")</f>
        <v>#N/A N/A</v>
      </c>
      <c r="W159" s="187" t="str">
        <f>_xll.BDP("USCS095 "&amp;LEFT(FRALink,LEN(FRALink)-FIND("/",FRALink))&amp;" curncy","bid")</f>
        <v>#N/A N/A</v>
      </c>
      <c r="X159" s="187" t="str">
        <f>_xll.BDP("USCS095 "&amp;LEFT(FRALink,LEN(FRALink)-FIND("/",FRALink))&amp;" curncy","ask")</f>
        <v>#N/A N/A</v>
      </c>
      <c r="Y159" s="187" t="str">
        <f>_xll.BDP("USCS105 "&amp;LEFT(FRALink,LEN(FRALink)-FIND("/",FRALink))&amp;" curncy","bid")</f>
        <v>#N/A N/A</v>
      </c>
      <c r="Z159" s="188" t="str">
        <f>_xll.BDP("USCS105 "&amp;LEFT(FRALink,LEN(FRALink)-FIND("/",FRALink))&amp;" curncy","ask")</f>
        <v>#N/A N/A</v>
      </c>
      <c r="AA159" s="195"/>
      <c r="AB159" s="195"/>
      <c r="AC159" s="195"/>
      <c r="AD159" s="195"/>
      <c r="AE159" s="195"/>
      <c r="AF159" s="195"/>
      <c r="AG159" s="195"/>
      <c r="AH159" s="195"/>
      <c r="AI159" s="195"/>
      <c r="AJ159" s="195"/>
      <c r="AK159" s="195"/>
      <c r="AL159" s="195"/>
      <c r="AM159" s="195"/>
      <c r="AN159" s="195"/>
      <c r="AO159" s="195"/>
      <c r="AP159" s="195"/>
      <c r="AQ159" s="195"/>
      <c r="AR159" s="195"/>
      <c r="AS159" s="195"/>
      <c r="AT159" s="195"/>
      <c r="AU159" s="195"/>
      <c r="AV159" s="195"/>
      <c r="AW159" s="195"/>
      <c r="AX159" s="195"/>
      <c r="AY159" s="195"/>
      <c r="AZ159" s="195"/>
      <c r="BA159" s="195"/>
      <c r="BB159" s="195"/>
      <c r="BC159" s="195"/>
    </row>
    <row r="160" spans="1:183" ht="15" customHeight="1" x14ac:dyDescent="0.2">
      <c r="B160" s="195"/>
      <c r="D160" s="11"/>
      <c r="F160" s="130" t="s">
        <v>227</v>
      </c>
      <c r="G160" s="185" t="str">
        <f>_xll.BDP("USCS016 "&amp;LEFT(FRALink,LEN(FRALink)-FIND("/",FRALink))&amp;" curncy","bid")</f>
        <v>#N/A N/A</v>
      </c>
      <c r="H160" s="185" t="str">
        <f>_xll.BDP("USCS016 "&amp;LEFT(FRALink,LEN(FRALink)-FIND("/",FRALink))&amp;" curncy","ask")</f>
        <v>#N/A N/A</v>
      </c>
      <c r="I160" s="185" t="str">
        <f>_xll.BDP("USCS026 "&amp;LEFT(FRALink,LEN(FRALink)-FIND("/",FRALink))&amp;" curncy","bid")</f>
        <v>#N/A N/A</v>
      </c>
      <c r="J160" s="185" t="str">
        <f>_xll.BDP("USCS026 "&amp;LEFT(FRALink,LEN(FRALink)-FIND("/",FRALink))&amp;" curncy","ask")</f>
        <v>#N/A N/A</v>
      </c>
      <c r="K160" s="185" t="str">
        <f>_xll.BDP("USCS036 "&amp;LEFT(FRALink,LEN(FRALink)-FIND("/",FRALink))&amp;" curncy","bid")</f>
        <v>#N/A N/A</v>
      </c>
      <c r="L160" s="185" t="str">
        <f>_xll.BDP("USCS036 "&amp;LEFT(FRALink,LEN(FRALink)-FIND("/",FRALink))&amp;" curncy","ask")</f>
        <v>#N/A N/A</v>
      </c>
      <c r="M160" s="185" t="str">
        <f>_xll.BDP("USCS046 "&amp;LEFT(FRALink,LEN(FRALink)-FIND("/",FRALink))&amp;" curncy","bid")</f>
        <v>#N/A N/A</v>
      </c>
      <c r="N160" s="185" t="str">
        <f>_xll.BDP("USCS046 "&amp;LEFT(FRALink,LEN(FRALink)-FIND("/",FRALink))&amp;" curncy","ask")</f>
        <v>#N/A N/A</v>
      </c>
      <c r="O160" s="185" t="str">
        <f>_xll.BDP("USCS056 "&amp;LEFT(FRALink,LEN(FRALink)-FIND("/",FRALink))&amp;" curncy","bid")</f>
        <v>#N/A N/A</v>
      </c>
      <c r="P160" s="185" t="str">
        <f>_xll.BDP("USCS056 "&amp;LEFT(FRALink,LEN(FRALink)-FIND("/",FRALink))&amp;" curncy","ask")</f>
        <v>#N/A N/A</v>
      </c>
      <c r="Q160" s="185" t="str">
        <f>_xll.BDP("USCS066 "&amp;LEFT(FRALink,LEN(FRALink)-FIND("/",FRALink))&amp;" curncy","bid")</f>
        <v>#N/A N/A</v>
      </c>
      <c r="R160" s="185" t="str">
        <f>_xll.BDP("USCS066 "&amp;LEFT(FRALink,LEN(FRALink)-FIND("/",FRALink))&amp;" curncy","ask")</f>
        <v>#N/A N/A</v>
      </c>
      <c r="S160" s="185" t="str">
        <f>_xll.BDP("USCS076 "&amp;LEFT(FRALink,LEN(FRALink)-FIND("/",FRALink))&amp;" curncy","bid")</f>
        <v>#N/A N/A</v>
      </c>
      <c r="T160" s="185" t="str">
        <f>_xll.BDP("USCS076 "&amp;LEFT(FRALink,LEN(FRALink)-FIND("/",FRALink))&amp;" curncy","ask")</f>
        <v>#N/A N/A</v>
      </c>
      <c r="U160" s="185" t="str">
        <f>_xll.BDP("USCS086 "&amp;LEFT(FRALink,LEN(FRALink)-FIND("/",FRALink))&amp;" curncy","bid")</f>
        <v>#N/A N/A</v>
      </c>
      <c r="V160" s="185" t="str">
        <f>_xll.BDP("USCS086 "&amp;LEFT(FRALink,LEN(FRALink)-FIND("/",FRALink))&amp;" curncy","ask")</f>
        <v>#N/A N/A</v>
      </c>
      <c r="W160" s="185" t="str">
        <f>_xll.BDP("USCS096 "&amp;LEFT(FRALink,LEN(FRALink)-FIND("/",FRALink))&amp;" curncy","bid")</f>
        <v>#N/A N/A</v>
      </c>
      <c r="X160" s="185" t="str">
        <f>_xll.BDP("USCS096 "&amp;LEFT(FRALink,LEN(FRALink)-FIND("/",FRALink))&amp;" curncy","ask")</f>
        <v>#N/A N/A</v>
      </c>
      <c r="Y160" s="185" t="str">
        <f>_xll.BDP("USCS106 "&amp;LEFT(FRALink,LEN(FRALink)-FIND("/",FRALink))&amp;" curncy","bid")</f>
        <v>#N/A N/A</v>
      </c>
      <c r="Z160" s="186" t="str">
        <f>_xll.BDP("USCS106 "&amp;LEFT(FRALink,LEN(FRALink)-FIND("/",FRALink))&amp;" curncy","ask")</f>
        <v>#N/A N/A</v>
      </c>
      <c r="AA160" s="195"/>
      <c r="AB160" s="195"/>
      <c r="AC160" s="195"/>
      <c r="AD160" s="195"/>
      <c r="AE160" s="195"/>
      <c r="AF160" s="195"/>
      <c r="AG160" s="195"/>
      <c r="AH160" s="195"/>
      <c r="AI160" s="195"/>
      <c r="AJ160" s="195"/>
      <c r="AK160" s="195"/>
      <c r="AL160" s="195"/>
      <c r="AM160" s="195"/>
      <c r="AN160" s="195"/>
      <c r="AO160" s="195"/>
      <c r="AP160" s="195"/>
      <c r="AQ160" s="195"/>
      <c r="AR160" s="195"/>
      <c r="AS160" s="195"/>
      <c r="AT160" s="195"/>
      <c r="AU160" s="195"/>
      <c r="AV160" s="195"/>
      <c r="AW160" s="195"/>
      <c r="AX160" s="195"/>
      <c r="AY160" s="195"/>
      <c r="AZ160" s="195"/>
      <c r="BA160" s="195"/>
      <c r="BB160" s="195"/>
      <c r="BC160" s="195"/>
    </row>
    <row r="161" spans="2:63" ht="15" customHeight="1" x14ac:dyDescent="0.2">
      <c r="B161" s="195"/>
      <c r="D161" s="11"/>
      <c r="F161" s="130" t="s">
        <v>41</v>
      </c>
      <c r="G161" s="187" t="str">
        <f>_xll.BDP("USCS017 "&amp;LEFT(FRALink,LEN(FRALink)-FIND("/",FRALink))&amp;" curncy","bid")</f>
        <v>#N/A N/A</v>
      </c>
      <c r="H161" s="187" t="str">
        <f>_xll.BDP("USCS017 "&amp;LEFT(FRALink,LEN(FRALink)-FIND("/",FRALink))&amp;" curncy","ask")</f>
        <v>#N/A N/A</v>
      </c>
      <c r="I161" s="187" t="str">
        <f>_xll.BDP("USCS027 "&amp;LEFT(FRALink,LEN(FRALink)-FIND("/",FRALink))&amp;" curncy","bid")</f>
        <v>#N/A N/A</v>
      </c>
      <c r="J161" s="187" t="str">
        <f>_xll.BDP("USCS027 "&amp;LEFT(FRALink,LEN(FRALink)-FIND("/",FRALink))&amp;" curncy","ask")</f>
        <v>#N/A N/A</v>
      </c>
      <c r="K161" s="187" t="str">
        <f>_xll.BDP("USCS037 "&amp;LEFT(FRALink,LEN(FRALink)-FIND("/",FRALink))&amp;" curncy","bid")</f>
        <v>#N/A N/A</v>
      </c>
      <c r="L161" s="187" t="str">
        <f>_xll.BDP("USCS037 "&amp;LEFT(FRALink,LEN(FRALink)-FIND("/",FRALink))&amp;" curncy","ask")</f>
        <v>#N/A N/A</v>
      </c>
      <c r="M161" s="187" t="str">
        <f>_xll.BDP("USCS047 "&amp;LEFT(FRALink,LEN(FRALink)-FIND("/",FRALink))&amp;" curncy","bid")</f>
        <v>#N/A N/A</v>
      </c>
      <c r="N161" s="187" t="str">
        <f>_xll.BDP("USCS047 "&amp;LEFT(FRALink,LEN(FRALink)-FIND("/",FRALink))&amp;" curncy","ask")</f>
        <v>#N/A N/A</v>
      </c>
      <c r="O161" s="187" t="str">
        <f>_xll.BDP("USCS057 "&amp;LEFT(FRALink,LEN(FRALink)-FIND("/",FRALink))&amp;" curncy","bid")</f>
        <v>#N/A N/A</v>
      </c>
      <c r="P161" s="187" t="str">
        <f>_xll.BDP("USCS057 "&amp;LEFT(FRALink,LEN(FRALink)-FIND("/",FRALink))&amp;" curncy","ask")</f>
        <v>#N/A N/A</v>
      </c>
      <c r="Q161" s="187" t="str">
        <f>_xll.BDP("USCS067 "&amp;LEFT(FRALink,LEN(FRALink)-FIND("/",FRALink))&amp;" curncy","bid")</f>
        <v>#N/A N/A</v>
      </c>
      <c r="R161" s="187" t="str">
        <f>_xll.BDP("USCS067 "&amp;LEFT(FRALink,LEN(FRALink)-FIND("/",FRALink))&amp;" curncy","ask")</f>
        <v>#N/A N/A</v>
      </c>
      <c r="S161" s="187" t="str">
        <f>_xll.BDP("USCS077 "&amp;LEFT(FRALink,LEN(FRALink)-FIND("/",FRALink))&amp;" curncy","bid")</f>
        <v>#N/A N/A</v>
      </c>
      <c r="T161" s="187" t="str">
        <f>_xll.BDP("USCS077 "&amp;LEFT(FRALink,LEN(FRALink)-FIND("/",FRALink))&amp;" curncy","ask")</f>
        <v>#N/A N/A</v>
      </c>
      <c r="U161" s="187" t="str">
        <f>_xll.BDP("USCS087 "&amp;LEFT(FRALink,LEN(FRALink)-FIND("/",FRALink))&amp;" curncy","bid")</f>
        <v>#N/A N/A</v>
      </c>
      <c r="V161" s="187" t="str">
        <f>_xll.BDP("USCS087 "&amp;LEFT(FRALink,LEN(FRALink)-FIND("/",FRALink))&amp;" curncy","ask")</f>
        <v>#N/A N/A</v>
      </c>
      <c r="W161" s="187" t="str">
        <f>_xll.BDP("USCS097 "&amp;LEFT(FRALink,LEN(FRALink)-FIND("/",FRALink))&amp;" curncy","bid")</f>
        <v>#N/A N/A</v>
      </c>
      <c r="X161" s="187" t="str">
        <f>_xll.BDP("USCS097 "&amp;LEFT(FRALink,LEN(FRALink)-FIND("/",FRALink))&amp;" curncy","ask")</f>
        <v>#N/A N/A</v>
      </c>
      <c r="Y161" s="187" t="str">
        <f>_xll.BDP("USCS107 "&amp;LEFT(FRALink,LEN(FRALink)-FIND("/",FRALink))&amp;" curncy","bid")</f>
        <v>#N/A N/A</v>
      </c>
      <c r="Z161" s="188" t="str">
        <f>_xll.BDP("USCS107 "&amp;LEFT(FRALink,LEN(FRALink)-FIND("/",FRALink))&amp;" curncy","ask")</f>
        <v>#N/A N/A</v>
      </c>
      <c r="AA161" s="195"/>
      <c r="AB161" s="195"/>
      <c r="AC161" s="195"/>
      <c r="AD161" s="195"/>
      <c r="AE161" s="195"/>
      <c r="AF161" s="195"/>
      <c r="AG161" s="195"/>
      <c r="AH161" s="195"/>
      <c r="AI161" s="195"/>
      <c r="AJ161" s="195"/>
      <c r="AK161" s="195"/>
      <c r="AL161" s="195"/>
      <c r="AM161" s="195"/>
      <c r="AN161" s="195"/>
      <c r="AO161" s="195"/>
      <c r="AP161" s="195"/>
      <c r="AQ161" s="195"/>
      <c r="AR161" s="195"/>
      <c r="AS161" s="195"/>
      <c r="AT161" s="195"/>
      <c r="AU161" s="195"/>
      <c r="AV161" s="195"/>
      <c r="AW161" s="195"/>
      <c r="AX161" s="195"/>
      <c r="AY161" s="195"/>
      <c r="AZ161" s="195"/>
      <c r="BA161" s="195"/>
      <c r="BB161" s="195"/>
      <c r="BC161" s="195"/>
    </row>
    <row r="162" spans="2:63" ht="15" customHeight="1" x14ac:dyDescent="0.2">
      <c r="B162" s="11"/>
      <c r="D162" s="11"/>
      <c r="F162" s="130" t="s">
        <v>228</v>
      </c>
      <c r="G162" s="185" t="str">
        <f>_xll.BDP("USCS018 "&amp;LEFT(FRALink,LEN(FRALink)-FIND("/",FRALink))&amp;" curncy","bid")</f>
        <v>#N/A N/A</v>
      </c>
      <c r="H162" s="185" t="str">
        <f>_xll.BDP("USCS018 "&amp;LEFT(FRALink,LEN(FRALink)-FIND("/",FRALink))&amp;" curncy","ask")</f>
        <v>#N/A N/A</v>
      </c>
      <c r="I162" s="185" t="str">
        <f>_xll.BDP("USCS028 "&amp;LEFT(FRALink,LEN(FRALink)-FIND("/",FRALink))&amp;" curncy","bid")</f>
        <v>#N/A N/A</v>
      </c>
      <c r="J162" s="185" t="str">
        <f>_xll.BDP("USCS028 "&amp;LEFT(FRALink,LEN(FRALink)-FIND("/",FRALink))&amp;" curncy","ask")</f>
        <v>#N/A N/A</v>
      </c>
      <c r="K162" s="185" t="str">
        <f>_xll.BDP("USCS038 "&amp;LEFT(FRALink,LEN(FRALink)-FIND("/",FRALink))&amp;" curncy","bid")</f>
        <v>#N/A N/A</v>
      </c>
      <c r="L162" s="185" t="str">
        <f>_xll.BDP("USCS038 "&amp;LEFT(FRALink,LEN(FRALink)-FIND("/",FRALink))&amp;" curncy","ask")</f>
        <v>#N/A N/A</v>
      </c>
      <c r="M162" s="185" t="str">
        <f>_xll.BDP("USCS048 "&amp;LEFT(FRALink,LEN(FRALink)-FIND("/",FRALink))&amp;" curncy","bid")</f>
        <v>#N/A N/A</v>
      </c>
      <c r="N162" s="185" t="str">
        <f>_xll.BDP("USCS048 "&amp;LEFT(FRALink,LEN(FRALink)-FIND("/",FRALink))&amp;" curncy","ask")</f>
        <v>#N/A N/A</v>
      </c>
      <c r="O162" s="185" t="str">
        <f>_xll.BDP("USCS058 "&amp;LEFT(FRALink,LEN(FRALink)-FIND("/",FRALink))&amp;" curncy","bid")</f>
        <v>#N/A N/A</v>
      </c>
      <c r="P162" s="185" t="str">
        <f>_xll.BDP("USCS058 "&amp;LEFT(FRALink,LEN(FRALink)-FIND("/",FRALink))&amp;" curncy","ask")</f>
        <v>#N/A N/A</v>
      </c>
      <c r="Q162" s="185" t="str">
        <f>_xll.BDP("USCS068 "&amp;LEFT(FRALink,LEN(FRALink)-FIND("/",FRALink))&amp;" curncy","bid")</f>
        <v>#N/A N/A</v>
      </c>
      <c r="R162" s="185" t="str">
        <f>_xll.BDP("USCS068 "&amp;LEFT(FRALink,LEN(FRALink)-FIND("/",FRALink))&amp;" curncy","ask")</f>
        <v>#N/A N/A</v>
      </c>
      <c r="S162" s="185" t="str">
        <f>_xll.BDP("USCS078 "&amp;LEFT(FRALink,LEN(FRALink)-FIND("/",FRALink))&amp;" curncy","bid")</f>
        <v>#N/A N/A</v>
      </c>
      <c r="T162" s="185" t="str">
        <f>_xll.BDP("USCS078 "&amp;LEFT(FRALink,LEN(FRALink)-FIND("/",FRALink))&amp;" curncy","ask")</f>
        <v>#N/A N/A</v>
      </c>
      <c r="U162" s="185" t="str">
        <f>_xll.BDP("USCS088 "&amp;LEFT(FRALink,LEN(FRALink)-FIND("/",FRALink))&amp;" curncy","bid")</f>
        <v>#N/A N/A</v>
      </c>
      <c r="V162" s="185" t="str">
        <f>_xll.BDP("USCS088 "&amp;LEFT(FRALink,LEN(FRALink)-FIND("/",FRALink))&amp;" curncy","ask")</f>
        <v>#N/A N/A</v>
      </c>
      <c r="W162" s="185" t="str">
        <f>_xll.BDP("USCS098 "&amp;LEFT(FRALink,LEN(FRALink)-FIND("/",FRALink))&amp;" curncy","bid")</f>
        <v>#N/A N/A</v>
      </c>
      <c r="X162" s="185" t="str">
        <f>_xll.BDP("USCS098 "&amp;LEFT(FRALink,LEN(FRALink)-FIND("/",FRALink))&amp;" curncy","ask")</f>
        <v>#N/A N/A</v>
      </c>
      <c r="Y162" s="185" t="str">
        <f>_xll.BDP("USCS108 "&amp;LEFT(FRALink,LEN(FRALink)-FIND("/",FRALink))&amp;" curncy","bid")</f>
        <v>#N/A N/A</v>
      </c>
      <c r="Z162" s="186" t="str">
        <f>_xll.BDP("USCS108 "&amp;LEFT(FRALink,LEN(FRALink)-FIND("/",FRALink))&amp;" curncy","ask")</f>
        <v>#N/A N/A</v>
      </c>
      <c r="AA162" s="195"/>
      <c r="AB162" s="195"/>
      <c r="AC162" s="195"/>
      <c r="AD162" s="195"/>
      <c r="AE162" s="195"/>
      <c r="AF162" s="195"/>
      <c r="AG162" s="195"/>
      <c r="AH162" s="195"/>
      <c r="AI162" s="195"/>
      <c r="AJ162" s="195"/>
      <c r="AK162" s="195"/>
      <c r="AL162" s="195"/>
      <c r="AM162" s="195"/>
      <c r="AN162" s="195"/>
      <c r="AO162" s="195"/>
      <c r="AP162" s="195"/>
      <c r="AQ162" s="195"/>
      <c r="AR162" s="195"/>
      <c r="AS162" s="195"/>
      <c r="AT162" s="195"/>
      <c r="AU162" s="195"/>
      <c r="AV162" s="195"/>
      <c r="AW162" s="195"/>
      <c r="AX162" s="195"/>
      <c r="AY162" s="195"/>
      <c r="AZ162" s="195"/>
      <c r="BA162" s="195"/>
      <c r="BB162" s="195"/>
      <c r="BC162" s="195"/>
    </row>
    <row r="163" spans="2:63" ht="15" customHeight="1" x14ac:dyDescent="0.2">
      <c r="B163" s="11"/>
      <c r="D163" s="11"/>
      <c r="F163" s="130" t="s">
        <v>229</v>
      </c>
      <c r="G163" s="187" t="str">
        <f>_xll.BDP("USCS019 "&amp;LEFT(FRALink,LEN(FRALink)-FIND("/",FRALink))&amp;" curncy","bid")</f>
        <v>#N/A N/A</v>
      </c>
      <c r="H163" s="187" t="str">
        <f>_xll.BDP("USCS019 "&amp;LEFT(FRALink,LEN(FRALink)-FIND("/",FRALink))&amp;" curncy","ask")</f>
        <v>#N/A N/A</v>
      </c>
      <c r="I163" s="187" t="str">
        <f>_xll.BDP("USCS029 "&amp;LEFT(FRALink,LEN(FRALink)-FIND("/",FRALink))&amp;" curncy","bid")</f>
        <v>#N/A N/A</v>
      </c>
      <c r="J163" s="187" t="str">
        <f>_xll.BDP("USCS029 "&amp;LEFT(FRALink,LEN(FRALink)-FIND("/",FRALink))&amp;" curncy","ask")</f>
        <v>#N/A N/A</v>
      </c>
      <c r="K163" s="187" t="str">
        <f>_xll.BDP("USCS039 "&amp;LEFT(FRALink,LEN(FRALink)-FIND("/",FRALink))&amp;" curncy","bid")</f>
        <v>#N/A N/A</v>
      </c>
      <c r="L163" s="187" t="str">
        <f>_xll.BDP("USCS039 "&amp;LEFT(FRALink,LEN(FRALink)-FIND("/",FRALink))&amp;" curncy","ask")</f>
        <v>#N/A N/A</v>
      </c>
      <c r="M163" s="187" t="str">
        <f>_xll.BDP("USCS049 "&amp;LEFT(FRALink,LEN(FRALink)-FIND("/",FRALink))&amp;" curncy","bid")</f>
        <v>#N/A N/A</v>
      </c>
      <c r="N163" s="187" t="str">
        <f>_xll.BDP("USCS049 "&amp;LEFT(FRALink,LEN(FRALink)-FIND("/",FRALink))&amp;" curncy","ask")</f>
        <v>#N/A N/A</v>
      </c>
      <c r="O163" s="187" t="str">
        <f>_xll.BDP("USCS059 "&amp;LEFT(FRALink,LEN(FRALink)-FIND("/",FRALink))&amp;" curncy","bid")</f>
        <v>#N/A N/A</v>
      </c>
      <c r="P163" s="187" t="str">
        <f>_xll.BDP("USCS059 "&amp;LEFT(FRALink,LEN(FRALink)-FIND("/",FRALink))&amp;" curncy","ask")</f>
        <v>#N/A N/A</v>
      </c>
      <c r="Q163" s="187" t="str">
        <f>_xll.BDP("USCS069 "&amp;LEFT(FRALink,LEN(FRALink)-FIND("/",FRALink))&amp;" curncy","bid")</f>
        <v>#N/A N/A</v>
      </c>
      <c r="R163" s="187" t="str">
        <f>_xll.BDP("USCS069 "&amp;LEFT(FRALink,LEN(FRALink)-FIND("/",FRALink))&amp;" curncy","ask")</f>
        <v>#N/A N/A</v>
      </c>
      <c r="S163" s="187" t="str">
        <f>_xll.BDP("USCS079 "&amp;LEFT(FRALink,LEN(FRALink)-FIND("/",FRALink))&amp;" curncy","bid")</f>
        <v>#N/A N/A</v>
      </c>
      <c r="T163" s="187" t="str">
        <f>_xll.BDP("USCS079 "&amp;LEFT(FRALink,LEN(FRALink)-FIND("/",FRALink))&amp;" curncy","ask")</f>
        <v>#N/A N/A</v>
      </c>
      <c r="U163" s="187" t="str">
        <f>_xll.BDP("USCS089 "&amp;LEFT(FRALink,LEN(FRALink)-FIND("/",FRALink))&amp;" curncy","bid")</f>
        <v>#N/A N/A</v>
      </c>
      <c r="V163" s="187" t="str">
        <f>_xll.BDP("USCS089 "&amp;LEFT(FRALink,LEN(FRALink)-FIND("/",FRALink))&amp;" curncy","ask")</f>
        <v>#N/A N/A</v>
      </c>
      <c r="W163" s="187" t="str">
        <f>_xll.BDP("USCS099 "&amp;LEFT(FRALink,LEN(FRALink)-FIND("/",FRALink))&amp;" curncy","bid")</f>
        <v>#N/A N/A</v>
      </c>
      <c r="X163" s="187" t="str">
        <f>_xll.BDP("USCS099 "&amp;LEFT(FRALink,LEN(FRALink)-FIND("/",FRALink))&amp;" curncy","ask")</f>
        <v>#N/A N/A</v>
      </c>
      <c r="Y163" s="187" t="str">
        <f>_xll.BDP("USCS109 "&amp;LEFT(FRALink,LEN(FRALink)-FIND("/",FRALink))&amp;" curncy","bid")</f>
        <v>#N/A N/A</v>
      </c>
      <c r="Z163" s="188" t="str">
        <f>_xll.BDP("USCS109 "&amp;LEFT(FRALink,LEN(FRALink)-FIND("/",FRALink))&amp;" curncy","ask")</f>
        <v>#N/A N/A</v>
      </c>
      <c r="AA163" s="195"/>
      <c r="AB163" s="195"/>
      <c r="AC163" s="195"/>
      <c r="AD163" s="195"/>
      <c r="AE163" s="195"/>
      <c r="AF163" s="195"/>
      <c r="AG163" s="195"/>
      <c r="AH163" s="195"/>
      <c r="AI163" s="195"/>
      <c r="AJ163" s="195"/>
      <c r="AK163" s="195"/>
      <c r="AL163" s="195"/>
      <c r="AM163" s="195"/>
      <c r="AN163" s="195"/>
      <c r="AO163" s="195"/>
      <c r="AP163" s="195"/>
      <c r="AQ163" s="195"/>
      <c r="AR163" s="195"/>
      <c r="AS163" s="195"/>
      <c r="AT163" s="195"/>
      <c r="AU163" s="195"/>
      <c r="AV163" s="195"/>
      <c r="AW163" s="195"/>
      <c r="AX163" s="195"/>
      <c r="AY163" s="195"/>
      <c r="AZ163" s="195"/>
      <c r="BA163" s="195"/>
      <c r="BB163" s="195"/>
      <c r="BC163" s="195"/>
    </row>
    <row r="164" spans="2:63" ht="15" customHeight="1" x14ac:dyDescent="0.2">
      <c r="B164" s="11"/>
      <c r="D164" s="11"/>
      <c r="F164" s="135" t="s">
        <v>42</v>
      </c>
      <c r="G164" s="189" t="str">
        <f>_xll.BDP("USCS0110 "&amp;LEFT(FRALink,LEN(FRALink)-FIND("/",FRALink))&amp;" curncy","bid")</f>
        <v>#N/A N/A</v>
      </c>
      <c r="H164" s="189" t="str">
        <f>_xll.BDP("USCS0110 "&amp;LEFT(FRALink,LEN(FRALink)-FIND("/",FRALink))&amp;" curncy","ask")</f>
        <v>#N/A N/A</v>
      </c>
      <c r="I164" s="189" t="str">
        <f>_xll.BDP("USCS0210 "&amp;LEFT(FRALink,LEN(FRALink)-FIND("/",FRALink))&amp;" curncy","bid")</f>
        <v>#N/A N/A</v>
      </c>
      <c r="J164" s="189" t="str">
        <f>_xll.BDP("USCS0210 "&amp;LEFT(FRALink,LEN(FRALink)-FIND("/",FRALink))&amp;" curncy","ask")</f>
        <v>#N/A N/A</v>
      </c>
      <c r="K164" s="189" t="str">
        <f>_xll.BDP("USCS0310 "&amp;LEFT(FRALink,LEN(FRALink)-FIND("/",FRALink))&amp;" curncy","bid")</f>
        <v>#N/A N/A</v>
      </c>
      <c r="L164" s="189" t="str">
        <f>_xll.BDP("USCS0310 "&amp;LEFT(FRALink,LEN(FRALink)-FIND("/",FRALink))&amp;" curncy","ask")</f>
        <v>#N/A N/A</v>
      </c>
      <c r="M164" s="189" t="str">
        <f>_xll.BDP("USCS0410 "&amp;LEFT(FRALink,LEN(FRALink)-FIND("/",FRALink))&amp;" curncy","bid")</f>
        <v>#N/A N/A</v>
      </c>
      <c r="N164" s="189" t="str">
        <f>_xll.BDP("USCS0410 "&amp;LEFT(FRALink,LEN(FRALink)-FIND("/",FRALink))&amp;" curncy","ask")</f>
        <v>#N/A N/A</v>
      </c>
      <c r="O164" s="189" t="str">
        <f>_xll.BDP("USCS0510 "&amp;LEFT(FRALink,LEN(FRALink)-FIND("/",FRALink))&amp;" curncy","bid")</f>
        <v>#N/A N/A</v>
      </c>
      <c r="P164" s="189" t="str">
        <f>_xll.BDP("USCS0510 "&amp;LEFT(FRALink,LEN(FRALink)-FIND("/",FRALink))&amp;" curncy","ask")</f>
        <v>#N/A N/A</v>
      </c>
      <c r="Q164" s="189" t="str">
        <f>_xll.BDP("USCS0610 "&amp;LEFT(FRALink,LEN(FRALink)-FIND("/",FRALink))&amp;" curncy","bid")</f>
        <v>#N/A N/A</v>
      </c>
      <c r="R164" s="189" t="str">
        <f>_xll.BDP("USCS0610 "&amp;LEFT(FRALink,LEN(FRALink)-FIND("/",FRALink))&amp;" curncy","ask")</f>
        <v>#N/A N/A</v>
      </c>
      <c r="S164" s="189" t="str">
        <f>_xll.BDP("USCS0710 "&amp;LEFT(FRALink,LEN(FRALink)-FIND("/",FRALink))&amp;" curncy","bid")</f>
        <v>#N/A N/A</v>
      </c>
      <c r="T164" s="189" t="str">
        <f>_xll.BDP("USCS0710 "&amp;LEFT(FRALink,LEN(FRALink)-FIND("/",FRALink))&amp;" curncy","ask")</f>
        <v>#N/A N/A</v>
      </c>
      <c r="U164" s="189" t="str">
        <f>_xll.BDP("USCS0810 "&amp;LEFT(FRALink,LEN(FRALink)-FIND("/",FRALink))&amp;" curncy","bid")</f>
        <v>#N/A N/A</v>
      </c>
      <c r="V164" s="189" t="str">
        <f>_xll.BDP("USCS0810 "&amp;LEFT(FRALink,LEN(FRALink)-FIND("/",FRALink))&amp;" curncy","ask")</f>
        <v>#N/A N/A</v>
      </c>
      <c r="W164" s="189" t="str">
        <f>_xll.BDP("USCS0910 "&amp;LEFT(FRALink,LEN(FRALink)-FIND("/",FRALink))&amp;" curncy","bid")</f>
        <v>#N/A N/A</v>
      </c>
      <c r="X164" s="189" t="str">
        <f>_xll.BDP("USCS0910 "&amp;LEFT(FRALink,LEN(FRALink)-FIND("/",FRALink))&amp;" curncy","ask")</f>
        <v>#N/A N/A</v>
      </c>
      <c r="Y164" s="189" t="str">
        <f>_xll.BDP("USCS1010 "&amp;LEFT(FRALink,LEN(FRALink)-FIND("/",FRALink))&amp;" curncy","bid")</f>
        <v>#N/A N/A</v>
      </c>
      <c r="Z164" s="190" t="str">
        <f>_xll.BDP("USCS1010 "&amp;LEFT(FRALink,LEN(FRALink)-FIND("/",FRALink))&amp;" curncy","ask")</f>
        <v>#N/A N/A</v>
      </c>
      <c r="AA164" s="195"/>
      <c r="AB164" s="195"/>
      <c r="AC164" s="195"/>
      <c r="AD164" s="195"/>
      <c r="AE164" s="195"/>
      <c r="AF164" s="195"/>
      <c r="AG164" s="195"/>
      <c r="AH164" s="195"/>
      <c r="AI164" s="195"/>
      <c r="AJ164" s="195"/>
      <c r="AK164" s="195"/>
      <c r="AL164" s="195"/>
      <c r="AM164" s="195"/>
      <c r="AN164" s="195"/>
      <c r="AO164" s="195"/>
      <c r="AP164" s="195"/>
      <c r="AQ164" s="195"/>
      <c r="AR164" s="195"/>
      <c r="AS164" s="195"/>
      <c r="AT164" s="195"/>
      <c r="AU164" s="195"/>
      <c r="AV164" s="195"/>
      <c r="AW164" s="195"/>
      <c r="AX164" s="195"/>
      <c r="AY164" s="195"/>
      <c r="AZ164" s="195"/>
      <c r="BA164" s="195"/>
      <c r="BB164" s="195"/>
      <c r="BC164" s="195"/>
    </row>
    <row r="165" spans="2:63" ht="15" customHeight="1" x14ac:dyDescent="0.2">
      <c r="B165" s="11"/>
      <c r="D165" s="11"/>
      <c r="F165" s="195"/>
      <c r="G165" s="195"/>
      <c r="H165" s="195"/>
      <c r="I165" s="195"/>
      <c r="J165" s="195"/>
      <c r="K165" s="195"/>
      <c r="L165" s="195"/>
      <c r="M165" s="195"/>
      <c r="N165" s="195"/>
      <c r="O165" s="195"/>
      <c r="P165" s="195"/>
      <c r="Q165" s="195"/>
      <c r="R165" s="195"/>
      <c r="S165" s="195"/>
      <c r="T165" s="195"/>
      <c r="U165" s="195"/>
      <c r="V165" s="195"/>
      <c r="W165" s="195"/>
      <c r="X165" s="195"/>
      <c r="Y165" s="195"/>
      <c r="Z165" s="195"/>
      <c r="AA165" s="195"/>
      <c r="AB165" s="195"/>
      <c r="AC165" s="195"/>
      <c r="AD165" s="195"/>
      <c r="AE165" s="195"/>
      <c r="AF165" s="195"/>
      <c r="AG165" s="195"/>
      <c r="AH165" s="195"/>
      <c r="AI165" s="195"/>
      <c r="AJ165" s="195"/>
      <c r="AK165" s="195"/>
      <c r="AL165" s="195"/>
      <c r="AM165" s="195"/>
      <c r="AN165" s="195"/>
      <c r="AO165" s="195"/>
      <c r="AP165" s="195"/>
      <c r="AQ165" s="195"/>
      <c r="AR165" s="195"/>
      <c r="AS165" s="195"/>
      <c r="AT165" s="195"/>
      <c r="AU165" s="195"/>
      <c r="AV165" s="195"/>
      <c r="AW165" s="195"/>
      <c r="AX165" s="195"/>
      <c r="AY165" s="195"/>
      <c r="AZ165" s="195"/>
      <c r="BA165" s="195"/>
      <c r="BB165" s="195"/>
      <c r="BC165" s="195"/>
      <c r="BD165" s="195"/>
      <c r="BE165" s="195"/>
      <c r="BF165" s="195"/>
      <c r="BG165" s="195"/>
      <c r="BH165" s="195"/>
      <c r="BI165" s="195"/>
      <c r="BJ165" s="195"/>
      <c r="BK165" s="195"/>
    </row>
    <row r="166" spans="2:63" ht="15" customHeight="1" x14ac:dyDescent="0.2">
      <c r="B166" s="11"/>
      <c r="D166" s="11"/>
      <c r="F166" s="195"/>
      <c r="G166" s="195"/>
      <c r="H166" s="195"/>
      <c r="I166" s="195"/>
      <c r="J166" s="195"/>
      <c r="K166" s="195"/>
      <c r="L166" s="195"/>
      <c r="M166" s="195"/>
      <c r="N166" s="195"/>
      <c r="O166" s="195"/>
      <c r="P166" s="195"/>
      <c r="Q166" s="195"/>
      <c r="R166" s="195"/>
      <c r="S166" s="195"/>
      <c r="T166" s="195"/>
      <c r="U166" s="195"/>
      <c r="V166" s="195"/>
      <c r="W166" s="195"/>
      <c r="X166" s="195"/>
      <c r="Y166" s="195"/>
      <c r="Z166" s="195"/>
      <c r="AA166" s="195"/>
      <c r="AB166" s="195"/>
      <c r="AC166" s="195"/>
      <c r="AD166" s="195"/>
      <c r="AE166" s="195"/>
      <c r="AF166" s="195"/>
      <c r="AG166" s="195"/>
      <c r="AH166" s="195"/>
      <c r="AI166" s="195"/>
      <c r="AJ166" s="195"/>
      <c r="AK166" s="195"/>
      <c r="AL166" s="195"/>
      <c r="AM166" s="195"/>
      <c r="AN166" s="195"/>
      <c r="AO166" s="195"/>
      <c r="AP166" s="195"/>
      <c r="AQ166" s="195"/>
      <c r="AR166" s="195"/>
      <c r="AS166" s="195"/>
      <c r="AT166" s="195"/>
      <c r="AU166" s="195"/>
      <c r="AV166" s="195"/>
      <c r="AW166" s="195"/>
      <c r="AX166" s="195"/>
      <c r="AY166" s="195"/>
      <c r="AZ166" s="195"/>
      <c r="BA166" s="195"/>
      <c r="BB166" s="195"/>
      <c r="BC166" s="195"/>
      <c r="BD166" s="195"/>
      <c r="BE166" s="195"/>
      <c r="BF166" s="195"/>
      <c r="BG166" s="195"/>
      <c r="BH166" s="195"/>
      <c r="BI166" s="195"/>
      <c r="BJ166" s="195"/>
      <c r="BK166" s="195"/>
    </row>
    <row r="167" spans="2:63" ht="15" customHeight="1" x14ac:dyDescent="0.2">
      <c r="B167" s="11"/>
      <c r="D167" s="11"/>
      <c r="F167" s="195"/>
      <c r="G167" s="195"/>
      <c r="H167" s="195"/>
      <c r="I167" s="195"/>
      <c r="J167" s="195"/>
      <c r="K167" s="195"/>
      <c r="L167" s="195"/>
      <c r="M167" s="195"/>
      <c r="N167" s="195"/>
      <c r="O167" s="195"/>
      <c r="P167" s="195"/>
      <c r="Q167" s="195"/>
      <c r="R167" s="195"/>
      <c r="S167" s="195"/>
      <c r="T167" s="195"/>
      <c r="U167" s="195"/>
      <c r="V167" s="195"/>
      <c r="W167" s="195"/>
      <c r="X167" s="195"/>
      <c r="Y167" s="195"/>
      <c r="Z167" s="195"/>
      <c r="AA167" s="195"/>
      <c r="AB167" s="195"/>
      <c r="AC167" s="195"/>
      <c r="AD167" s="195"/>
      <c r="AE167" s="195"/>
      <c r="AF167" s="195"/>
      <c r="AG167" s="195"/>
      <c r="AH167" s="195"/>
      <c r="AI167" s="195"/>
      <c r="AJ167" s="195"/>
      <c r="AK167" s="195"/>
      <c r="AL167" s="195"/>
      <c r="AM167" s="195"/>
      <c r="AN167" s="195"/>
      <c r="AO167" s="195"/>
      <c r="AP167" s="195"/>
      <c r="AQ167" s="195"/>
      <c r="AR167" s="195"/>
      <c r="AS167" s="195"/>
      <c r="AT167" s="195"/>
      <c r="AU167" s="195"/>
      <c r="AV167" s="195"/>
      <c r="AW167" s="195"/>
      <c r="AX167" s="195"/>
      <c r="AY167" s="195"/>
      <c r="AZ167" s="195"/>
      <c r="BA167" s="195"/>
      <c r="BB167" s="195"/>
      <c r="BC167" s="195"/>
      <c r="BD167" s="195"/>
      <c r="BE167" s="195"/>
      <c r="BF167" s="195"/>
      <c r="BG167" s="195"/>
      <c r="BH167" s="195"/>
      <c r="BI167" s="195"/>
      <c r="BJ167" s="195"/>
      <c r="BK167" s="195"/>
    </row>
    <row r="168" spans="2:63" ht="15" customHeight="1" x14ac:dyDescent="0.2">
      <c r="B168" s="11"/>
      <c r="D168" s="11"/>
      <c r="F168" s="195"/>
      <c r="G168" s="195"/>
      <c r="H168" s="195"/>
      <c r="I168" s="195"/>
      <c r="J168" s="195"/>
      <c r="K168" s="195"/>
      <c r="L168" s="195"/>
      <c r="M168" s="195"/>
      <c r="N168" s="195"/>
      <c r="O168" s="195"/>
      <c r="P168" s="195"/>
      <c r="Q168" s="195"/>
      <c r="R168" s="195"/>
      <c r="S168" s="195"/>
      <c r="T168" s="195"/>
      <c r="U168" s="195"/>
      <c r="V168" s="195"/>
      <c r="W168" s="195"/>
      <c r="X168" s="195"/>
      <c r="Y168" s="195"/>
      <c r="Z168" s="195"/>
      <c r="AA168" s="195"/>
      <c r="AB168" s="195"/>
      <c r="AC168" s="195"/>
      <c r="AD168" s="195"/>
      <c r="AE168" s="195"/>
      <c r="AF168" s="195"/>
      <c r="AG168" s="195"/>
      <c r="AH168" s="195"/>
      <c r="AI168" s="195"/>
      <c r="AJ168" s="195"/>
      <c r="AK168" s="195"/>
      <c r="AL168" s="195"/>
      <c r="AM168" s="195"/>
      <c r="AN168" s="195"/>
      <c r="AO168" s="195"/>
      <c r="AP168" s="195"/>
      <c r="AQ168" s="195"/>
      <c r="AR168" s="195"/>
      <c r="AS168" s="195"/>
      <c r="AT168" s="195"/>
      <c r="AU168" s="195"/>
      <c r="AV168" s="195"/>
      <c r="AW168" s="195"/>
      <c r="AX168" s="195"/>
      <c r="AY168" s="195"/>
      <c r="AZ168" s="195"/>
      <c r="BA168" s="195"/>
      <c r="BB168" s="195"/>
      <c r="BC168" s="195"/>
      <c r="BD168" s="195"/>
      <c r="BE168" s="195"/>
      <c r="BF168" s="195"/>
      <c r="BG168" s="195"/>
      <c r="BH168" s="195"/>
      <c r="BI168" s="195"/>
      <c r="BJ168" s="195"/>
      <c r="BK168" s="195"/>
    </row>
    <row r="169" spans="2:63" ht="15" customHeight="1" x14ac:dyDescent="0.2">
      <c r="B169" s="195"/>
      <c r="D169" s="195"/>
      <c r="F169" s="195"/>
      <c r="G169" s="195"/>
      <c r="H169" s="195"/>
      <c r="I169" s="195"/>
      <c r="J169" s="195"/>
      <c r="K169" s="195"/>
      <c r="L169" s="195"/>
      <c r="M169" s="195"/>
      <c r="N169" s="195"/>
      <c r="O169" s="195"/>
      <c r="P169" s="195"/>
      <c r="Q169" s="195"/>
      <c r="R169" s="195"/>
      <c r="S169" s="195"/>
      <c r="T169" s="195"/>
      <c r="U169" s="195"/>
      <c r="V169" s="195"/>
      <c r="W169" s="195"/>
      <c r="X169" s="195"/>
      <c r="Y169" s="195"/>
      <c r="Z169" s="195"/>
      <c r="AA169" s="195"/>
      <c r="AB169" s="195"/>
      <c r="AC169" s="195"/>
      <c r="AD169" s="195"/>
      <c r="AE169" s="195"/>
      <c r="AF169" s="195"/>
      <c r="AG169" s="195"/>
      <c r="AH169" s="195"/>
      <c r="AI169" s="195"/>
      <c r="AJ169" s="195"/>
      <c r="AK169" s="195"/>
      <c r="AL169" s="195"/>
      <c r="AM169" s="195"/>
      <c r="AN169" s="195"/>
      <c r="AO169" s="195"/>
      <c r="AP169" s="195"/>
      <c r="AQ169" s="195"/>
      <c r="AR169" s="195"/>
      <c r="AS169" s="195"/>
      <c r="AT169" s="195"/>
      <c r="AU169" s="195"/>
      <c r="AV169" s="195"/>
      <c r="AW169" s="195"/>
      <c r="AX169" s="195"/>
      <c r="AY169" s="195"/>
      <c r="AZ169" s="195"/>
      <c r="BA169" s="195"/>
      <c r="BB169" s="195"/>
      <c r="BC169" s="195"/>
      <c r="BD169" s="195"/>
      <c r="BE169" s="195"/>
      <c r="BF169" s="195"/>
      <c r="BG169" s="195"/>
      <c r="BH169" s="195"/>
      <c r="BI169" s="195"/>
      <c r="BJ169" s="195"/>
      <c r="BK169" s="195"/>
    </row>
    <row r="170" spans="2:63" ht="15" customHeight="1" x14ac:dyDescent="0.2">
      <c r="B170" s="195"/>
      <c r="D170" s="195"/>
      <c r="F170" s="195"/>
      <c r="G170" s="195"/>
      <c r="H170" s="195"/>
      <c r="I170" s="195"/>
      <c r="J170" s="195"/>
      <c r="K170" s="195"/>
      <c r="L170" s="195"/>
      <c r="M170" s="195"/>
      <c r="N170" s="195"/>
      <c r="O170" s="195"/>
      <c r="P170" s="195"/>
      <c r="Q170" s="195"/>
      <c r="R170" s="195"/>
      <c r="S170" s="195"/>
      <c r="T170" s="195"/>
      <c r="U170" s="195"/>
      <c r="V170" s="195"/>
      <c r="W170" s="195"/>
      <c r="X170" s="195"/>
      <c r="Y170" s="195"/>
      <c r="Z170" s="195"/>
      <c r="AA170" s="195"/>
      <c r="AB170" s="195"/>
      <c r="AC170" s="195"/>
      <c r="AD170" s="195"/>
      <c r="AE170" s="195"/>
      <c r="AF170" s="195"/>
      <c r="AG170" s="195"/>
      <c r="AH170" s="195"/>
      <c r="AI170" s="195"/>
      <c r="AJ170" s="195"/>
      <c r="AK170" s="195"/>
      <c r="AL170" s="195"/>
      <c r="AM170" s="195"/>
      <c r="AN170" s="195"/>
      <c r="AO170" s="195"/>
      <c r="AP170" s="195"/>
      <c r="AQ170" s="195"/>
      <c r="AR170" s="195"/>
      <c r="AS170" s="195"/>
      <c r="AT170" s="195"/>
      <c r="AU170" s="195"/>
      <c r="AV170" s="195"/>
      <c r="AW170" s="195"/>
      <c r="AX170" s="195"/>
      <c r="AY170" s="195"/>
      <c r="AZ170" s="195"/>
      <c r="BA170" s="195"/>
      <c r="BB170" s="195"/>
      <c r="BC170" s="195"/>
      <c r="BD170" s="195"/>
      <c r="BE170" s="195"/>
      <c r="BF170" s="195"/>
      <c r="BG170" s="195"/>
      <c r="BH170" s="195"/>
      <c r="BI170" s="195"/>
      <c r="BJ170" s="195"/>
      <c r="BK170" s="195"/>
    </row>
    <row r="171" spans="2:63" ht="15" customHeight="1" x14ac:dyDescent="0.2">
      <c r="B171" s="195"/>
      <c r="D171" s="195"/>
      <c r="F171" s="195"/>
      <c r="G171" s="195"/>
      <c r="H171" s="195"/>
      <c r="I171" s="195"/>
      <c r="J171" s="195"/>
      <c r="K171" s="195"/>
      <c r="L171" s="195"/>
      <c r="M171" s="195"/>
      <c r="N171" s="195"/>
      <c r="O171" s="195"/>
      <c r="P171" s="195"/>
      <c r="Q171" s="195"/>
      <c r="R171" s="195"/>
      <c r="S171" s="195"/>
      <c r="T171" s="195"/>
      <c r="U171" s="195"/>
      <c r="V171" s="195"/>
      <c r="W171" s="195"/>
      <c r="X171" s="195"/>
      <c r="Y171" s="195"/>
      <c r="Z171" s="195"/>
      <c r="AA171" s="195"/>
      <c r="AB171" s="195"/>
      <c r="AC171" s="195"/>
      <c r="AD171" s="195"/>
      <c r="AE171" s="195"/>
      <c r="AF171" s="195"/>
      <c r="AG171" s="195"/>
      <c r="AH171" s="195"/>
      <c r="AI171" s="195"/>
      <c r="AJ171" s="195"/>
      <c r="AK171" s="195"/>
      <c r="AL171" s="195"/>
      <c r="AM171" s="195"/>
      <c r="AN171" s="195"/>
      <c r="AO171" s="195"/>
      <c r="AP171" s="195"/>
      <c r="AQ171" s="195"/>
      <c r="AR171" s="195"/>
      <c r="AS171" s="195"/>
      <c r="AT171" s="195"/>
      <c r="AU171" s="195"/>
      <c r="AV171" s="195"/>
      <c r="AW171" s="195"/>
      <c r="AX171" s="195"/>
      <c r="AY171" s="195"/>
      <c r="AZ171" s="195"/>
      <c r="BA171" s="195"/>
      <c r="BB171" s="195"/>
      <c r="BC171" s="195"/>
      <c r="BD171" s="195"/>
      <c r="BE171" s="195"/>
      <c r="BF171" s="195"/>
      <c r="BG171" s="195"/>
      <c r="BH171" s="195"/>
      <c r="BI171" s="195"/>
      <c r="BJ171" s="195"/>
      <c r="BK171" s="195"/>
    </row>
    <row r="172" spans="2:63" ht="15" customHeight="1" x14ac:dyDescent="0.2">
      <c r="B172" s="195"/>
      <c r="D172" s="195"/>
      <c r="F172" s="195"/>
      <c r="G172" s="195"/>
      <c r="H172" s="195"/>
      <c r="I172" s="195"/>
      <c r="J172" s="195"/>
      <c r="K172" s="195"/>
      <c r="L172" s="195"/>
      <c r="M172" s="195"/>
      <c r="N172" s="195"/>
      <c r="O172" s="195"/>
      <c r="P172" s="195"/>
      <c r="Q172" s="195"/>
      <c r="R172" s="195"/>
      <c r="S172" s="195"/>
      <c r="T172" s="195"/>
      <c r="U172" s="195"/>
      <c r="V172" s="195"/>
      <c r="W172" s="195"/>
      <c r="X172" s="195"/>
      <c r="Y172" s="195"/>
      <c r="Z172" s="195"/>
      <c r="AA172" s="195"/>
      <c r="AB172" s="195"/>
      <c r="AC172" s="195"/>
      <c r="AD172" s="195"/>
      <c r="AE172" s="195"/>
      <c r="AF172" s="195"/>
      <c r="AG172" s="195"/>
      <c r="AH172" s="195"/>
      <c r="AI172" s="195"/>
      <c r="AJ172" s="195"/>
      <c r="AK172" s="195"/>
      <c r="AL172" s="195"/>
      <c r="AM172" s="195"/>
      <c r="AN172" s="195"/>
      <c r="AO172" s="195"/>
      <c r="AP172" s="195"/>
      <c r="AQ172" s="195"/>
      <c r="AR172" s="195"/>
      <c r="AS172" s="195"/>
      <c r="AT172" s="195"/>
      <c r="AU172" s="195"/>
      <c r="AV172" s="195"/>
      <c r="AW172" s="195"/>
      <c r="AX172" s="195"/>
      <c r="AY172" s="195"/>
      <c r="AZ172" s="195"/>
      <c r="BA172" s="195"/>
      <c r="BB172" s="195"/>
      <c r="BC172" s="195"/>
      <c r="BD172" s="195"/>
      <c r="BE172" s="195"/>
      <c r="BF172" s="195"/>
      <c r="BG172" s="195"/>
      <c r="BH172" s="195"/>
      <c r="BI172" s="195"/>
      <c r="BJ172" s="195"/>
      <c r="BK172" s="195"/>
    </row>
    <row r="173" spans="2:63" ht="15" customHeight="1" x14ac:dyDescent="0.2">
      <c r="B173" s="195"/>
      <c r="D173" s="195"/>
      <c r="F173" s="195"/>
      <c r="G173" s="195"/>
      <c r="H173" s="195"/>
      <c r="I173" s="195"/>
      <c r="J173" s="195"/>
      <c r="K173" s="195"/>
      <c r="L173" s="195"/>
      <c r="M173" s="195"/>
      <c r="N173" s="195"/>
      <c r="O173" s="195"/>
      <c r="P173" s="195"/>
      <c r="Q173" s="195"/>
      <c r="R173" s="195"/>
      <c r="S173" s="195"/>
      <c r="T173" s="195"/>
      <c r="U173" s="195"/>
      <c r="V173" s="195"/>
      <c r="W173" s="195"/>
      <c r="X173" s="195"/>
      <c r="Y173" s="195"/>
      <c r="Z173" s="195"/>
      <c r="AA173" s="195"/>
      <c r="AB173" s="195"/>
      <c r="AC173" s="195"/>
      <c r="AD173" s="195"/>
      <c r="AE173" s="195"/>
      <c r="AF173" s="195"/>
      <c r="AG173" s="195"/>
      <c r="AH173" s="195"/>
      <c r="AI173" s="195"/>
      <c r="AJ173" s="195"/>
      <c r="AK173" s="195"/>
      <c r="AL173" s="195"/>
      <c r="AM173" s="195"/>
      <c r="AN173" s="195"/>
      <c r="AO173" s="195"/>
      <c r="AP173" s="195"/>
      <c r="AQ173" s="195"/>
      <c r="AR173" s="195"/>
      <c r="AS173" s="195"/>
      <c r="AT173" s="195"/>
      <c r="AU173" s="195"/>
      <c r="AV173" s="195"/>
      <c r="AW173" s="195"/>
      <c r="AX173" s="195"/>
      <c r="AY173" s="195"/>
      <c r="AZ173" s="195"/>
      <c r="BA173" s="195"/>
      <c r="BB173" s="195"/>
      <c r="BC173" s="195"/>
      <c r="BD173" s="195"/>
      <c r="BE173" s="195"/>
      <c r="BF173" s="195"/>
      <c r="BG173" s="195"/>
      <c r="BH173" s="195"/>
      <c r="BI173" s="195"/>
      <c r="BJ173" s="195"/>
      <c r="BK173" s="195"/>
    </row>
    <row r="174" spans="2:63" ht="15" customHeight="1" x14ac:dyDescent="0.2">
      <c r="B174" s="195"/>
      <c r="D174" s="195"/>
      <c r="F174" s="195"/>
      <c r="G174" s="195"/>
      <c r="H174" s="195"/>
      <c r="I174" s="195"/>
      <c r="J174" s="195"/>
      <c r="K174" s="195"/>
      <c r="L174" s="195"/>
      <c r="M174" s="195"/>
      <c r="N174" s="195"/>
      <c r="O174" s="195"/>
      <c r="P174" s="195"/>
      <c r="Q174" s="195"/>
      <c r="R174" s="195"/>
      <c r="S174" s="195"/>
      <c r="T174" s="195"/>
      <c r="U174" s="195"/>
      <c r="V174" s="195"/>
      <c r="W174" s="195"/>
      <c r="X174" s="195"/>
      <c r="Y174" s="195"/>
      <c r="Z174" s="195"/>
      <c r="AA174" s="195"/>
      <c r="AB174" s="195"/>
      <c r="AC174" s="195"/>
      <c r="AD174" s="195"/>
      <c r="AE174" s="195"/>
      <c r="AF174" s="195"/>
      <c r="AG174" s="195"/>
      <c r="AH174" s="195"/>
      <c r="AI174" s="195"/>
      <c r="AJ174" s="195"/>
      <c r="AK174" s="195"/>
      <c r="AL174" s="195"/>
      <c r="AM174" s="195"/>
      <c r="AN174" s="195"/>
      <c r="AO174" s="195"/>
      <c r="AP174" s="195"/>
      <c r="AQ174" s="195"/>
      <c r="AR174" s="195"/>
      <c r="AS174" s="195"/>
      <c r="AT174" s="195"/>
      <c r="AU174" s="195"/>
      <c r="AV174" s="195"/>
      <c r="AW174" s="195"/>
      <c r="AX174" s="195"/>
      <c r="AY174" s="195"/>
      <c r="AZ174" s="195"/>
      <c r="BA174" s="195"/>
      <c r="BB174" s="195"/>
      <c r="BC174" s="195"/>
      <c r="BD174" s="195"/>
      <c r="BE174" s="195"/>
      <c r="BF174" s="195"/>
      <c r="BG174" s="195"/>
      <c r="BH174" s="195"/>
      <c r="BI174" s="195"/>
      <c r="BJ174" s="195"/>
      <c r="BK174" s="195"/>
    </row>
    <row r="175" spans="2:63" ht="15" customHeight="1" x14ac:dyDescent="0.2">
      <c r="B175" s="195"/>
      <c r="D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5"/>
      <c r="P175" s="195"/>
      <c r="Q175" s="195"/>
      <c r="R175" s="195"/>
      <c r="S175" s="195"/>
      <c r="T175" s="195"/>
      <c r="U175" s="195"/>
      <c r="V175" s="195"/>
      <c r="W175" s="195"/>
      <c r="X175" s="195"/>
      <c r="Y175" s="195"/>
      <c r="Z175" s="195"/>
      <c r="AA175" s="195"/>
      <c r="AB175" s="195"/>
      <c r="AC175" s="195"/>
      <c r="AD175" s="195"/>
      <c r="AE175" s="195"/>
      <c r="AF175" s="195"/>
      <c r="AG175" s="195"/>
      <c r="AH175" s="195"/>
      <c r="AI175" s="195"/>
      <c r="AJ175" s="195"/>
      <c r="AK175" s="195"/>
      <c r="AL175" s="195"/>
      <c r="AM175" s="195"/>
      <c r="AN175" s="195"/>
      <c r="AO175" s="195"/>
      <c r="AP175" s="195"/>
      <c r="AQ175" s="195"/>
      <c r="AR175" s="195"/>
      <c r="AS175" s="195"/>
      <c r="AT175" s="195"/>
      <c r="AU175" s="195"/>
      <c r="AV175" s="195"/>
      <c r="AW175" s="195"/>
      <c r="AX175" s="195"/>
      <c r="AY175" s="195"/>
      <c r="AZ175" s="195"/>
      <c r="BA175" s="195"/>
      <c r="BB175" s="195"/>
      <c r="BC175" s="195"/>
      <c r="BD175" s="195"/>
      <c r="BE175" s="195"/>
      <c r="BF175" s="195"/>
      <c r="BG175" s="195"/>
      <c r="BH175" s="195"/>
      <c r="BI175" s="195"/>
      <c r="BJ175" s="195"/>
      <c r="BK175" s="195"/>
    </row>
    <row r="176" spans="2:63" ht="15" customHeight="1" x14ac:dyDescent="0.2">
      <c r="B176" s="195"/>
      <c r="D176" s="195"/>
      <c r="F176" s="195"/>
      <c r="G176" s="195"/>
      <c r="H176" s="195"/>
      <c r="I176" s="195"/>
      <c r="J176" s="195"/>
      <c r="K176" s="195"/>
      <c r="L176" s="195"/>
      <c r="M176" s="195"/>
      <c r="N176" s="195"/>
      <c r="O176" s="195"/>
      <c r="P176" s="195"/>
      <c r="Q176" s="195"/>
      <c r="R176" s="195"/>
      <c r="S176" s="195"/>
      <c r="T176" s="195"/>
      <c r="U176" s="195"/>
      <c r="V176" s="195"/>
      <c r="W176" s="195"/>
      <c r="X176" s="195"/>
      <c r="Y176" s="195"/>
      <c r="Z176" s="195"/>
      <c r="AA176" s="195"/>
      <c r="AB176" s="195"/>
      <c r="AC176" s="195"/>
      <c r="AD176" s="195"/>
      <c r="AE176" s="195"/>
      <c r="AF176" s="195"/>
      <c r="AG176" s="195"/>
      <c r="AH176" s="195"/>
      <c r="AI176" s="195"/>
      <c r="AJ176" s="195"/>
      <c r="AK176" s="195"/>
      <c r="AL176" s="195"/>
      <c r="AM176" s="195"/>
      <c r="AN176" s="195"/>
      <c r="AO176" s="195"/>
      <c r="AP176" s="195"/>
      <c r="AQ176" s="195"/>
      <c r="AR176" s="195"/>
      <c r="AS176" s="195"/>
      <c r="AT176" s="195"/>
      <c r="AU176" s="195"/>
      <c r="AV176" s="195"/>
      <c r="AW176" s="195"/>
      <c r="AX176" s="195"/>
      <c r="AY176" s="195"/>
      <c r="AZ176" s="195"/>
      <c r="BA176" s="195"/>
      <c r="BB176" s="195"/>
      <c r="BC176" s="195"/>
      <c r="BD176" s="195"/>
      <c r="BE176" s="195"/>
      <c r="BF176" s="195"/>
      <c r="BG176" s="195"/>
      <c r="BH176" s="195"/>
      <c r="BI176" s="195"/>
      <c r="BJ176" s="195"/>
      <c r="BK176" s="195"/>
    </row>
    <row r="177" spans="2:63" ht="15" customHeight="1" x14ac:dyDescent="0.2">
      <c r="B177" s="195"/>
      <c r="D177" s="195"/>
      <c r="F177" s="195"/>
      <c r="G177" s="195"/>
      <c r="H177" s="195"/>
      <c r="I177" s="195"/>
      <c r="J177" s="195"/>
      <c r="K177" s="195"/>
      <c r="L177" s="195"/>
      <c r="M177" s="195"/>
      <c r="N177" s="195"/>
      <c r="O177" s="195"/>
      <c r="P177" s="195"/>
      <c r="Q177" s="195"/>
      <c r="R177" s="195"/>
      <c r="S177" s="195"/>
      <c r="T177" s="195"/>
      <c r="U177" s="195"/>
      <c r="V177" s="195"/>
      <c r="W177" s="195"/>
      <c r="X177" s="195"/>
      <c r="Y177" s="195"/>
      <c r="Z177" s="195"/>
      <c r="AA177" s="195"/>
      <c r="AB177" s="195"/>
      <c r="AC177" s="195"/>
      <c r="AD177" s="195"/>
      <c r="AE177" s="195"/>
      <c r="AF177" s="195"/>
      <c r="AG177" s="195"/>
      <c r="AH177" s="195"/>
      <c r="AI177" s="195"/>
      <c r="AJ177" s="195"/>
      <c r="AK177" s="195"/>
      <c r="AL177" s="195"/>
      <c r="AM177" s="195"/>
      <c r="AN177" s="195"/>
      <c r="AO177" s="195"/>
      <c r="AP177" s="195"/>
      <c r="AQ177" s="195"/>
      <c r="AR177" s="195"/>
      <c r="AS177" s="195"/>
      <c r="AT177" s="195"/>
      <c r="AU177" s="195"/>
      <c r="AV177" s="195"/>
      <c r="AW177" s="195"/>
      <c r="AX177" s="195"/>
      <c r="AY177" s="195"/>
      <c r="AZ177" s="195"/>
      <c r="BA177" s="195"/>
      <c r="BB177" s="195"/>
      <c r="BC177" s="195"/>
      <c r="BD177" s="195"/>
      <c r="BE177" s="195"/>
      <c r="BF177" s="195"/>
      <c r="BG177" s="195"/>
      <c r="BH177" s="195"/>
      <c r="BI177" s="195"/>
      <c r="BJ177" s="195"/>
      <c r="BK177" s="195"/>
    </row>
    <row r="178" spans="2:63" ht="15" customHeight="1" x14ac:dyDescent="0.2">
      <c r="B178" s="195"/>
      <c r="D178" s="195"/>
      <c r="F178" s="195"/>
      <c r="G178" s="195"/>
      <c r="H178" s="195"/>
      <c r="I178" s="195"/>
      <c r="J178" s="195"/>
      <c r="K178" s="195"/>
      <c r="L178" s="195"/>
      <c r="M178" s="195"/>
      <c r="N178" s="195"/>
      <c r="O178" s="195"/>
      <c r="P178" s="195"/>
      <c r="Q178" s="195"/>
      <c r="R178" s="195"/>
      <c r="S178" s="195"/>
      <c r="T178" s="195"/>
      <c r="U178" s="195"/>
      <c r="V178" s="195"/>
      <c r="W178" s="195"/>
      <c r="X178" s="195"/>
      <c r="Y178" s="195"/>
      <c r="Z178" s="195"/>
      <c r="AA178" s="195"/>
      <c r="AB178" s="195"/>
      <c r="AC178" s="195"/>
      <c r="AD178" s="195"/>
      <c r="AE178" s="195"/>
      <c r="AF178" s="195"/>
      <c r="AG178" s="195"/>
      <c r="AH178" s="195"/>
      <c r="AI178" s="195"/>
      <c r="AJ178" s="195"/>
      <c r="AK178" s="195"/>
      <c r="AL178" s="195"/>
      <c r="AM178" s="195"/>
      <c r="AN178" s="195"/>
      <c r="AO178" s="195"/>
      <c r="AP178" s="195"/>
      <c r="AQ178" s="195"/>
      <c r="AR178" s="195"/>
      <c r="AS178" s="195"/>
      <c r="AT178" s="195"/>
      <c r="AU178" s="195"/>
      <c r="AV178" s="195"/>
      <c r="AW178" s="195"/>
      <c r="AX178" s="195"/>
      <c r="AY178" s="195"/>
      <c r="AZ178" s="195"/>
      <c r="BA178" s="195"/>
      <c r="BB178" s="195"/>
      <c r="BC178" s="195"/>
      <c r="BD178" s="195"/>
      <c r="BE178" s="195"/>
      <c r="BF178" s="195"/>
      <c r="BG178" s="195"/>
      <c r="BH178" s="195"/>
      <c r="BI178" s="195"/>
      <c r="BJ178" s="195"/>
      <c r="BK178" s="195"/>
    </row>
    <row r="179" spans="2:63" ht="15" customHeight="1" x14ac:dyDescent="0.2">
      <c r="B179" s="195"/>
      <c r="D179" s="195"/>
      <c r="F179" s="195"/>
      <c r="G179" s="195"/>
      <c r="H179" s="195"/>
      <c r="I179" s="195"/>
      <c r="J179" s="195"/>
      <c r="K179" s="195"/>
      <c r="L179" s="195"/>
      <c r="M179" s="195"/>
      <c r="N179" s="195"/>
      <c r="O179" s="195"/>
      <c r="P179" s="195"/>
      <c r="Q179" s="195"/>
      <c r="R179" s="195"/>
      <c r="S179" s="195"/>
      <c r="T179" s="195"/>
      <c r="U179" s="195"/>
      <c r="V179" s="195"/>
      <c r="W179" s="195"/>
      <c r="X179" s="195"/>
      <c r="Y179" s="195"/>
      <c r="Z179" s="195"/>
      <c r="AA179" s="195"/>
      <c r="AB179" s="195"/>
      <c r="AC179" s="195"/>
      <c r="AD179" s="195"/>
      <c r="AE179" s="195"/>
      <c r="AF179" s="195"/>
      <c r="AG179" s="195"/>
      <c r="AH179" s="195"/>
      <c r="AI179" s="195"/>
      <c r="AJ179" s="195"/>
      <c r="AK179" s="195"/>
      <c r="AL179" s="195"/>
      <c r="AM179" s="195"/>
      <c r="AN179" s="195"/>
      <c r="AO179" s="195"/>
      <c r="AP179" s="195"/>
      <c r="AQ179" s="195"/>
      <c r="AR179" s="195"/>
      <c r="AS179" s="195"/>
      <c r="AT179" s="195"/>
      <c r="AU179" s="195"/>
      <c r="AV179" s="195"/>
      <c r="AW179" s="195"/>
      <c r="AX179" s="195"/>
      <c r="AY179" s="195"/>
      <c r="AZ179" s="195"/>
      <c r="BA179" s="195"/>
      <c r="BB179" s="195"/>
      <c r="BC179" s="195"/>
      <c r="BD179" s="195"/>
      <c r="BE179" s="195"/>
      <c r="BF179" s="195"/>
      <c r="BG179" s="195"/>
      <c r="BH179" s="195"/>
      <c r="BI179" s="195"/>
      <c r="BJ179" s="195"/>
      <c r="BK179" s="195"/>
    </row>
    <row r="180" spans="2:63" ht="15" customHeight="1" x14ac:dyDescent="0.2">
      <c r="B180" s="195"/>
      <c r="D180" s="195"/>
      <c r="F180" s="195"/>
      <c r="G180" s="195"/>
      <c r="H180" s="195"/>
      <c r="I180" s="195"/>
      <c r="J180" s="195"/>
      <c r="K180" s="195"/>
      <c r="L180" s="195"/>
      <c r="M180" s="195"/>
      <c r="N180" s="195"/>
      <c r="O180" s="195"/>
      <c r="P180" s="195"/>
      <c r="Q180" s="195"/>
      <c r="R180" s="195"/>
      <c r="S180" s="195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  <c r="AH180" s="195"/>
      <c r="AI180" s="195"/>
      <c r="AJ180" s="195"/>
      <c r="AK180" s="195"/>
      <c r="AL180" s="195"/>
      <c r="AM180" s="195"/>
      <c r="AN180" s="195"/>
      <c r="AO180" s="195"/>
      <c r="AP180" s="195"/>
      <c r="AQ180" s="195"/>
      <c r="AR180" s="195"/>
      <c r="AS180" s="195"/>
      <c r="AT180" s="195"/>
      <c r="AU180" s="195"/>
      <c r="AV180" s="195"/>
      <c r="AW180" s="195"/>
      <c r="AX180" s="195"/>
      <c r="AY180" s="195"/>
      <c r="AZ180" s="195"/>
      <c r="BA180" s="195"/>
      <c r="BB180" s="195"/>
      <c r="BC180" s="195"/>
      <c r="BD180" s="195"/>
      <c r="BE180" s="195"/>
      <c r="BF180" s="195"/>
      <c r="BG180" s="195"/>
      <c r="BH180" s="195"/>
      <c r="BI180" s="195"/>
      <c r="BJ180" s="195"/>
      <c r="BK180" s="195"/>
    </row>
    <row r="181" spans="2:63" ht="15" customHeight="1" x14ac:dyDescent="0.2">
      <c r="B181" s="195"/>
      <c r="D181" s="195"/>
      <c r="F181" s="195"/>
      <c r="G181" s="195"/>
      <c r="H181" s="195"/>
      <c r="I181" s="195"/>
      <c r="J181" s="195"/>
      <c r="K181" s="195"/>
      <c r="L181" s="195"/>
      <c r="M181" s="195"/>
      <c r="N181" s="195"/>
      <c r="O181" s="195"/>
      <c r="P181" s="195"/>
      <c r="Q181" s="195"/>
      <c r="R181" s="195"/>
      <c r="S181" s="195"/>
      <c r="T181" s="195"/>
      <c r="U181" s="195"/>
      <c r="V181" s="195"/>
      <c r="W181" s="195"/>
      <c r="X181" s="195"/>
      <c r="Y181" s="195"/>
      <c r="Z181" s="195"/>
      <c r="AA181" s="195"/>
      <c r="AB181" s="195"/>
      <c r="AC181" s="195"/>
      <c r="AD181" s="195"/>
      <c r="AE181" s="195"/>
      <c r="AF181" s="195"/>
      <c r="AG181" s="195"/>
      <c r="AH181" s="195"/>
      <c r="AI181" s="195"/>
      <c r="AJ181" s="195"/>
      <c r="AK181" s="195"/>
      <c r="AL181" s="195"/>
      <c r="AM181" s="195"/>
      <c r="AN181" s="195"/>
      <c r="AO181" s="195"/>
      <c r="AP181" s="195"/>
      <c r="AQ181" s="195"/>
      <c r="AR181" s="195"/>
      <c r="AS181" s="195"/>
      <c r="AT181" s="195"/>
      <c r="AU181" s="195"/>
      <c r="AV181" s="195"/>
      <c r="AW181" s="195"/>
      <c r="AX181" s="195"/>
      <c r="AY181" s="195"/>
      <c r="AZ181" s="195"/>
      <c r="BA181" s="195"/>
      <c r="BB181" s="195"/>
      <c r="BC181" s="195"/>
      <c r="BD181" s="195"/>
      <c r="BE181" s="195"/>
      <c r="BF181" s="195"/>
      <c r="BG181" s="195"/>
      <c r="BH181" s="195"/>
      <c r="BI181" s="195"/>
      <c r="BJ181" s="195"/>
      <c r="BK181" s="195"/>
    </row>
    <row r="182" spans="2:63" ht="15" customHeight="1" x14ac:dyDescent="0.2">
      <c r="B182" s="195"/>
      <c r="D182" s="195"/>
      <c r="F182" s="195"/>
      <c r="G182" s="195"/>
      <c r="H182" s="195"/>
      <c r="I182" s="195"/>
      <c r="J182" s="195"/>
      <c r="K182" s="195"/>
      <c r="L182" s="195"/>
      <c r="M182" s="195"/>
      <c r="N182" s="195"/>
      <c r="O182" s="195"/>
      <c r="P182" s="195"/>
      <c r="Q182" s="195"/>
      <c r="R182" s="195"/>
      <c r="S182" s="195"/>
      <c r="T182" s="195"/>
      <c r="U182" s="195"/>
      <c r="V182" s="195"/>
      <c r="W182" s="195"/>
      <c r="X182" s="195"/>
      <c r="Y182" s="195"/>
      <c r="Z182" s="195"/>
      <c r="AA182" s="195"/>
      <c r="AB182" s="195"/>
      <c r="AC182" s="195"/>
      <c r="AD182" s="195"/>
      <c r="AE182" s="195"/>
      <c r="AF182" s="195"/>
      <c r="AG182" s="195"/>
      <c r="AH182" s="195"/>
      <c r="AI182" s="195"/>
      <c r="AJ182" s="195"/>
      <c r="AK182" s="195"/>
      <c r="AL182" s="195"/>
      <c r="AM182" s="195"/>
      <c r="AN182" s="195"/>
      <c r="AO182" s="195"/>
      <c r="AP182" s="195"/>
      <c r="AQ182" s="195"/>
      <c r="AR182" s="195"/>
      <c r="AS182" s="195"/>
      <c r="AT182" s="195"/>
      <c r="AU182" s="195"/>
      <c r="AV182" s="195"/>
      <c r="AW182" s="195"/>
      <c r="AX182" s="195"/>
      <c r="AY182" s="195"/>
      <c r="AZ182" s="195"/>
      <c r="BA182" s="195"/>
      <c r="BB182" s="195"/>
      <c r="BC182" s="195"/>
      <c r="BD182" s="195"/>
      <c r="BE182" s="195"/>
      <c r="BF182" s="195"/>
      <c r="BG182" s="195"/>
      <c r="BH182" s="195"/>
      <c r="BI182" s="195"/>
      <c r="BJ182" s="195"/>
      <c r="BK182" s="195"/>
    </row>
    <row r="183" spans="2:63" ht="15" customHeight="1" x14ac:dyDescent="0.2">
      <c r="B183" s="195"/>
      <c r="D183" s="195"/>
      <c r="F183" s="195"/>
      <c r="G183" s="195"/>
      <c r="H183" s="195"/>
      <c r="I183" s="195"/>
      <c r="J183" s="195"/>
      <c r="K183" s="195"/>
      <c r="L183" s="195"/>
      <c r="M183" s="195"/>
      <c r="N183" s="195"/>
      <c r="O183" s="195"/>
      <c r="P183" s="195"/>
      <c r="Q183" s="195"/>
      <c r="R183" s="195"/>
      <c r="S183" s="195"/>
      <c r="T183" s="195"/>
      <c r="U183" s="195"/>
      <c r="V183" s="195"/>
      <c r="W183" s="195"/>
      <c r="X183" s="195"/>
      <c r="Y183" s="195"/>
      <c r="Z183" s="195"/>
      <c r="AA183" s="195"/>
      <c r="AB183" s="195"/>
      <c r="AC183" s="195"/>
      <c r="AD183" s="195"/>
      <c r="AE183" s="195"/>
      <c r="AF183" s="195"/>
      <c r="AG183" s="195"/>
      <c r="AH183" s="195"/>
      <c r="AI183" s="195"/>
      <c r="AJ183" s="195"/>
      <c r="AK183" s="195"/>
      <c r="AL183" s="195"/>
      <c r="AM183" s="195"/>
      <c r="AN183" s="195"/>
      <c r="AO183" s="195"/>
      <c r="AP183" s="195"/>
      <c r="AQ183" s="195"/>
      <c r="AR183" s="195"/>
      <c r="AS183" s="195"/>
      <c r="AT183" s="195"/>
      <c r="AU183" s="195"/>
      <c r="AV183" s="195"/>
      <c r="AW183" s="195"/>
      <c r="AX183" s="195"/>
      <c r="AY183" s="195"/>
      <c r="AZ183" s="195"/>
      <c r="BA183" s="195"/>
      <c r="BB183" s="195"/>
      <c r="BC183" s="195"/>
      <c r="BD183" s="195"/>
      <c r="BE183" s="195"/>
      <c r="BF183" s="195"/>
      <c r="BG183" s="195"/>
      <c r="BH183" s="195"/>
      <c r="BI183" s="195"/>
      <c r="BJ183" s="195"/>
      <c r="BK183" s="195"/>
    </row>
    <row r="184" spans="2:63" ht="15" customHeight="1" x14ac:dyDescent="0.2">
      <c r="B184" s="195"/>
      <c r="D184" s="195"/>
      <c r="F184" s="195"/>
      <c r="G184" s="195"/>
      <c r="H184" s="195"/>
      <c r="I184" s="195"/>
      <c r="J184" s="195"/>
      <c r="K184" s="195"/>
      <c r="L184" s="195"/>
      <c r="M184" s="195"/>
      <c r="N184" s="195"/>
      <c r="O184" s="195"/>
      <c r="P184" s="195"/>
      <c r="Q184" s="195"/>
      <c r="R184" s="195"/>
      <c r="S184" s="195"/>
      <c r="T184" s="195"/>
      <c r="U184" s="195"/>
      <c r="V184" s="195"/>
      <c r="W184" s="195"/>
      <c r="X184" s="195"/>
      <c r="Y184" s="195"/>
      <c r="Z184" s="195"/>
      <c r="AA184" s="195"/>
      <c r="AB184" s="195"/>
      <c r="AC184" s="195"/>
      <c r="AD184" s="195"/>
      <c r="AE184" s="195"/>
      <c r="AF184" s="195"/>
      <c r="AG184" s="195"/>
      <c r="AH184" s="195"/>
      <c r="AI184" s="195"/>
      <c r="AJ184" s="195"/>
      <c r="AK184" s="195"/>
      <c r="AL184" s="195"/>
      <c r="AM184" s="195"/>
      <c r="AN184" s="195"/>
      <c r="AO184" s="195"/>
      <c r="AP184" s="195"/>
      <c r="AQ184" s="195"/>
      <c r="AR184" s="195"/>
      <c r="AS184" s="195"/>
      <c r="AT184" s="195"/>
      <c r="AU184" s="195"/>
      <c r="AV184" s="195"/>
      <c r="AW184" s="195"/>
      <c r="AX184" s="195"/>
      <c r="AY184" s="195"/>
      <c r="AZ184" s="195"/>
      <c r="BA184" s="195"/>
      <c r="BB184" s="195"/>
      <c r="BC184" s="195"/>
      <c r="BD184" s="195"/>
      <c r="BE184" s="195"/>
      <c r="BF184" s="195"/>
      <c r="BG184" s="195"/>
      <c r="BH184" s="195"/>
      <c r="BI184" s="195"/>
      <c r="BJ184" s="195"/>
      <c r="BK184" s="195"/>
    </row>
    <row r="185" spans="2:63" ht="15" customHeight="1" x14ac:dyDescent="0.2">
      <c r="B185" s="195"/>
      <c r="D185" s="195"/>
      <c r="F185" s="195"/>
      <c r="G185" s="195"/>
      <c r="H185" s="195"/>
      <c r="I185" s="195"/>
      <c r="J185" s="195"/>
      <c r="K185" s="195"/>
      <c r="L185" s="195"/>
      <c r="M185" s="195"/>
      <c r="N185" s="195"/>
      <c r="O185" s="195"/>
      <c r="P185" s="195"/>
      <c r="Q185" s="195"/>
      <c r="R185" s="195"/>
      <c r="S185" s="195"/>
      <c r="T185" s="195"/>
      <c r="U185" s="195"/>
      <c r="V185" s="195"/>
      <c r="W185" s="195"/>
      <c r="X185" s="195"/>
      <c r="Y185" s="195"/>
      <c r="Z185" s="195"/>
      <c r="AA185" s="195"/>
      <c r="AB185" s="195"/>
      <c r="AC185" s="195"/>
      <c r="AD185" s="195"/>
      <c r="AE185" s="195"/>
      <c r="AF185" s="195"/>
      <c r="AG185" s="195"/>
      <c r="AH185" s="195"/>
      <c r="AI185" s="195"/>
      <c r="AJ185" s="195"/>
      <c r="AK185" s="195"/>
      <c r="AL185" s="195"/>
      <c r="AM185" s="195"/>
      <c r="AN185" s="195"/>
      <c r="AO185" s="195"/>
      <c r="AP185" s="195"/>
      <c r="AQ185" s="195"/>
      <c r="AR185" s="195"/>
      <c r="AS185" s="195"/>
      <c r="AT185" s="195"/>
      <c r="AU185" s="195"/>
      <c r="AV185" s="195"/>
      <c r="AW185" s="195"/>
      <c r="AX185" s="195"/>
      <c r="AY185" s="195"/>
      <c r="AZ185" s="195"/>
      <c r="BA185" s="195"/>
      <c r="BB185" s="195"/>
      <c r="BC185" s="195"/>
      <c r="BD185" s="195"/>
      <c r="BE185" s="195"/>
      <c r="BF185" s="195"/>
      <c r="BG185" s="195"/>
      <c r="BH185" s="195"/>
      <c r="BI185" s="195"/>
      <c r="BJ185" s="195"/>
      <c r="BK185" s="195"/>
    </row>
    <row r="186" spans="2:63" ht="15" customHeight="1" x14ac:dyDescent="0.2">
      <c r="B186" s="195"/>
      <c r="D186" s="195"/>
      <c r="F186" s="195"/>
      <c r="G186" s="195"/>
      <c r="H186" s="195"/>
      <c r="I186" s="195"/>
      <c r="J186" s="195"/>
      <c r="K186" s="195"/>
      <c r="L186" s="195"/>
      <c r="M186" s="195"/>
      <c r="N186" s="195"/>
      <c r="O186" s="195"/>
      <c r="P186" s="195"/>
      <c r="Q186" s="195"/>
      <c r="R186" s="195"/>
      <c r="S186" s="195"/>
      <c r="T186" s="195"/>
      <c r="U186" s="195"/>
      <c r="V186" s="195"/>
      <c r="W186" s="195"/>
      <c r="X186" s="195"/>
      <c r="Y186" s="195"/>
      <c r="Z186" s="195"/>
      <c r="AA186" s="195"/>
      <c r="AB186" s="195"/>
      <c r="AC186" s="195"/>
      <c r="AD186" s="195"/>
      <c r="AE186" s="195"/>
      <c r="AF186" s="195"/>
      <c r="AG186" s="195"/>
      <c r="AH186" s="195"/>
      <c r="AI186" s="195"/>
      <c r="AJ186" s="195"/>
      <c r="AK186" s="195"/>
      <c r="AL186" s="195"/>
      <c r="AM186" s="195"/>
      <c r="AN186" s="195"/>
      <c r="AO186" s="195"/>
      <c r="AP186" s="195"/>
      <c r="AQ186" s="195"/>
      <c r="AR186" s="195"/>
      <c r="AS186" s="195"/>
      <c r="AT186" s="195"/>
      <c r="AU186" s="195"/>
      <c r="AV186" s="195"/>
      <c r="AW186" s="195"/>
      <c r="AX186" s="195"/>
      <c r="AY186" s="195"/>
      <c r="AZ186" s="195"/>
      <c r="BA186" s="195"/>
      <c r="BB186" s="195"/>
      <c r="BC186" s="195"/>
      <c r="BD186" s="195"/>
      <c r="BE186" s="195"/>
      <c r="BF186" s="195"/>
      <c r="BG186" s="195"/>
      <c r="BH186" s="195"/>
      <c r="BI186" s="195"/>
      <c r="BJ186" s="195"/>
      <c r="BK186" s="195"/>
    </row>
    <row r="187" spans="2:63" ht="15" customHeight="1" x14ac:dyDescent="0.2">
      <c r="B187" s="195"/>
      <c r="D187" s="195"/>
      <c r="F187" s="195"/>
      <c r="G187" s="195"/>
      <c r="H187" s="195"/>
      <c r="I187" s="195"/>
      <c r="J187" s="195"/>
      <c r="K187" s="195"/>
      <c r="L187" s="195"/>
      <c r="M187" s="195"/>
      <c r="N187" s="195"/>
      <c r="O187" s="195"/>
      <c r="P187" s="195"/>
      <c r="Q187" s="195"/>
      <c r="R187" s="195"/>
      <c r="S187" s="195"/>
      <c r="T187" s="195"/>
      <c r="U187" s="195"/>
      <c r="V187" s="195"/>
      <c r="W187" s="195"/>
      <c r="X187" s="195"/>
      <c r="Y187" s="195"/>
      <c r="Z187" s="195"/>
      <c r="AA187" s="195"/>
      <c r="AB187" s="195"/>
      <c r="AC187" s="195"/>
      <c r="AD187" s="195"/>
      <c r="AE187" s="195"/>
      <c r="AF187" s="195"/>
      <c r="AG187" s="195"/>
      <c r="AH187" s="195"/>
      <c r="AI187" s="195"/>
      <c r="AJ187" s="195"/>
      <c r="AK187" s="195"/>
      <c r="AL187" s="195"/>
      <c r="AM187" s="195"/>
      <c r="AN187" s="195"/>
      <c r="AO187" s="195"/>
      <c r="AP187" s="195"/>
      <c r="AQ187" s="195"/>
      <c r="AR187" s="195"/>
      <c r="AS187" s="195"/>
      <c r="AT187" s="195"/>
      <c r="AU187" s="195"/>
      <c r="AV187" s="195"/>
      <c r="AW187" s="195"/>
      <c r="AX187" s="195"/>
      <c r="AY187" s="195"/>
      <c r="AZ187" s="195"/>
      <c r="BA187" s="195"/>
      <c r="BB187" s="195"/>
      <c r="BC187" s="195"/>
      <c r="BD187" s="195"/>
      <c r="BE187" s="195"/>
      <c r="BF187" s="195"/>
      <c r="BG187" s="195"/>
      <c r="BH187" s="195"/>
      <c r="BI187" s="195"/>
      <c r="BJ187" s="195"/>
      <c r="BK187" s="195"/>
    </row>
  </sheetData>
  <mergeCells count="62">
    <mergeCell ref="F118:H118"/>
    <mergeCell ref="I118:K118"/>
    <mergeCell ref="L118:N118"/>
    <mergeCell ref="G153:H153"/>
    <mergeCell ref="F100:O100"/>
    <mergeCell ref="H128:I128"/>
    <mergeCell ref="J128:K128"/>
    <mergeCell ref="O128:P128"/>
    <mergeCell ref="O153:P153"/>
    <mergeCell ref="F9:S9"/>
    <mergeCell ref="U9:AC9"/>
    <mergeCell ref="U20:AF20"/>
    <mergeCell ref="U128:V128"/>
    <mergeCell ref="W128:X128"/>
    <mergeCell ref="P100:X100"/>
    <mergeCell ref="F117:W117"/>
    <mergeCell ref="U118:W118"/>
    <mergeCell ref="S128:T128"/>
    <mergeCell ref="R118:T118"/>
    <mergeCell ref="F128:G128"/>
    <mergeCell ref="L128:M128"/>
    <mergeCell ref="O118:Q118"/>
    <mergeCell ref="N28:P28"/>
    <mergeCell ref="Q28:S28"/>
    <mergeCell ref="T28:V28"/>
    <mergeCell ref="I153:J153"/>
    <mergeCell ref="P85:R85"/>
    <mergeCell ref="S85:U85"/>
    <mergeCell ref="V85:X85"/>
    <mergeCell ref="Y153:Z153"/>
    <mergeCell ref="M153:N153"/>
    <mergeCell ref="K153:L153"/>
    <mergeCell ref="Q128:R128"/>
    <mergeCell ref="G85:I85"/>
    <mergeCell ref="J85:L85"/>
    <mergeCell ref="M85:O85"/>
    <mergeCell ref="W153:X153"/>
    <mergeCell ref="Q153:R153"/>
    <mergeCell ref="S153:T153"/>
    <mergeCell ref="U153:V153"/>
    <mergeCell ref="U47:W47"/>
    <mergeCell ref="X47:Z47"/>
    <mergeCell ref="AA47:AC47"/>
    <mergeCell ref="K28:M28"/>
    <mergeCell ref="W28:Y28"/>
    <mergeCell ref="Z28:AB28"/>
    <mergeCell ref="AG9:AI9"/>
    <mergeCell ref="F127:M127"/>
    <mergeCell ref="O127:X127"/>
    <mergeCell ref="F152:Z152"/>
    <mergeCell ref="AG47:AI47"/>
    <mergeCell ref="F70:J70"/>
    <mergeCell ref="K70:O70"/>
    <mergeCell ref="P70:T70"/>
    <mergeCell ref="U70:Y70"/>
    <mergeCell ref="AD47:AF47"/>
    <mergeCell ref="AE9:AF9"/>
    <mergeCell ref="AC28:AE28"/>
    <mergeCell ref="F47:I47"/>
    <mergeCell ref="L47:N47"/>
    <mergeCell ref="O47:Q47"/>
    <mergeCell ref="R47:T47"/>
  </mergeCells>
  <phoneticPr fontId="1" type="noConversion"/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18" r:id="rId4" name="cboLiborQuoteType">
          <controlPr defaultSize="0" autoLine="0" r:id="rId5">
            <anchor moveWithCells="1">
              <from>
                <xdr:col>6</xdr:col>
                <xdr:colOff>285750</xdr:colOff>
                <xdr:row>25</xdr:row>
                <xdr:rowOff>0</xdr:rowOff>
              </from>
              <to>
                <xdr:col>8</xdr:col>
                <xdr:colOff>0</xdr:colOff>
                <xdr:row>26</xdr:row>
                <xdr:rowOff>104775</xdr:rowOff>
              </to>
            </anchor>
          </controlPr>
        </control>
      </mc:Choice>
      <mc:Fallback>
        <control shapeId="1318" r:id="rId4" name="cboLiborQuoteType"/>
      </mc:Fallback>
    </mc:AlternateContent>
    <mc:AlternateContent xmlns:mc="http://schemas.openxmlformats.org/markup-compatibility/2006">
      <mc:Choice Requires="x14">
        <control shapeId="1303" r:id="rId6" name="btnIVSP">
          <controlPr defaultSize="0" autoLine="0" r:id="rId7">
            <anchor moveWithCells="1">
              <from>
                <xdr:col>1</xdr:col>
                <xdr:colOff>0</xdr:colOff>
                <xdr:row>41</xdr:row>
                <xdr:rowOff>19050</xdr:rowOff>
              </from>
              <to>
                <xdr:col>2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1303" r:id="rId6" name="btnIVSP"/>
      </mc:Fallback>
    </mc:AlternateContent>
    <mc:AlternateContent xmlns:mc="http://schemas.openxmlformats.org/markup-compatibility/2006">
      <mc:Choice Requires="x14">
        <control shapeId="1276" r:id="rId8" name="btnMARS">
          <controlPr defaultSize="0" autoLine="0" r:id="rId9">
            <anchor moveWithCells="1">
              <from>
                <xdr:col>1</xdr:col>
                <xdr:colOff>0</xdr:colOff>
                <xdr:row>38</xdr:row>
                <xdr:rowOff>104775</xdr:rowOff>
              </from>
              <to>
                <xdr:col>2</xdr:col>
                <xdr:colOff>19050</xdr:colOff>
                <xdr:row>40</xdr:row>
                <xdr:rowOff>85725</xdr:rowOff>
              </to>
            </anchor>
          </controlPr>
        </control>
      </mc:Choice>
      <mc:Fallback>
        <control shapeId="1276" r:id="rId8" name="btnMARS"/>
      </mc:Fallback>
    </mc:AlternateContent>
    <mc:AlternateContent xmlns:mc="http://schemas.openxmlformats.org/markup-compatibility/2006">
      <mc:Choice Requires="x14">
        <control shapeId="1275" r:id="rId10" name="btnXHSSA">
          <controlPr defaultSize="0" autoLine="0" r:id="rId11">
            <anchor moveWithCells="1">
              <from>
                <xdr:col>1</xdr:col>
                <xdr:colOff>0</xdr:colOff>
                <xdr:row>21</xdr:row>
                <xdr:rowOff>104775</xdr:rowOff>
              </from>
              <to>
                <xdr:col>2</xdr:col>
                <xdr:colOff>9525</xdr:colOff>
                <xdr:row>23</xdr:row>
                <xdr:rowOff>180975</xdr:rowOff>
              </to>
            </anchor>
          </controlPr>
        </control>
      </mc:Choice>
      <mc:Fallback>
        <control shapeId="1275" r:id="rId10" name="btnXHSSA"/>
      </mc:Fallback>
    </mc:AlternateContent>
    <mc:AlternateContent xmlns:mc="http://schemas.openxmlformats.org/markup-compatibility/2006">
      <mc:Choice Requires="x14">
        <control shapeId="1092" r:id="rId12" name="btnIRSB">
          <controlPr defaultSize="0" autoLine="0" r:id="rId13">
            <anchor moveWithCells="1">
              <from>
                <xdr:col>1</xdr:col>
                <xdr:colOff>0</xdr:colOff>
                <xdr:row>35</xdr:row>
                <xdr:rowOff>180975</xdr:rowOff>
              </from>
              <to>
                <xdr:col>2</xdr:col>
                <xdr:colOff>19050</xdr:colOff>
                <xdr:row>37</xdr:row>
                <xdr:rowOff>161925</xdr:rowOff>
              </to>
            </anchor>
          </controlPr>
        </control>
      </mc:Choice>
      <mc:Fallback>
        <control shapeId="1092" r:id="rId12" name="btnIRSB"/>
      </mc:Fallback>
    </mc:AlternateContent>
    <mc:AlternateContent xmlns:mc="http://schemas.openxmlformats.org/markup-compatibility/2006">
      <mc:Choice Requires="x14">
        <control shapeId="1091" r:id="rId14" name="btnUSSW">
          <controlPr defaultSize="0" autoLine="0" r:id="rId15">
            <anchor moveWithCells="1">
              <from>
                <xdr:col>1</xdr:col>
                <xdr:colOff>0</xdr:colOff>
                <xdr:row>33</xdr:row>
                <xdr:rowOff>66675</xdr:rowOff>
              </from>
              <to>
                <xdr:col>2</xdr:col>
                <xdr:colOff>19050</xdr:colOff>
                <xdr:row>35</xdr:row>
                <xdr:rowOff>47625</xdr:rowOff>
              </to>
            </anchor>
          </controlPr>
        </control>
      </mc:Choice>
      <mc:Fallback>
        <control shapeId="1091" r:id="rId14" name="btnUSSW"/>
      </mc:Fallback>
    </mc:AlternateContent>
    <mc:AlternateContent xmlns:mc="http://schemas.openxmlformats.org/markup-compatibility/2006">
      <mc:Choice Requires="x14">
        <control shapeId="1090" r:id="rId16" name="btnICVS">
          <controlPr defaultSize="0" autoLine="0" r:id="rId17">
            <anchor moveWithCells="1">
              <from>
                <xdr:col>1</xdr:col>
                <xdr:colOff>0</xdr:colOff>
                <xdr:row>30</xdr:row>
                <xdr:rowOff>152400</xdr:rowOff>
              </from>
              <to>
                <xdr:col>2</xdr:col>
                <xdr:colOff>19050</xdr:colOff>
                <xdr:row>32</xdr:row>
                <xdr:rowOff>133350</xdr:rowOff>
              </to>
            </anchor>
          </controlPr>
        </control>
      </mc:Choice>
      <mc:Fallback>
        <control shapeId="1090" r:id="rId16" name="btnICVS"/>
      </mc:Fallback>
    </mc:AlternateContent>
    <mc:AlternateContent xmlns:mc="http://schemas.openxmlformats.org/markup-compatibility/2006">
      <mc:Choice Requires="x14">
        <control shapeId="1089" r:id="rId18" name="btnBTMM">
          <controlPr defaultSize="0" autoLine="0" r:id="rId19">
            <anchor moveWithCells="1">
              <from>
                <xdr:col>1</xdr:col>
                <xdr:colOff>0</xdr:colOff>
                <xdr:row>28</xdr:row>
                <xdr:rowOff>47625</xdr:rowOff>
              </from>
              <to>
                <xdr:col>2</xdr:col>
                <xdr:colOff>19050</xdr:colOff>
                <xdr:row>30</xdr:row>
                <xdr:rowOff>28575</xdr:rowOff>
              </to>
            </anchor>
          </controlPr>
        </control>
      </mc:Choice>
      <mc:Fallback>
        <control shapeId="1089" r:id="rId18" name="btnBTMM"/>
      </mc:Fallback>
    </mc:AlternateContent>
    <mc:AlternateContent xmlns:mc="http://schemas.openxmlformats.org/markup-compatibility/2006">
      <mc:Choice Requires="x14">
        <control shapeId="1088" r:id="rId20" name="btnSWPM">
          <controlPr defaultSize="0" autoLine="0" r:id="rId21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9525</xdr:colOff>
                <xdr:row>27</xdr:row>
                <xdr:rowOff>361950</xdr:rowOff>
              </to>
            </anchor>
          </controlPr>
        </control>
      </mc:Choice>
      <mc:Fallback>
        <control shapeId="1088" r:id="rId20" name="btnSWPM"/>
      </mc:Fallback>
    </mc:AlternateContent>
    <mc:AlternateContent xmlns:mc="http://schemas.openxmlformats.org/markup-compatibility/2006">
      <mc:Choice Requires="x14">
        <control shapeId="1087" r:id="rId22" name="btnXKRD">
          <controlPr defaultSize="0" autoLine="0" r:id="rId23">
            <anchor moveWithCells="1">
              <from>
                <xdr:col>1</xdr:col>
                <xdr:colOff>0</xdr:colOff>
                <xdr:row>18</xdr:row>
                <xdr:rowOff>57150</xdr:rowOff>
              </from>
              <to>
                <xdr:col>2</xdr:col>
                <xdr:colOff>9525</xdr:colOff>
                <xdr:row>20</xdr:row>
                <xdr:rowOff>133350</xdr:rowOff>
              </to>
            </anchor>
          </controlPr>
        </control>
      </mc:Choice>
      <mc:Fallback>
        <control shapeId="1087" r:id="rId22" name="btnXKRD"/>
      </mc:Fallback>
    </mc:AlternateContent>
    <mc:AlternateContent xmlns:mc="http://schemas.openxmlformats.org/markup-compatibility/2006">
      <mc:Choice Requires="x14">
        <control shapeId="1072" r:id="rId24" name="btnXOIP">
          <controlPr defaultSize="0" autoLine="0" r:id="rId25">
            <anchor moveWithCells="1">
              <from>
                <xdr:col>1</xdr:col>
                <xdr:colOff>0</xdr:colOff>
                <xdr:row>15</xdr:row>
                <xdr:rowOff>9525</xdr:rowOff>
              </from>
              <to>
                <xdr:col>2</xdr:col>
                <xdr:colOff>9525</xdr:colOff>
                <xdr:row>17</xdr:row>
                <xdr:rowOff>85725</xdr:rowOff>
              </to>
            </anchor>
          </controlPr>
        </control>
      </mc:Choice>
      <mc:Fallback>
        <control shapeId="1072" r:id="rId24" name="btnXOIP"/>
      </mc:Fallback>
    </mc:AlternateContent>
    <mc:AlternateContent xmlns:mc="http://schemas.openxmlformats.org/markup-compatibility/2006">
      <mc:Choice Requires="x14">
        <control shapeId="1071" r:id="rId26" name="btnXVLA">
          <controlPr defaultSize="0" autoLine="0" r:id="rId27">
            <anchor moveWithCells="1">
              <from>
                <xdr:col>1</xdr:col>
                <xdr:colOff>0</xdr:colOff>
                <xdr:row>11</xdr:row>
                <xdr:rowOff>133350</xdr:rowOff>
              </from>
              <to>
                <xdr:col>2</xdr:col>
                <xdr:colOff>9525</xdr:colOff>
                <xdr:row>14</xdr:row>
                <xdr:rowOff>19050</xdr:rowOff>
              </to>
            </anchor>
          </controlPr>
        </control>
      </mc:Choice>
      <mc:Fallback>
        <control shapeId="1071" r:id="rId26" name="btnXVLA"/>
      </mc:Fallback>
    </mc:AlternateContent>
    <mc:AlternateContent xmlns:mc="http://schemas.openxmlformats.org/markup-compatibility/2006">
      <mc:Choice Requires="x14">
        <control shapeId="1070" r:id="rId28" name="btnXBCY">
          <controlPr defaultSize="0" autoLine="0" r:id="rId29">
            <anchor moveWithCells="1">
              <from>
                <xdr:col>1</xdr:col>
                <xdr:colOff>0</xdr:colOff>
                <xdr:row>9</xdr:row>
                <xdr:rowOff>161925</xdr:rowOff>
              </from>
              <to>
                <xdr:col>2</xdr:col>
                <xdr:colOff>9525</xdr:colOff>
                <xdr:row>10</xdr:row>
                <xdr:rowOff>180975</xdr:rowOff>
              </to>
            </anchor>
          </controlPr>
        </control>
      </mc:Choice>
      <mc:Fallback>
        <control shapeId="1070" r:id="rId28" name="btnXBCY"/>
      </mc:Fallback>
    </mc:AlternateContent>
    <mc:AlternateContent xmlns:mc="http://schemas.openxmlformats.org/markup-compatibility/2006">
      <mc:Choice Requires="x14">
        <control shapeId="1069" r:id="rId30" name="btnXRLD">
          <controlPr defaultSize="0" autoLine="0" r:id="rId31">
            <anchor moveWithCells="1">
              <from>
                <xdr:col>1</xdr:col>
                <xdr:colOff>0</xdr:colOff>
                <xdr:row>8</xdr:row>
                <xdr:rowOff>19050</xdr:rowOff>
              </from>
              <to>
                <xdr:col>2</xdr:col>
                <xdr:colOff>19050</xdr:colOff>
                <xdr:row>9</xdr:row>
                <xdr:rowOff>28575</xdr:rowOff>
              </to>
            </anchor>
          </controlPr>
        </control>
      </mc:Choice>
      <mc:Fallback>
        <control shapeId="1069" r:id="rId30" name="btnXRLD"/>
      </mc:Fallback>
    </mc:AlternateContent>
    <mc:AlternateContent xmlns:mc="http://schemas.openxmlformats.org/markup-compatibility/2006">
      <mc:Choice Requires="x14">
        <control shapeId="1040" r:id="rId32" name="cboGlobalMaturity">
          <controlPr defaultSize="0" autoFill="0" autoLine="0" r:id="rId33">
            <anchor moveWithCells="1">
              <from>
                <xdr:col>33</xdr:col>
                <xdr:colOff>171450</xdr:colOff>
                <xdr:row>8</xdr:row>
                <xdr:rowOff>47625</xdr:rowOff>
              </from>
              <to>
                <xdr:col>34</xdr:col>
                <xdr:colOff>514350</xdr:colOff>
                <xdr:row>8</xdr:row>
                <xdr:rowOff>342900</xdr:rowOff>
              </to>
            </anchor>
          </controlPr>
        </control>
      </mc:Choice>
      <mc:Fallback>
        <control shapeId="1040" r:id="rId32" name="cboGlobalMaturity"/>
      </mc:Fallback>
    </mc:AlternateContent>
    <mc:AlternateContent xmlns:mc="http://schemas.openxmlformats.org/markup-compatibility/2006">
      <mc:Choice Requires="x14">
        <control shapeId="1039" r:id="rId34" name="cboFRA">
          <controlPr defaultSize="0" autoLine="0" r:id="rId35">
            <anchor moveWithCells="1">
              <from>
                <xdr:col>6</xdr:col>
                <xdr:colOff>9525</xdr:colOff>
                <xdr:row>123</xdr:row>
                <xdr:rowOff>171450</xdr:rowOff>
              </from>
              <to>
                <xdr:col>8</xdr:col>
                <xdr:colOff>352425</xdr:colOff>
                <xdr:row>125</xdr:row>
                <xdr:rowOff>66675</xdr:rowOff>
              </to>
            </anchor>
          </controlPr>
        </control>
      </mc:Choice>
      <mc:Fallback>
        <control shapeId="1039" r:id="rId34" name="cboFRA"/>
      </mc:Fallback>
    </mc:AlternateContent>
    <mc:AlternateContent xmlns:mc="http://schemas.openxmlformats.org/markup-compatibility/2006">
      <mc:Choice Requires="x14">
        <control shapeId="1038" r:id="rId36" name="cboVols">
          <controlPr defaultSize="0" autoLine="0" r:id="rId37">
            <anchor moveWithCells="1">
              <from>
                <xdr:col>6</xdr:col>
                <xdr:colOff>9525</xdr:colOff>
                <xdr:row>97</xdr:row>
                <xdr:rowOff>28575</xdr:rowOff>
              </from>
              <to>
                <xdr:col>8</xdr:col>
                <xdr:colOff>342900</xdr:colOff>
                <xdr:row>98</xdr:row>
                <xdr:rowOff>114300</xdr:rowOff>
              </to>
            </anchor>
          </controlPr>
        </control>
      </mc:Choice>
      <mc:Fallback>
        <control shapeId="1038" r:id="rId36" name="cboVols"/>
      </mc:Fallback>
    </mc:AlternateContent>
    <mc:AlternateContent xmlns:mc="http://schemas.openxmlformats.org/markup-compatibility/2006">
      <mc:Choice Requires="x14">
        <control shapeId="1037" r:id="rId38" name="cboBasisSwaps">
          <controlPr defaultSize="0" autoLine="0" r:id="rId39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13</xdr:col>
                <xdr:colOff>371475</xdr:colOff>
                <xdr:row>45</xdr:row>
                <xdr:rowOff>85725</xdr:rowOff>
              </to>
            </anchor>
          </controlPr>
        </control>
      </mc:Choice>
      <mc:Fallback>
        <control shapeId="1037" r:id="rId38" name="cboBasisSwaps"/>
      </mc:Fallback>
    </mc:AlternateContent>
    <mc:AlternateContent xmlns:mc="http://schemas.openxmlformats.org/markup-compatibility/2006">
      <mc:Choice Requires="x14">
        <control shapeId="1034" r:id="rId40" name="cboOIS">
          <controlPr defaultSize="0" autoLine="0" r:id="rId41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8</xdr:col>
                <xdr:colOff>342900</xdr:colOff>
                <xdr:row>45</xdr:row>
                <xdr:rowOff>85725</xdr:rowOff>
              </to>
            </anchor>
          </controlPr>
        </control>
      </mc:Choice>
      <mc:Fallback>
        <control shapeId="1034" r:id="rId40" name="cboOIS"/>
      </mc:Fallback>
    </mc:AlternateContent>
    <mc:AlternateContent xmlns:mc="http://schemas.openxmlformats.org/markup-compatibility/2006">
      <mc:Choice Requires="x14">
        <control shapeId="1032" r:id="rId42" name="cboDisplayType">
          <controlPr defaultSize="0" autoLine="0" r:id="rId43">
            <anchor moveWithCells="1">
              <from>
                <xdr:col>16</xdr:col>
                <xdr:colOff>0</xdr:colOff>
                <xdr:row>25</xdr:row>
                <xdr:rowOff>0</xdr:rowOff>
              </from>
              <to>
                <xdr:col>17</xdr:col>
                <xdr:colOff>371475</xdr:colOff>
                <xdr:row>26</xdr:row>
                <xdr:rowOff>85725</xdr:rowOff>
              </to>
            </anchor>
          </controlPr>
        </control>
      </mc:Choice>
      <mc:Fallback>
        <control shapeId="1032" r:id="rId42" name="cboDisplayType"/>
      </mc:Fallback>
    </mc:AlternateContent>
    <mc:AlternateContent xmlns:mc="http://schemas.openxmlformats.org/markup-compatibility/2006">
      <mc:Choice Requires="x14">
        <control shapeId="1031" r:id="rId44" name="cboSwapBroker">
          <controlPr defaultSize="0" autoLine="0" r:id="rId4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371475</xdr:colOff>
                <xdr:row>26</xdr:row>
                <xdr:rowOff>85725</xdr:rowOff>
              </to>
            </anchor>
          </controlPr>
        </control>
      </mc:Choice>
      <mc:Fallback>
        <control shapeId="1031" r:id="rId44" name="cboSwapBroker"/>
      </mc:Fallback>
    </mc:AlternateContent>
    <mc:AlternateContent xmlns:mc="http://schemas.openxmlformats.org/markup-compatibility/2006">
      <mc:Choice Requires="x14">
        <control shapeId="1030" r:id="rId46" name="cboLocator">
          <controlPr defaultSize="0" autoLine="0" r:id="rId47">
            <anchor moveWithCells="1">
              <from>
                <xdr:col>6</xdr:col>
                <xdr:colOff>285750</xdr:colOff>
                <xdr:row>6</xdr:row>
                <xdr:rowOff>9525</xdr:rowOff>
              </from>
              <to>
                <xdr:col>8</xdr:col>
                <xdr:colOff>600075</xdr:colOff>
                <xdr:row>7</xdr:row>
                <xdr:rowOff>95250</xdr:rowOff>
              </to>
            </anchor>
          </controlPr>
        </control>
      </mc:Choice>
      <mc:Fallback>
        <control shapeId="1030" r:id="rId46" name="cboLocat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B8" sqref="B8"/>
    </sheetView>
  </sheetViews>
  <sheetFormatPr defaultRowHeight="12.75" x14ac:dyDescent="0.2"/>
  <cols>
    <col min="1" max="1" width="25.28515625" customWidth="1"/>
  </cols>
  <sheetData>
    <row r="1" spans="1:15" x14ac:dyDescent="0.2">
      <c r="A1" t="s">
        <v>122</v>
      </c>
      <c r="B1" s="2" t="s">
        <v>124</v>
      </c>
      <c r="I1" s="3"/>
      <c r="J1" s="3"/>
      <c r="K1" s="3"/>
      <c r="L1" s="3"/>
      <c r="M1" s="3"/>
      <c r="N1" s="3"/>
      <c r="O1" s="3"/>
    </row>
    <row r="2" spans="1:15" x14ac:dyDescent="0.2">
      <c r="A2" t="s">
        <v>123</v>
      </c>
      <c r="B2" s="1" t="s">
        <v>240</v>
      </c>
      <c r="I2" s="3"/>
      <c r="J2" s="3"/>
      <c r="K2" s="3"/>
      <c r="L2" s="3"/>
      <c r="M2" s="3"/>
      <c r="N2" s="3"/>
      <c r="O2" s="3"/>
    </row>
    <row r="3" spans="1:15" x14ac:dyDescent="0.2">
      <c r="A3" t="s">
        <v>125</v>
      </c>
      <c r="B3" s="4" t="s">
        <v>124</v>
      </c>
      <c r="I3" s="3"/>
      <c r="J3" s="3"/>
      <c r="K3" s="3"/>
      <c r="L3" s="3"/>
      <c r="M3" s="3"/>
      <c r="N3" s="3"/>
      <c r="O3" s="3"/>
    </row>
    <row r="4" spans="1:15" x14ac:dyDescent="0.2">
      <c r="A4" t="s">
        <v>126</v>
      </c>
      <c r="B4" s="5" t="s">
        <v>124</v>
      </c>
      <c r="I4" s="3"/>
      <c r="J4" s="3"/>
      <c r="K4" s="3"/>
      <c r="L4" s="3"/>
      <c r="M4" s="3"/>
      <c r="N4" s="3"/>
      <c r="O4" s="3"/>
    </row>
    <row r="5" spans="1:15" x14ac:dyDescent="0.2">
      <c r="A5" t="s">
        <v>127</v>
      </c>
      <c r="B5" s="6" t="s">
        <v>124</v>
      </c>
      <c r="I5" s="3"/>
      <c r="J5" s="3"/>
      <c r="K5" s="3"/>
      <c r="L5" s="3"/>
      <c r="M5" s="3"/>
      <c r="N5" s="3"/>
      <c r="O5" s="3"/>
    </row>
    <row r="6" spans="1:15" x14ac:dyDescent="0.2">
      <c r="A6" t="s">
        <v>193</v>
      </c>
      <c r="B6" s="4" t="s">
        <v>124</v>
      </c>
      <c r="I6" s="3"/>
      <c r="J6" s="3"/>
      <c r="K6" s="3"/>
      <c r="L6" s="3"/>
      <c r="M6" s="3"/>
      <c r="N6" s="3"/>
      <c r="O6" s="3"/>
    </row>
    <row r="7" spans="1:15" x14ac:dyDescent="0.2">
      <c r="A7" t="s">
        <v>238</v>
      </c>
      <c r="B7" s="8">
        <v>10</v>
      </c>
      <c r="I7" s="3"/>
      <c r="J7" s="3"/>
      <c r="K7" s="3"/>
      <c r="L7" s="3"/>
      <c r="M7" s="3"/>
      <c r="N7" s="3"/>
      <c r="O7" s="3"/>
    </row>
    <row r="8" spans="1:15" x14ac:dyDescent="0.2">
      <c r="A8" t="s">
        <v>254</v>
      </c>
      <c r="B8" s="7" t="s">
        <v>273</v>
      </c>
      <c r="I8" s="3"/>
      <c r="J8" s="3"/>
      <c r="K8" s="3"/>
      <c r="L8" s="3"/>
      <c r="M8" s="3"/>
      <c r="N8" s="3"/>
      <c r="O8" s="3"/>
    </row>
    <row r="9" spans="1:15" x14ac:dyDescent="0.2">
      <c r="I9" s="3"/>
      <c r="J9" s="3"/>
      <c r="K9" s="3"/>
      <c r="L9" s="3"/>
      <c r="M9" s="3"/>
      <c r="N9" s="3"/>
      <c r="O9" s="3"/>
    </row>
    <row r="10" spans="1:15" x14ac:dyDescent="0.2">
      <c r="I10" s="3"/>
      <c r="J10" s="3"/>
      <c r="K10" s="3"/>
      <c r="L10" s="3"/>
      <c r="M10" s="3"/>
      <c r="N10" s="3"/>
      <c r="O10" s="3"/>
    </row>
    <row r="11" spans="1:15" x14ac:dyDescent="0.2">
      <c r="I11" s="3"/>
      <c r="J11" s="3"/>
      <c r="K11" s="3"/>
      <c r="L11" s="3"/>
      <c r="M11" s="3"/>
      <c r="N11" s="3"/>
      <c r="O11" s="3"/>
    </row>
    <row r="12" spans="1:15" x14ac:dyDescent="0.2">
      <c r="I12" s="3"/>
      <c r="J12" s="3"/>
      <c r="K12" s="3"/>
      <c r="L12" s="3"/>
      <c r="M12" s="3"/>
      <c r="N12" s="3"/>
      <c r="O12" s="3"/>
    </row>
    <row r="13" spans="1:15" x14ac:dyDescent="0.2">
      <c r="I13" s="3"/>
      <c r="J13" s="3"/>
      <c r="K13" s="3"/>
      <c r="L13" s="3"/>
      <c r="M13" s="3"/>
      <c r="N13" s="3"/>
      <c r="O13" s="3"/>
    </row>
    <row r="14" spans="1:15" x14ac:dyDescent="0.2">
      <c r="I14" s="3"/>
      <c r="J14" s="3"/>
      <c r="K14" s="3"/>
      <c r="L14" s="3"/>
      <c r="M14" s="3"/>
      <c r="N14" s="3"/>
      <c r="O14" s="3"/>
    </row>
    <row r="15" spans="1:15" x14ac:dyDescent="0.2">
      <c r="I15" s="3"/>
      <c r="J15" s="3"/>
      <c r="K15" s="3"/>
      <c r="L15" s="3"/>
      <c r="M15" s="3"/>
      <c r="N15" s="3"/>
      <c r="O15" s="3"/>
    </row>
    <row r="16" spans="1:15" x14ac:dyDescent="0.2">
      <c r="I16" s="3"/>
      <c r="J16" s="3"/>
      <c r="K16" s="3"/>
      <c r="L16" s="3"/>
      <c r="M16" s="3"/>
      <c r="N16" s="3"/>
      <c r="O16" s="3"/>
    </row>
    <row r="17" spans="9:15" x14ac:dyDescent="0.2">
      <c r="I17" s="3"/>
      <c r="J17" s="3"/>
      <c r="K17" s="3"/>
      <c r="L17" s="3"/>
      <c r="M17" s="3"/>
      <c r="N17" s="3"/>
      <c r="O17" s="3"/>
    </row>
    <row r="18" spans="9:15" x14ac:dyDescent="0.2">
      <c r="I18" s="3"/>
      <c r="J18" s="3"/>
      <c r="K18" s="3"/>
      <c r="L18" s="3"/>
      <c r="M18" s="3"/>
      <c r="N18" s="3"/>
      <c r="O18" s="3"/>
    </row>
    <row r="19" spans="9:15" x14ac:dyDescent="0.2">
      <c r="I19" s="3"/>
      <c r="J19" s="3"/>
      <c r="K19" s="3"/>
      <c r="L19" s="3"/>
      <c r="M19" s="3"/>
      <c r="N19" s="3"/>
      <c r="O19" s="3"/>
    </row>
    <row r="20" spans="9:15" x14ac:dyDescent="0.2">
      <c r="I20" s="3"/>
      <c r="J20" s="3"/>
      <c r="K20" s="3"/>
      <c r="L20" s="3"/>
      <c r="M20" s="3"/>
      <c r="N20" s="3"/>
      <c r="O20" s="3"/>
    </row>
    <row r="21" spans="9:15" x14ac:dyDescent="0.2">
      <c r="I21" s="3"/>
      <c r="J21" s="3"/>
      <c r="K21" s="3"/>
      <c r="L21" s="3"/>
      <c r="M21" s="3"/>
      <c r="N21" s="3"/>
      <c r="O21" s="3"/>
    </row>
    <row r="22" spans="9:15" x14ac:dyDescent="0.2">
      <c r="I22" s="3"/>
      <c r="J22" s="3"/>
      <c r="K22" s="3"/>
      <c r="L22" s="3"/>
      <c r="M22" s="3"/>
      <c r="N22" s="3"/>
      <c r="O22" s="3"/>
    </row>
    <row r="23" spans="9:15" x14ac:dyDescent="0.2">
      <c r="I23" s="3"/>
      <c r="J23" s="3"/>
      <c r="K23" s="3"/>
      <c r="L23" s="3"/>
      <c r="M23" s="3"/>
      <c r="N23" s="3"/>
      <c r="O23" s="3"/>
    </row>
    <row r="24" spans="9:15" x14ac:dyDescent="0.2">
      <c r="I24" s="3"/>
      <c r="J24" s="3"/>
      <c r="K24" s="3"/>
      <c r="L24" s="3"/>
      <c r="M24" s="3"/>
      <c r="N24" s="3"/>
      <c r="O24" s="3"/>
    </row>
    <row r="25" spans="9:15" x14ac:dyDescent="0.2">
      <c r="I25" s="3"/>
      <c r="J25" s="3"/>
      <c r="K25" s="3"/>
      <c r="L25" s="3"/>
      <c r="M25" s="3"/>
      <c r="N25" s="3"/>
      <c r="O25" s="3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O1223"/>
  <sheetViews>
    <sheetView showGridLines="0" showRowColHeaders="0" zoomScale="80" zoomScaleNormal="80" workbookViewId="0">
      <pane ySplit="5" topLeftCell="A6" activePane="bottomLeft" state="frozenSplit"/>
      <selection pane="bottomLeft" activeCell="D10" sqref="D10"/>
    </sheetView>
  </sheetViews>
  <sheetFormatPr defaultRowHeight="15" x14ac:dyDescent="0.25"/>
  <cols>
    <col min="1" max="1" width="1.7109375" style="15" customWidth="1"/>
    <col min="2" max="2" width="11.140625" style="15" customWidth="1"/>
    <col min="3" max="6" width="9.140625" style="15"/>
    <col min="7" max="7" width="17.5703125" style="15" customWidth="1"/>
    <col min="8" max="16384" width="9.140625" style="15"/>
  </cols>
  <sheetData>
    <row r="1" spans="1:41" ht="5.0999999999999996" customHeight="1" x14ac:dyDescent="0.25"/>
    <row r="2" spans="1:41" ht="15" customHeight="1" x14ac:dyDescent="0.25"/>
    <row r="3" spans="1:41" ht="15" customHeight="1" x14ac:dyDescent="0.25"/>
    <row r="4" spans="1:41" ht="15" customHeight="1" x14ac:dyDescent="0.25"/>
    <row r="5" spans="1:41" ht="5.0999999999999996" customHeight="1" x14ac:dyDescent="0.25"/>
    <row r="6" spans="1:41" x14ac:dyDescent="0.25">
      <c r="A6" s="16"/>
      <c r="B6" s="273"/>
      <c r="C6" s="267"/>
      <c r="D6" s="269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74"/>
      <c r="T6" s="267"/>
      <c r="U6" s="268"/>
      <c r="V6" s="267"/>
      <c r="W6" s="267"/>
      <c r="X6" s="267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</row>
    <row r="7" spans="1:41" x14ac:dyDescent="0.25">
      <c r="A7" s="16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</row>
    <row r="8" spans="1:41" x14ac:dyDescent="0.25">
      <c r="A8" s="16"/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7"/>
      <c r="V8" s="267"/>
      <c r="W8" s="267"/>
      <c r="X8" s="267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</row>
    <row r="9" spans="1:41" x14ac:dyDescent="0.25">
      <c r="A9" s="16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7"/>
      <c r="V9" s="267"/>
      <c r="W9" s="267"/>
      <c r="X9" s="267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</row>
    <row r="10" spans="1:41" x14ac:dyDescent="0.25">
      <c r="A10" s="16"/>
      <c r="B10" s="270"/>
      <c r="C10" s="267"/>
      <c r="D10" s="191" t="s">
        <v>243</v>
      </c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6"/>
      <c r="S10" s="271"/>
      <c r="T10" s="267"/>
      <c r="U10" s="267"/>
      <c r="V10" s="267"/>
      <c r="W10" s="267"/>
      <c r="X10" s="267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</row>
    <row r="11" spans="1:41" x14ac:dyDescent="0.25">
      <c r="A11" s="16"/>
      <c r="B11" s="267"/>
      <c r="C11" s="267"/>
      <c r="D11" s="191" t="s">
        <v>241</v>
      </c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6"/>
      <c r="S11" s="267"/>
      <c r="T11" s="267"/>
      <c r="U11" s="267"/>
      <c r="V11" s="267"/>
      <c r="W11" s="267"/>
      <c r="X11" s="267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</row>
    <row r="12" spans="1:41" x14ac:dyDescent="0.25">
      <c r="A12" s="16"/>
      <c r="B12" s="267"/>
      <c r="C12" s="267"/>
      <c r="D12" s="191" t="s">
        <v>242</v>
      </c>
      <c r="E12" s="191"/>
      <c r="F12" s="191"/>
      <c r="G12" s="191"/>
      <c r="H12" s="191"/>
      <c r="I12" s="193"/>
      <c r="J12" s="193"/>
      <c r="K12" s="193"/>
      <c r="L12" s="193"/>
      <c r="M12" s="193"/>
      <c r="N12" s="193"/>
      <c r="O12" s="3"/>
      <c r="P12" s="3"/>
      <c r="Q12" s="3"/>
      <c r="R12" s="16"/>
      <c r="S12" s="267"/>
      <c r="T12" s="267"/>
      <c r="U12" s="267"/>
      <c r="V12" s="267"/>
      <c r="W12" s="267"/>
      <c r="X12" s="267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</row>
    <row r="13" spans="1:41" x14ac:dyDescent="0.25">
      <c r="A13" s="16"/>
      <c r="B13" s="267"/>
      <c r="C13" s="267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3"/>
      <c r="P13" s="3"/>
      <c r="Q13" s="3"/>
      <c r="R13" s="16"/>
      <c r="S13" s="267"/>
      <c r="T13" s="267"/>
      <c r="U13" s="267"/>
      <c r="V13" s="267"/>
      <c r="W13" s="267"/>
      <c r="X13" s="267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</row>
    <row r="14" spans="1:41" x14ac:dyDescent="0.25">
      <c r="A14" s="16"/>
      <c r="B14" s="267"/>
      <c r="C14" s="267"/>
      <c r="D14" s="193" t="s">
        <v>244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3"/>
      <c r="Q14" s="3"/>
      <c r="R14" s="16"/>
      <c r="S14" s="267"/>
      <c r="T14" s="267"/>
      <c r="U14" s="267"/>
      <c r="V14" s="267"/>
      <c r="W14" s="267"/>
      <c r="X14" s="267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</row>
    <row r="15" spans="1:41" x14ac:dyDescent="0.25">
      <c r="A15" s="16"/>
      <c r="B15" s="267"/>
      <c r="C15" s="267"/>
      <c r="D15" s="193" t="s">
        <v>245</v>
      </c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3"/>
      <c r="Q15" s="3"/>
      <c r="R15" s="16"/>
      <c r="S15" s="267"/>
      <c r="T15" s="267"/>
      <c r="U15" s="267"/>
      <c r="V15" s="267"/>
      <c r="W15" s="267"/>
      <c r="X15" s="267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x14ac:dyDescent="0.25">
      <c r="A16" s="16"/>
      <c r="B16" s="267"/>
      <c r="C16" s="267"/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3"/>
      <c r="P16" s="3"/>
      <c r="Q16" s="3"/>
      <c r="R16" s="16"/>
      <c r="S16" s="267"/>
      <c r="T16" s="267"/>
      <c r="U16" s="267"/>
      <c r="V16" s="267"/>
      <c r="W16" s="267"/>
      <c r="X16" s="267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</row>
    <row r="17" spans="1:41" x14ac:dyDescent="0.25">
      <c r="A17" s="16"/>
      <c r="B17" s="267"/>
      <c r="C17" s="267"/>
      <c r="D17" s="193" t="s">
        <v>246</v>
      </c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3"/>
      <c r="R17" s="16"/>
      <c r="S17" s="267"/>
      <c r="T17" s="267"/>
      <c r="U17" s="267"/>
      <c r="V17" s="267"/>
      <c r="W17" s="267"/>
      <c r="X17" s="267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</row>
    <row r="18" spans="1:41" x14ac:dyDescent="0.25">
      <c r="A18" s="16"/>
      <c r="B18" s="267"/>
      <c r="C18" s="267"/>
      <c r="D18" s="193" t="s">
        <v>247</v>
      </c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3"/>
      <c r="P18" s="3"/>
      <c r="Q18" s="3"/>
      <c r="R18" s="16"/>
      <c r="S18" s="267"/>
      <c r="T18" s="267"/>
      <c r="U18" s="267"/>
      <c r="V18" s="267"/>
      <c r="W18" s="267"/>
      <c r="X18" s="267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</row>
    <row r="19" spans="1:41" x14ac:dyDescent="0.25">
      <c r="A19" s="16"/>
      <c r="B19" s="267"/>
      <c r="C19" s="267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3"/>
      <c r="P19" s="3"/>
      <c r="Q19" s="3"/>
      <c r="R19" s="16"/>
      <c r="S19" s="267"/>
      <c r="T19" s="267"/>
      <c r="U19" s="267"/>
      <c r="V19" s="267"/>
      <c r="W19" s="267"/>
      <c r="X19" s="267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</row>
    <row r="20" spans="1:41" x14ac:dyDescent="0.25">
      <c r="A20" s="16"/>
      <c r="B20" s="267"/>
      <c r="C20" s="267"/>
      <c r="D20" s="193" t="s">
        <v>248</v>
      </c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3"/>
      <c r="R20" s="16"/>
      <c r="S20" s="267"/>
      <c r="T20" s="267"/>
      <c r="U20" s="267"/>
      <c r="V20" s="267"/>
      <c r="W20" s="267"/>
      <c r="X20" s="267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</row>
    <row r="21" spans="1:41" x14ac:dyDescent="0.25">
      <c r="A21" s="16"/>
      <c r="B21" s="267"/>
      <c r="C21" s="267"/>
      <c r="D21" s="193" t="s">
        <v>249</v>
      </c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193"/>
      <c r="Q21" s="3"/>
      <c r="R21" s="16"/>
      <c r="S21" s="267"/>
      <c r="T21" s="267"/>
      <c r="U21" s="267"/>
      <c r="V21" s="267"/>
      <c r="W21" s="267"/>
      <c r="X21" s="267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</row>
    <row r="22" spans="1:41" x14ac:dyDescent="0.25">
      <c r="A22" s="16"/>
      <c r="B22" s="267"/>
      <c r="C22" s="267"/>
      <c r="D22" s="193" t="s">
        <v>250</v>
      </c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3"/>
      <c r="R22" s="16"/>
      <c r="S22" s="267"/>
      <c r="T22" s="267"/>
      <c r="U22" s="267"/>
      <c r="V22" s="267"/>
      <c r="W22" s="267"/>
      <c r="X22" s="267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</row>
    <row r="23" spans="1:41" x14ac:dyDescent="0.25">
      <c r="A23" s="16"/>
      <c r="B23" s="267"/>
      <c r="C23" s="267"/>
      <c r="D23" s="272" t="s">
        <v>251</v>
      </c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3"/>
      <c r="P23" s="3"/>
      <c r="Q23" s="3"/>
      <c r="R23" s="16"/>
      <c r="S23" s="267"/>
      <c r="T23" s="267"/>
      <c r="U23" s="267"/>
      <c r="V23" s="267"/>
      <c r="W23" s="267"/>
      <c r="X23" s="267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</row>
    <row r="24" spans="1:41" x14ac:dyDescent="0.25">
      <c r="A24" s="16"/>
      <c r="B24" s="267"/>
      <c r="C24" s="267"/>
      <c r="Q24" s="16"/>
      <c r="R24" s="16"/>
      <c r="S24" s="267"/>
      <c r="T24" s="267"/>
      <c r="U24" s="267"/>
      <c r="V24" s="267"/>
      <c r="W24" s="267"/>
      <c r="X24" s="267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</row>
    <row r="25" spans="1:41" x14ac:dyDescent="0.25">
      <c r="A25" s="16"/>
      <c r="B25" s="267"/>
      <c r="C25" s="267"/>
      <c r="D25" s="16"/>
      <c r="E25" s="16"/>
      <c r="F25" s="16"/>
      <c r="G25" s="16"/>
      <c r="H25" s="16"/>
      <c r="I25" s="16"/>
      <c r="J25" s="16"/>
      <c r="K25" s="192"/>
      <c r="L25" s="16"/>
      <c r="M25" s="16"/>
      <c r="N25" s="16"/>
      <c r="O25" s="16"/>
      <c r="P25" s="16"/>
      <c r="Q25" s="16"/>
      <c r="R25" s="16"/>
      <c r="S25" s="267"/>
      <c r="T25" s="267"/>
      <c r="U25" s="267"/>
      <c r="V25" s="267"/>
      <c r="W25" s="267"/>
      <c r="X25" s="267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</row>
    <row r="26" spans="1:41" x14ac:dyDescent="0.25">
      <c r="A26" s="16"/>
      <c r="B26" s="267"/>
      <c r="C26" s="267"/>
      <c r="D26" s="16"/>
      <c r="E26" s="16"/>
      <c r="F26" s="16"/>
      <c r="G26" s="16"/>
      <c r="H26" s="16"/>
      <c r="I26" s="16"/>
      <c r="J26" s="16"/>
      <c r="K26" s="192"/>
      <c r="L26" s="16"/>
      <c r="M26" s="16"/>
      <c r="N26" s="16"/>
      <c r="O26" s="16"/>
      <c r="P26" s="16"/>
      <c r="Q26" s="16"/>
      <c r="R26" s="16"/>
      <c r="S26" s="267"/>
      <c r="T26" s="267"/>
      <c r="U26" s="267"/>
      <c r="V26" s="267"/>
      <c r="W26" s="267"/>
      <c r="X26" s="267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</row>
    <row r="27" spans="1:41" x14ac:dyDescent="0.25">
      <c r="A27" s="16"/>
      <c r="B27" s="267"/>
      <c r="C27" s="267"/>
      <c r="E27" s="16"/>
      <c r="F27" s="16"/>
      <c r="G27" s="16"/>
      <c r="H27" s="16"/>
      <c r="I27" s="16"/>
      <c r="J27" s="16"/>
      <c r="K27" s="192"/>
      <c r="L27" s="16"/>
      <c r="M27" s="16"/>
      <c r="N27" s="16"/>
      <c r="O27" s="16"/>
      <c r="P27" s="16"/>
      <c r="Q27" s="16"/>
      <c r="R27" s="16"/>
      <c r="S27" s="267"/>
      <c r="T27" s="267"/>
      <c r="U27" s="267"/>
      <c r="V27" s="267"/>
      <c r="W27" s="267"/>
      <c r="X27" s="267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</row>
    <row r="28" spans="1:41" x14ac:dyDescent="0.25">
      <c r="A28" s="16"/>
      <c r="B28" s="267"/>
      <c r="C28" s="267"/>
      <c r="D28" s="16"/>
      <c r="E28" s="16"/>
      <c r="F28" s="16"/>
      <c r="G28" s="16"/>
      <c r="H28" s="16"/>
      <c r="I28" s="16"/>
      <c r="J28" s="16"/>
      <c r="K28" s="192"/>
      <c r="L28" s="16"/>
      <c r="M28" s="16"/>
      <c r="N28" s="16"/>
      <c r="O28" s="16"/>
      <c r="P28" s="16"/>
      <c r="Q28" s="16"/>
      <c r="R28" s="16"/>
      <c r="S28" s="267"/>
      <c r="T28" s="267"/>
      <c r="U28" s="267"/>
      <c r="V28" s="267"/>
      <c r="W28" s="267"/>
      <c r="X28" s="267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</row>
    <row r="29" spans="1:41" x14ac:dyDescent="0.25">
      <c r="A29" s="16"/>
      <c r="B29" s="267"/>
      <c r="C29" s="267"/>
      <c r="S29" s="267"/>
      <c r="T29" s="267"/>
      <c r="U29" s="267"/>
      <c r="V29" s="267"/>
      <c r="W29" s="267"/>
      <c r="X29" s="267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</row>
    <row r="30" spans="1:41" x14ac:dyDescent="0.25">
      <c r="A30" s="16"/>
      <c r="B30" s="267"/>
      <c r="C30" s="267"/>
      <c r="S30" s="267"/>
      <c r="T30" s="267"/>
      <c r="U30" s="267"/>
      <c r="V30" s="267"/>
      <c r="W30" s="267"/>
      <c r="X30" s="267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</row>
    <row r="31" spans="1:41" x14ac:dyDescent="0.25">
      <c r="A31" s="16"/>
      <c r="B31" s="267"/>
      <c r="C31" s="267"/>
      <c r="S31" s="267"/>
      <c r="T31" s="267"/>
      <c r="U31" s="267"/>
      <c r="V31" s="267"/>
      <c r="W31" s="267"/>
      <c r="X31" s="267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</row>
    <row r="32" spans="1:41" x14ac:dyDescent="0.25">
      <c r="A32" s="16"/>
      <c r="B32" s="267"/>
      <c r="C32" s="267"/>
      <c r="S32" s="267"/>
      <c r="T32" s="267"/>
      <c r="U32" s="267"/>
      <c r="V32" s="267"/>
      <c r="W32" s="267"/>
      <c r="X32" s="267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</row>
    <row r="33" spans="1:41" x14ac:dyDescent="0.25">
      <c r="A33" s="16"/>
      <c r="B33" s="267"/>
      <c r="C33" s="267"/>
      <c r="S33" s="267"/>
      <c r="T33" s="267"/>
      <c r="U33" s="267"/>
      <c r="V33" s="267"/>
      <c r="W33" s="267"/>
      <c r="X33" s="267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</row>
    <row r="34" spans="1:41" x14ac:dyDescent="0.25">
      <c r="A34" s="16"/>
      <c r="B34" s="267"/>
      <c r="C34" s="267"/>
      <c r="S34" s="267"/>
      <c r="T34" s="267"/>
      <c r="U34" s="267"/>
      <c r="V34" s="267"/>
      <c r="W34" s="267"/>
      <c r="X34" s="267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</row>
    <row r="35" spans="1:41" x14ac:dyDescent="0.25">
      <c r="A35" s="16"/>
      <c r="B35" s="267"/>
      <c r="C35" s="267"/>
      <c r="S35" s="267"/>
      <c r="T35" s="267"/>
      <c r="U35" s="267"/>
      <c r="V35" s="267"/>
      <c r="W35" s="267"/>
      <c r="X35" s="267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</row>
    <row r="36" spans="1:41" x14ac:dyDescent="0.25">
      <c r="A36" s="16"/>
      <c r="B36" s="267"/>
      <c r="C36" s="267"/>
      <c r="S36" s="267"/>
      <c r="T36" s="267"/>
      <c r="U36" s="267"/>
      <c r="V36" s="267"/>
      <c r="W36" s="267"/>
      <c r="X36" s="267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</row>
    <row r="37" spans="1:41" x14ac:dyDescent="0.25">
      <c r="A37" s="16"/>
      <c r="B37" s="267"/>
      <c r="C37" s="267"/>
      <c r="S37" s="267"/>
      <c r="T37" s="267"/>
      <c r="U37" s="267"/>
      <c r="V37" s="267"/>
      <c r="W37" s="267"/>
      <c r="X37" s="267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</row>
    <row r="38" spans="1:41" x14ac:dyDescent="0.25">
      <c r="A38" s="16"/>
      <c r="B38" s="267"/>
      <c r="C38" s="267"/>
      <c r="S38" s="267"/>
      <c r="T38" s="267"/>
      <c r="U38" s="267"/>
      <c r="V38" s="267"/>
      <c r="W38" s="267"/>
      <c r="X38" s="267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</row>
    <row r="39" spans="1:41" x14ac:dyDescent="0.25">
      <c r="A39" s="16"/>
      <c r="B39" s="267"/>
      <c r="C39" s="267"/>
      <c r="S39" s="267"/>
      <c r="T39" s="267"/>
      <c r="U39" s="267"/>
      <c r="V39" s="267"/>
      <c r="W39" s="267"/>
      <c r="X39" s="267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</row>
    <row r="40" spans="1:41" x14ac:dyDescent="0.25">
      <c r="A40" s="16"/>
      <c r="B40" s="276"/>
      <c r="C40" s="267"/>
      <c r="D40" s="275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77"/>
      <c r="T40" s="267"/>
      <c r="U40" s="267"/>
      <c r="V40" s="267"/>
      <c r="W40" s="267"/>
      <c r="X40" s="267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</row>
    <row r="41" spans="1:41" x14ac:dyDescent="0.25">
      <c r="A41" s="16"/>
      <c r="B41" s="267"/>
      <c r="C41" s="267"/>
      <c r="D41" s="267"/>
      <c r="E41" s="267"/>
      <c r="F41" s="26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67"/>
      <c r="U41" s="267"/>
      <c r="V41" s="267"/>
      <c r="W41" s="267"/>
      <c r="X41" s="267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</row>
    <row r="42" spans="1:41" x14ac:dyDescent="0.25">
      <c r="A42" s="16"/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67"/>
      <c r="U42" s="267"/>
      <c r="V42" s="267"/>
      <c r="W42" s="267"/>
      <c r="X42" s="267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</row>
    <row r="43" spans="1:41" x14ac:dyDescent="0.25">
      <c r="A43" s="16"/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267"/>
      <c r="X43" s="267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</row>
    <row r="44" spans="1:41" x14ac:dyDescent="0.25">
      <c r="A44" s="16"/>
      <c r="B44" s="269"/>
      <c r="C44" s="267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67"/>
      <c r="U44" s="266"/>
      <c r="V44" s="267"/>
      <c r="W44" s="267"/>
      <c r="X44" s="267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</row>
    <row r="45" spans="1:41" x14ac:dyDescent="0.25">
      <c r="A45" s="16"/>
      <c r="B45" s="267"/>
      <c r="C45" s="267"/>
      <c r="D45" s="267"/>
      <c r="E45" s="267"/>
      <c r="F45" s="267"/>
      <c r="G45" s="26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67"/>
      <c r="U45" s="267"/>
      <c r="V45" s="267"/>
      <c r="W45" s="267"/>
      <c r="X45" s="267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</row>
    <row r="46" spans="1:41" x14ac:dyDescent="0.25">
      <c r="A46" s="16"/>
      <c r="B46" s="267"/>
      <c r="C46" s="267"/>
      <c r="D46" s="267"/>
      <c r="E46" s="267"/>
      <c r="F46" s="267"/>
      <c r="G46" s="26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7"/>
      <c r="W46" s="267"/>
      <c r="X46" s="267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</row>
    <row r="47" spans="1:41" x14ac:dyDescent="0.25">
      <c r="A47" s="16"/>
      <c r="B47" s="267"/>
      <c r="C47" s="267"/>
      <c r="D47" s="267"/>
      <c r="E47" s="267"/>
      <c r="F47" s="267"/>
      <c r="G47" s="267"/>
      <c r="H47" s="267"/>
      <c r="I47" s="267"/>
      <c r="J47" s="267"/>
      <c r="K47" s="267"/>
      <c r="L47" s="267"/>
      <c r="M47" s="267"/>
      <c r="N47" s="267"/>
      <c r="O47" s="267"/>
      <c r="P47" s="267"/>
      <c r="Q47" s="267"/>
      <c r="R47" s="267"/>
      <c r="S47" s="267"/>
      <c r="T47" s="267"/>
      <c r="U47" s="267"/>
      <c r="V47" s="267"/>
      <c r="W47" s="267"/>
      <c r="X47" s="267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</row>
    <row r="48" spans="1:41" x14ac:dyDescent="0.25">
      <c r="A48" s="16"/>
      <c r="B48" s="267"/>
      <c r="C48" s="267"/>
      <c r="D48" s="267"/>
      <c r="E48" s="267"/>
      <c r="F48" s="267"/>
      <c r="G48" s="26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67"/>
      <c r="U48" s="267"/>
      <c r="V48" s="267"/>
      <c r="W48" s="267"/>
      <c r="X48" s="267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</row>
    <row r="49" spans="1:41" x14ac:dyDescent="0.25">
      <c r="A49" s="16"/>
      <c r="B49" s="267"/>
      <c r="C49" s="267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67"/>
      <c r="U49" s="267"/>
      <c r="V49" s="267"/>
      <c r="W49" s="267"/>
      <c r="X49" s="267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</row>
    <row r="50" spans="1:41" x14ac:dyDescent="0.25">
      <c r="A50" s="16"/>
      <c r="B50" s="267"/>
      <c r="C50" s="267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67"/>
      <c r="U50" s="267"/>
      <c r="V50" s="267"/>
      <c r="W50" s="267"/>
      <c r="X50" s="267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</row>
    <row r="51" spans="1:41" x14ac:dyDescent="0.25">
      <c r="A51" s="16"/>
      <c r="B51" s="267"/>
      <c r="C51" s="267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67"/>
      <c r="U51" s="267"/>
      <c r="V51" s="267"/>
      <c r="W51" s="267"/>
      <c r="X51" s="267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</row>
    <row r="52" spans="1:41" x14ac:dyDescent="0.25">
      <c r="A52" s="16"/>
      <c r="B52" s="267"/>
      <c r="C52" s="267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</row>
    <row r="53" spans="1:4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92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</row>
    <row r="54" spans="1:4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92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</row>
    <row r="55" spans="1:4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92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</row>
    <row r="56" spans="1:4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92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</row>
    <row r="57" spans="1:4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92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</row>
    <row r="58" spans="1:4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92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</row>
    <row r="59" spans="1:4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92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</row>
    <row r="60" spans="1:4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92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</row>
    <row r="61" spans="1:4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92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</row>
    <row r="62" spans="1:4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92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</row>
    <row r="63" spans="1:4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92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</row>
    <row r="64" spans="1:4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92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</row>
    <row r="65" spans="1:4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92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</row>
    <row r="66" spans="1:4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92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</row>
    <row r="67" spans="1:4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92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</row>
    <row r="68" spans="1:4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92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</row>
    <row r="69" spans="1:4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92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</row>
    <row r="70" spans="1:41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92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</row>
    <row r="71" spans="1:4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92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</row>
    <row r="72" spans="1:4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92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</row>
    <row r="73" spans="1:4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92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</row>
    <row r="74" spans="1:41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92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</row>
    <row r="75" spans="1:41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92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</row>
    <row r="76" spans="1:41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92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</row>
    <row r="77" spans="1:41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92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</row>
    <row r="78" spans="1:41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92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</row>
    <row r="79" spans="1:41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92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</row>
    <row r="80" spans="1:41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92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</row>
    <row r="81" spans="1:41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92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</row>
    <row r="82" spans="1:41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92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</row>
    <row r="83" spans="1:41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92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</row>
    <row r="84" spans="1:41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92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</row>
    <row r="85" spans="1:41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92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</row>
    <row r="86" spans="1:41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92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</row>
    <row r="87" spans="1:41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92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</row>
    <row r="88" spans="1:41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92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</row>
    <row r="89" spans="1:41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92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</row>
    <row r="90" spans="1:41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92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</row>
    <row r="91" spans="1:4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92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</row>
    <row r="92" spans="1:4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92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</row>
    <row r="93" spans="1:4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92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</row>
    <row r="94" spans="1:41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92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</row>
    <row r="95" spans="1:41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92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</row>
    <row r="96" spans="1:41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92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</row>
    <row r="97" spans="1:41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92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</row>
    <row r="98" spans="1:41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92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</row>
    <row r="99" spans="1:41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92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</row>
    <row r="100" spans="1:41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92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</row>
    <row r="101" spans="1:41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92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</row>
    <row r="102" spans="1:41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92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</row>
    <row r="103" spans="1:41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92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</row>
    <row r="104" spans="1:41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92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</row>
    <row r="105" spans="1:41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92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</row>
    <row r="106" spans="1:4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92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</row>
    <row r="107" spans="1:4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92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</row>
    <row r="108" spans="1:4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92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</row>
    <row r="109" spans="1:4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92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</row>
    <row r="110" spans="1:41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92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</row>
    <row r="111" spans="1:41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92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</row>
    <row r="112" spans="1:41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92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</row>
    <row r="113" spans="1:41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92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</row>
    <row r="114" spans="1:4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92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</row>
    <row r="115" spans="1:4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92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</row>
    <row r="116" spans="1:4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92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</row>
    <row r="117" spans="1:4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92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</row>
    <row r="118" spans="1:4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92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</row>
    <row r="119" spans="1:4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92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</row>
    <row r="120" spans="1:4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92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</row>
    <row r="121" spans="1:4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92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</row>
    <row r="122" spans="1:4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92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</row>
    <row r="123" spans="1:4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92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</row>
    <row r="124" spans="1:4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92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</row>
    <row r="125" spans="1:4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92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</row>
    <row r="126" spans="1:4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92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</row>
    <row r="127" spans="1:4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92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</row>
    <row r="128" spans="1:41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92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</row>
    <row r="129" spans="1:41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92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</row>
    <row r="130" spans="1:41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92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</row>
    <row r="131" spans="1:41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92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</row>
    <row r="132" spans="1:4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92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</row>
    <row r="133" spans="1:4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92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</row>
    <row r="134" spans="1:4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92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</row>
    <row r="135" spans="1:4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92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</row>
    <row r="136" spans="1:4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92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</row>
    <row r="137" spans="1:4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92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</row>
    <row r="138" spans="1:4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92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</row>
    <row r="139" spans="1:4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92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</row>
    <row r="140" spans="1:4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92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</row>
    <row r="141" spans="1:41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92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</row>
    <row r="142" spans="1:41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92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</row>
    <row r="143" spans="1:41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92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</row>
    <row r="144" spans="1:4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92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</row>
    <row r="145" spans="1:4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92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</row>
    <row r="146" spans="1:4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92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</row>
    <row r="147" spans="1:41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92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</row>
    <row r="148" spans="1:41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92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</row>
    <row r="149" spans="1:41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92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</row>
    <row r="150" spans="1:41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92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</row>
    <row r="151" spans="1:41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92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</row>
    <row r="152" spans="1:41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92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</row>
    <row r="153" spans="1:41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92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</row>
    <row r="154" spans="1:41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92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</row>
    <row r="155" spans="1:41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92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</row>
    <row r="156" spans="1:41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92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</row>
    <row r="157" spans="1:41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92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</row>
    <row r="158" spans="1:41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92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</row>
    <row r="159" spans="1:41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92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</row>
    <row r="160" spans="1:41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92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</row>
    <row r="161" spans="1:41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92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</row>
    <row r="162" spans="1:41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92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</row>
    <row r="163" spans="1:41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92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</row>
    <row r="164" spans="1:41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92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</row>
    <row r="165" spans="1:41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92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</row>
    <row r="166" spans="1:41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92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</row>
    <row r="167" spans="1:41" x14ac:dyDescent="0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92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</row>
    <row r="168" spans="1:41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92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</row>
    <row r="169" spans="1:41" x14ac:dyDescent="0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92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</row>
    <row r="170" spans="1:41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92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</row>
    <row r="171" spans="1:41" x14ac:dyDescent="0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92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</row>
    <row r="172" spans="1:41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92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</row>
    <row r="173" spans="1:41" x14ac:dyDescent="0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92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</row>
    <row r="174" spans="1:41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92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</row>
    <row r="175" spans="1:41" x14ac:dyDescent="0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92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</row>
    <row r="176" spans="1:41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92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</row>
    <row r="177" spans="1:41" x14ac:dyDescent="0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92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</row>
    <row r="178" spans="1:41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92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</row>
    <row r="179" spans="1:41" x14ac:dyDescent="0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92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</row>
    <row r="180" spans="1:41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92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</row>
    <row r="181" spans="1:41" x14ac:dyDescent="0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92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</row>
    <row r="182" spans="1:41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92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</row>
    <row r="183" spans="1:41" x14ac:dyDescent="0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92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</row>
    <row r="184" spans="1:41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92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</row>
    <row r="185" spans="1:41" x14ac:dyDescent="0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92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</row>
    <row r="186" spans="1:41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92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</row>
    <row r="187" spans="1:41" x14ac:dyDescent="0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92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</row>
    <row r="188" spans="1:41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92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</row>
    <row r="189" spans="1:41" x14ac:dyDescent="0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92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</row>
    <row r="190" spans="1:41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92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</row>
    <row r="191" spans="1:41" x14ac:dyDescent="0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92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</row>
    <row r="192" spans="1:41" x14ac:dyDescent="0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92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</row>
    <row r="193" spans="1:41" x14ac:dyDescent="0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92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</row>
    <row r="194" spans="1:41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92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</row>
    <row r="195" spans="1:41" x14ac:dyDescent="0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92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</row>
    <row r="196" spans="1:41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92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</row>
    <row r="197" spans="1:41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92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</row>
    <row r="198" spans="1:41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92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</row>
    <row r="199" spans="1:41" x14ac:dyDescent="0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92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</row>
    <row r="200" spans="1:41" x14ac:dyDescent="0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92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</row>
    <row r="201" spans="1:41" x14ac:dyDescent="0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92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</row>
    <row r="202" spans="1:41" x14ac:dyDescent="0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92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</row>
    <row r="203" spans="1:41" x14ac:dyDescent="0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92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</row>
    <row r="204" spans="1:41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92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</row>
    <row r="205" spans="1:41" x14ac:dyDescent="0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92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</row>
    <row r="206" spans="1:41" x14ac:dyDescent="0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92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</row>
    <row r="207" spans="1:41" x14ac:dyDescent="0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92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</row>
    <row r="208" spans="1:41" x14ac:dyDescent="0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92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</row>
    <row r="209" spans="1:41" x14ac:dyDescent="0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92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</row>
    <row r="210" spans="1:41" x14ac:dyDescent="0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92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</row>
    <row r="211" spans="1:41" x14ac:dyDescent="0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92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</row>
    <row r="212" spans="1:41" x14ac:dyDescent="0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92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</row>
    <row r="213" spans="1:41" x14ac:dyDescent="0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92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</row>
    <row r="214" spans="1:41" x14ac:dyDescent="0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92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</row>
    <row r="215" spans="1:41" x14ac:dyDescent="0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92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</row>
    <row r="216" spans="1:41" x14ac:dyDescent="0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92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</row>
    <row r="217" spans="1:41" x14ac:dyDescent="0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92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</row>
    <row r="218" spans="1:41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92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</row>
    <row r="219" spans="1:41" x14ac:dyDescent="0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92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</row>
    <row r="220" spans="1:41" x14ac:dyDescent="0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92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</row>
    <row r="221" spans="1:41" x14ac:dyDescent="0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92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</row>
    <row r="222" spans="1:41" x14ac:dyDescent="0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92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</row>
    <row r="223" spans="1:41" x14ac:dyDescent="0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92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</row>
    <row r="224" spans="1:41" x14ac:dyDescent="0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92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</row>
    <row r="225" spans="1:41" x14ac:dyDescent="0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92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</row>
    <row r="226" spans="1:41" x14ac:dyDescent="0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92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</row>
    <row r="227" spans="1:41" x14ac:dyDescent="0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92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</row>
    <row r="228" spans="1:41" x14ac:dyDescent="0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92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</row>
    <row r="229" spans="1:41" x14ac:dyDescent="0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92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</row>
    <row r="230" spans="1:41" x14ac:dyDescent="0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92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</row>
    <row r="231" spans="1:41" x14ac:dyDescent="0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92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</row>
    <row r="232" spans="1:41" x14ac:dyDescent="0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92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</row>
    <row r="233" spans="1:41" x14ac:dyDescent="0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92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</row>
    <row r="234" spans="1:41" x14ac:dyDescent="0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92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</row>
    <row r="235" spans="1:41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92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</row>
    <row r="236" spans="1:41" x14ac:dyDescent="0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92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</row>
    <row r="237" spans="1:41" x14ac:dyDescent="0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92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</row>
    <row r="238" spans="1:41" x14ac:dyDescent="0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92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</row>
    <row r="239" spans="1:41" x14ac:dyDescent="0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92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</row>
    <row r="240" spans="1:41" x14ac:dyDescent="0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92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</row>
    <row r="241" spans="1:41" x14ac:dyDescent="0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92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</row>
    <row r="242" spans="1:41" x14ac:dyDescent="0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92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</row>
    <row r="243" spans="1:41" x14ac:dyDescent="0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92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</row>
    <row r="244" spans="1:41" x14ac:dyDescent="0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92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</row>
    <row r="245" spans="1:41" x14ac:dyDescent="0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92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</row>
    <row r="246" spans="1:41" x14ac:dyDescent="0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92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</row>
    <row r="247" spans="1:41" x14ac:dyDescent="0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92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</row>
    <row r="248" spans="1:41" x14ac:dyDescent="0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92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</row>
    <row r="249" spans="1:41" x14ac:dyDescent="0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92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</row>
    <row r="250" spans="1:41" x14ac:dyDescent="0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92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</row>
    <row r="251" spans="1:41" x14ac:dyDescent="0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92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</row>
    <row r="252" spans="1:41" x14ac:dyDescent="0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92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</row>
    <row r="253" spans="1:41" x14ac:dyDescent="0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92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</row>
    <row r="254" spans="1:41" x14ac:dyDescent="0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92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</row>
    <row r="255" spans="1:41" x14ac:dyDescent="0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92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</row>
    <row r="256" spans="1:41" x14ac:dyDescent="0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92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</row>
    <row r="257" spans="1:41" x14ac:dyDescent="0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92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</row>
    <row r="258" spans="1:41" x14ac:dyDescent="0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92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</row>
    <row r="259" spans="1:41" x14ac:dyDescent="0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92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</row>
    <row r="260" spans="1:41" x14ac:dyDescent="0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92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</row>
    <row r="261" spans="1:41" x14ac:dyDescent="0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92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</row>
    <row r="262" spans="1:41" x14ac:dyDescent="0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92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</row>
    <row r="263" spans="1:41" x14ac:dyDescent="0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92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</row>
    <row r="264" spans="1:41" x14ac:dyDescent="0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92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</row>
    <row r="265" spans="1:41" x14ac:dyDescent="0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92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</row>
    <row r="266" spans="1:41" x14ac:dyDescent="0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92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</row>
    <row r="267" spans="1:41" x14ac:dyDescent="0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92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</row>
    <row r="268" spans="1:41" x14ac:dyDescent="0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92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</row>
    <row r="269" spans="1:41" x14ac:dyDescent="0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92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</row>
    <row r="270" spans="1:41" x14ac:dyDescent="0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92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</row>
    <row r="271" spans="1:41" x14ac:dyDescent="0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92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</row>
    <row r="272" spans="1:41" x14ac:dyDescent="0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92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</row>
    <row r="273" spans="1:41" x14ac:dyDescent="0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92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</row>
    <row r="274" spans="1:41" x14ac:dyDescent="0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92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</row>
    <row r="275" spans="1:41" x14ac:dyDescent="0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92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</row>
    <row r="276" spans="1:41" x14ac:dyDescent="0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92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</row>
    <row r="277" spans="1:41" x14ac:dyDescent="0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92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</row>
    <row r="278" spans="1:41" x14ac:dyDescent="0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92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</row>
    <row r="279" spans="1:41" x14ac:dyDescent="0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92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</row>
    <row r="280" spans="1:41" x14ac:dyDescent="0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92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</row>
    <row r="281" spans="1:41" x14ac:dyDescent="0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92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</row>
    <row r="282" spans="1:41" x14ac:dyDescent="0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92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</row>
    <row r="283" spans="1:41" x14ac:dyDescent="0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92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</row>
    <row r="284" spans="1:41" x14ac:dyDescent="0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92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</row>
    <row r="285" spans="1:41" x14ac:dyDescent="0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92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</row>
    <row r="286" spans="1:41" x14ac:dyDescent="0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92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</row>
    <row r="287" spans="1:41" x14ac:dyDescent="0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92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</row>
    <row r="288" spans="1:41" x14ac:dyDescent="0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92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</row>
    <row r="289" spans="1:41" x14ac:dyDescent="0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92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</row>
    <row r="290" spans="1:41" x14ac:dyDescent="0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92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</row>
    <row r="291" spans="1:41" x14ac:dyDescent="0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92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</row>
    <row r="292" spans="1:41" x14ac:dyDescent="0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92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</row>
    <row r="293" spans="1:41" x14ac:dyDescent="0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92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</row>
    <row r="294" spans="1:41" x14ac:dyDescent="0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92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</row>
    <row r="295" spans="1:41" x14ac:dyDescent="0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92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</row>
    <row r="296" spans="1:41" x14ac:dyDescent="0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92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</row>
    <row r="297" spans="1:41" x14ac:dyDescent="0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92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</row>
    <row r="298" spans="1:41" x14ac:dyDescent="0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92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</row>
    <row r="299" spans="1:41" x14ac:dyDescent="0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92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</row>
    <row r="300" spans="1:41" x14ac:dyDescent="0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92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</row>
    <row r="301" spans="1:41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92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</row>
    <row r="302" spans="1:41" x14ac:dyDescent="0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92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</row>
    <row r="303" spans="1:41" x14ac:dyDescent="0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92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</row>
    <row r="304" spans="1:41" x14ac:dyDescent="0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92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</row>
    <row r="305" spans="1:41" x14ac:dyDescent="0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92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</row>
    <row r="306" spans="1:41" x14ac:dyDescent="0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92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</row>
    <row r="307" spans="1:41" x14ac:dyDescent="0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92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</row>
    <row r="308" spans="1:41" x14ac:dyDescent="0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92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</row>
    <row r="309" spans="1:41" x14ac:dyDescent="0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92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</row>
    <row r="310" spans="1:41" x14ac:dyDescent="0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92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</row>
    <row r="311" spans="1:41" x14ac:dyDescent="0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92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</row>
    <row r="312" spans="1:41" x14ac:dyDescent="0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92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</row>
    <row r="313" spans="1:41" x14ac:dyDescent="0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92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</row>
    <row r="314" spans="1:41" x14ac:dyDescent="0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92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</row>
    <row r="315" spans="1:41" x14ac:dyDescent="0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92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</row>
    <row r="316" spans="1:41" x14ac:dyDescent="0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92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</row>
    <row r="317" spans="1:41" x14ac:dyDescent="0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92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</row>
    <row r="318" spans="1:41" x14ac:dyDescent="0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92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</row>
    <row r="319" spans="1:41" x14ac:dyDescent="0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92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</row>
    <row r="320" spans="1:41" x14ac:dyDescent="0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92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</row>
    <row r="321" spans="1:41" x14ac:dyDescent="0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92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</row>
    <row r="322" spans="1:41" x14ac:dyDescent="0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92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</row>
    <row r="323" spans="1:41" x14ac:dyDescent="0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92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</row>
    <row r="324" spans="1:41" x14ac:dyDescent="0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92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</row>
    <row r="325" spans="1:41" x14ac:dyDescent="0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92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</row>
    <row r="326" spans="1:41" x14ac:dyDescent="0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92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</row>
    <row r="327" spans="1:41" x14ac:dyDescent="0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92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</row>
    <row r="328" spans="1:41" x14ac:dyDescent="0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92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</row>
    <row r="329" spans="1:41" x14ac:dyDescent="0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92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</row>
    <row r="330" spans="1:41" x14ac:dyDescent="0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92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</row>
    <row r="331" spans="1:41" x14ac:dyDescent="0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92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</row>
    <row r="332" spans="1:41" x14ac:dyDescent="0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92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</row>
    <row r="333" spans="1:41" x14ac:dyDescent="0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92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</row>
    <row r="334" spans="1:41" x14ac:dyDescent="0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92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</row>
    <row r="335" spans="1:41" x14ac:dyDescent="0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92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</row>
    <row r="336" spans="1:41" x14ac:dyDescent="0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92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</row>
    <row r="337" spans="1:41" x14ac:dyDescent="0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92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</row>
    <row r="338" spans="1:41" x14ac:dyDescent="0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92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</row>
    <row r="339" spans="1:41" x14ac:dyDescent="0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92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</row>
    <row r="340" spans="1:41" x14ac:dyDescent="0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92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</row>
    <row r="341" spans="1:41" x14ac:dyDescent="0.25">
      <c r="K341" s="194"/>
    </row>
    <row r="342" spans="1:41" x14ac:dyDescent="0.25">
      <c r="K342" s="194"/>
    </row>
    <row r="343" spans="1:41" x14ac:dyDescent="0.25">
      <c r="K343" s="194"/>
    </row>
    <row r="344" spans="1:41" x14ac:dyDescent="0.25">
      <c r="K344" s="194"/>
    </row>
    <row r="345" spans="1:41" x14ac:dyDescent="0.25">
      <c r="K345" s="194"/>
    </row>
    <row r="346" spans="1:41" x14ac:dyDescent="0.25">
      <c r="K346" s="194"/>
    </row>
    <row r="347" spans="1:41" x14ac:dyDescent="0.25">
      <c r="K347" s="194"/>
    </row>
    <row r="348" spans="1:41" x14ac:dyDescent="0.25">
      <c r="K348" s="194"/>
    </row>
    <row r="349" spans="1:41" x14ac:dyDescent="0.25">
      <c r="K349" s="194"/>
    </row>
    <row r="350" spans="1:41" x14ac:dyDescent="0.25">
      <c r="K350" s="194"/>
    </row>
    <row r="351" spans="1:41" x14ac:dyDescent="0.25">
      <c r="K351" s="194"/>
    </row>
    <row r="352" spans="1:41" x14ac:dyDescent="0.25">
      <c r="K352" s="194"/>
    </row>
    <row r="353" spans="11:11" x14ac:dyDescent="0.25">
      <c r="K353" s="194"/>
    </row>
    <row r="354" spans="11:11" x14ac:dyDescent="0.25">
      <c r="K354" s="194"/>
    </row>
    <row r="355" spans="11:11" x14ac:dyDescent="0.25">
      <c r="K355" s="194"/>
    </row>
    <row r="356" spans="11:11" x14ac:dyDescent="0.25">
      <c r="K356" s="194"/>
    </row>
    <row r="357" spans="11:11" x14ac:dyDescent="0.25">
      <c r="K357" s="194"/>
    </row>
    <row r="358" spans="11:11" x14ac:dyDescent="0.25">
      <c r="K358" s="194"/>
    </row>
    <row r="359" spans="11:11" x14ac:dyDescent="0.25">
      <c r="K359" s="194"/>
    </row>
    <row r="360" spans="11:11" x14ac:dyDescent="0.25">
      <c r="K360" s="194"/>
    </row>
    <row r="361" spans="11:11" x14ac:dyDescent="0.25">
      <c r="K361" s="194"/>
    </row>
    <row r="362" spans="11:11" x14ac:dyDescent="0.25">
      <c r="K362" s="194"/>
    </row>
    <row r="363" spans="11:11" x14ac:dyDescent="0.25">
      <c r="K363" s="194"/>
    </row>
    <row r="364" spans="11:11" x14ac:dyDescent="0.25">
      <c r="K364" s="194"/>
    </row>
    <row r="365" spans="11:11" x14ac:dyDescent="0.25">
      <c r="K365" s="194"/>
    </row>
    <row r="366" spans="11:11" x14ac:dyDescent="0.25">
      <c r="K366" s="194"/>
    </row>
    <row r="367" spans="11:11" x14ac:dyDescent="0.25">
      <c r="K367" s="194"/>
    </row>
    <row r="368" spans="11:11" x14ac:dyDescent="0.25">
      <c r="K368" s="194"/>
    </row>
    <row r="369" spans="11:11" x14ac:dyDescent="0.25">
      <c r="K369" s="194"/>
    </row>
    <row r="370" spans="11:11" x14ac:dyDescent="0.25">
      <c r="K370" s="194"/>
    </row>
    <row r="371" spans="11:11" x14ac:dyDescent="0.25">
      <c r="K371" s="194"/>
    </row>
    <row r="372" spans="11:11" x14ac:dyDescent="0.25">
      <c r="K372" s="194"/>
    </row>
    <row r="373" spans="11:11" x14ac:dyDescent="0.25">
      <c r="K373" s="194"/>
    </row>
    <row r="374" spans="11:11" x14ac:dyDescent="0.25">
      <c r="K374" s="194"/>
    </row>
    <row r="375" spans="11:11" x14ac:dyDescent="0.25">
      <c r="K375" s="194"/>
    </row>
    <row r="376" spans="11:11" x14ac:dyDescent="0.25">
      <c r="K376" s="194"/>
    </row>
    <row r="377" spans="11:11" x14ac:dyDescent="0.25">
      <c r="K377" s="194"/>
    </row>
    <row r="378" spans="11:11" x14ac:dyDescent="0.25">
      <c r="K378" s="194"/>
    </row>
    <row r="379" spans="11:11" x14ac:dyDescent="0.25">
      <c r="K379" s="194"/>
    </row>
    <row r="380" spans="11:11" x14ac:dyDescent="0.25">
      <c r="K380" s="194"/>
    </row>
    <row r="381" spans="11:11" x14ac:dyDescent="0.25">
      <c r="K381" s="194"/>
    </row>
    <row r="382" spans="11:11" x14ac:dyDescent="0.25">
      <c r="K382" s="194"/>
    </row>
    <row r="383" spans="11:11" x14ac:dyDescent="0.25">
      <c r="K383" s="194"/>
    </row>
    <row r="384" spans="11:11" x14ac:dyDescent="0.25">
      <c r="K384" s="194"/>
    </row>
    <row r="385" spans="11:11" x14ac:dyDescent="0.25">
      <c r="K385" s="194"/>
    </row>
    <row r="386" spans="11:11" x14ac:dyDescent="0.25">
      <c r="K386" s="194"/>
    </row>
    <row r="387" spans="11:11" x14ac:dyDescent="0.25">
      <c r="K387" s="194"/>
    </row>
    <row r="388" spans="11:11" x14ac:dyDescent="0.25">
      <c r="K388" s="194"/>
    </row>
    <row r="389" spans="11:11" x14ac:dyDescent="0.25">
      <c r="K389" s="194"/>
    </row>
    <row r="390" spans="11:11" x14ac:dyDescent="0.25">
      <c r="K390" s="194"/>
    </row>
    <row r="391" spans="11:11" x14ac:dyDescent="0.25">
      <c r="K391" s="194"/>
    </row>
    <row r="392" spans="11:11" x14ac:dyDescent="0.25">
      <c r="K392" s="194"/>
    </row>
    <row r="393" spans="11:11" x14ac:dyDescent="0.25">
      <c r="K393" s="194"/>
    </row>
    <row r="394" spans="11:11" x14ac:dyDescent="0.25">
      <c r="K394" s="194"/>
    </row>
    <row r="395" spans="11:11" x14ac:dyDescent="0.25">
      <c r="K395" s="194"/>
    </row>
    <row r="396" spans="11:11" x14ac:dyDescent="0.25">
      <c r="K396" s="194"/>
    </row>
    <row r="397" spans="11:11" x14ac:dyDescent="0.25">
      <c r="K397" s="194"/>
    </row>
    <row r="398" spans="11:11" x14ac:dyDescent="0.25">
      <c r="K398" s="194"/>
    </row>
    <row r="399" spans="11:11" x14ac:dyDescent="0.25">
      <c r="K399" s="194"/>
    </row>
    <row r="400" spans="11:11" x14ac:dyDescent="0.25">
      <c r="K400" s="194"/>
    </row>
    <row r="401" spans="11:11" x14ac:dyDescent="0.25">
      <c r="K401" s="194"/>
    </row>
    <row r="402" spans="11:11" x14ac:dyDescent="0.25">
      <c r="K402" s="194"/>
    </row>
    <row r="403" spans="11:11" x14ac:dyDescent="0.25">
      <c r="K403" s="194"/>
    </row>
    <row r="404" spans="11:11" x14ac:dyDescent="0.25">
      <c r="K404" s="194"/>
    </row>
    <row r="405" spans="11:11" x14ac:dyDescent="0.25">
      <c r="K405" s="194"/>
    </row>
    <row r="406" spans="11:11" x14ac:dyDescent="0.25">
      <c r="K406" s="194"/>
    </row>
    <row r="407" spans="11:11" x14ac:dyDescent="0.25">
      <c r="K407" s="194"/>
    </row>
    <row r="408" spans="11:11" x14ac:dyDescent="0.25">
      <c r="K408" s="194"/>
    </row>
    <row r="409" spans="11:11" x14ac:dyDescent="0.25">
      <c r="K409" s="194"/>
    </row>
    <row r="410" spans="11:11" x14ac:dyDescent="0.25">
      <c r="K410" s="194"/>
    </row>
    <row r="411" spans="11:11" x14ac:dyDescent="0.25">
      <c r="K411" s="194"/>
    </row>
    <row r="412" spans="11:11" x14ac:dyDescent="0.25">
      <c r="K412" s="194"/>
    </row>
    <row r="413" spans="11:11" x14ac:dyDescent="0.25">
      <c r="K413" s="194"/>
    </row>
    <row r="414" spans="11:11" x14ac:dyDescent="0.25">
      <c r="K414" s="194"/>
    </row>
    <row r="415" spans="11:11" x14ac:dyDescent="0.25">
      <c r="K415" s="194"/>
    </row>
    <row r="416" spans="11:11" x14ac:dyDescent="0.25">
      <c r="K416" s="194"/>
    </row>
    <row r="417" spans="11:11" x14ac:dyDescent="0.25">
      <c r="K417" s="194"/>
    </row>
    <row r="418" spans="11:11" x14ac:dyDescent="0.25">
      <c r="K418" s="194"/>
    </row>
    <row r="419" spans="11:11" x14ac:dyDescent="0.25">
      <c r="K419" s="194"/>
    </row>
    <row r="420" spans="11:11" x14ac:dyDescent="0.25">
      <c r="K420" s="194"/>
    </row>
    <row r="421" spans="11:11" x14ac:dyDescent="0.25">
      <c r="K421" s="194"/>
    </row>
    <row r="422" spans="11:11" x14ac:dyDescent="0.25">
      <c r="K422" s="194"/>
    </row>
    <row r="423" spans="11:11" x14ac:dyDescent="0.25">
      <c r="K423" s="194"/>
    </row>
    <row r="424" spans="11:11" x14ac:dyDescent="0.25">
      <c r="K424" s="194"/>
    </row>
    <row r="425" spans="11:11" x14ac:dyDescent="0.25">
      <c r="K425" s="194"/>
    </row>
    <row r="426" spans="11:11" x14ac:dyDescent="0.25">
      <c r="K426" s="194"/>
    </row>
    <row r="427" spans="11:11" x14ac:dyDescent="0.25">
      <c r="K427" s="194"/>
    </row>
    <row r="428" spans="11:11" x14ac:dyDescent="0.25">
      <c r="K428" s="194"/>
    </row>
    <row r="429" spans="11:11" x14ac:dyDescent="0.25">
      <c r="K429" s="194"/>
    </row>
    <row r="430" spans="11:11" x14ac:dyDescent="0.25">
      <c r="K430" s="194"/>
    </row>
    <row r="431" spans="11:11" x14ac:dyDescent="0.25">
      <c r="K431" s="194"/>
    </row>
    <row r="432" spans="11:11" x14ac:dyDescent="0.25">
      <c r="K432" s="194"/>
    </row>
    <row r="433" spans="11:11" x14ac:dyDescent="0.25">
      <c r="K433" s="194"/>
    </row>
    <row r="434" spans="11:11" x14ac:dyDescent="0.25">
      <c r="K434" s="194"/>
    </row>
    <row r="435" spans="11:11" x14ac:dyDescent="0.25">
      <c r="K435" s="194"/>
    </row>
    <row r="436" spans="11:11" x14ac:dyDescent="0.25">
      <c r="K436" s="194"/>
    </row>
    <row r="437" spans="11:11" x14ac:dyDescent="0.25">
      <c r="K437" s="194"/>
    </row>
    <row r="438" spans="11:11" x14ac:dyDescent="0.25">
      <c r="K438" s="194"/>
    </row>
    <row r="439" spans="11:11" x14ac:dyDescent="0.25">
      <c r="K439" s="194"/>
    </row>
    <row r="440" spans="11:11" x14ac:dyDescent="0.25">
      <c r="K440" s="194"/>
    </row>
    <row r="441" spans="11:11" x14ac:dyDescent="0.25">
      <c r="K441" s="194"/>
    </row>
    <row r="442" spans="11:11" x14ac:dyDescent="0.25">
      <c r="K442" s="194"/>
    </row>
    <row r="443" spans="11:11" x14ac:dyDescent="0.25">
      <c r="K443" s="194"/>
    </row>
    <row r="444" spans="11:11" x14ac:dyDescent="0.25">
      <c r="K444" s="194"/>
    </row>
    <row r="445" spans="11:11" x14ac:dyDescent="0.25">
      <c r="K445" s="194"/>
    </row>
    <row r="446" spans="11:11" x14ac:dyDescent="0.25">
      <c r="K446" s="194"/>
    </row>
    <row r="447" spans="11:11" x14ac:dyDescent="0.25">
      <c r="K447" s="194"/>
    </row>
    <row r="448" spans="11:11" x14ac:dyDescent="0.25">
      <c r="K448" s="194"/>
    </row>
    <row r="449" spans="11:11" x14ac:dyDescent="0.25">
      <c r="K449" s="194"/>
    </row>
    <row r="450" spans="11:11" x14ac:dyDescent="0.25">
      <c r="K450" s="194"/>
    </row>
    <row r="451" spans="11:11" x14ac:dyDescent="0.25">
      <c r="K451" s="194"/>
    </row>
    <row r="452" spans="11:11" x14ac:dyDescent="0.25">
      <c r="K452" s="194"/>
    </row>
    <row r="453" spans="11:11" x14ac:dyDescent="0.25">
      <c r="K453" s="194"/>
    </row>
    <row r="454" spans="11:11" x14ac:dyDescent="0.25">
      <c r="K454" s="194"/>
    </row>
    <row r="455" spans="11:11" x14ac:dyDescent="0.25">
      <c r="K455" s="194"/>
    </row>
    <row r="456" spans="11:11" x14ac:dyDescent="0.25">
      <c r="K456" s="194"/>
    </row>
    <row r="457" spans="11:11" x14ac:dyDescent="0.25">
      <c r="K457" s="194"/>
    </row>
    <row r="458" spans="11:11" x14ac:dyDescent="0.25">
      <c r="K458" s="194"/>
    </row>
    <row r="459" spans="11:11" x14ac:dyDescent="0.25">
      <c r="K459" s="194"/>
    </row>
    <row r="460" spans="11:11" x14ac:dyDescent="0.25">
      <c r="K460" s="194"/>
    </row>
    <row r="461" spans="11:11" x14ac:dyDescent="0.25">
      <c r="K461" s="194"/>
    </row>
    <row r="462" spans="11:11" x14ac:dyDescent="0.25">
      <c r="K462" s="194"/>
    </row>
    <row r="463" spans="11:11" x14ac:dyDescent="0.25">
      <c r="K463" s="194"/>
    </row>
    <row r="464" spans="11:11" x14ac:dyDescent="0.25">
      <c r="K464" s="194"/>
    </row>
    <row r="465" spans="11:11" x14ac:dyDescent="0.25">
      <c r="K465" s="194"/>
    </row>
    <row r="466" spans="11:11" x14ac:dyDescent="0.25">
      <c r="K466" s="194"/>
    </row>
    <row r="467" spans="11:11" x14ac:dyDescent="0.25">
      <c r="K467" s="194"/>
    </row>
    <row r="468" spans="11:11" x14ac:dyDescent="0.25">
      <c r="K468" s="194"/>
    </row>
    <row r="469" spans="11:11" x14ac:dyDescent="0.25">
      <c r="K469" s="194"/>
    </row>
    <row r="470" spans="11:11" x14ac:dyDescent="0.25">
      <c r="K470" s="194"/>
    </row>
    <row r="471" spans="11:11" x14ac:dyDescent="0.25">
      <c r="K471" s="194"/>
    </row>
    <row r="472" spans="11:11" x14ac:dyDescent="0.25">
      <c r="K472" s="194"/>
    </row>
    <row r="473" spans="11:11" x14ac:dyDescent="0.25">
      <c r="K473" s="194"/>
    </row>
    <row r="474" spans="11:11" x14ac:dyDescent="0.25">
      <c r="K474" s="194"/>
    </row>
    <row r="475" spans="11:11" x14ac:dyDescent="0.25">
      <c r="K475" s="194"/>
    </row>
    <row r="476" spans="11:11" x14ac:dyDescent="0.25">
      <c r="K476" s="194"/>
    </row>
    <row r="477" spans="11:11" x14ac:dyDescent="0.25">
      <c r="K477" s="194"/>
    </row>
    <row r="478" spans="11:11" x14ac:dyDescent="0.25">
      <c r="K478" s="194"/>
    </row>
    <row r="479" spans="11:11" x14ac:dyDescent="0.25">
      <c r="K479" s="194"/>
    </row>
    <row r="480" spans="11:11" x14ac:dyDescent="0.25">
      <c r="K480" s="194"/>
    </row>
    <row r="481" spans="11:11" x14ac:dyDescent="0.25">
      <c r="K481" s="194"/>
    </row>
    <row r="482" spans="11:11" x14ac:dyDescent="0.25">
      <c r="K482" s="194"/>
    </row>
    <row r="483" spans="11:11" x14ac:dyDescent="0.25">
      <c r="K483" s="194"/>
    </row>
    <row r="484" spans="11:11" x14ac:dyDescent="0.25">
      <c r="K484" s="194"/>
    </row>
    <row r="485" spans="11:11" x14ac:dyDescent="0.25">
      <c r="K485" s="194"/>
    </row>
    <row r="486" spans="11:11" x14ac:dyDescent="0.25">
      <c r="K486" s="194"/>
    </row>
    <row r="487" spans="11:11" x14ac:dyDescent="0.25">
      <c r="K487" s="194"/>
    </row>
    <row r="488" spans="11:11" x14ac:dyDescent="0.25">
      <c r="K488" s="194"/>
    </row>
    <row r="489" spans="11:11" x14ac:dyDescent="0.25">
      <c r="K489" s="194"/>
    </row>
    <row r="490" spans="11:11" x14ac:dyDescent="0.25">
      <c r="K490" s="194"/>
    </row>
    <row r="491" spans="11:11" x14ac:dyDescent="0.25">
      <c r="K491" s="194"/>
    </row>
    <row r="492" spans="11:11" x14ac:dyDescent="0.25">
      <c r="K492" s="194"/>
    </row>
    <row r="493" spans="11:11" x14ac:dyDescent="0.25">
      <c r="K493" s="194"/>
    </row>
    <row r="494" spans="11:11" x14ac:dyDescent="0.25">
      <c r="K494" s="194"/>
    </row>
    <row r="495" spans="11:11" x14ac:dyDescent="0.25">
      <c r="K495" s="194"/>
    </row>
    <row r="496" spans="11:11" x14ac:dyDescent="0.25">
      <c r="K496" s="194"/>
    </row>
    <row r="497" spans="11:11" x14ac:dyDescent="0.25">
      <c r="K497" s="194"/>
    </row>
    <row r="498" spans="11:11" x14ac:dyDescent="0.25">
      <c r="K498" s="194"/>
    </row>
    <row r="499" spans="11:11" x14ac:dyDescent="0.25">
      <c r="K499" s="194"/>
    </row>
    <row r="500" spans="11:11" x14ac:dyDescent="0.25">
      <c r="K500" s="194"/>
    </row>
    <row r="501" spans="11:11" x14ac:dyDescent="0.25">
      <c r="K501" s="194"/>
    </row>
    <row r="502" spans="11:11" x14ac:dyDescent="0.25">
      <c r="K502" s="194"/>
    </row>
    <row r="503" spans="11:11" x14ac:dyDescent="0.25">
      <c r="K503" s="194"/>
    </row>
    <row r="504" spans="11:11" x14ac:dyDescent="0.25">
      <c r="K504" s="194"/>
    </row>
    <row r="505" spans="11:11" x14ac:dyDescent="0.25">
      <c r="K505" s="194"/>
    </row>
    <row r="506" spans="11:11" x14ac:dyDescent="0.25">
      <c r="K506" s="194"/>
    </row>
    <row r="507" spans="11:11" x14ac:dyDescent="0.25">
      <c r="K507" s="194"/>
    </row>
    <row r="508" spans="11:11" x14ac:dyDescent="0.25">
      <c r="K508" s="194"/>
    </row>
    <row r="509" spans="11:11" x14ac:dyDescent="0.25">
      <c r="K509" s="194"/>
    </row>
    <row r="510" spans="11:11" x14ac:dyDescent="0.25">
      <c r="K510" s="194"/>
    </row>
    <row r="511" spans="11:11" x14ac:dyDescent="0.25">
      <c r="K511" s="194"/>
    </row>
    <row r="512" spans="11:11" x14ac:dyDescent="0.25">
      <c r="K512" s="194"/>
    </row>
    <row r="513" spans="11:11" x14ac:dyDescent="0.25">
      <c r="K513" s="194"/>
    </row>
    <row r="514" spans="11:11" x14ac:dyDescent="0.25">
      <c r="K514" s="194"/>
    </row>
    <row r="515" spans="11:11" x14ac:dyDescent="0.25">
      <c r="K515" s="194"/>
    </row>
    <row r="516" spans="11:11" x14ac:dyDescent="0.25">
      <c r="K516" s="194"/>
    </row>
    <row r="517" spans="11:11" x14ac:dyDescent="0.25">
      <c r="K517" s="194"/>
    </row>
    <row r="518" spans="11:11" x14ac:dyDescent="0.25">
      <c r="K518" s="194"/>
    </row>
    <row r="519" spans="11:11" x14ac:dyDescent="0.25">
      <c r="K519" s="194"/>
    </row>
    <row r="520" spans="11:11" x14ac:dyDescent="0.25">
      <c r="K520" s="194"/>
    </row>
    <row r="521" spans="11:11" x14ac:dyDescent="0.25">
      <c r="K521" s="194"/>
    </row>
    <row r="522" spans="11:11" x14ac:dyDescent="0.25">
      <c r="K522" s="194"/>
    </row>
    <row r="523" spans="11:11" x14ac:dyDescent="0.25">
      <c r="K523" s="194"/>
    </row>
    <row r="524" spans="11:11" x14ac:dyDescent="0.25">
      <c r="K524" s="194"/>
    </row>
    <row r="525" spans="11:11" x14ac:dyDescent="0.25">
      <c r="K525" s="194"/>
    </row>
    <row r="526" spans="11:11" x14ac:dyDescent="0.25">
      <c r="K526" s="194"/>
    </row>
    <row r="527" spans="11:11" x14ac:dyDescent="0.25">
      <c r="K527" s="194"/>
    </row>
    <row r="528" spans="11:11" x14ac:dyDescent="0.25">
      <c r="K528" s="194"/>
    </row>
    <row r="529" spans="11:11" x14ac:dyDescent="0.25">
      <c r="K529" s="194"/>
    </row>
    <row r="530" spans="11:11" x14ac:dyDescent="0.25">
      <c r="K530" s="194"/>
    </row>
    <row r="531" spans="11:11" x14ac:dyDescent="0.25">
      <c r="K531" s="194"/>
    </row>
    <row r="532" spans="11:11" x14ac:dyDescent="0.25">
      <c r="K532" s="194"/>
    </row>
    <row r="533" spans="11:11" x14ac:dyDescent="0.25">
      <c r="K533" s="194"/>
    </row>
    <row r="534" spans="11:11" x14ac:dyDescent="0.25">
      <c r="K534" s="194"/>
    </row>
    <row r="535" spans="11:11" x14ac:dyDescent="0.25">
      <c r="K535" s="194"/>
    </row>
    <row r="536" spans="11:11" x14ac:dyDescent="0.25">
      <c r="K536" s="194"/>
    </row>
    <row r="537" spans="11:11" x14ac:dyDescent="0.25">
      <c r="K537" s="194"/>
    </row>
    <row r="538" spans="11:11" x14ac:dyDescent="0.25">
      <c r="K538" s="194"/>
    </row>
    <row r="539" spans="11:11" x14ac:dyDescent="0.25">
      <c r="K539" s="194"/>
    </row>
    <row r="540" spans="11:11" x14ac:dyDescent="0.25">
      <c r="K540" s="194"/>
    </row>
    <row r="541" spans="11:11" x14ac:dyDescent="0.25">
      <c r="K541" s="194"/>
    </row>
    <row r="542" spans="11:11" x14ac:dyDescent="0.25">
      <c r="K542" s="194"/>
    </row>
    <row r="543" spans="11:11" x14ac:dyDescent="0.25">
      <c r="K543" s="194"/>
    </row>
    <row r="544" spans="11:11" x14ac:dyDescent="0.25">
      <c r="K544" s="194"/>
    </row>
    <row r="545" spans="11:11" x14ac:dyDescent="0.25">
      <c r="K545" s="194"/>
    </row>
    <row r="546" spans="11:11" x14ac:dyDescent="0.25">
      <c r="K546" s="194"/>
    </row>
    <row r="547" spans="11:11" x14ac:dyDescent="0.25">
      <c r="K547" s="194"/>
    </row>
    <row r="548" spans="11:11" x14ac:dyDescent="0.25">
      <c r="K548" s="194"/>
    </row>
    <row r="549" spans="11:11" x14ac:dyDescent="0.25">
      <c r="K549" s="194"/>
    </row>
    <row r="550" spans="11:11" x14ac:dyDescent="0.25">
      <c r="K550" s="194"/>
    </row>
    <row r="551" spans="11:11" x14ac:dyDescent="0.25">
      <c r="K551" s="194"/>
    </row>
    <row r="552" spans="11:11" x14ac:dyDescent="0.25">
      <c r="K552" s="194"/>
    </row>
    <row r="553" spans="11:11" x14ac:dyDescent="0.25">
      <c r="K553" s="194"/>
    </row>
    <row r="554" spans="11:11" x14ac:dyDescent="0.25">
      <c r="K554" s="194"/>
    </row>
    <row r="555" spans="11:11" x14ac:dyDescent="0.25">
      <c r="K555" s="194"/>
    </row>
    <row r="556" spans="11:11" x14ac:dyDescent="0.25">
      <c r="K556" s="194"/>
    </row>
    <row r="557" spans="11:11" x14ac:dyDescent="0.25">
      <c r="K557" s="194"/>
    </row>
    <row r="558" spans="11:11" x14ac:dyDescent="0.25">
      <c r="K558" s="194"/>
    </row>
    <row r="559" spans="11:11" x14ac:dyDescent="0.25">
      <c r="K559" s="194"/>
    </row>
    <row r="560" spans="11:11" x14ac:dyDescent="0.25">
      <c r="K560" s="194"/>
    </row>
    <row r="561" spans="11:11" x14ac:dyDescent="0.25">
      <c r="K561" s="194"/>
    </row>
    <row r="562" spans="11:11" x14ac:dyDescent="0.25">
      <c r="K562" s="194"/>
    </row>
    <row r="563" spans="11:11" x14ac:dyDescent="0.25">
      <c r="K563" s="194"/>
    </row>
    <row r="564" spans="11:11" x14ac:dyDescent="0.25">
      <c r="K564" s="194"/>
    </row>
    <row r="565" spans="11:11" x14ac:dyDescent="0.25">
      <c r="K565" s="194"/>
    </row>
    <row r="566" spans="11:11" x14ac:dyDescent="0.25">
      <c r="K566" s="194"/>
    </row>
    <row r="567" spans="11:11" x14ac:dyDescent="0.25">
      <c r="K567" s="194"/>
    </row>
    <row r="568" spans="11:11" x14ac:dyDescent="0.25">
      <c r="K568" s="194"/>
    </row>
    <row r="569" spans="11:11" x14ac:dyDescent="0.25">
      <c r="K569" s="194"/>
    </row>
    <row r="570" spans="11:11" x14ac:dyDescent="0.25">
      <c r="K570" s="194"/>
    </row>
    <row r="571" spans="11:11" x14ac:dyDescent="0.25">
      <c r="K571" s="194"/>
    </row>
    <row r="572" spans="11:11" x14ac:dyDescent="0.25">
      <c r="K572" s="194"/>
    </row>
    <row r="573" spans="11:11" x14ac:dyDescent="0.25">
      <c r="K573" s="194"/>
    </row>
    <row r="574" spans="11:11" x14ac:dyDescent="0.25">
      <c r="K574" s="194"/>
    </row>
    <row r="575" spans="11:11" x14ac:dyDescent="0.25">
      <c r="K575" s="194"/>
    </row>
    <row r="576" spans="11:11" x14ac:dyDescent="0.25">
      <c r="K576" s="194"/>
    </row>
    <row r="577" spans="11:11" x14ac:dyDescent="0.25">
      <c r="K577" s="194"/>
    </row>
    <row r="578" spans="11:11" x14ac:dyDescent="0.25">
      <c r="K578" s="194"/>
    </row>
    <row r="579" spans="11:11" x14ac:dyDescent="0.25">
      <c r="K579" s="194"/>
    </row>
    <row r="580" spans="11:11" x14ac:dyDescent="0.25">
      <c r="K580" s="194"/>
    </row>
    <row r="581" spans="11:11" x14ac:dyDescent="0.25">
      <c r="K581" s="194"/>
    </row>
    <row r="582" spans="11:11" x14ac:dyDescent="0.25">
      <c r="K582" s="194"/>
    </row>
    <row r="583" spans="11:11" x14ac:dyDescent="0.25">
      <c r="K583" s="194"/>
    </row>
    <row r="584" spans="11:11" x14ac:dyDescent="0.25">
      <c r="K584" s="194"/>
    </row>
    <row r="585" spans="11:11" x14ac:dyDescent="0.25">
      <c r="K585" s="194"/>
    </row>
    <row r="586" spans="11:11" x14ac:dyDescent="0.25">
      <c r="K586" s="194"/>
    </row>
    <row r="587" spans="11:11" x14ac:dyDescent="0.25">
      <c r="K587" s="194"/>
    </row>
    <row r="588" spans="11:11" x14ac:dyDescent="0.25">
      <c r="K588" s="194"/>
    </row>
    <row r="589" spans="11:11" x14ac:dyDescent="0.25">
      <c r="K589" s="194"/>
    </row>
    <row r="590" spans="11:11" x14ac:dyDescent="0.25">
      <c r="K590" s="194"/>
    </row>
    <row r="591" spans="11:11" x14ac:dyDescent="0.25">
      <c r="K591" s="194"/>
    </row>
    <row r="592" spans="11:11" x14ac:dyDescent="0.25">
      <c r="K592" s="194"/>
    </row>
    <row r="593" spans="11:11" x14ac:dyDescent="0.25">
      <c r="K593" s="194"/>
    </row>
    <row r="594" spans="11:11" x14ac:dyDescent="0.25">
      <c r="K594" s="194"/>
    </row>
    <row r="595" spans="11:11" x14ac:dyDescent="0.25">
      <c r="K595" s="194"/>
    </row>
    <row r="596" spans="11:11" x14ac:dyDescent="0.25">
      <c r="K596" s="194"/>
    </row>
    <row r="597" spans="11:11" x14ac:dyDescent="0.25">
      <c r="K597" s="194"/>
    </row>
    <row r="598" spans="11:11" x14ac:dyDescent="0.25">
      <c r="K598" s="194"/>
    </row>
    <row r="599" spans="11:11" x14ac:dyDescent="0.25">
      <c r="K599" s="194"/>
    </row>
    <row r="600" spans="11:11" x14ac:dyDescent="0.25">
      <c r="K600" s="194"/>
    </row>
    <row r="601" spans="11:11" x14ac:dyDescent="0.25">
      <c r="K601" s="194"/>
    </row>
    <row r="602" spans="11:11" x14ac:dyDescent="0.25">
      <c r="K602" s="194"/>
    </row>
    <row r="603" spans="11:11" x14ac:dyDescent="0.25">
      <c r="K603" s="194"/>
    </row>
    <row r="604" spans="11:11" x14ac:dyDescent="0.25">
      <c r="K604" s="194"/>
    </row>
    <row r="605" spans="11:11" x14ac:dyDescent="0.25">
      <c r="K605" s="194"/>
    </row>
    <row r="606" spans="11:11" x14ac:dyDescent="0.25">
      <c r="K606" s="194"/>
    </row>
    <row r="607" spans="11:11" x14ac:dyDescent="0.25">
      <c r="K607" s="194"/>
    </row>
    <row r="608" spans="11:11" x14ac:dyDescent="0.25">
      <c r="K608" s="194"/>
    </row>
    <row r="609" spans="11:11" x14ac:dyDescent="0.25">
      <c r="K609" s="194"/>
    </row>
    <row r="610" spans="11:11" x14ac:dyDescent="0.25">
      <c r="K610" s="194"/>
    </row>
    <row r="611" spans="11:11" x14ac:dyDescent="0.25">
      <c r="K611" s="194"/>
    </row>
    <row r="612" spans="11:11" x14ac:dyDescent="0.25">
      <c r="K612" s="194"/>
    </row>
    <row r="613" spans="11:11" x14ac:dyDescent="0.25">
      <c r="K613" s="194"/>
    </row>
    <row r="614" spans="11:11" x14ac:dyDescent="0.25">
      <c r="K614" s="194"/>
    </row>
    <row r="615" spans="11:11" x14ac:dyDescent="0.25">
      <c r="K615" s="194"/>
    </row>
    <row r="616" spans="11:11" x14ac:dyDescent="0.25">
      <c r="K616" s="194"/>
    </row>
    <row r="617" spans="11:11" x14ac:dyDescent="0.25">
      <c r="K617" s="194"/>
    </row>
    <row r="618" spans="11:11" x14ac:dyDescent="0.25">
      <c r="K618" s="194"/>
    </row>
    <row r="619" spans="11:11" x14ac:dyDescent="0.25">
      <c r="K619" s="194"/>
    </row>
    <row r="620" spans="11:11" x14ac:dyDescent="0.25">
      <c r="K620" s="194"/>
    </row>
    <row r="621" spans="11:11" x14ac:dyDescent="0.25">
      <c r="K621" s="194"/>
    </row>
    <row r="622" spans="11:11" x14ac:dyDescent="0.25">
      <c r="K622" s="194"/>
    </row>
    <row r="623" spans="11:11" x14ac:dyDescent="0.25">
      <c r="K623" s="194"/>
    </row>
    <row r="624" spans="11:11" x14ac:dyDescent="0.25">
      <c r="K624" s="194"/>
    </row>
    <row r="625" spans="11:11" x14ac:dyDescent="0.25">
      <c r="K625" s="194"/>
    </row>
    <row r="626" spans="11:11" x14ac:dyDescent="0.25">
      <c r="K626" s="194"/>
    </row>
    <row r="627" spans="11:11" x14ac:dyDescent="0.25">
      <c r="K627" s="194"/>
    </row>
    <row r="628" spans="11:11" x14ac:dyDescent="0.25">
      <c r="K628" s="194"/>
    </row>
    <row r="629" spans="11:11" x14ac:dyDescent="0.25">
      <c r="K629" s="194"/>
    </row>
    <row r="630" spans="11:11" x14ac:dyDescent="0.25">
      <c r="K630" s="194"/>
    </row>
    <row r="631" spans="11:11" x14ac:dyDescent="0.25">
      <c r="K631" s="194"/>
    </row>
    <row r="632" spans="11:11" x14ac:dyDescent="0.25">
      <c r="K632" s="194"/>
    </row>
    <row r="633" spans="11:11" x14ac:dyDescent="0.25">
      <c r="K633" s="194"/>
    </row>
    <row r="634" spans="11:11" x14ac:dyDescent="0.25">
      <c r="K634" s="194"/>
    </row>
    <row r="635" spans="11:11" x14ac:dyDescent="0.25">
      <c r="K635" s="194"/>
    </row>
    <row r="636" spans="11:11" x14ac:dyDescent="0.25">
      <c r="K636" s="194"/>
    </row>
    <row r="637" spans="11:11" x14ac:dyDescent="0.25">
      <c r="K637" s="194"/>
    </row>
    <row r="638" spans="11:11" x14ac:dyDescent="0.25">
      <c r="K638" s="194"/>
    </row>
    <row r="639" spans="11:11" x14ac:dyDescent="0.25">
      <c r="K639" s="194"/>
    </row>
    <row r="640" spans="11:11" x14ac:dyDescent="0.25">
      <c r="K640" s="194"/>
    </row>
    <row r="641" spans="11:11" x14ac:dyDescent="0.25">
      <c r="K641" s="194"/>
    </row>
    <row r="642" spans="11:11" x14ac:dyDescent="0.25">
      <c r="K642" s="194"/>
    </row>
    <row r="643" spans="11:11" x14ac:dyDescent="0.25">
      <c r="K643" s="194"/>
    </row>
    <row r="644" spans="11:11" x14ac:dyDescent="0.25">
      <c r="K644" s="194"/>
    </row>
    <row r="645" spans="11:11" x14ac:dyDescent="0.25">
      <c r="K645" s="194"/>
    </row>
    <row r="646" spans="11:11" x14ac:dyDescent="0.25">
      <c r="K646" s="194"/>
    </row>
    <row r="647" spans="11:11" x14ac:dyDescent="0.25">
      <c r="K647" s="194"/>
    </row>
    <row r="648" spans="11:11" x14ac:dyDescent="0.25">
      <c r="K648" s="194"/>
    </row>
    <row r="649" spans="11:11" x14ac:dyDescent="0.25">
      <c r="K649" s="194"/>
    </row>
    <row r="650" spans="11:11" x14ac:dyDescent="0.25">
      <c r="K650" s="194"/>
    </row>
    <row r="651" spans="11:11" x14ac:dyDescent="0.25">
      <c r="K651" s="194"/>
    </row>
    <row r="652" spans="11:11" x14ac:dyDescent="0.25">
      <c r="K652" s="194"/>
    </row>
    <row r="653" spans="11:11" x14ac:dyDescent="0.25">
      <c r="K653" s="194"/>
    </row>
    <row r="654" spans="11:11" x14ac:dyDescent="0.25">
      <c r="K654" s="194"/>
    </row>
    <row r="655" spans="11:11" x14ac:dyDescent="0.25">
      <c r="K655" s="194"/>
    </row>
    <row r="656" spans="11:11" x14ac:dyDescent="0.25">
      <c r="K656" s="194"/>
    </row>
    <row r="657" spans="11:11" x14ac:dyDescent="0.25">
      <c r="K657" s="194"/>
    </row>
    <row r="658" spans="11:11" x14ac:dyDescent="0.25">
      <c r="K658" s="194"/>
    </row>
    <row r="659" spans="11:11" x14ac:dyDescent="0.25">
      <c r="K659" s="194"/>
    </row>
    <row r="660" spans="11:11" x14ac:dyDescent="0.25">
      <c r="K660" s="194"/>
    </row>
    <row r="661" spans="11:11" x14ac:dyDescent="0.25">
      <c r="K661" s="194"/>
    </row>
    <row r="662" spans="11:11" x14ac:dyDescent="0.25">
      <c r="K662" s="194"/>
    </row>
    <row r="663" spans="11:11" x14ac:dyDescent="0.25">
      <c r="K663" s="194"/>
    </row>
    <row r="664" spans="11:11" x14ac:dyDescent="0.25">
      <c r="K664" s="194"/>
    </row>
    <row r="665" spans="11:11" x14ac:dyDescent="0.25">
      <c r="K665" s="194"/>
    </row>
    <row r="666" spans="11:11" x14ac:dyDescent="0.25">
      <c r="K666" s="194"/>
    </row>
    <row r="667" spans="11:11" x14ac:dyDescent="0.25">
      <c r="K667" s="194"/>
    </row>
    <row r="668" spans="11:11" x14ac:dyDescent="0.25">
      <c r="K668" s="194"/>
    </row>
    <row r="669" spans="11:11" x14ac:dyDescent="0.25">
      <c r="K669" s="194"/>
    </row>
    <row r="670" spans="11:11" x14ac:dyDescent="0.25">
      <c r="K670" s="194"/>
    </row>
    <row r="671" spans="11:11" x14ac:dyDescent="0.25">
      <c r="K671" s="194"/>
    </row>
    <row r="672" spans="11:11" x14ac:dyDescent="0.25">
      <c r="K672" s="194"/>
    </row>
    <row r="673" spans="11:11" x14ac:dyDescent="0.25">
      <c r="K673" s="194"/>
    </row>
    <row r="674" spans="11:11" x14ac:dyDescent="0.25">
      <c r="K674" s="194"/>
    </row>
    <row r="675" spans="11:11" x14ac:dyDescent="0.25">
      <c r="K675" s="194"/>
    </row>
    <row r="676" spans="11:11" x14ac:dyDescent="0.25">
      <c r="K676" s="194"/>
    </row>
    <row r="677" spans="11:11" x14ac:dyDescent="0.25">
      <c r="K677" s="194"/>
    </row>
    <row r="678" spans="11:11" x14ac:dyDescent="0.25">
      <c r="K678" s="194"/>
    </row>
    <row r="679" spans="11:11" x14ac:dyDescent="0.25">
      <c r="K679" s="194"/>
    </row>
    <row r="680" spans="11:11" x14ac:dyDescent="0.25">
      <c r="K680" s="194"/>
    </row>
    <row r="681" spans="11:11" x14ac:dyDescent="0.25">
      <c r="K681" s="194"/>
    </row>
    <row r="682" spans="11:11" x14ac:dyDescent="0.25">
      <c r="K682" s="194"/>
    </row>
    <row r="683" spans="11:11" x14ac:dyDescent="0.25">
      <c r="K683" s="194"/>
    </row>
    <row r="684" spans="11:11" x14ac:dyDescent="0.25">
      <c r="K684" s="194"/>
    </row>
    <row r="685" spans="11:11" x14ac:dyDescent="0.25">
      <c r="K685" s="194"/>
    </row>
    <row r="686" spans="11:11" x14ac:dyDescent="0.25">
      <c r="K686" s="194"/>
    </row>
    <row r="687" spans="11:11" x14ac:dyDescent="0.25">
      <c r="K687" s="194"/>
    </row>
    <row r="688" spans="11:11" x14ac:dyDescent="0.25">
      <c r="K688" s="194"/>
    </row>
    <row r="689" spans="11:11" x14ac:dyDescent="0.25">
      <c r="K689" s="194"/>
    </row>
    <row r="690" spans="11:11" x14ac:dyDescent="0.25">
      <c r="K690" s="194"/>
    </row>
    <row r="691" spans="11:11" x14ac:dyDescent="0.25">
      <c r="K691" s="194"/>
    </row>
    <row r="692" spans="11:11" x14ac:dyDescent="0.25">
      <c r="K692" s="194"/>
    </row>
    <row r="693" spans="11:11" x14ac:dyDescent="0.25">
      <c r="K693" s="194"/>
    </row>
    <row r="694" spans="11:11" x14ac:dyDescent="0.25">
      <c r="K694" s="194"/>
    </row>
    <row r="695" spans="11:11" x14ac:dyDescent="0.25">
      <c r="K695" s="194"/>
    </row>
    <row r="696" spans="11:11" x14ac:dyDescent="0.25">
      <c r="K696" s="194"/>
    </row>
    <row r="697" spans="11:11" x14ac:dyDescent="0.25">
      <c r="K697" s="194"/>
    </row>
    <row r="698" spans="11:11" x14ac:dyDescent="0.25">
      <c r="K698" s="194"/>
    </row>
    <row r="699" spans="11:11" x14ac:dyDescent="0.25">
      <c r="K699" s="194"/>
    </row>
    <row r="700" spans="11:11" x14ac:dyDescent="0.25">
      <c r="K700" s="194"/>
    </row>
    <row r="701" spans="11:11" x14ac:dyDescent="0.25">
      <c r="K701" s="194"/>
    </row>
    <row r="702" spans="11:11" x14ac:dyDescent="0.25">
      <c r="K702" s="194"/>
    </row>
    <row r="703" spans="11:11" x14ac:dyDescent="0.25">
      <c r="K703" s="194"/>
    </row>
    <row r="704" spans="11:11" x14ac:dyDescent="0.25">
      <c r="K704" s="194"/>
    </row>
    <row r="705" spans="11:11" x14ac:dyDescent="0.25">
      <c r="K705" s="194"/>
    </row>
    <row r="706" spans="11:11" x14ac:dyDescent="0.25">
      <c r="K706" s="194"/>
    </row>
    <row r="707" spans="11:11" x14ac:dyDescent="0.25">
      <c r="K707" s="194"/>
    </row>
    <row r="708" spans="11:11" x14ac:dyDescent="0.25">
      <c r="K708" s="194"/>
    </row>
    <row r="709" spans="11:11" x14ac:dyDescent="0.25">
      <c r="K709" s="194"/>
    </row>
    <row r="710" spans="11:11" x14ac:dyDescent="0.25">
      <c r="K710" s="194"/>
    </row>
    <row r="711" spans="11:11" x14ac:dyDescent="0.25">
      <c r="K711" s="194"/>
    </row>
    <row r="712" spans="11:11" x14ac:dyDescent="0.25">
      <c r="K712" s="194"/>
    </row>
    <row r="713" spans="11:11" x14ac:dyDescent="0.25">
      <c r="K713" s="194"/>
    </row>
    <row r="714" spans="11:11" x14ac:dyDescent="0.25">
      <c r="K714" s="194"/>
    </row>
    <row r="715" spans="11:11" x14ac:dyDescent="0.25">
      <c r="K715" s="194"/>
    </row>
    <row r="716" spans="11:11" x14ac:dyDescent="0.25">
      <c r="K716" s="194"/>
    </row>
    <row r="717" spans="11:11" x14ac:dyDescent="0.25">
      <c r="K717" s="194"/>
    </row>
    <row r="718" spans="11:11" x14ac:dyDescent="0.25">
      <c r="K718" s="194"/>
    </row>
    <row r="719" spans="11:11" x14ac:dyDescent="0.25">
      <c r="K719" s="194"/>
    </row>
    <row r="720" spans="11:11" x14ac:dyDescent="0.25">
      <c r="K720" s="194"/>
    </row>
    <row r="721" spans="11:11" x14ac:dyDescent="0.25">
      <c r="K721" s="194"/>
    </row>
    <row r="722" spans="11:11" x14ac:dyDescent="0.25">
      <c r="K722" s="194"/>
    </row>
    <row r="723" spans="11:11" x14ac:dyDescent="0.25">
      <c r="K723" s="194"/>
    </row>
    <row r="724" spans="11:11" x14ac:dyDescent="0.25">
      <c r="K724" s="194"/>
    </row>
    <row r="725" spans="11:11" x14ac:dyDescent="0.25">
      <c r="K725" s="194"/>
    </row>
    <row r="726" spans="11:11" x14ac:dyDescent="0.25">
      <c r="K726" s="194"/>
    </row>
    <row r="727" spans="11:11" x14ac:dyDescent="0.25">
      <c r="K727" s="194"/>
    </row>
    <row r="728" spans="11:11" x14ac:dyDescent="0.25">
      <c r="K728" s="194"/>
    </row>
    <row r="729" spans="11:11" x14ac:dyDescent="0.25">
      <c r="K729" s="194"/>
    </row>
    <row r="730" spans="11:11" x14ac:dyDescent="0.25">
      <c r="K730" s="194"/>
    </row>
    <row r="731" spans="11:11" x14ac:dyDescent="0.25">
      <c r="K731" s="194"/>
    </row>
    <row r="732" spans="11:11" x14ac:dyDescent="0.25">
      <c r="K732" s="194"/>
    </row>
    <row r="733" spans="11:11" x14ac:dyDescent="0.25">
      <c r="K733" s="194"/>
    </row>
    <row r="734" spans="11:11" x14ac:dyDescent="0.25">
      <c r="K734" s="194"/>
    </row>
    <row r="735" spans="11:11" x14ac:dyDescent="0.25">
      <c r="K735" s="194"/>
    </row>
    <row r="736" spans="11:11" x14ac:dyDescent="0.25">
      <c r="K736" s="194"/>
    </row>
    <row r="737" spans="11:11" x14ac:dyDescent="0.25">
      <c r="K737" s="194"/>
    </row>
    <row r="738" spans="11:11" x14ac:dyDescent="0.25">
      <c r="K738" s="194"/>
    </row>
    <row r="739" spans="11:11" x14ac:dyDescent="0.25">
      <c r="K739" s="194"/>
    </row>
    <row r="740" spans="11:11" x14ac:dyDescent="0.25">
      <c r="K740" s="194"/>
    </row>
    <row r="741" spans="11:11" x14ac:dyDescent="0.25">
      <c r="K741" s="194"/>
    </row>
    <row r="742" spans="11:11" x14ac:dyDescent="0.25">
      <c r="K742" s="194"/>
    </row>
    <row r="743" spans="11:11" x14ac:dyDescent="0.25">
      <c r="K743" s="194"/>
    </row>
    <row r="744" spans="11:11" x14ac:dyDescent="0.25">
      <c r="K744" s="194"/>
    </row>
    <row r="745" spans="11:11" x14ac:dyDescent="0.25">
      <c r="K745" s="194"/>
    </row>
    <row r="746" spans="11:11" x14ac:dyDescent="0.25">
      <c r="K746" s="194"/>
    </row>
    <row r="747" spans="11:11" x14ac:dyDescent="0.25">
      <c r="K747" s="194"/>
    </row>
    <row r="748" spans="11:11" x14ac:dyDescent="0.25">
      <c r="K748" s="194"/>
    </row>
    <row r="749" spans="11:11" x14ac:dyDescent="0.25">
      <c r="K749" s="194"/>
    </row>
    <row r="750" spans="11:11" x14ac:dyDescent="0.25">
      <c r="K750" s="194"/>
    </row>
    <row r="751" spans="11:11" x14ac:dyDescent="0.25">
      <c r="K751" s="194"/>
    </row>
    <row r="752" spans="11:11" x14ac:dyDescent="0.25">
      <c r="K752" s="194"/>
    </row>
    <row r="753" spans="11:11" x14ac:dyDescent="0.25">
      <c r="K753" s="194"/>
    </row>
    <row r="754" spans="11:11" x14ac:dyDescent="0.25">
      <c r="K754" s="194"/>
    </row>
    <row r="755" spans="11:11" x14ac:dyDescent="0.25">
      <c r="K755" s="194"/>
    </row>
    <row r="756" spans="11:11" x14ac:dyDescent="0.25">
      <c r="K756" s="194"/>
    </row>
    <row r="757" spans="11:11" x14ac:dyDescent="0.25">
      <c r="K757" s="194"/>
    </row>
    <row r="758" spans="11:11" x14ac:dyDescent="0.25">
      <c r="K758" s="194"/>
    </row>
    <row r="759" spans="11:11" x14ac:dyDescent="0.25">
      <c r="K759" s="194"/>
    </row>
    <row r="760" spans="11:11" x14ac:dyDescent="0.25">
      <c r="K760" s="194"/>
    </row>
    <row r="761" spans="11:11" x14ac:dyDescent="0.25">
      <c r="K761" s="194"/>
    </row>
    <row r="762" spans="11:11" x14ac:dyDescent="0.25">
      <c r="K762" s="194"/>
    </row>
    <row r="763" spans="11:11" x14ac:dyDescent="0.25">
      <c r="K763" s="194"/>
    </row>
    <row r="764" spans="11:11" x14ac:dyDescent="0.25">
      <c r="K764" s="194"/>
    </row>
    <row r="765" spans="11:11" x14ac:dyDescent="0.25">
      <c r="K765" s="194"/>
    </row>
    <row r="766" spans="11:11" x14ac:dyDescent="0.25">
      <c r="K766" s="194"/>
    </row>
    <row r="767" spans="11:11" x14ac:dyDescent="0.25">
      <c r="K767" s="194"/>
    </row>
    <row r="768" spans="11:11" x14ac:dyDescent="0.25">
      <c r="K768" s="194"/>
    </row>
    <row r="769" spans="11:11" x14ac:dyDescent="0.25">
      <c r="K769" s="194"/>
    </row>
    <row r="770" spans="11:11" x14ac:dyDescent="0.25">
      <c r="K770" s="194"/>
    </row>
    <row r="771" spans="11:11" x14ac:dyDescent="0.25">
      <c r="K771" s="194"/>
    </row>
    <row r="772" spans="11:11" x14ac:dyDescent="0.25">
      <c r="K772" s="194"/>
    </row>
    <row r="773" spans="11:11" x14ac:dyDescent="0.25">
      <c r="K773" s="194"/>
    </row>
    <row r="774" spans="11:11" x14ac:dyDescent="0.25">
      <c r="K774" s="194"/>
    </row>
    <row r="775" spans="11:11" x14ac:dyDescent="0.25">
      <c r="K775" s="194"/>
    </row>
    <row r="776" spans="11:11" x14ac:dyDescent="0.25">
      <c r="K776" s="194"/>
    </row>
    <row r="777" spans="11:11" x14ac:dyDescent="0.25">
      <c r="K777" s="194"/>
    </row>
    <row r="778" spans="11:11" x14ac:dyDescent="0.25">
      <c r="K778" s="194"/>
    </row>
    <row r="779" spans="11:11" x14ac:dyDescent="0.25">
      <c r="K779" s="194"/>
    </row>
    <row r="780" spans="11:11" x14ac:dyDescent="0.25">
      <c r="K780" s="194"/>
    </row>
    <row r="781" spans="11:11" x14ac:dyDescent="0.25">
      <c r="K781" s="194"/>
    </row>
    <row r="782" spans="11:11" x14ac:dyDescent="0.25">
      <c r="K782" s="194"/>
    </row>
    <row r="783" spans="11:11" x14ac:dyDescent="0.25">
      <c r="K783" s="194"/>
    </row>
    <row r="784" spans="11:11" x14ac:dyDescent="0.25">
      <c r="K784" s="194"/>
    </row>
    <row r="785" spans="11:11" x14ac:dyDescent="0.25">
      <c r="K785" s="194"/>
    </row>
    <row r="786" spans="11:11" x14ac:dyDescent="0.25">
      <c r="K786" s="194"/>
    </row>
    <row r="787" spans="11:11" x14ac:dyDescent="0.25">
      <c r="K787" s="194"/>
    </row>
    <row r="788" spans="11:11" x14ac:dyDescent="0.25">
      <c r="K788" s="194"/>
    </row>
    <row r="789" spans="11:11" x14ac:dyDescent="0.25">
      <c r="K789" s="194"/>
    </row>
    <row r="790" spans="11:11" x14ac:dyDescent="0.25">
      <c r="K790" s="194"/>
    </row>
    <row r="791" spans="11:11" x14ac:dyDescent="0.25">
      <c r="K791" s="194"/>
    </row>
    <row r="792" spans="11:11" x14ac:dyDescent="0.25">
      <c r="K792" s="194"/>
    </row>
    <row r="793" spans="11:11" x14ac:dyDescent="0.25">
      <c r="K793" s="194"/>
    </row>
    <row r="794" spans="11:11" x14ac:dyDescent="0.25">
      <c r="K794" s="194"/>
    </row>
    <row r="795" spans="11:11" x14ac:dyDescent="0.25">
      <c r="K795" s="194"/>
    </row>
    <row r="796" spans="11:11" x14ac:dyDescent="0.25">
      <c r="K796" s="194"/>
    </row>
    <row r="797" spans="11:11" x14ac:dyDescent="0.25">
      <c r="K797" s="194"/>
    </row>
    <row r="798" spans="11:11" x14ac:dyDescent="0.25">
      <c r="K798" s="194"/>
    </row>
    <row r="799" spans="11:11" x14ac:dyDescent="0.25">
      <c r="K799" s="194"/>
    </row>
    <row r="800" spans="11:11" x14ac:dyDescent="0.25">
      <c r="K800" s="194"/>
    </row>
    <row r="801" spans="11:11" x14ac:dyDescent="0.25">
      <c r="K801" s="194"/>
    </row>
    <row r="802" spans="11:11" x14ac:dyDescent="0.25">
      <c r="K802" s="194"/>
    </row>
    <row r="803" spans="11:11" x14ac:dyDescent="0.25">
      <c r="K803" s="194"/>
    </row>
    <row r="804" spans="11:11" x14ac:dyDescent="0.25">
      <c r="K804" s="194"/>
    </row>
    <row r="805" spans="11:11" x14ac:dyDescent="0.25">
      <c r="K805" s="194"/>
    </row>
    <row r="806" spans="11:11" x14ac:dyDescent="0.25">
      <c r="K806" s="194"/>
    </row>
    <row r="807" spans="11:11" x14ac:dyDescent="0.25">
      <c r="K807" s="194"/>
    </row>
    <row r="808" spans="11:11" x14ac:dyDescent="0.25">
      <c r="K808" s="194"/>
    </row>
    <row r="809" spans="11:11" x14ac:dyDescent="0.25">
      <c r="K809" s="194"/>
    </row>
    <row r="810" spans="11:11" x14ac:dyDescent="0.25">
      <c r="K810" s="194"/>
    </row>
    <row r="811" spans="11:11" x14ac:dyDescent="0.25">
      <c r="K811" s="194"/>
    </row>
    <row r="812" spans="11:11" x14ac:dyDescent="0.25">
      <c r="K812" s="194"/>
    </row>
    <row r="813" spans="11:11" x14ac:dyDescent="0.25">
      <c r="K813" s="194"/>
    </row>
    <row r="814" spans="11:11" x14ac:dyDescent="0.25">
      <c r="K814" s="194"/>
    </row>
    <row r="815" spans="11:11" x14ac:dyDescent="0.25">
      <c r="K815" s="194"/>
    </row>
    <row r="816" spans="11:11" x14ac:dyDescent="0.25">
      <c r="K816" s="194"/>
    </row>
    <row r="817" spans="11:11" x14ac:dyDescent="0.25">
      <c r="K817" s="194"/>
    </row>
    <row r="818" spans="11:11" x14ac:dyDescent="0.25">
      <c r="K818" s="194"/>
    </row>
    <row r="819" spans="11:11" x14ac:dyDescent="0.25">
      <c r="K819" s="194"/>
    </row>
    <row r="820" spans="11:11" x14ac:dyDescent="0.25">
      <c r="K820" s="194"/>
    </row>
    <row r="821" spans="11:11" x14ac:dyDescent="0.25">
      <c r="K821" s="194"/>
    </row>
    <row r="822" spans="11:11" x14ac:dyDescent="0.25">
      <c r="K822" s="194"/>
    </row>
    <row r="823" spans="11:11" x14ac:dyDescent="0.25">
      <c r="K823" s="194"/>
    </row>
    <row r="824" spans="11:11" x14ac:dyDescent="0.25">
      <c r="K824" s="194"/>
    </row>
    <row r="825" spans="11:11" x14ac:dyDescent="0.25">
      <c r="K825" s="194"/>
    </row>
    <row r="826" spans="11:11" x14ac:dyDescent="0.25">
      <c r="K826" s="194"/>
    </row>
    <row r="827" spans="11:11" x14ac:dyDescent="0.25">
      <c r="K827" s="194"/>
    </row>
    <row r="828" spans="11:11" x14ac:dyDescent="0.25">
      <c r="K828" s="194"/>
    </row>
    <row r="829" spans="11:11" x14ac:dyDescent="0.25">
      <c r="K829" s="194"/>
    </row>
    <row r="830" spans="11:11" x14ac:dyDescent="0.25">
      <c r="K830" s="194"/>
    </row>
    <row r="831" spans="11:11" x14ac:dyDescent="0.25">
      <c r="K831" s="194"/>
    </row>
    <row r="832" spans="11:11" x14ac:dyDescent="0.25">
      <c r="K832" s="194"/>
    </row>
    <row r="833" spans="11:11" x14ac:dyDescent="0.25">
      <c r="K833" s="194"/>
    </row>
    <row r="834" spans="11:11" x14ac:dyDescent="0.25">
      <c r="K834" s="194"/>
    </row>
    <row r="835" spans="11:11" x14ac:dyDescent="0.25">
      <c r="K835" s="194"/>
    </row>
    <row r="836" spans="11:11" x14ac:dyDescent="0.25">
      <c r="K836" s="194"/>
    </row>
    <row r="837" spans="11:11" x14ac:dyDescent="0.25">
      <c r="K837" s="194"/>
    </row>
    <row r="838" spans="11:11" x14ac:dyDescent="0.25">
      <c r="K838" s="194"/>
    </row>
    <row r="839" spans="11:11" x14ac:dyDescent="0.25">
      <c r="K839" s="194"/>
    </row>
    <row r="840" spans="11:11" x14ac:dyDescent="0.25">
      <c r="K840" s="194"/>
    </row>
    <row r="841" spans="11:11" x14ac:dyDescent="0.25">
      <c r="K841" s="194"/>
    </row>
    <row r="842" spans="11:11" x14ac:dyDescent="0.25">
      <c r="K842" s="194"/>
    </row>
    <row r="843" spans="11:11" x14ac:dyDescent="0.25">
      <c r="K843" s="194"/>
    </row>
    <row r="844" spans="11:11" x14ac:dyDescent="0.25">
      <c r="K844" s="194"/>
    </row>
    <row r="845" spans="11:11" x14ac:dyDescent="0.25">
      <c r="K845" s="194"/>
    </row>
    <row r="846" spans="11:11" x14ac:dyDescent="0.25">
      <c r="K846" s="194"/>
    </row>
    <row r="847" spans="11:11" x14ac:dyDescent="0.25">
      <c r="K847" s="194"/>
    </row>
    <row r="848" spans="11:11" x14ac:dyDescent="0.25">
      <c r="K848" s="194"/>
    </row>
    <row r="849" spans="11:11" x14ac:dyDescent="0.25">
      <c r="K849" s="194"/>
    </row>
    <row r="850" spans="11:11" x14ac:dyDescent="0.25">
      <c r="K850" s="194"/>
    </row>
    <row r="851" spans="11:11" x14ac:dyDescent="0.25">
      <c r="K851" s="194"/>
    </row>
    <row r="852" spans="11:11" x14ac:dyDescent="0.25">
      <c r="K852" s="194"/>
    </row>
    <row r="853" spans="11:11" x14ac:dyDescent="0.25">
      <c r="K853" s="194"/>
    </row>
    <row r="854" spans="11:11" x14ac:dyDescent="0.25">
      <c r="K854" s="194"/>
    </row>
    <row r="855" spans="11:11" x14ac:dyDescent="0.25">
      <c r="K855" s="194"/>
    </row>
    <row r="856" spans="11:11" x14ac:dyDescent="0.25">
      <c r="K856" s="194"/>
    </row>
    <row r="857" spans="11:11" x14ac:dyDescent="0.25">
      <c r="K857" s="194"/>
    </row>
    <row r="858" spans="11:11" x14ac:dyDescent="0.25">
      <c r="K858" s="194"/>
    </row>
    <row r="859" spans="11:11" x14ac:dyDescent="0.25">
      <c r="K859" s="194"/>
    </row>
    <row r="860" spans="11:11" x14ac:dyDescent="0.25">
      <c r="K860" s="194"/>
    </row>
    <row r="861" spans="11:11" x14ac:dyDescent="0.25">
      <c r="K861" s="194"/>
    </row>
    <row r="862" spans="11:11" x14ac:dyDescent="0.25">
      <c r="K862" s="194"/>
    </row>
    <row r="863" spans="11:11" x14ac:dyDescent="0.25">
      <c r="K863" s="194"/>
    </row>
    <row r="864" spans="11:11" x14ac:dyDescent="0.25">
      <c r="K864" s="194"/>
    </row>
    <row r="865" spans="11:11" x14ac:dyDescent="0.25">
      <c r="K865" s="194"/>
    </row>
    <row r="866" spans="11:11" x14ac:dyDescent="0.25">
      <c r="K866" s="194"/>
    </row>
    <row r="867" spans="11:11" x14ac:dyDescent="0.25">
      <c r="K867" s="194"/>
    </row>
    <row r="868" spans="11:11" x14ac:dyDescent="0.25">
      <c r="K868" s="194"/>
    </row>
    <row r="869" spans="11:11" x14ac:dyDescent="0.25">
      <c r="K869" s="194"/>
    </row>
    <row r="870" spans="11:11" x14ac:dyDescent="0.25">
      <c r="K870" s="194"/>
    </row>
    <row r="871" spans="11:11" x14ac:dyDescent="0.25">
      <c r="K871" s="194"/>
    </row>
    <row r="872" spans="11:11" x14ac:dyDescent="0.25">
      <c r="K872" s="194"/>
    </row>
    <row r="873" spans="11:11" x14ac:dyDescent="0.25">
      <c r="K873" s="194"/>
    </row>
    <row r="874" spans="11:11" x14ac:dyDescent="0.25">
      <c r="K874" s="194"/>
    </row>
    <row r="875" spans="11:11" x14ac:dyDescent="0.25">
      <c r="K875" s="194"/>
    </row>
    <row r="876" spans="11:11" x14ac:dyDescent="0.25">
      <c r="K876" s="194"/>
    </row>
    <row r="877" spans="11:11" x14ac:dyDescent="0.25">
      <c r="K877" s="194"/>
    </row>
    <row r="878" spans="11:11" x14ac:dyDescent="0.25">
      <c r="K878" s="194"/>
    </row>
    <row r="879" spans="11:11" x14ac:dyDescent="0.25">
      <c r="K879" s="194"/>
    </row>
    <row r="880" spans="11:11" x14ac:dyDescent="0.25">
      <c r="K880" s="194"/>
    </row>
    <row r="881" spans="11:11" x14ac:dyDescent="0.25">
      <c r="K881" s="194"/>
    </row>
    <row r="882" spans="11:11" x14ac:dyDescent="0.25">
      <c r="K882" s="194"/>
    </row>
    <row r="883" spans="11:11" x14ac:dyDescent="0.25">
      <c r="K883" s="194"/>
    </row>
    <row r="884" spans="11:11" x14ac:dyDescent="0.25">
      <c r="K884" s="194"/>
    </row>
    <row r="885" spans="11:11" x14ac:dyDescent="0.25">
      <c r="K885" s="194"/>
    </row>
    <row r="886" spans="11:11" x14ac:dyDescent="0.25">
      <c r="K886" s="194"/>
    </row>
    <row r="887" spans="11:11" x14ac:dyDescent="0.25">
      <c r="K887" s="194"/>
    </row>
    <row r="888" spans="11:11" x14ac:dyDescent="0.25">
      <c r="K888" s="194"/>
    </row>
    <row r="889" spans="11:11" x14ac:dyDescent="0.25">
      <c r="K889" s="194"/>
    </row>
    <row r="890" spans="11:11" x14ac:dyDescent="0.25">
      <c r="K890" s="194"/>
    </row>
    <row r="891" spans="11:11" x14ac:dyDescent="0.25">
      <c r="K891" s="194"/>
    </row>
    <row r="892" spans="11:11" x14ac:dyDescent="0.25">
      <c r="K892" s="194"/>
    </row>
    <row r="893" spans="11:11" x14ac:dyDescent="0.25">
      <c r="K893" s="194"/>
    </row>
    <row r="894" spans="11:11" x14ac:dyDescent="0.25">
      <c r="K894" s="194"/>
    </row>
    <row r="895" spans="11:11" x14ac:dyDescent="0.25">
      <c r="K895" s="194"/>
    </row>
    <row r="896" spans="11:11" x14ac:dyDescent="0.25">
      <c r="K896" s="194"/>
    </row>
    <row r="897" spans="11:11" x14ac:dyDescent="0.25">
      <c r="K897" s="194"/>
    </row>
    <row r="898" spans="11:11" x14ac:dyDescent="0.25">
      <c r="K898" s="194"/>
    </row>
    <row r="899" spans="11:11" x14ac:dyDescent="0.25">
      <c r="K899" s="194"/>
    </row>
    <row r="900" spans="11:11" x14ac:dyDescent="0.25">
      <c r="K900" s="194"/>
    </row>
    <row r="901" spans="11:11" x14ac:dyDescent="0.25">
      <c r="K901" s="194"/>
    </row>
    <row r="902" spans="11:11" x14ac:dyDescent="0.25">
      <c r="K902" s="194"/>
    </row>
    <row r="903" spans="11:11" x14ac:dyDescent="0.25">
      <c r="K903" s="194"/>
    </row>
    <row r="904" spans="11:11" x14ac:dyDescent="0.25">
      <c r="K904" s="194"/>
    </row>
    <row r="905" spans="11:11" x14ac:dyDescent="0.25">
      <c r="K905" s="194"/>
    </row>
    <row r="906" spans="11:11" x14ac:dyDescent="0.25">
      <c r="K906" s="194"/>
    </row>
    <row r="907" spans="11:11" x14ac:dyDescent="0.25">
      <c r="K907" s="194"/>
    </row>
    <row r="908" spans="11:11" x14ac:dyDescent="0.25">
      <c r="K908" s="194"/>
    </row>
    <row r="909" spans="11:11" x14ac:dyDescent="0.25">
      <c r="K909" s="194"/>
    </row>
    <row r="910" spans="11:11" x14ac:dyDescent="0.25">
      <c r="K910" s="194"/>
    </row>
    <row r="911" spans="11:11" x14ac:dyDescent="0.25">
      <c r="K911" s="194"/>
    </row>
    <row r="912" spans="11:11" x14ac:dyDescent="0.25">
      <c r="K912" s="194"/>
    </row>
    <row r="913" spans="11:11" x14ac:dyDescent="0.25">
      <c r="K913" s="194"/>
    </row>
    <row r="914" spans="11:11" x14ac:dyDescent="0.25">
      <c r="K914" s="194"/>
    </row>
    <row r="915" spans="11:11" x14ac:dyDescent="0.25">
      <c r="K915" s="194"/>
    </row>
    <row r="916" spans="11:11" x14ac:dyDescent="0.25">
      <c r="K916" s="194"/>
    </row>
    <row r="917" spans="11:11" x14ac:dyDescent="0.25">
      <c r="K917" s="194"/>
    </row>
    <row r="918" spans="11:11" x14ac:dyDescent="0.25">
      <c r="K918" s="194"/>
    </row>
    <row r="919" spans="11:11" x14ac:dyDescent="0.25">
      <c r="K919" s="194"/>
    </row>
    <row r="920" spans="11:11" x14ac:dyDescent="0.25">
      <c r="K920" s="194"/>
    </row>
    <row r="921" spans="11:11" x14ac:dyDescent="0.25">
      <c r="K921" s="194"/>
    </row>
    <row r="922" spans="11:11" x14ac:dyDescent="0.25">
      <c r="K922" s="194"/>
    </row>
    <row r="923" spans="11:11" x14ac:dyDescent="0.25">
      <c r="K923" s="194"/>
    </row>
    <row r="924" spans="11:11" x14ac:dyDescent="0.25">
      <c r="K924" s="194"/>
    </row>
    <row r="925" spans="11:11" x14ac:dyDescent="0.25">
      <c r="K925" s="194"/>
    </row>
    <row r="926" spans="11:11" x14ac:dyDescent="0.25">
      <c r="K926" s="194"/>
    </row>
    <row r="927" spans="11:11" x14ac:dyDescent="0.25">
      <c r="K927" s="194"/>
    </row>
    <row r="928" spans="11:11" x14ac:dyDescent="0.25">
      <c r="K928" s="194"/>
    </row>
    <row r="929" spans="11:11" x14ac:dyDescent="0.25">
      <c r="K929" s="194"/>
    </row>
    <row r="930" spans="11:11" x14ac:dyDescent="0.25">
      <c r="K930" s="194"/>
    </row>
    <row r="931" spans="11:11" x14ac:dyDescent="0.25">
      <c r="K931" s="194"/>
    </row>
    <row r="932" spans="11:11" x14ac:dyDescent="0.25">
      <c r="K932" s="194"/>
    </row>
    <row r="933" spans="11:11" x14ac:dyDescent="0.25">
      <c r="K933" s="194"/>
    </row>
    <row r="934" spans="11:11" x14ac:dyDescent="0.25">
      <c r="K934" s="194"/>
    </row>
    <row r="935" spans="11:11" x14ac:dyDescent="0.25">
      <c r="K935" s="194"/>
    </row>
    <row r="936" spans="11:11" x14ac:dyDescent="0.25">
      <c r="K936" s="194"/>
    </row>
    <row r="937" spans="11:11" x14ac:dyDescent="0.25">
      <c r="K937" s="194"/>
    </row>
    <row r="938" spans="11:11" x14ac:dyDescent="0.25">
      <c r="K938" s="194"/>
    </row>
    <row r="939" spans="11:11" x14ac:dyDescent="0.25">
      <c r="K939" s="194"/>
    </row>
    <row r="940" spans="11:11" x14ac:dyDescent="0.25">
      <c r="K940" s="194"/>
    </row>
    <row r="941" spans="11:11" x14ac:dyDescent="0.25">
      <c r="K941" s="194"/>
    </row>
    <row r="942" spans="11:11" x14ac:dyDescent="0.25">
      <c r="K942" s="194"/>
    </row>
    <row r="943" spans="11:11" x14ac:dyDescent="0.25">
      <c r="K943" s="194"/>
    </row>
    <row r="944" spans="11:11" x14ac:dyDescent="0.25">
      <c r="K944" s="194"/>
    </row>
    <row r="945" spans="11:11" x14ac:dyDescent="0.25">
      <c r="K945" s="194"/>
    </row>
    <row r="946" spans="11:11" x14ac:dyDescent="0.25">
      <c r="K946" s="194"/>
    </row>
    <row r="947" spans="11:11" x14ac:dyDescent="0.25">
      <c r="K947" s="194"/>
    </row>
    <row r="948" spans="11:11" x14ac:dyDescent="0.25">
      <c r="K948" s="194"/>
    </row>
    <row r="949" spans="11:11" x14ac:dyDescent="0.25">
      <c r="K949" s="194"/>
    </row>
    <row r="950" spans="11:11" x14ac:dyDescent="0.25">
      <c r="K950" s="194"/>
    </row>
    <row r="951" spans="11:11" x14ac:dyDescent="0.25">
      <c r="K951" s="194"/>
    </row>
    <row r="952" spans="11:11" x14ac:dyDescent="0.25">
      <c r="K952" s="194"/>
    </row>
    <row r="953" spans="11:11" x14ac:dyDescent="0.25">
      <c r="K953" s="194"/>
    </row>
    <row r="954" spans="11:11" x14ac:dyDescent="0.25">
      <c r="K954" s="194"/>
    </row>
    <row r="955" spans="11:11" x14ac:dyDescent="0.25">
      <c r="K955" s="194"/>
    </row>
    <row r="956" spans="11:11" x14ac:dyDescent="0.25">
      <c r="K956" s="194"/>
    </row>
    <row r="957" spans="11:11" x14ac:dyDescent="0.25">
      <c r="K957" s="194"/>
    </row>
    <row r="958" spans="11:11" x14ac:dyDescent="0.25">
      <c r="K958" s="194"/>
    </row>
    <row r="959" spans="11:11" x14ac:dyDescent="0.25">
      <c r="K959" s="194"/>
    </row>
    <row r="960" spans="11:11" x14ac:dyDescent="0.25">
      <c r="K960" s="194"/>
    </row>
    <row r="961" spans="11:11" x14ac:dyDescent="0.25">
      <c r="K961" s="194"/>
    </row>
    <row r="962" spans="11:11" x14ac:dyDescent="0.25">
      <c r="K962" s="194"/>
    </row>
    <row r="963" spans="11:11" x14ac:dyDescent="0.25">
      <c r="K963" s="194"/>
    </row>
    <row r="964" spans="11:11" x14ac:dyDescent="0.25">
      <c r="K964" s="194"/>
    </row>
    <row r="965" spans="11:11" x14ac:dyDescent="0.25">
      <c r="K965" s="194"/>
    </row>
    <row r="966" spans="11:11" x14ac:dyDescent="0.25">
      <c r="K966" s="194"/>
    </row>
    <row r="967" spans="11:11" x14ac:dyDescent="0.25">
      <c r="K967" s="194"/>
    </row>
    <row r="968" spans="11:11" x14ac:dyDescent="0.25">
      <c r="K968" s="194"/>
    </row>
    <row r="969" spans="11:11" x14ac:dyDescent="0.25">
      <c r="K969" s="194"/>
    </row>
    <row r="970" spans="11:11" x14ac:dyDescent="0.25">
      <c r="K970" s="194"/>
    </row>
    <row r="971" spans="11:11" x14ac:dyDescent="0.25">
      <c r="K971" s="194"/>
    </row>
    <row r="972" spans="11:11" x14ac:dyDescent="0.25">
      <c r="K972" s="194"/>
    </row>
    <row r="973" spans="11:11" x14ac:dyDescent="0.25">
      <c r="K973" s="194"/>
    </row>
    <row r="974" spans="11:11" x14ac:dyDescent="0.25">
      <c r="K974" s="194"/>
    </row>
    <row r="975" spans="11:11" x14ac:dyDescent="0.25">
      <c r="K975" s="194"/>
    </row>
    <row r="976" spans="11:11" x14ac:dyDescent="0.25">
      <c r="K976" s="194"/>
    </row>
    <row r="977" spans="11:11" x14ac:dyDescent="0.25">
      <c r="K977" s="194"/>
    </row>
    <row r="978" spans="11:11" x14ac:dyDescent="0.25">
      <c r="K978" s="194"/>
    </row>
    <row r="979" spans="11:11" x14ac:dyDescent="0.25">
      <c r="K979" s="194"/>
    </row>
    <row r="980" spans="11:11" x14ac:dyDescent="0.25">
      <c r="K980" s="194"/>
    </row>
    <row r="981" spans="11:11" x14ac:dyDescent="0.25">
      <c r="K981" s="194"/>
    </row>
    <row r="982" spans="11:11" x14ac:dyDescent="0.25">
      <c r="K982" s="194"/>
    </row>
    <row r="983" spans="11:11" x14ac:dyDescent="0.25">
      <c r="K983" s="194"/>
    </row>
    <row r="984" spans="11:11" x14ac:dyDescent="0.25">
      <c r="K984" s="194"/>
    </row>
    <row r="985" spans="11:11" x14ac:dyDescent="0.25">
      <c r="K985" s="194"/>
    </row>
    <row r="986" spans="11:11" x14ac:dyDescent="0.25">
      <c r="K986" s="194"/>
    </row>
    <row r="987" spans="11:11" x14ac:dyDescent="0.25">
      <c r="K987" s="194"/>
    </row>
    <row r="988" spans="11:11" x14ac:dyDescent="0.25">
      <c r="K988" s="194"/>
    </row>
    <row r="989" spans="11:11" x14ac:dyDescent="0.25">
      <c r="K989" s="194"/>
    </row>
    <row r="990" spans="11:11" x14ac:dyDescent="0.25">
      <c r="K990" s="194"/>
    </row>
    <row r="991" spans="11:11" x14ac:dyDescent="0.25">
      <c r="K991" s="194"/>
    </row>
    <row r="992" spans="11:11" x14ac:dyDescent="0.25">
      <c r="K992" s="194"/>
    </row>
    <row r="993" spans="11:11" x14ac:dyDescent="0.25">
      <c r="K993" s="194"/>
    </row>
    <row r="994" spans="11:11" x14ac:dyDescent="0.25">
      <c r="K994" s="194"/>
    </row>
    <row r="995" spans="11:11" x14ac:dyDescent="0.25">
      <c r="K995" s="194"/>
    </row>
    <row r="996" spans="11:11" x14ac:dyDescent="0.25">
      <c r="K996" s="194"/>
    </row>
    <row r="997" spans="11:11" x14ac:dyDescent="0.25">
      <c r="K997" s="194"/>
    </row>
    <row r="998" spans="11:11" x14ac:dyDescent="0.25">
      <c r="K998" s="194"/>
    </row>
    <row r="999" spans="11:11" x14ac:dyDescent="0.25">
      <c r="K999" s="194"/>
    </row>
    <row r="1000" spans="11:11" x14ac:dyDescent="0.25">
      <c r="K1000" s="194"/>
    </row>
    <row r="1001" spans="11:11" x14ac:dyDescent="0.25">
      <c r="K1001" s="194"/>
    </row>
    <row r="1002" spans="11:11" x14ac:dyDescent="0.25">
      <c r="K1002" s="194"/>
    </row>
    <row r="1003" spans="11:11" x14ac:dyDescent="0.25">
      <c r="K1003" s="194"/>
    </row>
    <row r="1004" spans="11:11" x14ac:dyDescent="0.25">
      <c r="K1004" s="194"/>
    </row>
    <row r="1005" spans="11:11" x14ac:dyDescent="0.25">
      <c r="K1005" s="194"/>
    </row>
    <row r="1006" spans="11:11" x14ac:dyDescent="0.25">
      <c r="K1006" s="194"/>
    </row>
    <row r="1007" spans="11:11" x14ac:dyDescent="0.25">
      <c r="K1007" s="194"/>
    </row>
    <row r="1008" spans="11:11" x14ac:dyDescent="0.25">
      <c r="K1008" s="194"/>
    </row>
    <row r="1009" spans="11:11" x14ac:dyDescent="0.25">
      <c r="K1009" s="194"/>
    </row>
    <row r="1010" spans="11:11" x14ac:dyDescent="0.25">
      <c r="K1010" s="194"/>
    </row>
    <row r="1011" spans="11:11" x14ac:dyDescent="0.25">
      <c r="K1011" s="194"/>
    </row>
    <row r="1012" spans="11:11" x14ac:dyDescent="0.25">
      <c r="K1012" s="194"/>
    </row>
    <row r="1013" spans="11:11" x14ac:dyDescent="0.25">
      <c r="K1013" s="194"/>
    </row>
    <row r="1014" spans="11:11" x14ac:dyDescent="0.25">
      <c r="K1014" s="194"/>
    </row>
    <row r="1015" spans="11:11" x14ac:dyDescent="0.25">
      <c r="K1015" s="194"/>
    </row>
    <row r="1016" spans="11:11" x14ac:dyDescent="0.25">
      <c r="K1016" s="194"/>
    </row>
    <row r="1017" spans="11:11" x14ac:dyDescent="0.25">
      <c r="K1017" s="194"/>
    </row>
    <row r="1018" spans="11:11" x14ac:dyDescent="0.25">
      <c r="K1018" s="194"/>
    </row>
    <row r="1019" spans="11:11" x14ac:dyDescent="0.25">
      <c r="K1019" s="194"/>
    </row>
    <row r="1020" spans="11:11" x14ac:dyDescent="0.25">
      <c r="K1020" s="194"/>
    </row>
    <row r="1021" spans="11:11" x14ac:dyDescent="0.25">
      <c r="K1021" s="194"/>
    </row>
    <row r="1022" spans="11:11" x14ac:dyDescent="0.25">
      <c r="K1022" s="194"/>
    </row>
    <row r="1023" spans="11:11" x14ac:dyDescent="0.25">
      <c r="K1023" s="194"/>
    </row>
    <row r="1024" spans="11:11" x14ac:dyDescent="0.25">
      <c r="K1024" s="194"/>
    </row>
    <row r="1025" spans="11:11" x14ac:dyDescent="0.25">
      <c r="K1025" s="194"/>
    </row>
    <row r="1026" spans="11:11" x14ac:dyDescent="0.25">
      <c r="K1026" s="194"/>
    </row>
    <row r="1027" spans="11:11" x14ac:dyDescent="0.25">
      <c r="K1027" s="194"/>
    </row>
    <row r="1028" spans="11:11" x14ac:dyDescent="0.25">
      <c r="K1028" s="194"/>
    </row>
    <row r="1029" spans="11:11" x14ac:dyDescent="0.25">
      <c r="K1029" s="194"/>
    </row>
    <row r="1030" spans="11:11" x14ac:dyDescent="0.25">
      <c r="K1030" s="194"/>
    </row>
    <row r="1031" spans="11:11" x14ac:dyDescent="0.25">
      <c r="K1031" s="194"/>
    </row>
    <row r="1032" spans="11:11" x14ac:dyDescent="0.25">
      <c r="K1032" s="194"/>
    </row>
    <row r="1033" spans="11:11" x14ac:dyDescent="0.25">
      <c r="K1033" s="194"/>
    </row>
    <row r="1034" spans="11:11" x14ac:dyDescent="0.25">
      <c r="K1034" s="194"/>
    </row>
    <row r="1035" spans="11:11" x14ac:dyDescent="0.25">
      <c r="K1035" s="194"/>
    </row>
    <row r="1036" spans="11:11" x14ac:dyDescent="0.25">
      <c r="K1036" s="194"/>
    </row>
    <row r="1037" spans="11:11" x14ac:dyDescent="0.25">
      <c r="K1037" s="194"/>
    </row>
    <row r="1038" spans="11:11" x14ac:dyDescent="0.25">
      <c r="K1038" s="194"/>
    </row>
    <row r="1039" spans="11:11" x14ac:dyDescent="0.25">
      <c r="K1039" s="194"/>
    </row>
    <row r="1040" spans="11:11" x14ac:dyDescent="0.25">
      <c r="K1040" s="194"/>
    </row>
    <row r="1041" spans="11:11" x14ac:dyDescent="0.25">
      <c r="K1041" s="194"/>
    </row>
    <row r="1042" spans="11:11" x14ac:dyDescent="0.25">
      <c r="K1042" s="194"/>
    </row>
    <row r="1043" spans="11:11" x14ac:dyDescent="0.25">
      <c r="K1043" s="194"/>
    </row>
    <row r="1044" spans="11:11" x14ac:dyDescent="0.25">
      <c r="K1044" s="194"/>
    </row>
    <row r="1045" spans="11:11" x14ac:dyDescent="0.25">
      <c r="K1045" s="194"/>
    </row>
    <row r="1046" spans="11:11" x14ac:dyDescent="0.25">
      <c r="K1046" s="194"/>
    </row>
    <row r="1047" spans="11:11" x14ac:dyDescent="0.25">
      <c r="K1047" s="194"/>
    </row>
    <row r="1048" spans="11:11" x14ac:dyDescent="0.25">
      <c r="K1048" s="194"/>
    </row>
    <row r="1049" spans="11:11" x14ac:dyDescent="0.25">
      <c r="K1049" s="194"/>
    </row>
    <row r="1050" spans="11:11" x14ac:dyDescent="0.25">
      <c r="K1050" s="194"/>
    </row>
    <row r="1051" spans="11:11" x14ac:dyDescent="0.25">
      <c r="K1051" s="194"/>
    </row>
    <row r="1052" spans="11:11" x14ac:dyDescent="0.25">
      <c r="K1052" s="194"/>
    </row>
    <row r="1053" spans="11:11" x14ac:dyDescent="0.25">
      <c r="K1053" s="194"/>
    </row>
    <row r="1054" spans="11:11" x14ac:dyDescent="0.25">
      <c r="K1054" s="194"/>
    </row>
    <row r="1055" spans="11:11" x14ac:dyDescent="0.25">
      <c r="K1055" s="194"/>
    </row>
    <row r="1056" spans="11:11" x14ac:dyDescent="0.25">
      <c r="K1056" s="194"/>
    </row>
    <row r="1057" spans="11:11" x14ac:dyDescent="0.25">
      <c r="K1057" s="194"/>
    </row>
    <row r="1058" spans="11:11" x14ac:dyDescent="0.25">
      <c r="K1058" s="194"/>
    </row>
    <row r="1059" spans="11:11" x14ac:dyDescent="0.25">
      <c r="K1059" s="194"/>
    </row>
    <row r="1060" spans="11:11" x14ac:dyDescent="0.25">
      <c r="K1060" s="194"/>
    </row>
    <row r="1061" spans="11:11" x14ac:dyDescent="0.25">
      <c r="K1061" s="194"/>
    </row>
    <row r="1062" spans="11:11" x14ac:dyDescent="0.25">
      <c r="K1062" s="194"/>
    </row>
    <row r="1063" spans="11:11" x14ac:dyDescent="0.25">
      <c r="K1063" s="194"/>
    </row>
    <row r="1064" spans="11:11" x14ac:dyDescent="0.25">
      <c r="K1064" s="194"/>
    </row>
    <row r="1065" spans="11:11" x14ac:dyDescent="0.25">
      <c r="K1065" s="194"/>
    </row>
    <row r="1066" spans="11:11" x14ac:dyDescent="0.25">
      <c r="K1066" s="194"/>
    </row>
    <row r="1067" spans="11:11" x14ac:dyDescent="0.25">
      <c r="K1067" s="194"/>
    </row>
    <row r="1068" spans="11:11" x14ac:dyDescent="0.25">
      <c r="K1068" s="194"/>
    </row>
    <row r="1069" spans="11:11" x14ac:dyDescent="0.25">
      <c r="K1069" s="194"/>
    </row>
    <row r="1070" spans="11:11" x14ac:dyDescent="0.25">
      <c r="K1070" s="194"/>
    </row>
    <row r="1071" spans="11:11" x14ac:dyDescent="0.25">
      <c r="K1071" s="194"/>
    </row>
    <row r="1072" spans="11:11" x14ac:dyDescent="0.25">
      <c r="K1072" s="194"/>
    </row>
    <row r="1073" spans="11:11" x14ac:dyDescent="0.25">
      <c r="K1073" s="194"/>
    </row>
    <row r="1074" spans="11:11" x14ac:dyDescent="0.25">
      <c r="K1074" s="194"/>
    </row>
    <row r="1075" spans="11:11" x14ac:dyDescent="0.25">
      <c r="K1075" s="194"/>
    </row>
    <row r="1076" spans="11:11" x14ac:dyDescent="0.25">
      <c r="K1076" s="194"/>
    </row>
    <row r="1077" spans="11:11" x14ac:dyDescent="0.25">
      <c r="K1077" s="194"/>
    </row>
    <row r="1078" spans="11:11" x14ac:dyDescent="0.25">
      <c r="K1078" s="194"/>
    </row>
    <row r="1079" spans="11:11" x14ac:dyDescent="0.25">
      <c r="K1079" s="194"/>
    </row>
    <row r="1080" spans="11:11" x14ac:dyDescent="0.25">
      <c r="K1080" s="194"/>
    </row>
    <row r="1081" spans="11:11" x14ac:dyDescent="0.25">
      <c r="K1081" s="194"/>
    </row>
    <row r="1082" spans="11:11" x14ac:dyDescent="0.25">
      <c r="K1082" s="194"/>
    </row>
    <row r="1083" spans="11:11" x14ac:dyDescent="0.25">
      <c r="K1083" s="194"/>
    </row>
    <row r="1084" spans="11:11" x14ac:dyDescent="0.25">
      <c r="K1084" s="194"/>
    </row>
    <row r="1085" spans="11:11" x14ac:dyDescent="0.25">
      <c r="K1085" s="194"/>
    </row>
    <row r="1086" spans="11:11" x14ac:dyDescent="0.25">
      <c r="K1086" s="194"/>
    </row>
    <row r="1087" spans="11:11" x14ac:dyDescent="0.25">
      <c r="K1087" s="194"/>
    </row>
    <row r="1088" spans="11:11" x14ac:dyDescent="0.25">
      <c r="K1088" s="194"/>
    </row>
    <row r="1089" spans="11:11" x14ac:dyDescent="0.25">
      <c r="K1089" s="194"/>
    </row>
    <row r="1090" spans="11:11" x14ac:dyDescent="0.25">
      <c r="K1090" s="194"/>
    </row>
    <row r="1091" spans="11:11" x14ac:dyDescent="0.25">
      <c r="K1091" s="194"/>
    </row>
    <row r="1092" spans="11:11" x14ac:dyDescent="0.25">
      <c r="K1092" s="194"/>
    </row>
    <row r="1093" spans="11:11" x14ac:dyDescent="0.25">
      <c r="K1093" s="194"/>
    </row>
    <row r="1094" spans="11:11" x14ac:dyDescent="0.25">
      <c r="K1094" s="194"/>
    </row>
    <row r="1095" spans="11:11" x14ac:dyDescent="0.25">
      <c r="K1095" s="194"/>
    </row>
    <row r="1096" spans="11:11" x14ac:dyDescent="0.25">
      <c r="K1096" s="194"/>
    </row>
    <row r="1097" spans="11:11" x14ac:dyDescent="0.25">
      <c r="K1097" s="194"/>
    </row>
    <row r="1098" spans="11:11" x14ac:dyDescent="0.25">
      <c r="K1098" s="194"/>
    </row>
    <row r="1099" spans="11:11" x14ac:dyDescent="0.25">
      <c r="K1099" s="194"/>
    </row>
    <row r="1100" spans="11:11" x14ac:dyDescent="0.25">
      <c r="K1100" s="194"/>
    </row>
    <row r="1101" spans="11:11" x14ac:dyDescent="0.25">
      <c r="K1101" s="194"/>
    </row>
    <row r="1102" spans="11:11" x14ac:dyDescent="0.25">
      <c r="K1102" s="194"/>
    </row>
    <row r="1103" spans="11:11" x14ac:dyDescent="0.25">
      <c r="K1103" s="194"/>
    </row>
    <row r="1104" spans="11:11" x14ac:dyDescent="0.25">
      <c r="K1104" s="194"/>
    </row>
    <row r="1105" spans="11:11" x14ac:dyDescent="0.25">
      <c r="K1105" s="194"/>
    </row>
    <row r="1106" spans="11:11" x14ac:dyDescent="0.25">
      <c r="K1106" s="194"/>
    </row>
    <row r="1107" spans="11:11" x14ac:dyDescent="0.25">
      <c r="K1107" s="194"/>
    </row>
    <row r="1108" spans="11:11" x14ac:dyDescent="0.25">
      <c r="K1108" s="194"/>
    </row>
    <row r="1109" spans="11:11" x14ac:dyDescent="0.25">
      <c r="K1109" s="194"/>
    </row>
    <row r="1110" spans="11:11" x14ac:dyDescent="0.25">
      <c r="K1110" s="194"/>
    </row>
    <row r="1111" spans="11:11" x14ac:dyDescent="0.25">
      <c r="K1111" s="194"/>
    </row>
    <row r="1112" spans="11:11" x14ac:dyDescent="0.25">
      <c r="K1112" s="194"/>
    </row>
    <row r="1113" spans="11:11" x14ac:dyDescent="0.25">
      <c r="K1113" s="194"/>
    </row>
    <row r="1114" spans="11:11" x14ac:dyDescent="0.25">
      <c r="K1114" s="194"/>
    </row>
    <row r="1115" spans="11:11" x14ac:dyDescent="0.25">
      <c r="K1115" s="194"/>
    </row>
    <row r="1116" spans="11:11" x14ac:dyDescent="0.25">
      <c r="K1116" s="194"/>
    </row>
    <row r="1117" spans="11:11" x14ac:dyDescent="0.25">
      <c r="K1117" s="194"/>
    </row>
    <row r="1118" spans="11:11" x14ac:dyDescent="0.25">
      <c r="K1118" s="194"/>
    </row>
    <row r="1119" spans="11:11" x14ac:dyDescent="0.25">
      <c r="K1119" s="194"/>
    </row>
    <row r="1120" spans="11:11" x14ac:dyDescent="0.25">
      <c r="K1120" s="194"/>
    </row>
    <row r="1121" spans="11:11" x14ac:dyDescent="0.25">
      <c r="K1121" s="194"/>
    </row>
    <row r="1122" spans="11:11" x14ac:dyDescent="0.25">
      <c r="K1122" s="194"/>
    </row>
    <row r="1123" spans="11:11" x14ac:dyDescent="0.25">
      <c r="K1123" s="194"/>
    </row>
    <row r="1124" spans="11:11" x14ac:dyDescent="0.25">
      <c r="K1124" s="194"/>
    </row>
    <row r="1125" spans="11:11" x14ac:dyDescent="0.25">
      <c r="K1125" s="194"/>
    </row>
    <row r="1126" spans="11:11" x14ac:dyDescent="0.25">
      <c r="K1126" s="194"/>
    </row>
    <row r="1127" spans="11:11" x14ac:dyDescent="0.25">
      <c r="K1127" s="194"/>
    </row>
    <row r="1128" spans="11:11" x14ac:dyDescent="0.25">
      <c r="K1128" s="194"/>
    </row>
    <row r="1129" spans="11:11" x14ac:dyDescent="0.25">
      <c r="K1129" s="194"/>
    </row>
    <row r="1130" spans="11:11" x14ac:dyDescent="0.25">
      <c r="K1130" s="194"/>
    </row>
    <row r="1131" spans="11:11" x14ac:dyDescent="0.25">
      <c r="K1131" s="194"/>
    </row>
    <row r="1132" spans="11:11" x14ac:dyDescent="0.25">
      <c r="K1132" s="194"/>
    </row>
    <row r="1133" spans="11:11" x14ac:dyDescent="0.25">
      <c r="K1133" s="194"/>
    </row>
    <row r="1134" spans="11:11" x14ac:dyDescent="0.25">
      <c r="K1134" s="194"/>
    </row>
    <row r="1135" spans="11:11" x14ac:dyDescent="0.25">
      <c r="K1135" s="194"/>
    </row>
    <row r="1136" spans="11:11" x14ac:dyDescent="0.25">
      <c r="K1136" s="194"/>
    </row>
    <row r="1137" spans="11:11" x14ac:dyDescent="0.25">
      <c r="K1137" s="194"/>
    </row>
    <row r="1138" spans="11:11" x14ac:dyDescent="0.25">
      <c r="K1138" s="194"/>
    </row>
    <row r="1139" spans="11:11" x14ac:dyDescent="0.25">
      <c r="K1139" s="194"/>
    </row>
    <row r="1140" spans="11:11" x14ac:dyDescent="0.25">
      <c r="K1140" s="194"/>
    </row>
    <row r="1141" spans="11:11" x14ac:dyDescent="0.25">
      <c r="K1141" s="194"/>
    </row>
    <row r="1142" spans="11:11" x14ac:dyDescent="0.25">
      <c r="K1142" s="194"/>
    </row>
    <row r="1143" spans="11:11" x14ac:dyDescent="0.25">
      <c r="K1143" s="194"/>
    </row>
    <row r="1144" spans="11:11" x14ac:dyDescent="0.25">
      <c r="K1144" s="194"/>
    </row>
    <row r="1145" spans="11:11" x14ac:dyDescent="0.25">
      <c r="K1145" s="194"/>
    </row>
    <row r="1146" spans="11:11" x14ac:dyDescent="0.25">
      <c r="K1146" s="194"/>
    </row>
    <row r="1147" spans="11:11" x14ac:dyDescent="0.25">
      <c r="K1147" s="194"/>
    </row>
    <row r="1148" spans="11:11" x14ac:dyDescent="0.25">
      <c r="K1148" s="194"/>
    </row>
    <row r="1149" spans="11:11" x14ac:dyDescent="0.25">
      <c r="K1149" s="194"/>
    </row>
    <row r="1150" spans="11:11" x14ac:dyDescent="0.25">
      <c r="K1150" s="194"/>
    </row>
    <row r="1151" spans="11:11" x14ac:dyDescent="0.25">
      <c r="K1151" s="194"/>
    </row>
    <row r="1152" spans="11:11" x14ac:dyDescent="0.25">
      <c r="K1152" s="194"/>
    </row>
    <row r="1153" spans="11:11" x14ac:dyDescent="0.25">
      <c r="K1153" s="194"/>
    </row>
    <row r="1154" spans="11:11" x14ac:dyDescent="0.25">
      <c r="K1154" s="194"/>
    </row>
    <row r="1155" spans="11:11" x14ac:dyDescent="0.25">
      <c r="K1155" s="194"/>
    </row>
    <row r="1156" spans="11:11" x14ac:dyDescent="0.25">
      <c r="K1156" s="194"/>
    </row>
    <row r="1157" spans="11:11" x14ac:dyDescent="0.25">
      <c r="K1157" s="194"/>
    </row>
    <row r="1158" spans="11:11" x14ac:dyDescent="0.25">
      <c r="K1158" s="194"/>
    </row>
    <row r="1159" spans="11:11" x14ac:dyDescent="0.25">
      <c r="K1159" s="194"/>
    </row>
    <row r="1160" spans="11:11" x14ac:dyDescent="0.25">
      <c r="K1160" s="194"/>
    </row>
    <row r="1161" spans="11:11" x14ac:dyDescent="0.25">
      <c r="K1161" s="194"/>
    </row>
    <row r="1162" spans="11:11" x14ac:dyDescent="0.25">
      <c r="K1162" s="194"/>
    </row>
    <row r="1163" spans="11:11" x14ac:dyDescent="0.25">
      <c r="K1163" s="194"/>
    </row>
    <row r="1164" spans="11:11" x14ac:dyDescent="0.25">
      <c r="K1164" s="194"/>
    </row>
    <row r="1165" spans="11:11" x14ac:dyDescent="0.25">
      <c r="K1165" s="194"/>
    </row>
    <row r="1166" spans="11:11" x14ac:dyDescent="0.25">
      <c r="K1166" s="194"/>
    </row>
    <row r="1167" spans="11:11" x14ac:dyDescent="0.25">
      <c r="K1167" s="194"/>
    </row>
    <row r="1168" spans="11:11" x14ac:dyDescent="0.25">
      <c r="K1168" s="194"/>
    </row>
    <row r="1169" spans="11:11" x14ac:dyDescent="0.25">
      <c r="K1169" s="194"/>
    </row>
    <row r="1170" spans="11:11" x14ac:dyDescent="0.25">
      <c r="K1170" s="194"/>
    </row>
    <row r="1171" spans="11:11" x14ac:dyDescent="0.25">
      <c r="K1171" s="194"/>
    </row>
    <row r="1172" spans="11:11" x14ac:dyDescent="0.25">
      <c r="K1172" s="194"/>
    </row>
    <row r="1173" spans="11:11" x14ac:dyDescent="0.25">
      <c r="K1173" s="194"/>
    </row>
    <row r="1174" spans="11:11" x14ac:dyDescent="0.25">
      <c r="K1174" s="194"/>
    </row>
    <row r="1175" spans="11:11" x14ac:dyDescent="0.25">
      <c r="K1175" s="194"/>
    </row>
    <row r="1176" spans="11:11" x14ac:dyDescent="0.25">
      <c r="K1176" s="194"/>
    </row>
    <row r="1177" spans="11:11" x14ac:dyDescent="0.25">
      <c r="K1177" s="194"/>
    </row>
    <row r="1178" spans="11:11" x14ac:dyDescent="0.25">
      <c r="K1178" s="194"/>
    </row>
    <row r="1179" spans="11:11" x14ac:dyDescent="0.25">
      <c r="K1179" s="194"/>
    </row>
    <row r="1180" spans="11:11" x14ac:dyDescent="0.25">
      <c r="K1180" s="194"/>
    </row>
    <row r="1181" spans="11:11" x14ac:dyDescent="0.25">
      <c r="K1181" s="194"/>
    </row>
    <row r="1182" spans="11:11" x14ac:dyDescent="0.25">
      <c r="K1182" s="194"/>
    </row>
    <row r="1183" spans="11:11" x14ac:dyDescent="0.25">
      <c r="K1183" s="194"/>
    </row>
    <row r="1184" spans="11:11" x14ac:dyDescent="0.25">
      <c r="K1184" s="194"/>
    </row>
    <row r="1185" spans="11:11" x14ac:dyDescent="0.25">
      <c r="K1185" s="194"/>
    </row>
    <row r="1186" spans="11:11" x14ac:dyDescent="0.25">
      <c r="K1186" s="194"/>
    </row>
    <row r="1187" spans="11:11" x14ac:dyDescent="0.25">
      <c r="K1187" s="194"/>
    </row>
    <row r="1188" spans="11:11" x14ac:dyDescent="0.25">
      <c r="K1188" s="194"/>
    </row>
    <row r="1189" spans="11:11" x14ac:dyDescent="0.25">
      <c r="K1189" s="194"/>
    </row>
    <row r="1190" spans="11:11" x14ac:dyDescent="0.25">
      <c r="K1190" s="194"/>
    </row>
    <row r="1191" spans="11:11" x14ac:dyDescent="0.25">
      <c r="K1191" s="194"/>
    </row>
    <row r="1192" spans="11:11" x14ac:dyDescent="0.25">
      <c r="K1192" s="194"/>
    </row>
    <row r="1193" spans="11:11" x14ac:dyDescent="0.25">
      <c r="K1193" s="194"/>
    </row>
    <row r="1194" spans="11:11" x14ac:dyDescent="0.25">
      <c r="K1194" s="194"/>
    </row>
    <row r="1195" spans="11:11" x14ac:dyDescent="0.25">
      <c r="K1195" s="194"/>
    </row>
    <row r="1196" spans="11:11" x14ac:dyDescent="0.25">
      <c r="K1196" s="194"/>
    </row>
    <row r="1197" spans="11:11" x14ac:dyDescent="0.25">
      <c r="K1197" s="194"/>
    </row>
    <row r="1198" spans="11:11" x14ac:dyDescent="0.25">
      <c r="K1198" s="194"/>
    </row>
    <row r="1199" spans="11:11" x14ac:dyDescent="0.25">
      <c r="K1199" s="194"/>
    </row>
    <row r="1200" spans="11:11" x14ac:dyDescent="0.25">
      <c r="K1200" s="194"/>
    </row>
    <row r="1201" spans="11:11" x14ac:dyDescent="0.25">
      <c r="K1201" s="194"/>
    </row>
    <row r="1202" spans="11:11" x14ac:dyDescent="0.25">
      <c r="K1202" s="194"/>
    </row>
    <row r="1203" spans="11:11" x14ac:dyDescent="0.25">
      <c r="K1203" s="194"/>
    </row>
    <row r="1204" spans="11:11" x14ac:dyDescent="0.25">
      <c r="K1204" s="194"/>
    </row>
    <row r="1205" spans="11:11" x14ac:dyDescent="0.25">
      <c r="K1205" s="194"/>
    </row>
    <row r="1206" spans="11:11" x14ac:dyDescent="0.25">
      <c r="K1206" s="194"/>
    </row>
    <row r="1207" spans="11:11" x14ac:dyDescent="0.25">
      <c r="K1207" s="194"/>
    </row>
    <row r="1208" spans="11:11" x14ac:dyDescent="0.25">
      <c r="K1208" s="194"/>
    </row>
    <row r="1209" spans="11:11" x14ac:dyDescent="0.25">
      <c r="K1209" s="194"/>
    </row>
    <row r="1210" spans="11:11" x14ac:dyDescent="0.25">
      <c r="K1210" s="194"/>
    </row>
    <row r="1211" spans="11:11" x14ac:dyDescent="0.25">
      <c r="K1211" s="194"/>
    </row>
    <row r="1212" spans="11:11" x14ac:dyDescent="0.25">
      <c r="K1212" s="194"/>
    </row>
    <row r="1213" spans="11:11" x14ac:dyDescent="0.25">
      <c r="K1213" s="194"/>
    </row>
    <row r="1214" spans="11:11" x14ac:dyDescent="0.25">
      <c r="K1214" s="194"/>
    </row>
    <row r="1215" spans="11:11" x14ac:dyDescent="0.25">
      <c r="K1215" s="194"/>
    </row>
    <row r="1216" spans="11:11" x14ac:dyDescent="0.25">
      <c r="K1216" s="194"/>
    </row>
    <row r="1217" spans="11:11" x14ac:dyDescent="0.25">
      <c r="K1217" s="194"/>
    </row>
    <row r="1218" spans="11:11" x14ac:dyDescent="0.25">
      <c r="K1218" s="194"/>
    </row>
    <row r="1219" spans="11:11" x14ac:dyDescent="0.25">
      <c r="K1219" s="194"/>
    </row>
    <row r="1220" spans="11:11" x14ac:dyDescent="0.25">
      <c r="K1220" s="194"/>
    </row>
    <row r="1221" spans="11:11" x14ac:dyDescent="0.25">
      <c r="K1221" s="194"/>
    </row>
    <row r="1222" spans="11:11" x14ac:dyDescent="0.25">
      <c r="K1222" s="194"/>
    </row>
    <row r="1223" spans="11:11" x14ac:dyDescent="0.25">
      <c r="K1223" s="194"/>
    </row>
  </sheetData>
  <mergeCells count="12">
    <mergeCell ref="U44:X52"/>
    <mergeCell ref="U6:X43"/>
    <mergeCell ref="B44:T52"/>
    <mergeCell ref="B10:C39"/>
    <mergeCell ref="S10:T39"/>
    <mergeCell ref="D23:N23"/>
    <mergeCell ref="D6:R9"/>
    <mergeCell ref="B6:C9"/>
    <mergeCell ref="S6:T9"/>
    <mergeCell ref="D40:R43"/>
    <mergeCell ref="B40:C43"/>
    <mergeCell ref="S40:T43"/>
  </mergeCells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Rates</vt:lpstr>
      <vt:lpstr>Sheet2</vt:lpstr>
      <vt:lpstr>Help</vt:lpstr>
      <vt:lpstr>AUD</vt:lpstr>
      <vt:lpstr>basisLink</vt:lpstr>
      <vt:lpstr>BasisSwaps</vt:lpstr>
      <vt:lpstr>CAD</vt:lpstr>
      <vt:lpstr>CHF</vt:lpstr>
      <vt:lpstr>CMSSwaps</vt:lpstr>
      <vt:lpstr>Commodities</vt:lpstr>
      <vt:lpstr>CPLibor</vt:lpstr>
      <vt:lpstr>EquityIndices</vt:lpstr>
      <vt:lpstr>EUR</vt:lpstr>
      <vt:lpstr>EuriborFutures</vt:lpstr>
      <vt:lpstr>EuroFutures1M</vt:lpstr>
      <vt:lpstr>EuroFutures3M</vt:lpstr>
      <vt:lpstr>FedFundsFutures</vt:lpstr>
      <vt:lpstr>FFLibor</vt:lpstr>
      <vt:lpstr>FRALink</vt:lpstr>
      <vt:lpstr>FRAs</vt:lpstr>
      <vt:lpstr>Futures</vt:lpstr>
      <vt:lpstr>FX</vt:lpstr>
      <vt:lpstr>GbP</vt:lpstr>
      <vt:lpstr>GlobalBonds</vt:lpstr>
      <vt:lpstr>HLPBRD_IB</vt:lpstr>
      <vt:lpstr>HLPBRD_IR</vt:lpstr>
      <vt:lpstr>HLPBRD_OBR</vt:lpstr>
      <vt:lpstr>IMMSwaps</vt:lpstr>
      <vt:lpstr>JPY</vt:lpstr>
      <vt:lpstr>Libor</vt:lpstr>
      <vt:lpstr>Libor1M3M</vt:lpstr>
      <vt:lpstr>Libor1M6M</vt:lpstr>
      <vt:lpstr>Libor3M12M</vt:lpstr>
      <vt:lpstr>Libor3M6M</vt:lpstr>
      <vt:lpstr>LiborPriceLink</vt:lpstr>
      <vt:lpstr>MaturityLink</vt:lpstr>
      <vt:lpstr>OIS</vt:lpstr>
      <vt:lpstr>OISLink</vt:lpstr>
      <vt:lpstr>PrimeLibor</vt:lpstr>
      <vt:lpstr>rateSpreadLink</vt:lpstr>
      <vt:lpstr>swapLink</vt:lpstr>
      <vt:lpstr>Swaps</vt:lpstr>
      <vt:lpstr>SwaptionPremiums</vt:lpstr>
      <vt:lpstr>SwaptionVols</vt:lpstr>
      <vt:lpstr>TbillLibor</vt:lpstr>
      <vt:lpstr>UST</vt:lpstr>
      <vt:lpstr>VolLink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jostevens</dc:creator>
  <cp:lastModifiedBy>Nicholas Burgess</cp:lastModifiedBy>
  <cp:lastPrinted>2011-07-07T20:54:34Z</cp:lastPrinted>
  <dcterms:created xsi:type="dcterms:W3CDTF">2010-01-20T18:56:30Z</dcterms:created>
  <dcterms:modified xsi:type="dcterms:W3CDTF">2016-10-11T10:00:15Z</dcterms:modified>
</cp:coreProperties>
</file>