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40" yWindow="270" windowWidth="25290" windowHeight="9585"/>
  </bookViews>
  <sheets>
    <sheet name="Main" sheetId="3" r:id="rId1"/>
    <sheet name="Data" sheetId="1" state="hidden" r:id="rId2"/>
    <sheet name="ct" sheetId="5" state="veryHidden" r:id="rId3"/>
    <sheet name="Help" sheetId="6" r:id="rId4"/>
  </sheets>
  <definedNames>
    <definedName name="ALLQ">Data!$B$33:$B$44</definedName>
    <definedName name="Curncy">Data!$B$2:$B$17</definedName>
    <definedName name="DataSource">Data!$B$18:$B$26</definedName>
    <definedName name="HLPBRD_IB">Help!$D$49:$R$52</definedName>
    <definedName name="HLPBRD_IR">Help!$S$10:$T$48</definedName>
    <definedName name="HLPBRD_OBR">Help!$U$53:$X$61</definedName>
    <definedName name="MarketSide">Data!$B$46:$B$48</definedName>
    <definedName name="Term">Data!$B$28:$B$30</definedName>
    <definedName name="TYPE">Main!$L$12</definedName>
  </definedNames>
  <calcPr calcId="145621" calcOnSave="0"/>
</workbook>
</file>

<file path=xl/calcChain.xml><?xml version="1.0" encoding="utf-8"?>
<calcChain xmlns="http://schemas.openxmlformats.org/spreadsheetml/2006/main">
  <c r="AY9" i="1" l="1"/>
  <c r="AX9" i="1"/>
  <c r="AW9" i="1"/>
  <c r="AV9" i="1"/>
  <c r="AU9" i="1"/>
  <c r="AT9" i="1"/>
  <c r="AS9" i="1"/>
  <c r="AR9" i="1"/>
  <c r="AQ9" i="1"/>
  <c r="AP9" i="1"/>
  <c r="AO9" i="1"/>
  <c r="AN9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Y8" i="1"/>
  <c r="AX8" i="1"/>
  <c r="AW8" i="1"/>
  <c r="AV8" i="1"/>
  <c r="AU8" i="1"/>
  <c r="AT8" i="1"/>
  <c r="AS8" i="1"/>
  <c r="AR8" i="1"/>
  <c r="AQ8" i="1"/>
  <c r="AP8" i="1"/>
  <c r="AO8" i="1"/>
  <c r="AN8" i="1"/>
  <c r="AY7" i="1"/>
  <c r="AX7" i="1"/>
  <c r="AW7" i="1"/>
  <c r="AV7" i="1"/>
  <c r="AU7" i="1"/>
  <c r="AT7" i="1"/>
  <c r="AS7" i="1"/>
  <c r="AR7" i="1"/>
  <c r="AQ7" i="1"/>
  <c r="AP7" i="1"/>
  <c r="AO7" i="1"/>
  <c r="AN7" i="1"/>
  <c r="AY6" i="1"/>
  <c r="AX6" i="1"/>
  <c r="AW6" i="1"/>
  <c r="AV6" i="1"/>
  <c r="AU6" i="1"/>
  <c r="AT6" i="1"/>
  <c r="AS6" i="1"/>
  <c r="AR6" i="1"/>
  <c r="AQ6" i="1"/>
  <c r="AP6" i="1"/>
  <c r="AO6" i="1"/>
  <c r="AN6" i="1"/>
  <c r="AY5" i="1"/>
  <c r="AX5" i="1"/>
  <c r="AW5" i="1"/>
  <c r="AV5" i="1"/>
  <c r="AU5" i="1"/>
  <c r="AT5" i="1"/>
  <c r="AS5" i="1"/>
  <c r="AR5" i="1"/>
  <c r="AQ5" i="1"/>
  <c r="AP5" i="1"/>
  <c r="AO5" i="1"/>
  <c r="AN5" i="1"/>
  <c r="AY4" i="1"/>
  <c r="AX4" i="1"/>
  <c r="AW4" i="1"/>
  <c r="AV4" i="1"/>
  <c r="AU4" i="1"/>
  <c r="AT4" i="1"/>
  <c r="AS4" i="1"/>
  <c r="AR4" i="1"/>
  <c r="AQ4" i="1"/>
  <c r="AP4" i="1"/>
  <c r="AO4" i="1"/>
  <c r="AN4" i="1"/>
  <c r="AY3" i="1"/>
  <c r="AX3" i="1"/>
  <c r="AW3" i="1"/>
  <c r="AV3" i="1"/>
  <c r="AU3" i="1"/>
  <c r="AT3" i="1"/>
  <c r="AS3" i="1"/>
  <c r="AR3" i="1"/>
  <c r="AQ3" i="1"/>
  <c r="AP3" i="1"/>
  <c r="AO3" i="1"/>
  <c r="AN3" i="1"/>
  <c r="E1" i="1"/>
  <c r="C29" i="1"/>
  <c r="C30" i="1"/>
  <c r="D33" i="1"/>
  <c r="L40" i="3"/>
  <c r="E33" i="1"/>
  <c r="M40" i="3" s="1"/>
  <c r="F33" i="1"/>
  <c r="N40" i="3" s="1"/>
  <c r="G33" i="1"/>
  <c r="O40" i="3" s="1"/>
  <c r="H33" i="1"/>
  <c r="P40" i="3" s="1"/>
  <c r="I33" i="1"/>
  <c r="Q40" i="3" s="1"/>
  <c r="J33" i="1"/>
  <c r="R40" i="3" s="1"/>
  <c r="K33" i="1"/>
  <c r="S40" i="3" s="1"/>
  <c r="L33" i="1"/>
  <c r="T40" i="3" s="1"/>
  <c r="M33" i="1"/>
  <c r="U40" i="3" s="1"/>
  <c r="N33" i="1"/>
  <c r="V40" i="3" s="1"/>
  <c r="O33" i="1"/>
  <c r="W40" i="3"/>
  <c r="P33" i="1"/>
  <c r="X40" i="3" s="1"/>
  <c r="Q33" i="1"/>
  <c r="Y40" i="3" s="1"/>
  <c r="R33" i="1"/>
  <c r="Z40" i="3" s="1"/>
  <c r="S33" i="1"/>
  <c r="AA40" i="3" s="1"/>
  <c r="T33" i="1"/>
  <c r="AB40" i="3"/>
  <c r="U33" i="1"/>
  <c r="AC40" i="3" s="1"/>
  <c r="V33" i="1"/>
  <c r="AD40" i="3" s="1"/>
  <c r="W33" i="1"/>
  <c r="AE40" i="3" s="1"/>
  <c r="X33" i="1"/>
  <c r="AF40" i="3" s="1"/>
  <c r="Y33" i="1"/>
  <c r="AG40" i="3" s="1"/>
  <c r="Z33" i="1"/>
  <c r="AH40" i="3" s="1"/>
  <c r="AA33" i="1"/>
  <c r="AI40" i="3" s="1"/>
  <c r="AB33" i="1"/>
  <c r="AJ40" i="3" s="1"/>
  <c r="AC33" i="1"/>
  <c r="AK40" i="3" s="1"/>
  <c r="AD33" i="1"/>
  <c r="AL40" i="3" s="1"/>
  <c r="AE33" i="1"/>
  <c r="AM40" i="3"/>
  <c r="AF33" i="1"/>
  <c r="AN40" i="3" s="1"/>
  <c r="AG33" i="1"/>
  <c r="AO40" i="3" s="1"/>
  <c r="AH33" i="1"/>
  <c r="AP40" i="3" s="1"/>
  <c r="D34" i="1"/>
  <c r="D35" i="1"/>
  <c r="L42" i="3" s="1"/>
  <c r="D36" i="1"/>
  <c r="L43" i="3"/>
  <c r="D37" i="1"/>
  <c r="L44" i="3" s="1"/>
  <c r="D38" i="1"/>
  <c r="L45" i="3" s="1"/>
  <c r="D39" i="1"/>
  <c r="L46" i="3" s="1"/>
  <c r="D40" i="1"/>
  <c r="L47" i="3" s="1"/>
  <c r="D41" i="1"/>
  <c r="L48" i="3" s="1"/>
  <c r="D42" i="1"/>
  <c r="L49" i="3" s="1"/>
  <c r="D43" i="1"/>
  <c r="L50" i="3" s="1"/>
  <c r="D44" i="1"/>
  <c r="L51" i="3"/>
  <c r="D45" i="1"/>
  <c r="D46" i="1"/>
  <c r="L53" i="3" s="1"/>
  <c r="D47" i="1"/>
  <c r="L54" i="3" s="1"/>
  <c r="D48" i="1"/>
  <c r="L55" i="3" s="1"/>
  <c r="D51" i="1"/>
  <c r="E51" i="1"/>
  <c r="M58" i="3"/>
  <c r="F51" i="1"/>
  <c r="N58" i="3" s="1"/>
  <c r="G51" i="1"/>
  <c r="O58" i="3" s="1"/>
  <c r="H51" i="1"/>
  <c r="P58" i="3" s="1"/>
  <c r="I51" i="1"/>
  <c r="Q58" i="3"/>
  <c r="J51" i="1"/>
  <c r="R58" i="3" s="1"/>
  <c r="K51" i="1"/>
  <c r="S58" i="3" s="1"/>
  <c r="L51" i="1"/>
  <c r="T58" i="3"/>
  <c r="M51" i="1"/>
  <c r="U58" i="3" s="1"/>
  <c r="N51" i="1"/>
  <c r="V58" i="3" s="1"/>
  <c r="O51" i="1"/>
  <c r="W58" i="3" s="1"/>
  <c r="P51" i="1"/>
  <c r="X58" i="3"/>
  <c r="Q51" i="1"/>
  <c r="Y58" i="3"/>
  <c r="R51" i="1"/>
  <c r="Z58" i="3" s="1"/>
  <c r="S51" i="1"/>
  <c r="AA58" i="3" s="1"/>
  <c r="D52" i="1"/>
  <c r="L59" i="3"/>
  <c r="D53" i="1"/>
  <c r="L60" i="3"/>
  <c r="D54" i="1"/>
  <c r="L61" i="3" s="1"/>
  <c r="D55" i="1"/>
  <c r="L62" i="3" s="1"/>
  <c r="D56" i="1"/>
  <c r="L63" i="3" s="1"/>
  <c r="D57" i="1"/>
  <c r="L64" i="3"/>
  <c r="D58" i="1"/>
  <c r="L65" i="3" s="1"/>
  <c r="D59" i="1"/>
  <c r="L66" i="3" s="1"/>
  <c r="D60" i="1"/>
  <c r="L67" i="3"/>
  <c r="D61" i="1"/>
  <c r="L68" i="3" s="1"/>
  <c r="D62" i="1"/>
  <c r="L69" i="3" s="1"/>
  <c r="D63" i="1"/>
  <c r="L70" i="3" s="1"/>
  <c r="D64" i="1"/>
  <c r="L71" i="3"/>
  <c r="D65" i="1"/>
  <c r="L72" i="3"/>
  <c r="D66" i="1"/>
  <c r="L73" i="3" s="1"/>
  <c r="D67" i="1"/>
  <c r="L74" i="3" s="1"/>
  <c r="D68" i="1"/>
  <c r="L75" i="3"/>
  <c r="D69" i="1"/>
  <c r="L76" i="3"/>
  <c r="D70" i="1"/>
  <c r="L77" i="3" s="1"/>
  <c r="E75" i="1"/>
  <c r="M80" i="3" s="1"/>
  <c r="F75" i="1"/>
  <c r="N80" i="3" s="1"/>
  <c r="G75" i="1"/>
  <c r="O80" i="3"/>
  <c r="H75" i="1"/>
  <c r="P80" i="3" s="1"/>
  <c r="I75" i="1"/>
  <c r="Q80" i="3" s="1"/>
  <c r="J75" i="1"/>
  <c r="R80" i="3"/>
  <c r="K75" i="1"/>
  <c r="S80" i="3" s="1"/>
  <c r="L75" i="1"/>
  <c r="T80" i="3" s="1"/>
  <c r="M75" i="1"/>
  <c r="U80" i="3" s="1"/>
  <c r="N75" i="1"/>
  <c r="V80" i="3"/>
  <c r="O75" i="1"/>
  <c r="W80" i="3"/>
  <c r="P75" i="1"/>
  <c r="X80" i="3" s="1"/>
  <c r="Q75" i="1"/>
  <c r="Y80" i="3" s="1"/>
  <c r="R75" i="1"/>
  <c r="Z80" i="3"/>
  <c r="D76" i="1"/>
  <c r="L81" i="3"/>
  <c r="D77" i="1"/>
  <c r="L82" i="3" s="1"/>
  <c r="D78" i="1"/>
  <c r="L83" i="3" s="1"/>
  <c r="D79" i="1"/>
  <c r="L84" i="3" s="1"/>
  <c r="D80" i="1"/>
  <c r="L85" i="3" s="1"/>
  <c r="D81" i="1"/>
  <c r="L86" i="3"/>
  <c r="D82" i="1"/>
  <c r="L87" i="3" s="1"/>
  <c r="D83" i="1"/>
  <c r="L88" i="3" s="1"/>
  <c r="D84" i="1"/>
  <c r="L89" i="3" s="1"/>
  <c r="D85" i="1"/>
  <c r="L90" i="3"/>
  <c r="D86" i="1"/>
  <c r="L91" i="3"/>
  <c r="D87" i="1"/>
  <c r="L92" i="3"/>
  <c r="D88" i="1"/>
  <c r="L93" i="3" s="1"/>
  <c r="D89" i="1"/>
  <c r="L94" i="3" s="1"/>
  <c r="D90" i="1"/>
  <c r="L95" i="3"/>
  <c r="D91" i="1"/>
  <c r="L96" i="3"/>
  <c r="D92" i="1"/>
  <c r="L97" i="3" s="1"/>
  <c r="L41" i="3"/>
  <c r="L52" i="3"/>
  <c r="L58" i="3"/>
  <c r="H57" i="1"/>
  <c r="J66" i="1"/>
  <c r="K56" i="1"/>
  <c r="M65" i="1"/>
  <c r="N55" i="1"/>
  <c r="P64" i="1"/>
  <c r="G55" i="1"/>
  <c r="I64" i="1"/>
  <c r="N54" i="1"/>
  <c r="P63" i="1"/>
  <c r="Q53" i="1"/>
  <c r="S62" i="1"/>
  <c r="F53" i="1"/>
  <c r="H62" i="1"/>
  <c r="M52" i="1"/>
  <c r="O61" i="1"/>
  <c r="Q70" i="1"/>
  <c r="R66" i="1"/>
  <c r="G66" i="1"/>
  <c r="J65" i="1"/>
  <c r="Q64" i="1"/>
  <c r="R34" i="1"/>
  <c r="AD38" i="1"/>
  <c r="M43" i="1"/>
  <c r="Y47" i="1"/>
  <c r="T37" i="1"/>
  <c r="AF41" i="1"/>
  <c r="O46" i="1"/>
  <c r="AE35" i="1"/>
  <c r="L65" i="1"/>
  <c r="O64" i="1"/>
  <c r="R63" i="1"/>
  <c r="K63" i="1"/>
  <c r="F34" i="1"/>
  <c r="R38" i="1"/>
  <c r="AD42" i="1"/>
  <c r="M47" i="1"/>
  <c r="H37" i="1"/>
  <c r="T41" i="1"/>
  <c r="AF45" i="1"/>
  <c r="S35" i="1"/>
  <c r="H61" i="1"/>
  <c r="K60" i="1"/>
  <c r="N59" i="1"/>
  <c r="G59" i="1"/>
  <c r="E63" i="1"/>
  <c r="S37" i="1"/>
  <c r="AE41" i="1"/>
  <c r="N46" i="1"/>
  <c r="I36" i="1"/>
  <c r="U40" i="1"/>
  <c r="AG44" i="1"/>
  <c r="T34" i="1"/>
  <c r="Q65" i="1"/>
  <c r="Z38" i="1"/>
  <c r="AB41" i="1"/>
  <c r="G39" i="1"/>
  <c r="S43" i="1"/>
  <c r="AE47" i="1"/>
  <c r="N37" i="1"/>
  <c r="Z41" i="1"/>
  <c r="I46" i="1"/>
  <c r="E45" i="1"/>
  <c r="O57" i="1"/>
  <c r="AE45" i="1"/>
  <c r="H34" i="1"/>
  <c r="AD40" i="1"/>
  <c r="M45" i="1"/>
  <c r="Y34" i="1"/>
  <c r="H39" i="1"/>
  <c r="T43" i="1"/>
  <c r="AF47" i="1"/>
  <c r="F62" i="1"/>
  <c r="E67" i="1"/>
  <c r="M36" i="1"/>
  <c r="Y37" i="1"/>
  <c r="H42" i="1"/>
  <c r="T46" i="1"/>
  <c r="AF35" i="1"/>
  <c r="O40" i="1"/>
  <c r="AA44" i="1"/>
  <c r="X48" i="1"/>
  <c r="P40" i="1"/>
  <c r="N48" i="1"/>
  <c r="E35" i="1"/>
  <c r="F40" i="1"/>
  <c r="Y42" i="1"/>
  <c r="AH46" i="1"/>
  <c r="AG34" i="1"/>
  <c r="G53" i="1"/>
  <c r="F41" i="1"/>
  <c r="L43" i="1"/>
  <c r="J58" i="1"/>
  <c r="L67" i="1"/>
  <c r="M57" i="1"/>
  <c r="O66" i="1"/>
  <c r="P56" i="1"/>
  <c r="R65" i="1"/>
  <c r="I56" i="1"/>
  <c r="K65" i="1"/>
  <c r="P55" i="1"/>
  <c r="R64" i="1"/>
  <c r="S54" i="1"/>
  <c r="G64" i="1"/>
  <c r="H54" i="1"/>
  <c r="J63" i="1"/>
  <c r="O53" i="1"/>
  <c r="Q62" i="1"/>
  <c r="E65" i="1"/>
  <c r="H69" i="1"/>
  <c r="K68" i="1"/>
  <c r="N67" i="1"/>
  <c r="G67" i="1"/>
  <c r="AH34" i="1"/>
  <c r="Q39" i="1"/>
  <c r="AC43" i="1"/>
  <c r="P48" i="1"/>
  <c r="G38" i="1"/>
  <c r="S42" i="1"/>
  <c r="AE46" i="1"/>
  <c r="R36" i="1"/>
  <c r="P67" i="1"/>
  <c r="S66" i="1"/>
  <c r="H66" i="1"/>
  <c r="O65" i="1"/>
  <c r="V34" i="1"/>
  <c r="AH38" i="1"/>
  <c r="Q43" i="1"/>
  <c r="AC47" i="1"/>
  <c r="X37" i="1"/>
  <c r="G42" i="1"/>
  <c r="S46" i="1"/>
  <c r="F36" i="1"/>
  <c r="L63" i="1"/>
  <c r="O62" i="1"/>
  <c r="R61" i="1"/>
  <c r="K61" i="1"/>
  <c r="E64" i="1"/>
  <c r="F38" i="1"/>
  <c r="R42" i="1"/>
  <c r="AD46" i="1"/>
  <c r="Y36" i="1"/>
  <c r="H41" i="1"/>
  <c r="T45" i="1"/>
  <c r="G35" i="1"/>
  <c r="R55" i="1"/>
  <c r="AF40" i="1"/>
  <c r="AH43" i="1"/>
  <c r="W39" i="1"/>
  <c r="F44" i="1"/>
  <c r="R48" i="1"/>
  <c r="AD37" i="1"/>
  <c r="M42" i="1"/>
  <c r="Y46" i="1"/>
  <c r="E36" i="1"/>
  <c r="Q66" i="1"/>
  <c r="L48" i="1"/>
  <c r="N36" i="1"/>
  <c r="Q41" i="1"/>
  <c r="AC45" i="1"/>
  <c r="L35" i="1"/>
  <c r="X39" i="1"/>
  <c r="G44" i="1"/>
  <c r="S48" i="1"/>
  <c r="G52" i="1"/>
  <c r="Q35" i="1"/>
  <c r="S38" i="1"/>
  <c r="L38" i="1"/>
  <c r="X42" i="1"/>
  <c r="G47" i="1"/>
  <c r="S36" i="1"/>
  <c r="AE40" i="1"/>
  <c r="N45" i="1"/>
  <c r="E43" i="1"/>
  <c r="W34" i="1"/>
  <c r="T35" i="1"/>
  <c r="J64" i="1"/>
  <c r="L42" i="1"/>
  <c r="AE44" i="1"/>
  <c r="L41" i="1"/>
  <c r="J37" i="1"/>
  <c r="AD47" i="1"/>
  <c r="E47" i="1"/>
  <c r="V40" i="1"/>
  <c r="A1" i="5"/>
  <c r="N60" i="1"/>
  <c r="P69" i="1"/>
  <c r="Q59" i="1"/>
  <c r="S68" i="1"/>
  <c r="F59" i="1"/>
  <c r="H68" i="1"/>
  <c r="M58" i="1"/>
  <c r="O67" i="1"/>
  <c r="F58" i="1"/>
  <c r="H67" i="1"/>
  <c r="I57" i="1"/>
  <c r="K66" i="1"/>
  <c r="L56" i="1"/>
  <c r="N65" i="1"/>
  <c r="S55" i="1"/>
  <c r="G65" i="1"/>
  <c r="L55" i="1"/>
  <c r="O54" i="1"/>
  <c r="R53" i="1"/>
  <c r="K53" i="1"/>
  <c r="E57" i="1"/>
  <c r="H36" i="1"/>
  <c r="T40" i="1"/>
  <c r="AF44" i="1"/>
  <c r="AA34" i="1"/>
  <c r="J39" i="1"/>
  <c r="V43" i="1"/>
  <c r="AH47" i="1"/>
  <c r="F54" i="1"/>
  <c r="I53" i="1"/>
  <c r="L52" i="1"/>
  <c r="P70" i="1"/>
  <c r="I70" i="1"/>
  <c r="Y35" i="1"/>
  <c r="H40" i="1"/>
  <c r="T44" i="1"/>
  <c r="O34" i="1"/>
  <c r="AA38" i="1"/>
  <c r="J43" i="1"/>
  <c r="V47" i="1"/>
  <c r="I37" i="1"/>
  <c r="F68" i="1"/>
  <c r="I67" i="1"/>
  <c r="L66" i="1"/>
  <c r="S65" i="1"/>
  <c r="Z34" i="1"/>
  <c r="I39" i="1"/>
  <c r="U43" i="1"/>
  <c r="AG47" i="1"/>
  <c r="AB37" i="1"/>
  <c r="K42" i="1"/>
  <c r="W46" i="1"/>
  <c r="J36" i="1"/>
  <c r="K55" i="1"/>
  <c r="O45" i="1"/>
  <c r="Q48" i="1"/>
  <c r="Z40" i="1"/>
  <c r="I45" i="1"/>
  <c r="U34" i="1"/>
  <c r="AG38" i="1"/>
  <c r="P43" i="1"/>
  <c r="AB47" i="1"/>
  <c r="R68" i="1"/>
  <c r="AD34" i="1"/>
  <c r="AF37" i="1"/>
  <c r="H38" i="1"/>
  <c r="T42" i="1"/>
  <c r="AF46" i="1"/>
  <c r="O36" i="1"/>
  <c r="AA40" i="1"/>
  <c r="J45" i="1"/>
  <c r="E39" i="1"/>
  <c r="K70" i="1"/>
  <c r="AC39" i="1"/>
  <c r="AE42" i="1"/>
  <c r="O39" i="1"/>
  <c r="AA43" i="1"/>
  <c r="J48" i="1"/>
  <c r="V37" i="1"/>
  <c r="AH41" i="1"/>
  <c r="Q46" i="1"/>
  <c r="E46" i="1"/>
  <c r="M37" i="1"/>
  <c r="AF39" i="1"/>
  <c r="E68" i="1"/>
  <c r="X46" i="1"/>
  <c r="AF48" i="1"/>
  <c r="AF38" i="1"/>
  <c r="V41" i="1"/>
  <c r="AC38" i="1"/>
  <c r="F39" i="1"/>
  <c r="R54" i="1"/>
  <c r="F64" i="1"/>
  <c r="G54" i="1"/>
  <c r="I63" i="1"/>
  <c r="J53" i="1"/>
  <c r="L62" i="1"/>
  <c r="Q52" i="1"/>
  <c r="S61" i="1"/>
  <c r="J52" i="1"/>
  <c r="L61" i="1"/>
  <c r="N70" i="1"/>
  <c r="O60" i="1"/>
  <c r="Q69" i="1"/>
  <c r="R59" i="1"/>
  <c r="F69" i="1"/>
  <c r="K59" i="1"/>
  <c r="M68" i="1"/>
  <c r="J62" i="1"/>
  <c r="M61" i="1"/>
  <c r="P60" i="1"/>
  <c r="I60" i="1"/>
  <c r="E56" i="1"/>
  <c r="AA37" i="1"/>
  <c r="J42" i="1"/>
  <c r="V46" i="1"/>
  <c r="Q36" i="1"/>
  <c r="AC40" i="1"/>
  <c r="L45" i="1"/>
  <c r="AB34" i="1"/>
  <c r="R60" i="1"/>
  <c r="G60" i="1"/>
  <c r="J59" i="1"/>
  <c r="Q58" i="1"/>
  <c r="E59" i="1"/>
  <c r="O37" i="1"/>
  <c r="AA41" i="1"/>
  <c r="J46" i="1"/>
  <c r="AH35" i="1"/>
  <c r="Q40" i="1"/>
  <c r="AC44" i="1"/>
  <c r="P34" i="1"/>
  <c r="N56" i="1"/>
  <c r="Q55" i="1"/>
  <c r="F55" i="1"/>
  <c r="M54" i="1"/>
  <c r="E69" i="1"/>
  <c r="P36" i="1"/>
  <c r="AB40" i="1"/>
  <c r="K45" i="1"/>
  <c r="F35" i="1"/>
  <c r="R39" i="1"/>
  <c r="AD43" i="1"/>
  <c r="M48" i="1"/>
  <c r="N66" i="1"/>
  <c r="N34" i="1"/>
  <c r="P37" i="1"/>
  <c r="AG37" i="1"/>
  <c r="P42" i="1"/>
  <c r="AB46" i="1"/>
  <c r="K36" i="1"/>
  <c r="W40" i="1"/>
  <c r="F45" i="1"/>
  <c r="AG48" i="1"/>
  <c r="H58" i="1"/>
  <c r="S41" i="1"/>
  <c r="U44" i="1"/>
  <c r="AA39" i="1"/>
  <c r="J44" i="1"/>
  <c r="V48" i="1"/>
  <c r="AH37" i="1"/>
  <c r="Q42" i="1"/>
  <c r="AC46" i="1"/>
  <c r="E37" i="1"/>
  <c r="S59" i="1"/>
  <c r="R46" i="1"/>
  <c r="X34" i="1"/>
  <c r="AH40" i="1"/>
  <c r="Q45" i="1"/>
  <c r="AC34" i="1"/>
  <c r="L39" i="1"/>
  <c r="X43" i="1"/>
  <c r="G48" i="1"/>
  <c r="N53" i="1"/>
  <c r="AE43" i="1"/>
  <c r="U46" i="1"/>
  <c r="X45" i="1"/>
  <c r="M38" i="1"/>
  <c r="I62" i="1"/>
  <c r="U45" i="1"/>
  <c r="K48" i="1"/>
  <c r="P38" i="1"/>
  <c r="R45" i="1"/>
  <c r="P53" i="1"/>
  <c r="S52" i="1"/>
  <c r="H52" i="1"/>
  <c r="L70" i="1"/>
  <c r="S69" i="1"/>
  <c r="L69" i="1"/>
  <c r="O68" i="1"/>
  <c r="R67" i="1"/>
  <c r="K67" i="1"/>
  <c r="I59" i="1"/>
  <c r="S57" i="1"/>
  <c r="K37" i="1"/>
  <c r="F46" i="1"/>
  <c r="M40" i="1"/>
  <c r="L34" i="1"/>
  <c r="Q57" i="1"/>
  <c r="M56" i="1"/>
  <c r="AB36" i="1"/>
  <c r="W45" i="1"/>
  <c r="AD39" i="1"/>
  <c r="Y48" i="1"/>
  <c r="M53" i="1"/>
  <c r="I52" i="1"/>
  <c r="AC35" i="1"/>
  <c r="X44" i="1"/>
  <c r="AE38" i="1"/>
  <c r="Z47" i="1"/>
  <c r="E54" i="1"/>
  <c r="Q37" i="1"/>
  <c r="L46" i="1"/>
  <c r="G40" i="1"/>
  <c r="AE48" i="1"/>
  <c r="M39" i="1"/>
  <c r="K39" i="1"/>
  <c r="F48" i="1"/>
  <c r="AD41" i="1"/>
  <c r="E42" i="1"/>
  <c r="L44" i="1"/>
  <c r="R40" i="1"/>
  <c r="M34" i="1"/>
  <c r="H43" i="1"/>
  <c r="H55" i="1"/>
  <c r="O44" i="1"/>
  <c r="G36" i="1"/>
  <c r="O43" i="1"/>
  <c r="AG35" i="1"/>
  <c r="F56" i="1"/>
  <c r="I55" i="1"/>
  <c r="L54" i="1"/>
  <c r="S53" i="1"/>
  <c r="L53" i="1"/>
  <c r="O52" i="1"/>
  <c r="S70" i="1"/>
  <c r="H70" i="1"/>
  <c r="O69" i="1"/>
  <c r="Q63" i="1"/>
  <c r="M62" i="1"/>
  <c r="N38" i="1"/>
  <c r="I47" i="1"/>
  <c r="P41" i="1"/>
  <c r="O35" i="1"/>
  <c r="K62" i="1"/>
  <c r="G61" i="1"/>
  <c r="AE37" i="1"/>
  <c r="Z46" i="1"/>
  <c r="AG40" i="1"/>
  <c r="AF34" i="1"/>
  <c r="G58" i="1"/>
  <c r="Q56" i="1"/>
  <c r="AF36" i="1"/>
  <c r="AA45" i="1"/>
  <c r="AH39" i="1"/>
  <c r="AC48" i="1"/>
  <c r="T36" i="1"/>
  <c r="T38" i="1"/>
  <c r="O47" i="1"/>
  <c r="J41" i="1"/>
  <c r="E40" i="1"/>
  <c r="Y43" i="1"/>
  <c r="N40" i="1"/>
  <c r="I34" i="1"/>
  <c r="AG42" i="1"/>
  <c r="R52" i="1"/>
  <c r="G34" i="1"/>
  <c r="U41" i="1"/>
  <c r="P35" i="1"/>
  <c r="K44" i="1"/>
  <c r="E53" i="1"/>
  <c r="AA48" i="1"/>
  <c r="S40" i="1"/>
  <c r="AA47" i="1"/>
  <c r="K47" i="1"/>
  <c r="L59" i="1"/>
  <c r="O58" i="1"/>
  <c r="R57" i="1"/>
  <c r="K57" i="1"/>
  <c r="R56" i="1"/>
  <c r="G56" i="1"/>
  <c r="J55" i="1"/>
  <c r="Q54" i="1"/>
  <c r="H53" i="1"/>
  <c r="O70" i="1"/>
  <c r="K69" i="1"/>
  <c r="AG39" i="1"/>
  <c r="K34" i="1"/>
  <c r="F43" i="1"/>
  <c r="AH36" i="1"/>
  <c r="I69" i="1"/>
  <c r="S67" i="1"/>
  <c r="U39" i="1"/>
  <c r="T48" i="1"/>
  <c r="W42" i="1"/>
  <c r="V36" i="1"/>
  <c r="S64" i="1"/>
  <c r="O63" i="1"/>
  <c r="V38" i="1"/>
  <c r="Q47" i="1"/>
  <c r="X41" i="1"/>
  <c r="W35" i="1"/>
  <c r="I43" i="1"/>
  <c r="J40" i="1"/>
  <c r="AH48" i="1"/>
  <c r="AC42" i="1"/>
  <c r="P59" i="1"/>
  <c r="Z35" i="1"/>
  <c r="AG41" i="1"/>
  <c r="AB35" i="1"/>
  <c r="W44" i="1"/>
  <c r="P61" i="1"/>
  <c r="S60" i="1"/>
  <c r="H60" i="1"/>
  <c r="O59" i="1"/>
  <c r="H59" i="1"/>
  <c r="K58" i="1"/>
  <c r="N57" i="1"/>
  <c r="G57" i="1"/>
  <c r="P57" i="1"/>
  <c r="H56" i="1"/>
  <c r="E58" i="1"/>
  <c r="G41" i="1"/>
  <c r="N35" i="1"/>
  <c r="I44" i="1"/>
  <c r="J56" i="1"/>
  <c r="P54" i="1"/>
  <c r="E61" i="1"/>
  <c r="X40" i="1"/>
  <c r="AE34" i="1"/>
  <c r="Z43" i="1"/>
  <c r="F52" i="1"/>
  <c r="M69" i="1"/>
  <c r="I68" i="1"/>
  <c r="Y39" i="1"/>
  <c r="AB48" i="1"/>
  <c r="AA42" i="1"/>
  <c r="Z36" i="1"/>
  <c r="U47" i="1"/>
  <c r="M41" i="1"/>
  <c r="H35" i="1"/>
  <c r="AF43" i="1"/>
  <c r="S58" i="1"/>
  <c r="I40" i="1"/>
  <c r="G43" i="1"/>
  <c r="AE36" i="1"/>
  <c r="Z45" i="1"/>
  <c r="L60" i="1"/>
  <c r="H45" i="1"/>
  <c r="N44" i="1"/>
  <c r="I38" i="1"/>
  <c r="AG46" i="1"/>
  <c r="S39" i="1"/>
  <c r="V42" i="1"/>
  <c r="E34" i="1"/>
  <c r="AB43" i="1"/>
  <c r="AB42" i="1"/>
  <c r="N68" i="1"/>
  <c r="F67" i="1"/>
  <c r="F66" i="1"/>
  <c r="L64" i="1"/>
  <c r="K52" i="1"/>
  <c r="U35" i="1"/>
  <c r="W38" i="1"/>
  <c r="F70" i="1"/>
  <c r="I35" i="1"/>
  <c r="K38" i="1"/>
  <c r="P65" i="1"/>
  <c r="J34" i="1"/>
  <c r="L37" i="1"/>
  <c r="F65" i="1"/>
  <c r="V44" i="1"/>
  <c r="L47" i="1"/>
  <c r="U37" i="1"/>
  <c r="K40" i="1"/>
  <c r="G69" i="1"/>
  <c r="K43" i="1"/>
  <c r="R41" i="1"/>
  <c r="Y41" i="1"/>
  <c r="AD48" i="1"/>
  <c r="E41" i="1"/>
  <c r="R70" i="1"/>
  <c r="J69" i="1"/>
  <c r="J68" i="1"/>
  <c r="P66" i="1"/>
  <c r="S56" i="1"/>
  <c r="X36" i="1"/>
  <c r="Z39" i="1"/>
  <c r="M55" i="1"/>
  <c r="L36" i="1"/>
  <c r="N39" i="1"/>
  <c r="J70" i="1"/>
  <c r="M35" i="1"/>
  <c r="O38" i="1"/>
  <c r="M64" i="1"/>
  <c r="Y45" i="1"/>
  <c r="O48" i="1"/>
  <c r="X38" i="1"/>
  <c r="N41" i="1"/>
  <c r="W37" i="1"/>
  <c r="AD44" i="1"/>
  <c r="U42" i="1"/>
  <c r="H46" i="1"/>
  <c r="H47" i="1"/>
  <c r="AH44" i="1"/>
  <c r="G62" i="1"/>
  <c r="Q60" i="1"/>
  <c r="M59" i="1"/>
  <c r="I58" i="1"/>
  <c r="L58" i="1"/>
  <c r="W41" i="1"/>
  <c r="Y44" i="1"/>
  <c r="F57" i="1"/>
  <c r="K41" i="1"/>
  <c r="M44" i="1"/>
  <c r="P52" i="1"/>
  <c r="L40" i="1"/>
  <c r="N43" i="1"/>
  <c r="J35" i="1"/>
  <c r="X35" i="1"/>
  <c r="G68" i="1"/>
  <c r="W43" i="1"/>
  <c r="M46" i="1"/>
  <c r="F42" i="1"/>
  <c r="AG45" i="1"/>
  <c r="AD45" i="1"/>
  <c r="Z37" i="1"/>
  <c r="K64" i="1"/>
  <c r="G63" i="1"/>
  <c r="Q61" i="1"/>
  <c r="M60" i="1"/>
  <c r="F63" i="1"/>
  <c r="Z42" i="1"/>
  <c r="AB45" i="1"/>
  <c r="N61" i="1"/>
  <c r="N42" i="1"/>
  <c r="P45" i="1"/>
  <c r="J57" i="1"/>
  <c r="O41" i="1"/>
  <c r="Q44" i="1"/>
  <c r="V39" i="1"/>
  <c r="AA36" i="1"/>
  <c r="J67" i="1"/>
  <c r="Z44" i="1"/>
  <c r="P47" i="1"/>
  <c r="Y40" i="1"/>
  <c r="W47" i="1"/>
  <c r="T47" i="1"/>
  <c r="I42" i="1"/>
  <c r="J38" i="1"/>
  <c r="K54" i="1"/>
  <c r="G70" i="1"/>
  <c r="M67" i="1"/>
  <c r="O55" i="1"/>
  <c r="U48" i="1"/>
  <c r="G45" i="1"/>
  <c r="P68" i="1"/>
  <c r="J47" i="1"/>
  <c r="T39" i="1"/>
  <c r="S47" i="1"/>
  <c r="AD36" i="1"/>
  <c r="E48" i="1"/>
  <c r="K35" i="1"/>
  <c r="F61" i="1"/>
  <c r="H63" i="1"/>
  <c r="E66" i="1"/>
  <c r="V45" i="1"/>
  <c r="AE39" i="1"/>
  <c r="P39" i="1"/>
  <c r="Q68" i="1"/>
  <c r="I54" i="1"/>
  <c r="AA35" i="1"/>
  <c r="F37" i="1"/>
  <c r="AD35" i="1"/>
  <c r="O42" i="1"/>
  <c r="J61" i="1"/>
  <c r="P58" i="1"/>
  <c r="E55" i="1"/>
  <c r="N58" i="1"/>
  <c r="R35" i="1"/>
  <c r="M70" i="1"/>
  <c r="L57" i="1"/>
  <c r="S44" i="1"/>
  <c r="R37" i="1"/>
  <c r="AB38" i="1"/>
  <c r="E38" i="1"/>
  <c r="I41" i="1"/>
  <c r="N63" i="1"/>
  <c r="E52" i="1"/>
  <c r="U36" i="1"/>
  <c r="O56" i="1"/>
  <c r="U38" i="1"/>
  <c r="R43" i="1"/>
  <c r="N52" i="1"/>
  <c r="S45" i="1"/>
  <c r="H44" i="1"/>
  <c r="G37" i="1"/>
  <c r="AC36" i="1"/>
  <c r="J60" i="1"/>
  <c r="J54" i="1"/>
  <c r="I61" i="1"/>
  <c r="W36" i="1"/>
  <c r="M66" i="1"/>
  <c r="S63" i="1"/>
  <c r="P44" i="1"/>
  <c r="L68" i="1"/>
  <c r="F47" i="1"/>
  <c r="AH42" i="1"/>
  <c r="K46" i="1"/>
  <c r="E70" i="1"/>
  <c r="H48" i="1"/>
  <c r="Z48" i="1"/>
  <c r="P62" i="1"/>
  <c r="AH45" i="1"/>
  <c r="I66" i="1"/>
  <c r="I48" i="1"/>
  <c r="E44" i="1"/>
  <c r="X47" i="1"/>
  <c r="F60" i="1"/>
  <c r="S34" i="1"/>
  <c r="Y38" i="1"/>
  <c r="H65" i="1"/>
  <c r="N62" i="1"/>
  <c r="N64" i="1"/>
  <c r="AG36" i="1"/>
  <c r="E60" i="1"/>
  <c r="R58" i="1"/>
  <c r="V35" i="1"/>
  <c r="AF42" i="1"/>
  <c r="AA46" i="1"/>
  <c r="N69" i="1"/>
  <c r="AB39" i="1"/>
  <c r="R44" i="1"/>
  <c r="Q34" i="1"/>
  <c r="Q67" i="1"/>
  <c r="I65" i="1"/>
  <c r="R69" i="1"/>
  <c r="R47" i="1"/>
  <c r="AG43" i="1"/>
  <c r="H64" i="1"/>
  <c r="G46" i="1"/>
  <c r="Q38" i="1"/>
  <c r="P46" i="1"/>
  <c r="N47" i="1"/>
  <c r="W48" i="1"/>
  <c r="M63" i="1"/>
  <c r="AB44" i="1"/>
  <c r="R62" i="1"/>
  <c r="E62" i="1"/>
  <c r="AC41" i="1"/>
  <c r="AC37" i="1"/>
  <c r="O79" i="1"/>
  <c r="M89" i="1"/>
  <c r="I82" i="1"/>
  <c r="G92" i="1"/>
  <c r="G85" i="1"/>
  <c r="G78" i="1"/>
  <c r="R87" i="1"/>
  <c r="E91" i="1"/>
  <c r="G83" i="1"/>
  <c r="R92" i="1"/>
  <c r="N85" i="1"/>
  <c r="N78" i="1"/>
  <c r="L88" i="1"/>
  <c r="L81" i="1"/>
  <c r="J91" i="1"/>
  <c r="K91" i="1"/>
  <c r="G77" i="1"/>
  <c r="R79" i="1"/>
  <c r="N77" i="1"/>
  <c r="L80" i="1"/>
  <c r="J83" i="1"/>
  <c r="Q77" i="1"/>
  <c r="K80" i="1"/>
  <c r="I83" i="1"/>
  <c r="G86" i="1"/>
  <c r="Q78" i="1"/>
  <c r="I10" i="1"/>
  <c r="P21" i="1"/>
  <c r="G7" i="1"/>
  <c r="N18" i="1"/>
  <c r="F4" i="1"/>
  <c r="H91" i="1"/>
  <c r="G12" i="1"/>
  <c r="G6" i="1"/>
  <c r="P8" i="1"/>
  <c r="L20" i="1"/>
  <c r="O5" i="1"/>
  <c r="K17" i="1"/>
  <c r="M6" i="1"/>
  <c r="I18" i="1"/>
  <c r="K3" i="1"/>
  <c r="G15" i="1"/>
  <c r="O14" i="1"/>
  <c r="O3" i="1"/>
  <c r="P14" i="1"/>
  <c r="K14" i="1"/>
  <c r="G89" i="1"/>
  <c r="F13" i="1"/>
  <c r="K13" i="1"/>
  <c r="L11" i="1"/>
  <c r="I86" i="1"/>
  <c r="H3" i="1"/>
  <c r="J12" i="1"/>
  <c r="N9" i="1"/>
  <c r="O17" i="1"/>
  <c r="E7" i="1"/>
  <c r="M3" i="1"/>
  <c r="G4" i="1"/>
  <c r="R80" i="1"/>
  <c r="P90" i="1"/>
  <c r="L83" i="1"/>
  <c r="L76" i="1"/>
  <c r="J86" i="1"/>
  <c r="J79" i="1"/>
  <c r="H89" i="1"/>
  <c r="J84" i="1"/>
  <c r="F77" i="1"/>
  <c r="Q86" i="1"/>
  <c r="Q79" i="1"/>
  <c r="O89" i="1"/>
  <c r="O82" i="1"/>
  <c r="M92" i="1"/>
  <c r="O76" i="1"/>
  <c r="M79" i="1"/>
  <c r="K82" i="1"/>
  <c r="M77" i="1"/>
  <c r="G80" i="1"/>
  <c r="R82" i="1"/>
  <c r="P85" i="1"/>
  <c r="J80" i="1"/>
  <c r="Q82" i="1"/>
  <c r="O85" i="1"/>
  <c r="M88" i="1"/>
  <c r="O88" i="1"/>
  <c r="N11" i="1"/>
  <c r="F5" i="1"/>
  <c r="L8" i="1"/>
  <c r="H20" i="1"/>
  <c r="K5" i="1"/>
  <c r="H84" i="1"/>
  <c r="L13" i="1"/>
  <c r="K10" i="1"/>
  <c r="J10" i="1"/>
  <c r="F22" i="1"/>
  <c r="I7" i="1"/>
  <c r="I81" i="1"/>
  <c r="G8" i="1"/>
  <c r="N19" i="1"/>
  <c r="P4" i="1"/>
  <c r="L16" i="1"/>
  <c r="H19" i="1"/>
  <c r="M9" i="1"/>
  <c r="N16" i="1"/>
  <c r="O18" i="1"/>
  <c r="I5" i="1"/>
  <c r="I15" i="1"/>
  <c r="L15" i="1"/>
  <c r="R91" i="1"/>
  <c r="N21" i="1"/>
  <c r="H14" i="1"/>
  <c r="J13" i="1"/>
  <c r="I4" i="1"/>
  <c r="M15" i="1"/>
  <c r="G82" i="1"/>
  <c r="H82" i="1"/>
  <c r="F92" i="1"/>
  <c r="O84" i="1"/>
  <c r="O77" i="1"/>
  <c r="M87" i="1"/>
  <c r="M80" i="1"/>
  <c r="K90" i="1"/>
  <c r="M85" i="1"/>
  <c r="I78" i="1"/>
  <c r="G88" i="1"/>
  <c r="G81" i="1"/>
  <c r="R90" i="1"/>
  <c r="R83" i="1"/>
  <c r="E85" i="1"/>
  <c r="N76" i="1"/>
  <c r="H79" i="1"/>
  <c r="F82" i="1"/>
  <c r="Q84" i="1"/>
  <c r="F80" i="1"/>
  <c r="M82" i="1"/>
  <c r="K85" i="1"/>
  <c r="I88" i="1"/>
  <c r="P82" i="1"/>
  <c r="J85" i="1"/>
  <c r="H88" i="1"/>
  <c r="F91" i="1"/>
  <c r="O81" i="1"/>
  <c r="H13" i="1"/>
  <c r="F9" i="1"/>
  <c r="F10" i="1"/>
  <c r="M21" i="1"/>
  <c r="P6" i="1"/>
  <c r="H77" i="1"/>
  <c r="J3" i="1"/>
  <c r="F15" i="1"/>
  <c r="H15" i="1"/>
  <c r="O11" i="1"/>
  <c r="M4" i="1"/>
  <c r="N8" i="1"/>
  <c r="G91" i="1"/>
  <c r="L9" i="1"/>
  <c r="H21" i="1"/>
  <c r="J6" i="1"/>
  <c r="F18" i="1"/>
  <c r="I3" i="1"/>
  <c r="K15" i="1"/>
  <c r="L18" i="1"/>
  <c r="E8" i="1"/>
  <c r="G11" i="1"/>
  <c r="G17" i="1"/>
  <c r="P19" i="1"/>
  <c r="H8" i="1"/>
  <c r="J16" i="1"/>
  <c r="N17" i="1"/>
  <c r="F21" i="1"/>
  <c r="L21" i="1"/>
  <c r="H22" i="1"/>
  <c r="I77" i="1"/>
  <c r="G87" i="1"/>
  <c r="P79" i="1"/>
  <c r="N89" i="1"/>
  <c r="N82" i="1"/>
  <c r="L92" i="1"/>
  <c r="L85" i="1"/>
  <c r="E86" i="1"/>
  <c r="N80" i="1"/>
  <c r="L90" i="1"/>
  <c r="H83" i="1"/>
  <c r="H76" i="1"/>
  <c r="F86" i="1"/>
  <c r="F79" i="1"/>
  <c r="Q88" i="1"/>
  <c r="L86" i="1"/>
  <c r="F89" i="1"/>
  <c r="Q91" i="1"/>
  <c r="E78" i="1"/>
  <c r="Q89" i="1"/>
  <c r="K92" i="1"/>
  <c r="K78" i="1"/>
  <c r="E76" i="1"/>
  <c r="N92" i="1"/>
  <c r="J78" i="1"/>
  <c r="H81" i="1"/>
  <c r="J76" i="1"/>
  <c r="J7" i="1"/>
  <c r="F19" i="1"/>
  <c r="H4" i="1"/>
  <c r="O15" i="1"/>
  <c r="J17" i="1"/>
  <c r="N88" i="1"/>
  <c r="H9" i="1"/>
  <c r="O20" i="1"/>
  <c r="F6" i="1"/>
  <c r="M17" i="1"/>
  <c r="K22" i="1"/>
  <c r="L14" i="1"/>
  <c r="N79" i="1"/>
  <c r="N3" i="1"/>
  <c r="J15" i="1"/>
  <c r="P15" i="1"/>
  <c r="H12" i="1"/>
  <c r="N5" i="1"/>
  <c r="G9" i="1"/>
  <c r="M18" i="1"/>
  <c r="P10" i="1"/>
  <c r="K6" i="1"/>
  <c r="E5" i="1"/>
  <c r="I14" i="1"/>
  <c r="F8" i="1"/>
  <c r="P3" i="1"/>
  <c r="E10" i="1"/>
  <c r="J11" i="1"/>
  <c r="G5" i="1"/>
  <c r="L22" i="1"/>
  <c r="E19" i="1"/>
  <c r="L12" i="1"/>
  <c r="M8" i="1"/>
  <c r="P9" i="1"/>
  <c r="H7" i="1"/>
  <c r="F17" i="1"/>
  <c r="L78" i="1"/>
  <c r="J88" i="1"/>
  <c r="F81" i="1"/>
  <c r="Q90" i="1"/>
  <c r="Q83" i="1"/>
  <c r="Q76" i="1"/>
  <c r="O86" i="1"/>
  <c r="E84" i="1"/>
  <c r="Q81" i="1"/>
  <c r="O91" i="1"/>
  <c r="K84" i="1"/>
  <c r="K77" i="1"/>
  <c r="I87" i="1"/>
  <c r="I80" i="1"/>
  <c r="G90" i="1"/>
  <c r="R88" i="1"/>
  <c r="L91" i="1"/>
  <c r="L77" i="1"/>
  <c r="E92" i="1"/>
  <c r="J92" i="1"/>
  <c r="F78" i="1"/>
  <c r="Q80" i="1"/>
  <c r="R77" i="1"/>
  <c r="P80" i="1"/>
  <c r="N83" i="1"/>
  <c r="H86" i="1"/>
  <c r="O8" i="1"/>
  <c r="K20" i="1"/>
  <c r="M5" i="1"/>
  <c r="I17" i="1"/>
  <c r="J21" i="1"/>
  <c r="J81" i="1"/>
  <c r="M10" i="1"/>
  <c r="I22" i="1"/>
  <c r="K7" i="1"/>
  <c r="G19" i="1"/>
  <c r="J4" i="1"/>
  <c r="F16" i="1"/>
  <c r="L89" i="1"/>
  <c r="H5" i="1"/>
  <c r="O16" i="1"/>
  <c r="M20" i="1"/>
  <c r="M13" i="1"/>
  <c r="G10" i="1"/>
  <c r="I79" i="1"/>
  <c r="P7" i="1"/>
  <c r="N12" i="1"/>
  <c r="O10" i="1"/>
  <c r="O83" i="1"/>
  <c r="G20" i="1"/>
  <c r="I11" i="1"/>
  <c r="L7" i="1"/>
  <c r="E6" i="1"/>
  <c r="H17" i="1"/>
  <c r="L10" i="1"/>
  <c r="J5" i="1"/>
  <c r="E4" i="1"/>
  <c r="K9" i="1"/>
  <c r="E16" i="1"/>
  <c r="N6" i="1"/>
  <c r="E21" i="1"/>
  <c r="I12" i="1"/>
  <c r="Q85" i="1"/>
  <c r="H80" i="1"/>
  <c r="N91" i="1"/>
  <c r="P86" i="1"/>
  <c r="P91" i="1"/>
  <c r="K86" i="1"/>
  <c r="R86" i="1"/>
  <c r="K87" i="1"/>
  <c r="E77" i="1"/>
  <c r="O92" i="1"/>
  <c r="M84" i="1"/>
  <c r="K4" i="1"/>
  <c r="K11" i="1"/>
  <c r="P78" i="1"/>
  <c r="O4" i="1"/>
  <c r="L4" i="1"/>
  <c r="M11" i="1"/>
  <c r="P11" i="1"/>
  <c r="H6" i="1"/>
  <c r="I21" i="1"/>
  <c r="E13" i="1"/>
  <c r="I20" i="1"/>
  <c r="G21" i="1"/>
  <c r="E18" i="1"/>
  <c r="M78" i="1"/>
  <c r="L79" i="1"/>
  <c r="E80" i="1"/>
  <c r="P89" i="1"/>
  <c r="I85" i="1"/>
  <c r="G16" i="1"/>
  <c r="K16" i="1"/>
  <c r="F11" i="1"/>
  <c r="F20" i="1"/>
  <c r="F14" i="1"/>
  <c r="G76" i="1"/>
  <c r="K81" i="1"/>
  <c r="Q92" i="1"/>
  <c r="F88" i="1"/>
  <c r="J82" i="1"/>
  <c r="N87" i="1"/>
  <c r="G79" i="1"/>
  <c r="K89" i="1"/>
  <c r="F85" i="1"/>
  <c r="E90" i="1"/>
  <c r="N90" i="1"/>
  <c r="E87" i="1"/>
  <c r="P5" i="1"/>
  <c r="P12" i="1"/>
  <c r="F87" i="1"/>
  <c r="I6" i="1"/>
  <c r="I13" i="1"/>
  <c r="G13" i="1"/>
  <c r="O7" i="1"/>
  <c r="M7" i="1"/>
  <c r="I16" i="1"/>
  <c r="P18" i="1"/>
  <c r="G22" i="1"/>
  <c r="N15" i="1"/>
  <c r="J18" i="1"/>
  <c r="M16" i="1"/>
  <c r="F12" i="1"/>
  <c r="E3" i="1"/>
  <c r="F90" i="1"/>
  <c r="P84" i="1"/>
  <c r="F84" i="1"/>
  <c r="R89" i="1"/>
  <c r="O78" i="1"/>
  <c r="L3" i="1"/>
  <c r="P76" i="1"/>
  <c r="O21" i="1"/>
  <c r="E14" i="1"/>
  <c r="J77" i="1"/>
  <c r="P88" i="1"/>
  <c r="E89" i="1"/>
  <c r="I89" i="1"/>
  <c r="M83" i="1"/>
  <c r="E82" i="1"/>
  <c r="M81" i="1"/>
  <c r="J87" i="1"/>
  <c r="L87" i="1"/>
  <c r="I76" i="1"/>
  <c r="M14" i="1"/>
  <c r="J14" i="1"/>
  <c r="E88" i="1"/>
  <c r="N7" i="1"/>
  <c r="N14" i="1"/>
  <c r="P83" i="1"/>
  <c r="I9" i="1"/>
  <c r="L6" i="1"/>
  <c r="J20" i="1"/>
  <c r="L5" i="1"/>
  <c r="E20" i="1"/>
  <c r="E15" i="1"/>
  <c r="H16" i="1"/>
  <c r="N10" i="1"/>
  <c r="F76" i="1"/>
  <c r="H87" i="1"/>
  <c r="P81" i="1"/>
  <c r="R76" i="1"/>
  <c r="R81" i="1"/>
  <c r="M76" i="1"/>
  <c r="G84" i="1"/>
  <c r="J90" i="1"/>
  <c r="H90" i="1"/>
  <c r="E79" i="1"/>
  <c r="G14" i="1"/>
  <c r="M12" i="1"/>
  <c r="J19" i="1"/>
  <c r="N13" i="1"/>
  <c r="P13" i="1"/>
  <c r="P20" i="1"/>
  <c r="P22" i="1"/>
  <c r="K8" i="1"/>
  <c r="E17" i="1"/>
  <c r="H11" i="1"/>
  <c r="O13" i="1"/>
  <c r="K83" i="1"/>
  <c r="K88" i="1"/>
  <c r="F83" i="1"/>
  <c r="H78" i="1"/>
  <c r="J89" i="1"/>
  <c r="P77" i="1"/>
  <c r="M86" i="1"/>
  <c r="L82" i="1"/>
  <c r="P92" i="1"/>
  <c r="P87" i="1"/>
  <c r="G18" i="1"/>
  <c r="J8" i="1"/>
  <c r="L19" i="1"/>
  <c r="K18" i="1"/>
  <c r="M22" i="1"/>
  <c r="J22" i="1"/>
  <c r="F7" i="1"/>
  <c r="E9" i="1"/>
  <c r="P16" i="1"/>
  <c r="E11" i="1"/>
  <c r="H18" i="1"/>
  <c r="N20" i="1"/>
  <c r="I84" i="1"/>
  <c r="E83" i="1"/>
  <c r="L17" i="1"/>
  <c r="O19" i="1"/>
  <c r="O90" i="1"/>
  <c r="J9" i="1"/>
  <c r="N22" i="1"/>
  <c r="N84" i="1"/>
  <c r="K12" i="1"/>
  <c r="O87" i="1"/>
  <c r="O6" i="1"/>
  <c r="R84" i="1"/>
  <c r="M91" i="1"/>
  <c r="O22" i="1"/>
  <c r="P17" i="1"/>
  <c r="M19" i="1"/>
  <c r="K79" i="1"/>
  <c r="O9" i="1"/>
  <c r="O80" i="1"/>
  <c r="H10" i="1"/>
  <c r="E12" i="1"/>
  <c r="N81" i="1"/>
  <c r="K21" i="1"/>
  <c r="Q87" i="1"/>
  <c r="I8" i="1"/>
  <c r="G3" i="1"/>
  <c r="O12" i="1"/>
  <c r="M90" i="1"/>
  <c r="N86" i="1"/>
  <c r="R78" i="1"/>
  <c r="H92" i="1"/>
  <c r="L84" i="1"/>
  <c r="I90" i="1"/>
  <c r="K19" i="1"/>
  <c r="E22" i="1"/>
  <c r="I91" i="1"/>
  <c r="H85" i="1"/>
  <c r="I92" i="1"/>
  <c r="E81" i="1"/>
  <c r="F3" i="1"/>
  <c r="N4" i="1"/>
  <c r="K76" i="1"/>
  <c r="R85" i="1"/>
  <c r="I19" i="1"/>
  <c r="AK44" i="3" l="1"/>
  <c r="AK48" i="3"/>
  <c r="M69" i="3"/>
  <c r="Z69" i="3"/>
  <c r="AJ51" i="3"/>
  <c r="U70" i="3"/>
  <c r="AE55" i="3"/>
  <c r="V54" i="3"/>
  <c r="X53" i="3"/>
  <c r="Y45" i="3"/>
  <c r="O53" i="3"/>
  <c r="P71" i="3"/>
  <c r="AO50" i="3"/>
  <c r="Z54" i="3"/>
  <c r="Z76" i="3"/>
  <c r="Q72" i="3"/>
  <c r="Y74" i="3"/>
  <c r="Y41" i="3"/>
  <c r="Z51" i="3"/>
  <c r="AJ46" i="3"/>
  <c r="V76" i="3"/>
  <c r="AI53" i="3"/>
  <c r="AN49" i="3"/>
  <c r="AD42" i="3"/>
  <c r="Z65" i="3"/>
  <c r="M67" i="3"/>
  <c r="AO43" i="3"/>
  <c r="V71" i="3"/>
  <c r="V69" i="3"/>
  <c r="P72" i="3"/>
  <c r="AG45" i="3"/>
  <c r="AA41" i="3"/>
  <c r="N67" i="3"/>
  <c r="AF54" i="3"/>
  <c r="M51" i="3"/>
  <c r="Q55" i="3"/>
  <c r="Q73" i="3"/>
  <c r="AP52" i="3"/>
  <c r="X69" i="3"/>
  <c r="AH55" i="3"/>
  <c r="P55" i="3"/>
  <c r="M77" i="3"/>
  <c r="S53" i="3"/>
  <c r="AP49" i="3"/>
  <c r="N54" i="3"/>
  <c r="T75" i="3"/>
  <c r="X51" i="3"/>
  <c r="AA70" i="3"/>
  <c r="U73" i="3"/>
  <c r="AE43" i="3"/>
  <c r="Q68" i="3"/>
  <c r="R61" i="3"/>
  <c r="R67" i="3"/>
  <c r="AK43" i="3"/>
  <c r="O44" i="3"/>
  <c r="P51" i="3"/>
  <c r="AA52" i="3"/>
  <c r="V59" i="3"/>
  <c r="Z50" i="3"/>
  <c r="AC45" i="3"/>
  <c r="W63" i="3"/>
  <c r="AC43" i="3"/>
  <c r="M59" i="3"/>
  <c r="V70" i="3"/>
  <c r="Q48" i="3"/>
  <c r="M45" i="3"/>
  <c r="AJ45" i="3"/>
  <c r="Z44" i="3"/>
  <c r="AA51" i="3"/>
  <c r="T64" i="3"/>
  <c r="U77" i="3"/>
  <c r="Z42" i="3"/>
  <c r="V65" i="3"/>
  <c r="M62" i="3"/>
  <c r="X65" i="3"/>
  <c r="R68" i="3"/>
  <c r="W49" i="3"/>
  <c r="AL42" i="3"/>
  <c r="N44" i="3"/>
  <c r="AI42" i="3"/>
  <c r="Q61" i="3"/>
  <c r="Y75" i="3"/>
  <c r="X46" i="3"/>
  <c r="AM46" i="3"/>
  <c r="AD52" i="3"/>
  <c r="M73" i="3"/>
  <c r="P70" i="3"/>
  <c r="N68" i="3"/>
  <c r="S42" i="3"/>
  <c r="M55" i="3"/>
  <c r="AL43" i="3"/>
  <c r="AA54" i="3"/>
  <c r="AB46" i="3"/>
  <c r="R54" i="3"/>
  <c r="X75" i="3"/>
  <c r="O52" i="3"/>
  <c r="AC55" i="3"/>
  <c r="W62" i="3"/>
  <c r="U74" i="3"/>
  <c r="O77" i="3"/>
  <c r="S61" i="3"/>
  <c r="R45" i="3"/>
  <c r="Q49" i="3"/>
  <c r="AB54" i="3"/>
  <c r="AE54" i="3"/>
  <c r="AG47" i="3"/>
  <c r="X54" i="3"/>
  <c r="AH51" i="3"/>
  <c r="R74" i="3"/>
  <c r="AI43" i="3"/>
  <c r="AD46" i="3"/>
  <c r="Y51" i="3"/>
  <c r="W48" i="3"/>
  <c r="R64" i="3"/>
  <c r="X52" i="3"/>
  <c r="V49" i="3"/>
  <c r="V68" i="3"/>
  <c r="AJ52" i="3"/>
  <c r="AH49" i="3"/>
  <c r="N70" i="3"/>
  <c r="U67" i="3"/>
  <c r="Y68" i="3"/>
  <c r="O70" i="3"/>
  <c r="S71" i="3"/>
  <c r="AH44" i="3"/>
  <c r="AL52" i="3"/>
  <c r="AO52" i="3"/>
  <c r="N49" i="3"/>
  <c r="U53" i="3"/>
  <c r="AE50" i="3"/>
  <c r="O75" i="3"/>
  <c r="AF42" i="3"/>
  <c r="R42" i="3"/>
  <c r="V50" i="3"/>
  <c r="T47" i="3"/>
  <c r="X59" i="3"/>
  <c r="U51" i="3"/>
  <c r="S48" i="3"/>
  <c r="N64" i="3"/>
  <c r="AG51" i="3"/>
  <c r="AE48" i="3"/>
  <c r="T65" i="3"/>
  <c r="Q65" i="3"/>
  <c r="U66" i="3"/>
  <c r="Y67" i="3"/>
  <c r="O69" i="3"/>
  <c r="AP51" i="3"/>
  <c r="P54" i="3"/>
  <c r="P53" i="3"/>
  <c r="AC49" i="3"/>
  <c r="AL51" i="3"/>
  <c r="AE44" i="3"/>
  <c r="V48" i="3"/>
  <c r="AF45" i="3"/>
  <c r="W55" i="3"/>
  <c r="AG52" i="3"/>
  <c r="U71" i="3"/>
  <c r="W45" i="3"/>
  <c r="U42" i="3"/>
  <c r="R77" i="3"/>
  <c r="V46" i="3"/>
  <c r="T43" i="3"/>
  <c r="U62" i="3"/>
  <c r="AH46" i="3"/>
  <c r="AF43" i="3"/>
  <c r="AA63" i="3"/>
  <c r="X73" i="3"/>
  <c r="R75" i="3"/>
  <c r="R76" i="3"/>
  <c r="Z77" i="3"/>
  <c r="M48" i="3"/>
  <c r="AL55" i="3"/>
  <c r="AG48" i="3"/>
  <c r="Z48" i="3"/>
  <c r="S50" i="3"/>
  <c r="O76" i="3"/>
  <c r="S47" i="3"/>
  <c r="AC44" i="3"/>
  <c r="T54" i="3"/>
  <c r="AD51" i="3"/>
  <c r="N72" i="3"/>
  <c r="T44" i="3"/>
  <c r="R41" i="3"/>
  <c r="X72" i="3"/>
  <c r="S45" i="3"/>
  <c r="Q42" i="3"/>
  <c r="N77" i="3"/>
  <c r="AE45" i="3"/>
  <c r="AC42" i="3"/>
  <c r="S59" i="3"/>
  <c r="T71" i="3"/>
  <c r="N73" i="3"/>
  <c r="N74" i="3"/>
  <c r="V75" i="3"/>
  <c r="AJ49" i="3"/>
  <c r="AJ50" i="3"/>
  <c r="M41" i="3"/>
  <c r="AD49" i="3"/>
  <c r="AA46" i="3"/>
  <c r="AO53" i="3"/>
  <c r="Q45" i="3"/>
  <c r="V51" i="3"/>
  <c r="P52" i="3"/>
  <c r="T67" i="3"/>
  <c r="AH52" i="3"/>
  <c r="AM43" i="3"/>
  <c r="O50" i="3"/>
  <c r="Q47" i="3"/>
  <c r="AA65" i="3"/>
  <c r="AN50" i="3"/>
  <c r="P42" i="3"/>
  <c r="U48" i="3"/>
  <c r="AC54" i="3"/>
  <c r="AH43" i="3"/>
  <c r="AI49" i="3"/>
  <c r="AJ55" i="3"/>
  <c r="AG46" i="3"/>
  <c r="Q75" i="3"/>
  <c r="U76" i="3"/>
  <c r="N59" i="3"/>
  <c r="AH50" i="3"/>
  <c r="AM41" i="3"/>
  <c r="AF47" i="3"/>
  <c r="M68" i="3"/>
  <c r="X61" i="3"/>
  <c r="R63" i="3"/>
  <c r="Q51" i="3"/>
  <c r="V42" i="3"/>
  <c r="O48" i="3"/>
  <c r="M65" i="3"/>
  <c r="P63" i="3"/>
  <c r="X64" i="3"/>
  <c r="O64" i="3"/>
  <c r="V64" i="3"/>
  <c r="S65" i="3"/>
  <c r="P66" i="3"/>
  <c r="W66" i="3"/>
  <c r="P67" i="3"/>
  <c r="AA67" i="3"/>
  <c r="X68" i="3"/>
  <c r="AE51" i="3"/>
  <c r="AJ42" i="3"/>
  <c r="AO48" i="3"/>
  <c r="AH42" i="3"/>
  <c r="X66" i="3"/>
  <c r="AK49" i="3"/>
  <c r="AP55" i="3"/>
  <c r="R47" i="3"/>
  <c r="Q50" i="3"/>
  <c r="AE42" i="3"/>
  <c r="AF48" i="3"/>
  <c r="Y54" i="3"/>
  <c r="AD45" i="3"/>
  <c r="W70" i="3"/>
  <c r="AA71" i="3"/>
  <c r="AD43" i="3"/>
  <c r="AE49" i="3"/>
  <c r="AB55" i="3"/>
  <c r="AC46" i="3"/>
  <c r="AA74" i="3"/>
  <c r="Q76" i="3"/>
  <c r="AP43" i="3"/>
  <c r="N50" i="3"/>
  <c r="S41" i="3"/>
  <c r="AO46" i="3"/>
  <c r="S76" i="3"/>
  <c r="W77" i="3"/>
  <c r="P60" i="3"/>
  <c r="Y61" i="3"/>
  <c r="R62" i="3"/>
  <c r="O63" i="3"/>
  <c r="Z63" i="3"/>
  <c r="S64" i="3"/>
  <c r="Z64" i="3"/>
  <c r="W65" i="3"/>
  <c r="T66" i="3"/>
  <c r="S54" i="3"/>
  <c r="AI54" i="3"/>
  <c r="AA47" i="3"/>
  <c r="AI55" i="3"/>
  <c r="M60" i="3"/>
  <c r="S51" i="3"/>
  <c r="X42" i="3"/>
  <c r="AC48" i="3"/>
  <c r="O41" i="3"/>
  <c r="Z59" i="3"/>
  <c r="AO49" i="3"/>
  <c r="Q41" i="3"/>
  <c r="V47" i="3"/>
  <c r="AG50" i="3"/>
  <c r="M47" i="3"/>
  <c r="R48" i="3"/>
  <c r="W54" i="3"/>
  <c r="AB45" i="3"/>
  <c r="AB43" i="3"/>
  <c r="AK55" i="3"/>
  <c r="AP46" i="3"/>
  <c r="AI52" i="3"/>
  <c r="AN43" i="3"/>
  <c r="Y63" i="3"/>
  <c r="O65" i="3"/>
  <c r="AN41" i="3"/>
  <c r="AO47" i="3"/>
  <c r="AH53" i="3"/>
  <c r="AM44" i="3"/>
  <c r="O68" i="3"/>
  <c r="S69" i="3"/>
  <c r="W42" i="3"/>
  <c r="X48" i="3"/>
  <c r="Q54" i="3"/>
  <c r="V45" i="3"/>
  <c r="U69" i="3"/>
  <c r="Y70" i="3"/>
  <c r="W76" i="3"/>
  <c r="P77" i="3"/>
  <c r="AA77" i="3"/>
  <c r="W59" i="3"/>
  <c r="T60" i="3"/>
  <c r="AA60" i="3"/>
  <c r="T61" i="3"/>
  <c r="Q62" i="3"/>
  <c r="N63" i="3"/>
  <c r="AO42" i="3"/>
  <c r="W50" i="3"/>
  <c r="O43" i="3"/>
  <c r="W51" i="3"/>
  <c r="P62" i="3"/>
  <c r="P50" i="3"/>
  <c r="U41" i="3"/>
  <c r="Z47" i="3"/>
  <c r="T51" i="3"/>
  <c r="M49" i="3"/>
  <c r="AL48" i="3"/>
  <c r="N55" i="3"/>
  <c r="S46" i="3"/>
  <c r="U46" i="3"/>
  <c r="AM55" i="3"/>
  <c r="O47" i="3"/>
  <c r="T53" i="3"/>
  <c r="Y44" i="3"/>
  <c r="M61" i="3"/>
  <c r="AH54" i="3"/>
  <c r="AM45" i="3"/>
  <c r="AF51" i="3"/>
  <c r="AK42" i="3"/>
  <c r="Q59" i="3"/>
  <c r="U60" i="3"/>
  <c r="AG55" i="3"/>
  <c r="AL46" i="3"/>
  <c r="AE52" i="3"/>
  <c r="AJ43" i="3"/>
  <c r="U63" i="3"/>
  <c r="Y64" i="3"/>
  <c r="T41" i="3"/>
  <c r="U47" i="3"/>
  <c r="N53" i="3"/>
  <c r="S44" i="3"/>
  <c r="AA64" i="3"/>
  <c r="Q66" i="3"/>
  <c r="S74" i="3"/>
  <c r="Z74" i="3"/>
  <c r="W75" i="3"/>
  <c r="T76" i="3"/>
  <c r="AA76" i="3"/>
  <c r="T77" i="3"/>
  <c r="P59" i="3"/>
  <c r="AA59" i="3"/>
  <c r="X60" i="3"/>
  <c r="Z52" i="3"/>
  <c r="X45" i="3"/>
  <c r="S55" i="3"/>
  <c r="AC52" i="3"/>
  <c r="Q69" i="3"/>
  <c r="U45" i="3"/>
  <c r="AF52" i="3"/>
  <c r="AC53" i="3"/>
  <c r="AM50" i="3"/>
  <c r="V60" i="3"/>
  <c r="O55" i="3"/>
  <c r="AF50" i="3"/>
  <c r="T46" i="3"/>
  <c r="AK41" i="3"/>
  <c r="Y52" i="3"/>
  <c r="AP47" i="3"/>
  <c r="AF41" i="3"/>
  <c r="Z53" i="3"/>
  <c r="AA66" i="3"/>
  <c r="M44" i="3"/>
  <c r="AK53" i="3"/>
  <c r="Y49" i="3"/>
  <c r="AP44" i="3"/>
  <c r="AD55" i="3"/>
  <c r="R51" i="3"/>
  <c r="AI46" i="3"/>
  <c r="AC51" i="3"/>
  <c r="AA48" i="3"/>
  <c r="P65" i="3"/>
  <c r="AO55" i="3"/>
  <c r="N52" i="3"/>
  <c r="AE47" i="3"/>
  <c r="S43" i="3"/>
  <c r="AJ53" i="3"/>
  <c r="X49" i="3"/>
  <c r="AO44" i="3"/>
  <c r="X44" i="3"/>
  <c r="V41" i="3"/>
  <c r="V73" i="3"/>
  <c r="U55" i="3"/>
  <c r="AL50" i="3"/>
  <c r="Z46" i="3"/>
  <c r="N42" i="3"/>
  <c r="S52" i="3"/>
  <c r="AJ47" i="3"/>
  <c r="X43" i="3"/>
  <c r="M76" i="3"/>
  <c r="U61" i="3"/>
  <c r="N62" i="3"/>
  <c r="Y62" i="3"/>
  <c r="V63" i="3"/>
  <c r="X41" i="3"/>
  <c r="AK51" i="3"/>
  <c r="Y47" i="3"/>
  <c r="AP42" i="3"/>
  <c r="R53" i="3"/>
  <c r="AI48" i="3"/>
  <c r="W44" i="3"/>
  <c r="M66" i="3"/>
  <c r="Y65" i="3"/>
  <c r="R66" i="3"/>
  <c r="O67" i="3"/>
  <c r="Z67" i="3"/>
  <c r="AJ41" i="3"/>
  <c r="T52" i="3"/>
  <c r="AK47" i="3"/>
  <c r="Y43" i="3"/>
  <c r="AD53" i="3"/>
  <c r="R49" i="3"/>
  <c r="AI44" i="3"/>
  <c r="M63" i="3"/>
  <c r="Q67" i="3"/>
  <c r="X67" i="3"/>
  <c r="U68" i="3"/>
  <c r="R69" i="3"/>
  <c r="U75" i="3"/>
  <c r="S66" i="3"/>
  <c r="N76" i="3"/>
  <c r="Z66" i="3"/>
  <c r="Y76" i="3"/>
  <c r="W67" i="3"/>
  <c r="V77" i="3"/>
  <c r="T68" i="3"/>
  <c r="R59" i="3"/>
  <c r="AA68" i="3"/>
  <c r="Y59" i="3"/>
  <c r="T69" i="3"/>
  <c r="R60" i="3"/>
  <c r="Q70" i="3"/>
  <c r="O61" i="3"/>
  <c r="N71" i="3"/>
  <c r="Z61" i="3"/>
  <c r="N46" i="3"/>
  <c r="AK45" i="3"/>
  <c r="AD48" i="3"/>
  <c r="AN45" i="3"/>
  <c r="AN55" i="3"/>
  <c r="AF53" i="3"/>
  <c r="M75" i="3"/>
  <c r="AN46" i="3"/>
  <c r="U44" i="3"/>
  <c r="M53" i="3"/>
  <c r="Y53" i="3"/>
  <c r="AP48" i="3"/>
  <c r="AD44" i="3"/>
  <c r="R55" i="3"/>
  <c r="AI50" i="3"/>
  <c r="W46" i="3"/>
  <c r="AM49" i="3"/>
  <c r="AK46" i="3"/>
  <c r="S77" i="3"/>
  <c r="M46" i="3"/>
  <c r="R52" i="3"/>
  <c r="AI47" i="3"/>
  <c r="W43" i="3"/>
  <c r="AN53" i="3"/>
  <c r="AB49" i="3"/>
  <c r="P45" i="3"/>
  <c r="AN44" i="3"/>
  <c r="AL41" i="3"/>
  <c r="Z75" i="3"/>
  <c r="AJ54" i="3"/>
  <c r="X50" i="3"/>
  <c r="AO45" i="3"/>
  <c r="AC41" i="3"/>
  <c r="Q52" i="3"/>
  <c r="AH47" i="3"/>
  <c r="Y55" i="3"/>
  <c r="W52" i="3"/>
  <c r="S62" i="3"/>
  <c r="R43" i="3"/>
  <c r="AE53" i="3"/>
  <c r="S49" i="3"/>
  <c r="AJ44" i="3"/>
  <c r="AO54" i="3"/>
  <c r="AC50" i="3"/>
  <c r="Q46" i="3"/>
  <c r="AH41" i="3"/>
  <c r="AA72" i="3"/>
  <c r="T73" i="3"/>
  <c r="Q74" i="3"/>
  <c r="N75" i="3"/>
  <c r="Q44" i="3"/>
  <c r="AD54" i="3"/>
  <c r="R50" i="3"/>
  <c r="AI45" i="3"/>
  <c r="W41" i="3"/>
  <c r="AB51" i="3"/>
  <c r="P47" i="3"/>
  <c r="AG42" i="3"/>
  <c r="Q77" i="3"/>
  <c r="X77" i="3"/>
  <c r="T59" i="3"/>
  <c r="Q60" i="3"/>
  <c r="N61" i="3"/>
  <c r="AP54" i="3"/>
  <c r="AD50" i="3"/>
  <c r="R46" i="3"/>
  <c r="AI41" i="3"/>
  <c r="AN51" i="3"/>
  <c r="AB47" i="3"/>
  <c r="P43" i="3"/>
  <c r="M64" i="3"/>
  <c r="S60" i="3"/>
  <c r="Z60" i="3"/>
  <c r="W61" i="3"/>
  <c r="T62" i="3"/>
  <c r="O72" i="3"/>
  <c r="AA62" i="3"/>
  <c r="V72" i="3"/>
  <c r="T63" i="3"/>
  <c r="S73" i="3"/>
  <c r="Q64" i="3"/>
  <c r="P74" i="3"/>
  <c r="N65" i="3"/>
  <c r="W74" i="3"/>
  <c r="U65" i="3"/>
  <c r="P75" i="3"/>
  <c r="N66" i="3"/>
  <c r="AA75" i="3"/>
  <c r="Y66" i="3"/>
  <c r="X76" i="3"/>
  <c r="V67" i="3"/>
  <c r="AD47" i="3"/>
  <c r="M54" i="3"/>
  <c r="AL54" i="3"/>
  <c r="R44" i="3"/>
  <c r="T48" i="3"/>
  <c r="AM51" i="3"/>
  <c r="T49" i="3"/>
  <c r="R71" i="3"/>
  <c r="AB42" i="3"/>
  <c r="AE41" i="3"/>
  <c r="M50" i="3"/>
  <c r="V52" i="3"/>
  <c r="AM47" i="3"/>
  <c r="AA43" i="3"/>
  <c r="O54" i="3"/>
  <c r="AF49" i="3"/>
  <c r="T45" i="3"/>
  <c r="AA45" i="3"/>
  <c r="Y42" i="3"/>
  <c r="O59" i="3"/>
  <c r="AA55" i="3"/>
  <c r="O51" i="3"/>
  <c r="AF46" i="3"/>
  <c r="T42" i="3"/>
  <c r="AK52" i="3"/>
  <c r="Y48" i="3"/>
  <c r="V43" i="3"/>
  <c r="T55" i="3"/>
  <c r="Y73" i="3"/>
  <c r="M43" i="3"/>
  <c r="AG53" i="3"/>
  <c r="U49" i="3"/>
  <c r="AL44" i="3"/>
  <c r="Z55" i="3"/>
  <c r="N51" i="3"/>
  <c r="AE46" i="3"/>
  <c r="AP50" i="3"/>
  <c r="AN47" i="3"/>
  <c r="Z62" i="3"/>
  <c r="O42" i="3"/>
  <c r="AB52" i="3"/>
  <c r="P48" i="3"/>
  <c r="AG43" i="3"/>
  <c r="AL53" i="3"/>
  <c r="Z49" i="3"/>
  <c r="N45" i="3"/>
  <c r="M71" i="3"/>
  <c r="S68" i="3"/>
  <c r="Z68" i="3"/>
  <c r="W69" i="3"/>
  <c r="T70" i="3"/>
  <c r="N43" i="3"/>
  <c r="AA53" i="3"/>
  <c r="O49" i="3"/>
  <c r="AF44" i="3"/>
  <c r="AK54" i="3"/>
  <c r="Y50" i="3"/>
  <c r="AP45" i="3"/>
  <c r="AD41" i="3"/>
  <c r="W72" i="3"/>
  <c r="P73" i="3"/>
  <c r="AA73" i="3"/>
  <c r="X74" i="3"/>
  <c r="Z43" i="3"/>
  <c r="AM53" i="3"/>
  <c r="AA49" i="3"/>
  <c r="O45" i="3"/>
  <c r="X55" i="3"/>
  <c r="AK50" i="3"/>
  <c r="Y46" i="3"/>
  <c r="AP41" i="3"/>
  <c r="O74" i="3"/>
  <c r="V74" i="3"/>
  <c r="S75" i="3"/>
  <c r="P76" i="3"/>
  <c r="M72" i="3"/>
  <c r="Y69" i="3"/>
  <c r="W60" i="3"/>
  <c r="R70" i="3"/>
  <c r="P61" i="3"/>
  <c r="O71" i="3"/>
  <c r="AA61" i="3"/>
  <c r="Z71" i="3"/>
  <c r="X62" i="3"/>
  <c r="S72" i="3"/>
  <c r="Q63" i="3"/>
  <c r="Z72" i="3"/>
  <c r="X63" i="3"/>
  <c r="W73" i="3"/>
  <c r="U64" i="3"/>
  <c r="T74" i="3"/>
  <c r="R65" i="3"/>
  <c r="T50" i="3"/>
  <c r="N48" i="3"/>
  <c r="O60" i="3"/>
  <c r="AO41" i="3"/>
  <c r="AP53" i="3"/>
  <c r="AG49" i="3"/>
  <c r="N47" i="3"/>
  <c r="M42" i="3"/>
  <c r="V55" i="3"/>
  <c r="X47" i="3"/>
  <c r="AF55" i="3"/>
  <c r="AI51" i="3"/>
  <c r="W47" i="3"/>
  <c r="AN42" i="3"/>
  <c r="AB53" i="3"/>
  <c r="P49" i="3"/>
  <c r="AG44" i="3"/>
  <c r="U43" i="3"/>
  <c r="M74" i="3"/>
  <c r="N69" i="3"/>
  <c r="AN54" i="3"/>
  <c r="AB50" i="3"/>
  <c r="P46" i="3"/>
  <c r="AG41" i="3"/>
  <c r="U52" i="3"/>
  <c r="AL47" i="3"/>
  <c r="P41" i="3"/>
  <c r="AM52" i="3"/>
  <c r="W64" i="3"/>
  <c r="M52" i="3"/>
  <c r="Q53" i="3"/>
  <c r="AH48" i="3"/>
  <c r="V44" i="3"/>
  <c r="AM54" i="3"/>
  <c r="AA50" i="3"/>
  <c r="O46" i="3"/>
  <c r="AJ48" i="3"/>
  <c r="AH45" i="3"/>
  <c r="Y72" i="3"/>
  <c r="AB41" i="3"/>
  <c r="AO51" i="3"/>
  <c r="AC47" i="3"/>
  <c r="Q43" i="3"/>
  <c r="V53" i="3"/>
  <c r="AM48" i="3"/>
  <c r="AA44" i="3"/>
  <c r="M70" i="3"/>
  <c r="O66" i="3"/>
  <c r="V66" i="3"/>
  <c r="S67" i="3"/>
  <c r="P68" i="3"/>
  <c r="AA42" i="3"/>
  <c r="AN52" i="3"/>
  <c r="AB48" i="3"/>
  <c r="P44" i="3"/>
  <c r="U54" i="3"/>
  <c r="AL49" i="3"/>
  <c r="Z45" i="3"/>
  <c r="N41" i="3"/>
  <c r="S70" i="3"/>
  <c r="Z70" i="3"/>
  <c r="W71" i="3"/>
  <c r="T72" i="3"/>
  <c r="AM42" i="3"/>
  <c r="W53" i="3"/>
  <c r="AN48" i="3"/>
  <c r="AB44" i="3"/>
  <c r="AG54" i="3"/>
  <c r="U50" i="3"/>
  <c r="AL45" i="3"/>
  <c r="Z41" i="3"/>
  <c r="Y71" i="3"/>
  <c r="R72" i="3"/>
  <c r="O73" i="3"/>
  <c r="Z73" i="3"/>
  <c r="Y77" i="3"/>
  <c r="W68" i="3"/>
  <c r="U59" i="3"/>
  <c r="P69" i="3"/>
  <c r="N60" i="3"/>
  <c r="AA69" i="3"/>
  <c r="Y60" i="3"/>
  <c r="X70" i="3"/>
  <c r="V61" i="3"/>
  <c r="Q71" i="3"/>
  <c r="O62" i="3"/>
  <c r="X71" i="3"/>
  <c r="V62" i="3"/>
  <c r="U72" i="3"/>
  <c r="S63" i="3"/>
  <c r="R73" i="3"/>
  <c r="P64" i="3"/>
  <c r="Q30" i="3"/>
  <c r="Z90" i="3"/>
  <c r="S81" i="3"/>
  <c r="V15" i="3"/>
  <c r="N14" i="3"/>
  <c r="M86" i="3"/>
  <c r="Q97" i="3"/>
  <c r="P90" i="3"/>
  <c r="Q96" i="3"/>
  <c r="M33" i="3"/>
  <c r="S30" i="3"/>
  <c r="Q95" i="3"/>
  <c r="T89" i="3"/>
  <c r="P97" i="3"/>
  <c r="Z83" i="3"/>
  <c r="V91" i="3"/>
  <c r="U95" i="3"/>
  <c r="W23" i="3"/>
  <c r="O14" i="3"/>
  <c r="Q19" i="3"/>
  <c r="Y92" i="3"/>
  <c r="S32" i="3"/>
  <c r="V86" i="3"/>
  <c r="M23" i="3"/>
  <c r="P21" i="3"/>
  <c r="W85" i="3"/>
  <c r="W20" i="3"/>
  <c r="S84" i="3"/>
  <c r="U30" i="3"/>
  <c r="X28" i="3"/>
  <c r="W33" i="3"/>
  <c r="U96" i="3"/>
  <c r="Z89" i="3"/>
  <c r="W17" i="3"/>
  <c r="W92" i="3"/>
  <c r="S23" i="3"/>
  <c r="V89" i="3"/>
  <c r="V33" i="3"/>
  <c r="R20" i="3"/>
  <c r="W95" i="3"/>
  <c r="W30" i="3"/>
  <c r="T28" i="3"/>
  <c r="M88" i="3"/>
  <c r="Q89" i="3"/>
  <c r="V31" i="3"/>
  <c r="P29" i="3"/>
  <c r="M22" i="3"/>
  <c r="X27" i="3"/>
  <c r="M20" i="3"/>
  <c r="N18" i="3"/>
  <c r="R33" i="3"/>
  <c r="U33" i="3"/>
  <c r="S29" i="3"/>
  <c r="T30" i="3"/>
  <c r="R19" i="3"/>
  <c r="O29" i="3"/>
  <c r="X92" i="3"/>
  <c r="X97" i="3"/>
  <c r="T87" i="3"/>
  <c r="U91" i="3"/>
  <c r="X82" i="3"/>
  <c r="R94" i="3"/>
  <c r="P83" i="3"/>
  <c r="N88" i="3"/>
  <c r="S93" i="3"/>
  <c r="S88" i="3"/>
  <c r="W24" i="3"/>
  <c r="P22" i="3"/>
  <c r="M28" i="3"/>
  <c r="S19" i="3"/>
  <c r="X33" i="3"/>
  <c r="X31" i="3"/>
  <c r="X24" i="3"/>
  <c r="V24" i="3"/>
  <c r="R30" i="3"/>
  <c r="U23" i="3"/>
  <c r="O25" i="3"/>
  <c r="M84" i="3"/>
  <c r="P95" i="3"/>
  <c r="R95" i="3"/>
  <c r="O89" i="3"/>
  <c r="U81" i="3"/>
  <c r="Z86" i="3"/>
  <c r="Z81" i="3"/>
  <c r="X86" i="3"/>
  <c r="P92" i="3"/>
  <c r="N81" i="3"/>
  <c r="V21" i="3"/>
  <c r="P27" i="3"/>
  <c r="M26" i="3"/>
  <c r="M31" i="3"/>
  <c r="T16" i="3"/>
  <c r="R31" i="3"/>
  <c r="T17" i="3"/>
  <c r="Q20" i="3"/>
  <c r="X88" i="3"/>
  <c r="V25" i="3"/>
  <c r="V18" i="3"/>
  <c r="M93" i="3"/>
  <c r="R25" i="3"/>
  <c r="U25" i="3"/>
  <c r="Q81" i="3"/>
  <c r="T92" i="3"/>
  <c r="R92" i="3"/>
  <c r="U86" i="3"/>
  <c r="M87" i="3"/>
  <c r="U88" i="3"/>
  <c r="Q94" i="3"/>
  <c r="M94" i="3"/>
  <c r="X93" i="3"/>
  <c r="R82" i="3"/>
  <c r="M25" i="3"/>
  <c r="W32" i="3"/>
  <c r="X81" i="3"/>
  <c r="T14" i="3"/>
  <c r="W83" i="3"/>
  <c r="Z94" i="3"/>
  <c r="N89" i="3"/>
  <c r="X89" i="3"/>
  <c r="N95" i="3"/>
  <c r="M14" i="3"/>
  <c r="N23" i="3"/>
  <c r="U27" i="3"/>
  <c r="R29" i="3"/>
  <c r="V26" i="3"/>
  <c r="O33" i="3"/>
  <c r="X29" i="3"/>
  <c r="Q27" i="3"/>
  <c r="U18" i="3"/>
  <c r="W18" i="3"/>
  <c r="O24" i="3"/>
  <c r="Q24" i="3"/>
  <c r="Q17" i="3"/>
  <c r="N92" i="3"/>
  <c r="X23" i="3"/>
  <c r="X16" i="3"/>
  <c r="M92" i="3"/>
  <c r="V95" i="3"/>
  <c r="M95" i="3"/>
  <c r="N90" i="3"/>
  <c r="S94" i="3"/>
  <c r="O84" i="3"/>
  <c r="V92" i="3"/>
  <c r="R87" i="3"/>
  <c r="N93" i="3"/>
  <c r="Y97" i="3"/>
  <c r="S86" i="3"/>
  <c r="O81" i="3"/>
  <c r="N25" i="3"/>
  <c r="N31" i="3"/>
  <c r="N22" i="3"/>
  <c r="S27" i="3"/>
  <c r="O27" i="3"/>
  <c r="Q90" i="3"/>
  <c r="X94" i="3"/>
  <c r="M85" i="3"/>
  <c r="T84" i="3"/>
  <c r="U83" i="3"/>
  <c r="M29" i="3"/>
  <c r="O32" i="3"/>
  <c r="Q31" i="3"/>
  <c r="M24" i="3"/>
  <c r="Q32" i="3"/>
  <c r="P17" i="3"/>
  <c r="X22" i="3"/>
  <c r="U22" i="3"/>
  <c r="T15" i="3"/>
  <c r="W15" i="3"/>
  <c r="X83" i="3"/>
  <c r="S22" i="3"/>
  <c r="S15" i="3"/>
  <c r="U89" i="3"/>
  <c r="W97" i="3"/>
  <c r="M82" i="3"/>
  <c r="S92" i="3"/>
  <c r="Z91" i="3"/>
  <c r="S91" i="3"/>
  <c r="X96" i="3"/>
  <c r="X91" i="3"/>
  <c r="V96" i="3"/>
  <c r="P85" i="3"/>
  <c r="Y90" i="3"/>
  <c r="Q23" i="3"/>
  <c r="M32" i="3"/>
  <c r="V17" i="3"/>
  <c r="M27" i="3"/>
  <c r="S20" i="3"/>
  <c r="M15" i="3"/>
  <c r="R16" i="3"/>
  <c r="T21" i="3"/>
  <c r="P28" i="3"/>
  <c r="M17" i="3"/>
  <c r="T18" i="3"/>
  <c r="Q22" i="3"/>
  <c r="O31" i="3"/>
  <c r="W88" i="3"/>
  <c r="W21" i="3"/>
  <c r="V23" i="3"/>
  <c r="X18" i="3"/>
  <c r="Q84" i="3"/>
  <c r="O21" i="3"/>
  <c r="U24" i="3"/>
  <c r="U31" i="3"/>
  <c r="W27" i="3"/>
  <c r="P16" i="3"/>
  <c r="T94" i="3"/>
  <c r="N27" i="3"/>
  <c r="R15" i="3"/>
  <c r="O30" i="3"/>
  <c r="S18" i="3"/>
  <c r="Q33" i="3"/>
  <c r="U21" i="3"/>
  <c r="R86" i="3"/>
  <c r="R32" i="3"/>
  <c r="Q28" i="3"/>
  <c r="U16" i="3"/>
  <c r="S31" i="3"/>
  <c r="W19" i="3"/>
  <c r="P91" i="3"/>
  <c r="V88" i="3"/>
  <c r="X85" i="3"/>
  <c r="Z82" i="3"/>
  <c r="Y85" i="3"/>
  <c r="N83" i="3"/>
  <c r="R97" i="3"/>
  <c r="M97" i="3"/>
  <c r="T82" i="3"/>
  <c r="T96" i="3"/>
  <c r="Z93" i="3"/>
  <c r="O95" i="3"/>
  <c r="Q85" i="3"/>
  <c r="Q92" i="3"/>
  <c r="S82" i="3"/>
  <c r="S89" i="3"/>
  <c r="W96" i="3"/>
  <c r="Y86" i="3"/>
  <c r="M89" i="3"/>
  <c r="W91" i="3"/>
  <c r="Y81" i="3"/>
  <c r="Y88" i="3"/>
  <c r="Y95" i="3"/>
  <c r="N86" i="3"/>
  <c r="R93" i="3"/>
  <c r="T83" i="3"/>
  <c r="N28" i="3"/>
  <c r="P18" i="3"/>
  <c r="X20" i="3"/>
  <c r="U19" i="3"/>
  <c r="T23" i="3"/>
  <c r="M30" i="3"/>
  <c r="T33" i="3"/>
  <c r="O16" i="3"/>
  <c r="R22" i="3"/>
  <c r="M21" i="3"/>
  <c r="X14" i="3"/>
  <c r="N19" i="3"/>
  <c r="Q25" i="3"/>
  <c r="M16" i="3"/>
  <c r="S17" i="3"/>
  <c r="X21" i="3"/>
  <c r="U29" i="3"/>
  <c r="O20" i="3"/>
  <c r="V16" i="3"/>
  <c r="P23" i="3"/>
  <c r="X26" i="3"/>
  <c r="R26" i="3"/>
  <c r="V14" i="3"/>
  <c r="V84" i="3"/>
  <c r="T25" i="3"/>
  <c r="S33" i="3"/>
  <c r="U28" i="3"/>
  <c r="N17" i="3"/>
  <c r="W31" i="3"/>
  <c r="P20" i="3"/>
  <c r="V93" i="3"/>
  <c r="R28" i="3"/>
  <c r="W26" i="3"/>
  <c r="P15" i="3"/>
  <c r="N30" i="3"/>
  <c r="R18" i="3"/>
  <c r="R81" i="3"/>
  <c r="P86" i="3"/>
  <c r="R83" i="3"/>
  <c r="V97" i="3"/>
  <c r="M81" i="3"/>
  <c r="S83" i="3"/>
  <c r="S97" i="3"/>
  <c r="Y94" i="3"/>
  <c r="M83" i="3"/>
  <c r="Y96" i="3"/>
  <c r="N94" i="3"/>
  <c r="T91" i="3"/>
  <c r="Y93" i="3"/>
  <c r="N84" i="3"/>
  <c r="N91" i="3"/>
  <c r="P81" i="3"/>
  <c r="P88" i="3"/>
  <c r="T95" i="3"/>
  <c r="V85" i="3"/>
  <c r="M91" i="3"/>
  <c r="T90" i="3"/>
  <c r="T97" i="3"/>
  <c r="V87" i="3"/>
  <c r="V94" i="3"/>
  <c r="X84" i="3"/>
  <c r="O92" i="3"/>
  <c r="Q82" i="3"/>
  <c r="P33" i="3"/>
  <c r="T32" i="3"/>
  <c r="N32" i="3"/>
  <c r="V28" i="3"/>
  <c r="R27" i="3"/>
  <c r="P19" i="3"/>
  <c r="X30" i="3"/>
  <c r="O28" i="3"/>
  <c r="O22" i="3"/>
  <c r="M19" i="3"/>
  <c r="T29" i="3"/>
  <c r="S26" i="3"/>
  <c r="Q14" i="3"/>
  <c r="N29" i="3"/>
  <c r="R17" i="3"/>
  <c r="P32" i="3"/>
  <c r="T20" i="3"/>
  <c r="O96" i="3"/>
  <c r="V19" i="3"/>
  <c r="U15" i="3"/>
  <c r="W22" i="3"/>
  <c r="P26" i="3"/>
  <c r="N26" i="3"/>
  <c r="R14" i="3"/>
  <c r="P82" i="3"/>
  <c r="X17" i="3"/>
  <c r="U32" i="3"/>
  <c r="N21" i="3"/>
  <c r="N20" i="3"/>
  <c r="P24" i="3"/>
  <c r="W86" i="3"/>
  <c r="N96" i="3"/>
  <c r="P93" i="3"/>
  <c r="R90" i="3"/>
  <c r="X87" i="3"/>
  <c r="Q93" i="3"/>
  <c r="S90" i="3"/>
  <c r="U87" i="3"/>
  <c r="N85" i="3"/>
  <c r="Y89" i="3"/>
  <c r="N87" i="3"/>
  <c r="P84" i="3"/>
  <c r="V81" i="3"/>
  <c r="M90" i="3"/>
  <c r="Z88" i="3"/>
  <c r="Z95" i="3"/>
  <c r="O86" i="3"/>
  <c r="O93" i="3"/>
  <c r="Q83" i="3"/>
  <c r="U90" i="3"/>
  <c r="S95" i="3"/>
  <c r="U85" i="3"/>
  <c r="U92" i="3"/>
  <c r="W82" i="3"/>
  <c r="W89" i="3"/>
  <c r="N97" i="3"/>
  <c r="P87" i="3"/>
  <c r="O87" i="3"/>
  <c r="U26" i="3"/>
  <c r="Q15" i="3"/>
  <c r="R24" i="3"/>
  <c r="P25" i="3"/>
  <c r="V32" i="3"/>
  <c r="Z96" i="3"/>
  <c r="T26" i="3"/>
  <c r="Q26" i="3"/>
  <c r="Q16" i="3"/>
  <c r="W29" i="3"/>
  <c r="V27" i="3"/>
  <c r="U20" i="3"/>
  <c r="P30" i="3"/>
  <c r="T27" i="3"/>
  <c r="X15" i="3"/>
  <c r="V30" i="3"/>
  <c r="O19" i="3"/>
  <c r="Q86" i="3"/>
  <c r="Q18" i="3"/>
  <c r="N33" i="3"/>
  <c r="R21" i="3"/>
  <c r="S21" i="3"/>
  <c r="T24" i="3"/>
  <c r="P89" i="3"/>
  <c r="S16" i="3"/>
  <c r="P31" i="3"/>
  <c r="T19" i="3"/>
  <c r="N16" i="3"/>
  <c r="V22" i="3"/>
  <c r="W93" i="3"/>
  <c r="U93" i="3"/>
  <c r="W90" i="3"/>
  <c r="Y87" i="3"/>
  <c r="R85" i="3"/>
  <c r="X90" i="3"/>
  <c r="Z87" i="3"/>
  <c r="O85" i="3"/>
  <c r="U82" i="3"/>
  <c r="S87" i="3"/>
  <c r="U84" i="3"/>
  <c r="W81" i="3"/>
  <c r="U97" i="3"/>
  <c r="W87" i="3"/>
  <c r="W94" i="3"/>
  <c r="Y84" i="3"/>
  <c r="Y91" i="3"/>
  <c r="N82" i="3"/>
  <c r="R89" i="3"/>
  <c r="P94" i="3"/>
  <c r="R84" i="3"/>
  <c r="R91" i="3"/>
  <c r="T81" i="3"/>
  <c r="T88" i="3"/>
  <c r="X95" i="3"/>
  <c r="Z85" i="3"/>
  <c r="O15" i="3"/>
  <c r="U14" i="3"/>
  <c r="M18" i="3"/>
  <c r="W28" i="3"/>
  <c r="V20" i="3"/>
  <c r="R23" i="3"/>
  <c r="P14" i="3"/>
  <c r="Q91" i="3"/>
  <c r="T22" i="3"/>
  <c r="S24" i="3"/>
  <c r="N24" i="3"/>
  <c r="O94" i="3"/>
  <c r="S25" i="3"/>
  <c r="X25" i="3"/>
  <c r="W14" i="3"/>
  <c r="W25" i="3"/>
  <c r="O26" i="3"/>
  <c r="S14" i="3"/>
  <c r="Q29" i="3"/>
  <c r="U17" i="3"/>
  <c r="S28" i="3"/>
  <c r="W16" i="3"/>
  <c r="T31" i="3"/>
  <c r="X19" i="3"/>
  <c r="O17" i="3"/>
  <c r="O23" i="3"/>
  <c r="P96" i="3"/>
  <c r="N15" i="3"/>
  <c r="V29" i="3"/>
  <c r="O18" i="3"/>
  <c r="X32" i="3"/>
  <c r="Q21" i="3"/>
  <c r="Y83" i="3"/>
  <c r="O91" i="3"/>
  <c r="Q88" i="3"/>
  <c r="S85" i="3"/>
  <c r="Y82" i="3"/>
  <c r="R88" i="3"/>
  <c r="T85" i="3"/>
  <c r="V82" i="3"/>
  <c r="Z84" i="3"/>
  <c r="O82" i="3"/>
  <c r="S96" i="3"/>
  <c r="R96" i="3"/>
  <c r="T86" i="3"/>
  <c r="T93" i="3"/>
  <c r="V83" i="3"/>
  <c r="V90" i="3"/>
  <c r="Z97" i="3"/>
  <c r="O88" i="3"/>
  <c r="M96" i="3"/>
  <c r="Z92" i="3"/>
  <c r="O83" i="3"/>
  <c r="O90" i="3"/>
  <c r="O97" i="3"/>
  <c r="Q87" i="3"/>
  <c r="U94" i="3"/>
  <c r="W84" i="3"/>
</calcChain>
</file>

<file path=xl/comments1.xml><?xml version="1.0" encoding="utf-8"?>
<comments xmlns="http://schemas.openxmlformats.org/spreadsheetml/2006/main">
  <authors>
    <author>Bloomberg User</author>
  </authors>
  <commentList>
    <comment ref="Q12" authorId="0">
      <text>
        <r>
          <rPr>
            <b/>
            <sz val="8"/>
            <color indexed="81"/>
            <rFont val="Tahoma"/>
            <family val="2"/>
          </rPr>
          <t>Please select BBIR to match up with NSV&lt;GO&gt; screen.</t>
        </r>
      </text>
    </comment>
    <comment ref="T12" authorId="0">
      <text>
        <r>
          <rPr>
            <b/>
            <sz val="8"/>
            <color indexed="81"/>
            <rFont val="Tahoma"/>
            <family val="2"/>
          </rPr>
          <t>Please select BBIR to match up with NSV&lt;GO&gt; screen.</t>
        </r>
      </text>
    </comment>
    <comment ref="P37" authorId="0">
      <text>
        <r>
          <rPr>
            <b/>
            <sz val="8"/>
            <color indexed="81"/>
            <rFont val="Tahoma"/>
            <family val="2"/>
          </rPr>
          <t>Please select BBIR to match up with VOLM&lt;GO&gt; screen.</t>
        </r>
      </text>
    </comment>
  </commentList>
</comments>
</file>

<file path=xl/sharedStrings.xml><?xml version="1.0" encoding="utf-8"?>
<sst xmlns="http://schemas.openxmlformats.org/spreadsheetml/2006/main" count="2771" uniqueCount="2500">
  <si>
    <t>USD</t>
  </si>
  <si>
    <t>US</t>
  </si>
  <si>
    <t>JPY</t>
  </si>
  <si>
    <t>JY</t>
  </si>
  <si>
    <t>GBP</t>
  </si>
  <si>
    <t>BP</t>
  </si>
  <si>
    <t>EUR</t>
  </si>
  <si>
    <t>EU</t>
  </si>
  <si>
    <t>1M</t>
  </si>
  <si>
    <t>3M</t>
  </si>
  <si>
    <t>6M</t>
  </si>
  <si>
    <t>9M</t>
  </si>
  <si>
    <t>1YR</t>
  </si>
  <si>
    <t>2YR</t>
  </si>
  <si>
    <t>5YR</t>
  </si>
  <si>
    <t>10YR</t>
  </si>
  <si>
    <t>7YR</t>
  </si>
  <si>
    <t>15YR</t>
  </si>
  <si>
    <t>20YR</t>
  </si>
  <si>
    <t>30YR</t>
  </si>
  <si>
    <t>CD</t>
  </si>
  <si>
    <t>CAD</t>
  </si>
  <si>
    <t>CHF</t>
  </si>
  <si>
    <t>SF</t>
  </si>
  <si>
    <t>AUD</t>
  </si>
  <si>
    <t>NZD</t>
  </si>
  <si>
    <t>AD</t>
  </si>
  <si>
    <t>ND</t>
  </si>
  <si>
    <t>BBIR</t>
  </si>
  <si>
    <t>CMPN</t>
  </si>
  <si>
    <t>LAST</t>
  </si>
  <si>
    <t>CFIR</t>
  </si>
  <si>
    <t>CNTR</t>
  </si>
  <si>
    <t>ICPL</t>
  </si>
  <si>
    <t>Currency</t>
  </si>
  <si>
    <t>Annual</t>
  </si>
  <si>
    <t>Daily</t>
  </si>
  <si>
    <t>Breakeven</t>
  </si>
  <si>
    <t>Cap Market</t>
  </si>
  <si>
    <t>Term</t>
  </si>
  <si>
    <t>ATM</t>
  </si>
  <si>
    <t>1 YR</t>
  </si>
  <si>
    <t>2 YR</t>
  </si>
  <si>
    <t>3 YR</t>
  </si>
  <si>
    <t>4 YR</t>
  </si>
  <si>
    <t>5 YR</t>
  </si>
  <si>
    <t>6 YR</t>
  </si>
  <si>
    <t>7 YR</t>
  </si>
  <si>
    <t>8 YR</t>
  </si>
  <si>
    <t>9 YR</t>
  </si>
  <si>
    <t>10 YR</t>
  </si>
  <si>
    <t>ATM Swaption Market</t>
  </si>
  <si>
    <t>15 YR</t>
  </si>
  <si>
    <t>20 YR</t>
  </si>
  <si>
    <t>1 MO</t>
  </si>
  <si>
    <t>3 MO</t>
  </si>
  <si>
    <t>6 MO</t>
  </si>
  <si>
    <t xml:space="preserve">CV1   </t>
  </si>
  <si>
    <t>CF0251</t>
  </si>
  <si>
    <t xml:space="preserve">CF051 </t>
  </si>
  <si>
    <t>CF0751</t>
  </si>
  <si>
    <t xml:space="preserve">CF081 </t>
  </si>
  <si>
    <t xml:space="preserve">CF101 </t>
  </si>
  <si>
    <t xml:space="preserve">CF151 </t>
  </si>
  <si>
    <t xml:space="preserve">CF201 </t>
  </si>
  <si>
    <t xml:space="preserve">CF251 </t>
  </si>
  <si>
    <t xml:space="preserve">CF301 </t>
  </si>
  <si>
    <t xml:space="preserve">CF401 </t>
  </si>
  <si>
    <t xml:space="preserve">CF501 </t>
  </si>
  <si>
    <t xml:space="preserve">CV2   </t>
  </si>
  <si>
    <t>CF0252</t>
  </si>
  <si>
    <t xml:space="preserve">CF052 </t>
  </si>
  <si>
    <t>CF0752</t>
  </si>
  <si>
    <t xml:space="preserve">CF082 </t>
  </si>
  <si>
    <t xml:space="preserve">CF102 </t>
  </si>
  <si>
    <t xml:space="preserve">CF152 </t>
  </si>
  <si>
    <t xml:space="preserve">CF202 </t>
  </si>
  <si>
    <t xml:space="preserve">CF252 </t>
  </si>
  <si>
    <t xml:space="preserve">CF302 </t>
  </si>
  <si>
    <t xml:space="preserve">CF402 </t>
  </si>
  <si>
    <t xml:space="preserve">CF502 </t>
  </si>
  <si>
    <t xml:space="preserve">CV3   </t>
  </si>
  <si>
    <t>CF0253</t>
  </si>
  <si>
    <t xml:space="preserve">CF053 </t>
  </si>
  <si>
    <t>CF0753</t>
  </si>
  <si>
    <t xml:space="preserve">CF083 </t>
  </si>
  <si>
    <t xml:space="preserve">CF103 </t>
  </si>
  <si>
    <t xml:space="preserve">CF153 </t>
  </si>
  <si>
    <t xml:space="preserve">CF203 </t>
  </si>
  <si>
    <t xml:space="preserve">CF253 </t>
  </si>
  <si>
    <t xml:space="preserve">CF303 </t>
  </si>
  <si>
    <t xml:space="preserve">CF403 </t>
  </si>
  <si>
    <t xml:space="preserve">CF503 </t>
  </si>
  <si>
    <t xml:space="preserve">CV4   </t>
  </si>
  <si>
    <t>CF0254</t>
  </si>
  <si>
    <t xml:space="preserve">CF054 </t>
  </si>
  <si>
    <t>CF0754</t>
  </si>
  <si>
    <t xml:space="preserve">CF084 </t>
  </si>
  <si>
    <t xml:space="preserve">CF104 </t>
  </si>
  <si>
    <t xml:space="preserve">CF154 </t>
  </si>
  <si>
    <t xml:space="preserve">CF204 </t>
  </si>
  <si>
    <t xml:space="preserve">CF254 </t>
  </si>
  <si>
    <t xml:space="preserve">CF304 </t>
  </si>
  <si>
    <t xml:space="preserve">CF404 </t>
  </si>
  <si>
    <t xml:space="preserve">CF504 </t>
  </si>
  <si>
    <t xml:space="preserve">CV5   </t>
  </si>
  <si>
    <t>CF0255</t>
  </si>
  <si>
    <t xml:space="preserve">CF055 </t>
  </si>
  <si>
    <t>CF0755</t>
  </si>
  <si>
    <t xml:space="preserve">CF085 </t>
  </si>
  <si>
    <t xml:space="preserve">CF105 </t>
  </si>
  <si>
    <t xml:space="preserve">CF155 </t>
  </si>
  <si>
    <t xml:space="preserve">CF205 </t>
  </si>
  <si>
    <t xml:space="preserve">CF255 </t>
  </si>
  <si>
    <t xml:space="preserve">CF305 </t>
  </si>
  <si>
    <t xml:space="preserve">CF405 </t>
  </si>
  <si>
    <t xml:space="preserve">CF505 </t>
  </si>
  <si>
    <t xml:space="preserve">CV6   </t>
  </si>
  <si>
    <t>CF0256</t>
  </si>
  <si>
    <t xml:space="preserve">CF056 </t>
  </si>
  <si>
    <t>CF0756</t>
  </si>
  <si>
    <t xml:space="preserve">CF086 </t>
  </si>
  <si>
    <t xml:space="preserve">CF106 </t>
  </si>
  <si>
    <t xml:space="preserve">CF156 </t>
  </si>
  <si>
    <t xml:space="preserve">CF206 </t>
  </si>
  <si>
    <t xml:space="preserve">CF256 </t>
  </si>
  <si>
    <t xml:space="preserve">CF306 </t>
  </si>
  <si>
    <t xml:space="preserve">CF406 </t>
  </si>
  <si>
    <t xml:space="preserve">CF506 </t>
  </si>
  <si>
    <t xml:space="preserve">CV7   </t>
  </si>
  <si>
    <t>CF0257</t>
  </si>
  <si>
    <t xml:space="preserve">CF057 </t>
  </si>
  <si>
    <t>CF0757</t>
  </si>
  <si>
    <t xml:space="preserve">CF087 </t>
  </si>
  <si>
    <t xml:space="preserve">CF107 </t>
  </si>
  <si>
    <t xml:space="preserve">CF157 </t>
  </si>
  <si>
    <t xml:space="preserve">CF207 </t>
  </si>
  <si>
    <t xml:space="preserve">CF257 </t>
  </si>
  <si>
    <t xml:space="preserve">CF307 </t>
  </si>
  <si>
    <t xml:space="preserve">CF407 </t>
  </si>
  <si>
    <t xml:space="preserve">CF507 </t>
  </si>
  <si>
    <t xml:space="preserve">CV8   </t>
  </si>
  <si>
    <t>CF0258</t>
  </si>
  <si>
    <t xml:space="preserve">CF058 </t>
  </si>
  <si>
    <t>CF0758</t>
  </si>
  <si>
    <t xml:space="preserve">CF088 </t>
  </si>
  <si>
    <t xml:space="preserve">CF108 </t>
  </si>
  <si>
    <t xml:space="preserve">CF158 </t>
  </si>
  <si>
    <t xml:space="preserve">CF208 </t>
  </si>
  <si>
    <t xml:space="preserve">CF258 </t>
  </si>
  <si>
    <t xml:space="preserve">CF308 </t>
  </si>
  <si>
    <t xml:space="preserve">CF408 </t>
  </si>
  <si>
    <t xml:space="preserve">CF508 </t>
  </si>
  <si>
    <t xml:space="preserve">CV9   </t>
  </si>
  <si>
    <t>CF0259</t>
  </si>
  <si>
    <t xml:space="preserve">CF059 </t>
  </si>
  <si>
    <t>CF0759</t>
  </si>
  <si>
    <t xml:space="preserve">CF089 </t>
  </si>
  <si>
    <t xml:space="preserve">CF109 </t>
  </si>
  <si>
    <t xml:space="preserve">CF159 </t>
  </si>
  <si>
    <t xml:space="preserve">CF209 </t>
  </si>
  <si>
    <t xml:space="preserve">CF259 </t>
  </si>
  <si>
    <t xml:space="preserve">CF309 </t>
  </si>
  <si>
    <t xml:space="preserve">CF409 </t>
  </si>
  <si>
    <t xml:space="preserve">CF509 </t>
  </si>
  <si>
    <t xml:space="preserve">CV10  </t>
  </si>
  <si>
    <t>CP2510</t>
  </si>
  <si>
    <t>CF0510</t>
  </si>
  <si>
    <t>CF7510</t>
  </si>
  <si>
    <t>CF0810</t>
  </si>
  <si>
    <t>CF1010</t>
  </si>
  <si>
    <t>CF1510</t>
  </si>
  <si>
    <t>CF2010</t>
  </si>
  <si>
    <t>CF2510</t>
  </si>
  <si>
    <t>CF3010</t>
  </si>
  <si>
    <t>CF4010</t>
  </si>
  <si>
    <t>CF5010</t>
  </si>
  <si>
    <t xml:space="preserve">SV0A1 </t>
  </si>
  <si>
    <t xml:space="preserve">SV0A2 </t>
  </si>
  <si>
    <t xml:space="preserve">SV0A3 </t>
  </si>
  <si>
    <t xml:space="preserve">SV0A4 </t>
  </si>
  <si>
    <t xml:space="preserve">SV0A5 </t>
  </si>
  <si>
    <t xml:space="preserve">SV0A6 </t>
  </si>
  <si>
    <t xml:space="preserve">SV0A7 </t>
  </si>
  <si>
    <t xml:space="preserve">SV0A8 </t>
  </si>
  <si>
    <t xml:space="preserve">SV0A9 </t>
  </si>
  <si>
    <t>SV0A10</t>
  </si>
  <si>
    <t>SV0A15</t>
  </si>
  <si>
    <t>SV0A20</t>
  </si>
  <si>
    <t xml:space="preserve">SV0C1 </t>
  </si>
  <si>
    <t xml:space="preserve">SV0C2 </t>
  </si>
  <si>
    <t xml:space="preserve">SV0C3 </t>
  </si>
  <si>
    <t xml:space="preserve">SV0C4 </t>
  </si>
  <si>
    <t xml:space="preserve">SV0C5 </t>
  </si>
  <si>
    <t xml:space="preserve">SV0C6 </t>
  </si>
  <si>
    <t xml:space="preserve">SV0C7 </t>
  </si>
  <si>
    <t xml:space="preserve">SV0C8 </t>
  </si>
  <si>
    <t xml:space="preserve">SV0C9 </t>
  </si>
  <si>
    <t>SV0C10</t>
  </si>
  <si>
    <t>SV0C15</t>
  </si>
  <si>
    <t>SV0C20</t>
  </si>
  <si>
    <t xml:space="preserve">SV0F1 </t>
  </si>
  <si>
    <t xml:space="preserve">SV0F2 </t>
  </si>
  <si>
    <t xml:space="preserve">SV0F3 </t>
  </si>
  <si>
    <t xml:space="preserve">SV0F4 </t>
  </si>
  <si>
    <t xml:space="preserve">SV0F5 </t>
  </si>
  <si>
    <t xml:space="preserve">SV0F6 </t>
  </si>
  <si>
    <t xml:space="preserve">SV0F7 </t>
  </si>
  <si>
    <t xml:space="preserve">SV0F8 </t>
  </si>
  <si>
    <t xml:space="preserve">SV0F9 </t>
  </si>
  <si>
    <t>SV0F10</t>
  </si>
  <si>
    <t>SV0F15</t>
  </si>
  <si>
    <t>SV0F20</t>
  </si>
  <si>
    <t xml:space="preserve">SV011 </t>
  </si>
  <si>
    <t xml:space="preserve">SV012 </t>
  </si>
  <si>
    <t xml:space="preserve">SV013 </t>
  </si>
  <si>
    <t xml:space="preserve">SV014 </t>
  </si>
  <si>
    <t xml:space="preserve">SV015 </t>
  </si>
  <si>
    <t xml:space="preserve">SV016 </t>
  </si>
  <si>
    <t xml:space="preserve">SV017 </t>
  </si>
  <si>
    <t xml:space="preserve">SV018 </t>
  </si>
  <si>
    <t xml:space="preserve">SV019 </t>
  </si>
  <si>
    <t>SV0110</t>
  </si>
  <si>
    <t>SV0115</t>
  </si>
  <si>
    <t>SV0120</t>
  </si>
  <si>
    <t xml:space="preserve">SV021 </t>
  </si>
  <si>
    <t xml:space="preserve">SV022 </t>
  </si>
  <si>
    <t xml:space="preserve">SV023 </t>
  </si>
  <si>
    <t xml:space="preserve">SV024 </t>
  </si>
  <si>
    <t xml:space="preserve">SV025 </t>
  </si>
  <si>
    <t xml:space="preserve">SV026 </t>
  </si>
  <si>
    <t xml:space="preserve">SV027 </t>
  </si>
  <si>
    <t xml:space="preserve">SV028 </t>
  </si>
  <si>
    <t xml:space="preserve">SV029 </t>
  </si>
  <si>
    <t>SV0210</t>
  </si>
  <si>
    <t>SV0215</t>
  </si>
  <si>
    <t>SV0220</t>
  </si>
  <si>
    <t xml:space="preserve">SV031 </t>
  </si>
  <si>
    <t xml:space="preserve">SV032 </t>
  </si>
  <si>
    <t xml:space="preserve">SV033 </t>
  </si>
  <si>
    <t xml:space="preserve">SV034 </t>
  </si>
  <si>
    <t xml:space="preserve">SV035 </t>
  </si>
  <si>
    <t xml:space="preserve">SV036 </t>
  </si>
  <si>
    <t xml:space="preserve">SV037 </t>
  </si>
  <si>
    <t xml:space="preserve">SV038 </t>
  </si>
  <si>
    <t xml:space="preserve">SV039 </t>
  </si>
  <si>
    <t>SV0310</t>
  </si>
  <si>
    <t>SV0315</t>
  </si>
  <si>
    <t>SV0320</t>
  </si>
  <si>
    <t xml:space="preserve">SV041 </t>
  </si>
  <si>
    <t xml:space="preserve">SV042 </t>
  </si>
  <si>
    <t xml:space="preserve">SV043 </t>
  </si>
  <si>
    <t xml:space="preserve">SV044 </t>
  </si>
  <si>
    <t xml:space="preserve">SV045 </t>
  </si>
  <si>
    <t xml:space="preserve">SV046 </t>
  </si>
  <si>
    <t xml:space="preserve">SV047 </t>
  </si>
  <si>
    <t xml:space="preserve">SV048 </t>
  </si>
  <si>
    <t xml:space="preserve">SV049 </t>
  </si>
  <si>
    <t>SV0410</t>
  </si>
  <si>
    <t>SV0415</t>
  </si>
  <si>
    <t>SV0420</t>
  </si>
  <si>
    <t xml:space="preserve">SV051 </t>
  </si>
  <si>
    <t xml:space="preserve">SV052 </t>
  </si>
  <si>
    <t xml:space="preserve">SV053 </t>
  </si>
  <si>
    <t xml:space="preserve">SV054 </t>
  </si>
  <si>
    <t xml:space="preserve">SV055 </t>
  </si>
  <si>
    <t xml:space="preserve">SV056 </t>
  </si>
  <si>
    <t xml:space="preserve">SV057 </t>
  </si>
  <si>
    <t xml:space="preserve">SV058 </t>
  </si>
  <si>
    <t xml:space="preserve">SV059 </t>
  </si>
  <si>
    <t>SV0510</t>
  </si>
  <si>
    <t>SV0515</t>
  </si>
  <si>
    <t>SV0520</t>
  </si>
  <si>
    <t xml:space="preserve">SV071 </t>
  </si>
  <si>
    <t xml:space="preserve">SV072 </t>
  </si>
  <si>
    <t xml:space="preserve">SV073 </t>
  </si>
  <si>
    <t xml:space="preserve">SV074 </t>
  </si>
  <si>
    <t xml:space="preserve">SV075 </t>
  </si>
  <si>
    <t xml:space="preserve">SV076 </t>
  </si>
  <si>
    <t xml:space="preserve">SV077 </t>
  </si>
  <si>
    <t xml:space="preserve">SV078 </t>
  </si>
  <si>
    <t xml:space="preserve">SV079 </t>
  </si>
  <si>
    <t>SV0710</t>
  </si>
  <si>
    <t>SV0715</t>
  </si>
  <si>
    <t>SV0720</t>
  </si>
  <si>
    <t xml:space="preserve">SV101 </t>
  </si>
  <si>
    <t xml:space="preserve">SV102 </t>
  </si>
  <si>
    <t xml:space="preserve">SV103 </t>
  </si>
  <si>
    <t xml:space="preserve">SV104 </t>
  </si>
  <si>
    <t xml:space="preserve">SV105 </t>
  </si>
  <si>
    <t xml:space="preserve">SV106 </t>
  </si>
  <si>
    <t xml:space="preserve">SV107 </t>
  </si>
  <si>
    <t xml:space="preserve">SV108 </t>
  </si>
  <si>
    <t xml:space="preserve">SV109 </t>
  </si>
  <si>
    <t>SV1010</t>
  </si>
  <si>
    <t>SV1015</t>
  </si>
  <si>
    <t>SV1020</t>
  </si>
  <si>
    <t>25 YR</t>
  </si>
  <si>
    <t>SV0A25</t>
  </si>
  <si>
    <t>SV0C25</t>
  </si>
  <si>
    <t>SV0F25</t>
  </si>
  <si>
    <t>SV0125</t>
  </si>
  <si>
    <t>SV0225</t>
  </si>
  <si>
    <t>SV0325</t>
  </si>
  <si>
    <t>SV0425</t>
  </si>
  <si>
    <t>SV0525</t>
  </si>
  <si>
    <t>SV0725</t>
  </si>
  <si>
    <t>SV1025</t>
  </si>
  <si>
    <t>SV0A30</t>
  </si>
  <si>
    <t>SV0C30</t>
  </si>
  <si>
    <t>SV0F30</t>
  </si>
  <si>
    <t>SV0130</t>
  </si>
  <si>
    <t>SV0230</t>
  </si>
  <si>
    <t>SV0330</t>
  </si>
  <si>
    <t>SV0430</t>
  </si>
  <si>
    <t>SV0530</t>
  </si>
  <si>
    <t>SV0730</t>
  </si>
  <si>
    <t>SV1030</t>
  </si>
  <si>
    <t>30 YR</t>
  </si>
  <si>
    <t>12 YR</t>
  </si>
  <si>
    <t xml:space="preserve">CF601 </t>
  </si>
  <si>
    <t xml:space="preserve">CF701 </t>
  </si>
  <si>
    <t xml:space="preserve">CF801 </t>
  </si>
  <si>
    <t xml:space="preserve">CF901 </t>
  </si>
  <si>
    <t xml:space="preserve">CF011 </t>
  </si>
  <si>
    <t xml:space="preserve">CF021 </t>
  </si>
  <si>
    <t xml:space="preserve">CF031 </t>
  </si>
  <si>
    <t xml:space="preserve">CF041 </t>
  </si>
  <si>
    <t xml:space="preserve">CF602 </t>
  </si>
  <si>
    <t xml:space="preserve">CF702 </t>
  </si>
  <si>
    <t xml:space="preserve">CF802 </t>
  </si>
  <si>
    <t xml:space="preserve">CF902 </t>
  </si>
  <si>
    <t>CF1002</t>
  </si>
  <si>
    <t xml:space="preserve">CF012 </t>
  </si>
  <si>
    <t xml:space="preserve">CF022 </t>
  </si>
  <si>
    <t xml:space="preserve">CF032 </t>
  </si>
  <si>
    <t xml:space="preserve">CF042 </t>
  </si>
  <si>
    <t xml:space="preserve">CF603 </t>
  </si>
  <si>
    <t xml:space="preserve">CF703 </t>
  </si>
  <si>
    <t xml:space="preserve">CF803 </t>
  </si>
  <si>
    <t xml:space="preserve">CF903 </t>
  </si>
  <si>
    <t>CF1003</t>
  </si>
  <si>
    <t xml:space="preserve">CF013 </t>
  </si>
  <si>
    <t xml:space="preserve">CF023 </t>
  </si>
  <si>
    <t xml:space="preserve">CF033 </t>
  </si>
  <si>
    <t xml:space="preserve">CF043 </t>
  </si>
  <si>
    <t xml:space="preserve">CF604 </t>
  </si>
  <si>
    <t xml:space="preserve">CF704 </t>
  </si>
  <si>
    <t xml:space="preserve">CF804 </t>
  </si>
  <si>
    <t xml:space="preserve">CF904 </t>
  </si>
  <si>
    <t>CF1004</t>
  </si>
  <si>
    <t xml:space="preserve">CF014 </t>
  </si>
  <si>
    <t xml:space="preserve">CF024 </t>
  </si>
  <si>
    <t xml:space="preserve">CF034 </t>
  </si>
  <si>
    <t xml:space="preserve">CF044 </t>
  </si>
  <si>
    <t xml:space="preserve">CF605 </t>
  </si>
  <si>
    <t xml:space="preserve">CF705 </t>
  </si>
  <si>
    <t xml:space="preserve">CF805 </t>
  </si>
  <si>
    <t xml:space="preserve">CF905 </t>
  </si>
  <si>
    <t>CF1005</t>
  </si>
  <si>
    <t xml:space="preserve">CF015 </t>
  </si>
  <si>
    <t xml:space="preserve">CF025 </t>
  </si>
  <si>
    <t xml:space="preserve">CF035 </t>
  </si>
  <si>
    <t xml:space="preserve">CF045 </t>
  </si>
  <si>
    <t xml:space="preserve">CF606 </t>
  </si>
  <si>
    <t xml:space="preserve">CF706 </t>
  </si>
  <si>
    <t xml:space="preserve">CF806 </t>
  </si>
  <si>
    <t xml:space="preserve">CF906 </t>
  </si>
  <si>
    <t>CF1006</t>
  </si>
  <si>
    <t xml:space="preserve">CF016 </t>
  </si>
  <si>
    <t xml:space="preserve">CF026 </t>
  </si>
  <si>
    <t xml:space="preserve">CF036 </t>
  </si>
  <si>
    <t xml:space="preserve">CF046 </t>
  </si>
  <si>
    <t xml:space="preserve">CF607 </t>
  </si>
  <si>
    <t xml:space="preserve">CF707 </t>
  </si>
  <si>
    <t xml:space="preserve">CF807 </t>
  </si>
  <si>
    <t xml:space="preserve">CF907 </t>
  </si>
  <si>
    <t>CF1007</t>
  </si>
  <si>
    <t xml:space="preserve">CF017 </t>
  </si>
  <si>
    <t xml:space="preserve">CF027 </t>
  </si>
  <si>
    <t xml:space="preserve">CF037 </t>
  </si>
  <si>
    <t xml:space="preserve">CF047 </t>
  </si>
  <si>
    <t xml:space="preserve">CF608 </t>
  </si>
  <si>
    <t xml:space="preserve">CF708 </t>
  </si>
  <si>
    <t xml:space="preserve">CF808 </t>
  </si>
  <si>
    <t xml:space="preserve">CF908 </t>
  </si>
  <si>
    <t>CF1008</t>
  </si>
  <si>
    <t xml:space="preserve">CF018 </t>
  </si>
  <si>
    <t xml:space="preserve">CF028 </t>
  </si>
  <si>
    <t xml:space="preserve">CF038 </t>
  </si>
  <si>
    <t xml:space="preserve">CF048 </t>
  </si>
  <si>
    <t xml:space="preserve">CF609 </t>
  </si>
  <si>
    <t xml:space="preserve">CF709 </t>
  </si>
  <si>
    <t xml:space="preserve">CF809 </t>
  </si>
  <si>
    <t xml:space="preserve">CF909 </t>
  </si>
  <si>
    <t>CF1009</t>
  </si>
  <si>
    <t xml:space="preserve">CF019 </t>
  </si>
  <si>
    <t xml:space="preserve">CF029 </t>
  </si>
  <si>
    <t xml:space="preserve">CF039 </t>
  </si>
  <si>
    <t xml:space="preserve">CF049 </t>
  </si>
  <si>
    <t>CF6010</t>
  </si>
  <si>
    <t>CF7010</t>
  </si>
  <si>
    <t>CF8010</t>
  </si>
  <si>
    <t>CF9010</t>
  </si>
  <si>
    <t>CF100X</t>
  </si>
  <si>
    <t>CF0110</t>
  </si>
  <si>
    <t>CF0210</t>
  </si>
  <si>
    <t>CF0310</t>
  </si>
  <si>
    <t>CF0410</t>
  </si>
  <si>
    <t>CF1012</t>
  </si>
  <si>
    <t>CF1512</t>
  </si>
  <si>
    <t>CF2012</t>
  </si>
  <si>
    <t>CF3012</t>
  </si>
  <si>
    <t>CF3512</t>
  </si>
  <si>
    <t>CF4012</t>
  </si>
  <si>
    <t>CF5012</t>
  </si>
  <si>
    <t>CF6012</t>
  </si>
  <si>
    <t>CF7012</t>
  </si>
  <si>
    <t>CF8012</t>
  </si>
  <si>
    <t>CF9012</t>
  </si>
  <si>
    <t>CF0012</t>
  </si>
  <si>
    <t>CF0112</t>
  </si>
  <si>
    <t>CF0212</t>
  </si>
  <si>
    <t>CF0312</t>
  </si>
  <si>
    <t>CF0412</t>
  </si>
  <si>
    <t>CF1015</t>
  </si>
  <si>
    <t>CF1515</t>
  </si>
  <si>
    <t>CF2015</t>
  </si>
  <si>
    <t>CF3015</t>
  </si>
  <si>
    <t>CF3515</t>
  </si>
  <si>
    <t>CF4015</t>
  </si>
  <si>
    <t>CF5015</t>
  </si>
  <si>
    <t>CF6015</t>
  </si>
  <si>
    <t>CF7015</t>
  </si>
  <si>
    <t>CF8015</t>
  </si>
  <si>
    <t>CF9015</t>
  </si>
  <si>
    <t>CF0015</t>
  </si>
  <si>
    <t>CF0115</t>
  </si>
  <si>
    <t>CF0215</t>
  </si>
  <si>
    <t>CF0315</t>
  </si>
  <si>
    <t>CF0415</t>
  </si>
  <si>
    <t>CF1020</t>
  </si>
  <si>
    <t>CF1520</t>
  </si>
  <si>
    <t>CF2020</t>
  </si>
  <si>
    <t>CF3020</t>
  </si>
  <si>
    <t>CF3520</t>
  </si>
  <si>
    <t>CF4020</t>
  </si>
  <si>
    <t>CF5020</t>
  </si>
  <si>
    <t>CF6020</t>
  </si>
  <si>
    <t>CF7020</t>
  </si>
  <si>
    <t>CF8020</t>
  </si>
  <si>
    <t>CF9020</t>
  </si>
  <si>
    <t>CF0020</t>
  </si>
  <si>
    <t>CF0120</t>
  </si>
  <si>
    <t>CF0220</t>
  </si>
  <si>
    <t>CF0320</t>
  </si>
  <si>
    <t>CF0420</t>
  </si>
  <si>
    <t>CF1025</t>
  </si>
  <si>
    <t>CF1525</t>
  </si>
  <si>
    <t>CF2025</t>
  </si>
  <si>
    <t>CF3025</t>
  </si>
  <si>
    <t>CF3525</t>
  </si>
  <si>
    <t>CF4025</t>
  </si>
  <si>
    <t>CF5025</t>
  </si>
  <si>
    <t>CF6025</t>
  </si>
  <si>
    <t>CF7025</t>
  </si>
  <si>
    <t>CF8025</t>
  </si>
  <si>
    <t>CF9025</t>
  </si>
  <si>
    <t>CF0025</t>
  </si>
  <si>
    <t>CF0125</t>
  </si>
  <si>
    <t>CF0225</t>
  </si>
  <si>
    <t>CF0325</t>
  </si>
  <si>
    <t>CF0425</t>
  </si>
  <si>
    <t>CF1030</t>
  </si>
  <si>
    <t>CF1530</t>
  </si>
  <si>
    <t>CF2030</t>
  </si>
  <si>
    <t>CF3030</t>
  </si>
  <si>
    <t>CF3530</t>
  </si>
  <si>
    <t>CF4030</t>
  </si>
  <si>
    <t>CF5030</t>
  </si>
  <si>
    <t>CF6030</t>
  </si>
  <si>
    <t>CF7030</t>
  </si>
  <si>
    <t>CF8030</t>
  </si>
  <si>
    <t>CF9030</t>
  </si>
  <si>
    <t>CF0030</t>
  </si>
  <si>
    <t>CF0130</t>
  </si>
  <si>
    <t>CF0230</t>
  </si>
  <si>
    <t>CF0330</t>
  </si>
  <si>
    <t>CF0430</t>
  </si>
  <si>
    <t xml:space="preserve">CFA12 </t>
  </si>
  <si>
    <t xml:space="preserve">CV15  </t>
  </si>
  <si>
    <t xml:space="preserve">CV20  </t>
  </si>
  <si>
    <t xml:space="preserve">CV25  </t>
  </si>
  <si>
    <t xml:space="preserve">CV30  </t>
  </si>
  <si>
    <t>AUPDWD8G</t>
  </si>
  <si>
    <t>AUPDWJK0</t>
  </si>
  <si>
    <t>AUPDWPVK</t>
  </si>
  <si>
    <t>AUPDWW74</t>
  </si>
  <si>
    <t>AUPDZ6DC</t>
  </si>
  <si>
    <t>AUPDX8U8</t>
  </si>
  <si>
    <t>AUPDXF5S</t>
  </si>
  <si>
    <t>AUPDXLHC</t>
  </si>
  <si>
    <t>AUPDXRSW</t>
  </si>
  <si>
    <t>AUPDZCOW</t>
  </si>
  <si>
    <t>AUPDYARK</t>
  </si>
  <si>
    <t>AUPDZJ0G</t>
  </si>
  <si>
    <t>AUPDZPC0</t>
  </si>
  <si>
    <t>AUPDZVNK</t>
  </si>
  <si>
    <t>AUPE01Z4</t>
  </si>
  <si>
    <t>AUPG311C</t>
  </si>
  <si>
    <t>AUPG37CW</t>
  </si>
  <si>
    <t>AUPG3DOG</t>
  </si>
  <si>
    <t>AUPG3K00</t>
  </si>
  <si>
    <t>AUPG5U68</t>
  </si>
  <si>
    <t>AUPG3WN4</t>
  </si>
  <si>
    <t>AUPG42YO</t>
  </si>
  <si>
    <t>AUPG49A8</t>
  </si>
  <si>
    <t>AUPG4FLS</t>
  </si>
  <si>
    <t>AUPG60HS</t>
  </si>
  <si>
    <t>AUPG4YKG</t>
  </si>
  <si>
    <t>AUPG66TC</t>
  </si>
  <si>
    <t>AUPG6D4W</t>
  </si>
  <si>
    <t>AUPG6JGG</t>
  </si>
  <si>
    <t>AUPG6PS0</t>
  </si>
  <si>
    <t>AUPGE9KW</t>
  </si>
  <si>
    <t>AUPGEFWG</t>
  </si>
  <si>
    <t>AUPGEM80</t>
  </si>
  <si>
    <t>AUPGESJK</t>
  </si>
  <si>
    <t>AUPGH2PS</t>
  </si>
  <si>
    <t>AUPGF56O</t>
  </si>
  <si>
    <t>AUPGFBI8</t>
  </si>
  <si>
    <t>AUPGFHTS</t>
  </si>
  <si>
    <t>AUPGFO5C</t>
  </si>
  <si>
    <t>AUPGH91C</t>
  </si>
  <si>
    <t>AUPGG740</t>
  </si>
  <si>
    <t>AUPGHFCW</t>
  </si>
  <si>
    <t>AUPGHLOG</t>
  </si>
  <si>
    <t>AUPGHS00</t>
  </si>
  <si>
    <t>AUPGHYBK</t>
  </si>
  <si>
    <t>AUPGPI4G</t>
  </si>
  <si>
    <t>AUPGPOG0</t>
  </si>
  <si>
    <t>AUPGPURK</t>
  </si>
  <si>
    <t>AUPGQ134</t>
  </si>
  <si>
    <t>AUPGSB9C</t>
  </si>
  <si>
    <t>AUPGQDQ8</t>
  </si>
  <si>
    <t>AUPGQK1S</t>
  </si>
  <si>
    <t>AUPGQQDC</t>
  </si>
  <si>
    <t>AUPGQWOW</t>
  </si>
  <si>
    <t>AUPGSHKW</t>
  </si>
  <si>
    <t>AUPGRFNK</t>
  </si>
  <si>
    <t>AUPGSNWG</t>
  </si>
  <si>
    <t>AUPGSU80</t>
  </si>
  <si>
    <t>AUPGT0JK</t>
  </si>
  <si>
    <t>AUPGT6V4</t>
  </si>
  <si>
    <t>AUPH0QO0</t>
  </si>
  <si>
    <t>AUPH0WZK</t>
  </si>
  <si>
    <t>AUPH13B4</t>
  </si>
  <si>
    <t>AUPH19MO</t>
  </si>
  <si>
    <t>AUPH3JSW</t>
  </si>
  <si>
    <t>AUPH1M9S</t>
  </si>
  <si>
    <t>AUPH1SLC</t>
  </si>
  <si>
    <t>AUPH1YWW</t>
  </si>
  <si>
    <t>AUPH258G</t>
  </si>
  <si>
    <t>AUPH3Q4G</t>
  </si>
  <si>
    <t>AUPH2O74</t>
  </si>
  <si>
    <t>AUPH3WG0</t>
  </si>
  <si>
    <t>AUPH42RK</t>
  </si>
  <si>
    <t>AUPH4934</t>
  </si>
  <si>
    <t>AUPH4FEO</t>
  </si>
  <si>
    <t xml:space="preserve">SV151 </t>
  </si>
  <si>
    <t xml:space="preserve">SV152 </t>
  </si>
  <si>
    <t xml:space="preserve">SV153 </t>
  </si>
  <si>
    <t xml:space="preserve">SV154 </t>
  </si>
  <si>
    <t xml:space="preserve">SV155 </t>
  </si>
  <si>
    <t xml:space="preserve">SV156 </t>
  </si>
  <si>
    <t xml:space="preserve">SV157 </t>
  </si>
  <si>
    <t xml:space="preserve">SV158 </t>
  </si>
  <si>
    <t xml:space="preserve">SV159 </t>
  </si>
  <si>
    <t>SV1510</t>
  </si>
  <si>
    <t>SV1512</t>
  </si>
  <si>
    <t>SV1515</t>
  </si>
  <si>
    <t>SV1520</t>
  </si>
  <si>
    <t>SV1525</t>
  </si>
  <si>
    <t xml:space="preserve">SV201 </t>
  </si>
  <si>
    <t xml:space="preserve">SV202 </t>
  </si>
  <si>
    <t xml:space="preserve">SV203 </t>
  </si>
  <si>
    <t xml:space="preserve">SV204 </t>
  </si>
  <si>
    <t xml:space="preserve">SV205 </t>
  </si>
  <si>
    <t xml:space="preserve">SV206 </t>
  </si>
  <si>
    <t xml:space="preserve">SV207 </t>
  </si>
  <si>
    <t xml:space="preserve">SV208 </t>
  </si>
  <si>
    <t xml:space="preserve">SV209 </t>
  </si>
  <si>
    <t>SV2010</t>
  </si>
  <si>
    <t>SV2012</t>
  </si>
  <si>
    <t>SV2015</t>
  </si>
  <si>
    <t>SV2020</t>
  </si>
  <si>
    <t>SV2025</t>
  </si>
  <si>
    <t xml:space="preserve">SV251 </t>
  </si>
  <si>
    <t xml:space="preserve">SV252 </t>
  </si>
  <si>
    <t xml:space="preserve">SV253 </t>
  </si>
  <si>
    <t xml:space="preserve">SV254 </t>
  </si>
  <si>
    <t xml:space="preserve">SV255 </t>
  </si>
  <si>
    <t xml:space="preserve">SV256 </t>
  </si>
  <si>
    <t xml:space="preserve">SV257 </t>
  </si>
  <si>
    <t xml:space="preserve">SV258 </t>
  </si>
  <si>
    <t xml:space="preserve">SV259 </t>
  </si>
  <si>
    <t>SV2510</t>
  </si>
  <si>
    <t>SV2512</t>
  </si>
  <si>
    <t>SV2515</t>
  </si>
  <si>
    <t>SV2520</t>
  </si>
  <si>
    <t>SV2525</t>
  </si>
  <si>
    <t xml:space="preserve">SV301 </t>
  </si>
  <si>
    <t xml:space="preserve">SV302 </t>
  </si>
  <si>
    <t xml:space="preserve">SV303 </t>
  </si>
  <si>
    <t xml:space="preserve">SV304 </t>
  </si>
  <si>
    <t xml:space="preserve">SV305 </t>
  </si>
  <si>
    <t xml:space="preserve">SV306 </t>
  </si>
  <si>
    <t xml:space="preserve">SV307 </t>
  </si>
  <si>
    <t xml:space="preserve">SV308 </t>
  </si>
  <si>
    <t xml:space="preserve">SV309 </t>
  </si>
  <si>
    <t>SV3010</t>
  </si>
  <si>
    <t>SV3012</t>
  </si>
  <si>
    <t>SV3015</t>
  </si>
  <si>
    <t>SV3020</t>
  </si>
  <si>
    <t>SV3025</t>
  </si>
  <si>
    <t xml:space="preserve">ADCV1   </t>
  </si>
  <si>
    <t>AUN05XSY</t>
  </si>
  <si>
    <t>AUN05XT3</t>
  </si>
  <si>
    <t>AUN05XT8</t>
  </si>
  <si>
    <t>AUN05XTD</t>
  </si>
  <si>
    <t>AUN05XTI</t>
  </si>
  <si>
    <t>AUN05XTN</t>
  </si>
  <si>
    <t>AUN05XTS</t>
  </si>
  <si>
    <t>AUN05XTX</t>
  </si>
  <si>
    <t>AUN05XU2</t>
  </si>
  <si>
    <t>AUN05XU7</t>
  </si>
  <si>
    <t>AUN05XUC</t>
  </si>
  <si>
    <t>AUN05XUH</t>
  </si>
  <si>
    <t>AUN05XUM</t>
  </si>
  <si>
    <t>AUN05XUR</t>
  </si>
  <si>
    <t>AUN05XUW</t>
  </si>
  <si>
    <t>AUN05XV1</t>
  </si>
  <si>
    <t>AUN05XV6</t>
  </si>
  <si>
    <t>AUN05XVB</t>
  </si>
  <si>
    <t>AUN05XVG</t>
  </si>
  <si>
    <t>AUN05XVL</t>
  </si>
  <si>
    <t>AUN05XVQ</t>
  </si>
  <si>
    <t>AUN05XVV</t>
  </si>
  <si>
    <t>AUN05XW0</t>
  </si>
  <si>
    <t>AUN05XW5</t>
  </si>
  <si>
    <t>AUN05XWA</t>
  </si>
  <si>
    <t>AUN05XWF</t>
  </si>
  <si>
    <t>AUN05XWK</t>
  </si>
  <si>
    <t>AUN05XWP</t>
  </si>
  <si>
    <t>AUN05XWU</t>
  </si>
  <si>
    <t xml:space="preserve">ADCV2   </t>
  </si>
  <si>
    <t>AUN0644I</t>
  </si>
  <si>
    <t>AUN0644N</t>
  </si>
  <si>
    <t>AUN0644S</t>
  </si>
  <si>
    <t>AUN0644X</t>
  </si>
  <si>
    <t>AUN06452</t>
  </si>
  <si>
    <t>AUN06457</t>
  </si>
  <si>
    <t>AUN0645C</t>
  </si>
  <si>
    <t>AUN0645H</t>
  </si>
  <si>
    <t>AUN0645M</t>
  </si>
  <si>
    <t>AUN0645R</t>
  </si>
  <si>
    <t>AUN0645W</t>
  </si>
  <si>
    <t>AUN06461</t>
  </si>
  <si>
    <t>AUN06466</t>
  </si>
  <si>
    <t>AUN0646B</t>
  </si>
  <si>
    <t>AUN0646G</t>
  </si>
  <si>
    <t>AUN0646L</t>
  </si>
  <si>
    <t>AUN0646Q</t>
  </si>
  <si>
    <t>AUN0646V</t>
  </si>
  <si>
    <t>AUN06470</t>
  </si>
  <si>
    <t>AUN06475</t>
  </si>
  <si>
    <t>AUN0647A</t>
  </si>
  <si>
    <t>AUN0647F</t>
  </si>
  <si>
    <t>AUN0647K</t>
  </si>
  <si>
    <t>AUN0647P</t>
  </si>
  <si>
    <t>AUN0647U</t>
  </si>
  <si>
    <t>AUN0647Z</t>
  </si>
  <si>
    <t>AUN06484</t>
  </si>
  <si>
    <t>AUN06489</t>
  </si>
  <si>
    <t>AUN0648E</t>
  </si>
  <si>
    <t xml:space="preserve">ADCV3   </t>
  </si>
  <si>
    <t>AUN06AG2</t>
  </si>
  <si>
    <t>AUN06AG7</t>
  </si>
  <si>
    <t>AUN06AGC</t>
  </si>
  <si>
    <t>AUN06AGH</t>
  </si>
  <si>
    <t>AUN06AGM</t>
  </si>
  <si>
    <t>AUN06AGR</t>
  </si>
  <si>
    <t>AUN06AGW</t>
  </si>
  <si>
    <t>AUN06AH1</t>
  </si>
  <si>
    <t>AUN06AH6</t>
  </si>
  <si>
    <t>AUN06AHB</t>
  </si>
  <si>
    <t>AUN06AHG</t>
  </si>
  <si>
    <t>AUN06AHL</t>
  </si>
  <si>
    <t>AUN06AHQ</t>
  </si>
  <si>
    <t>AUN06AHV</t>
  </si>
  <si>
    <t>AUN06AI0</t>
  </si>
  <si>
    <t>AUN06AI5</t>
  </si>
  <si>
    <t>AUN06AIA</t>
  </si>
  <si>
    <t>AUN06AIF</t>
  </si>
  <si>
    <t>AUN06AIK</t>
  </si>
  <si>
    <t>AUN06AIP</t>
  </si>
  <si>
    <t>AUN06AIU</t>
  </si>
  <si>
    <t>AUN06AIZ</t>
  </si>
  <si>
    <t>AUN06AJ4</t>
  </si>
  <si>
    <t>AUN06AJ9</t>
  </si>
  <si>
    <t>AUN06AJE</t>
  </si>
  <si>
    <t>AUN06AJJ</t>
  </si>
  <si>
    <t>AUN06AJO</t>
  </si>
  <si>
    <t>AUN06AJT</t>
  </si>
  <si>
    <t>AUN06AJY</t>
  </si>
  <si>
    <t xml:space="preserve">ADCV4   </t>
  </si>
  <si>
    <t>AUN06GRM</t>
  </si>
  <si>
    <t>AUN06GRR</t>
  </si>
  <si>
    <t>AUN06GRW</t>
  </si>
  <si>
    <t>AUN06GS1</t>
  </si>
  <si>
    <t>AUN06GS6</t>
  </si>
  <si>
    <t>AUN06GSB</t>
  </si>
  <si>
    <t>AUN06GSG</t>
  </si>
  <si>
    <t>AUN06GSL</t>
  </si>
  <si>
    <t>AUN06GSQ</t>
  </si>
  <si>
    <t>AUN06GSV</t>
  </si>
  <si>
    <t>AUN06GT0</t>
  </si>
  <si>
    <t>AUN06GT5</t>
  </si>
  <si>
    <t>AUN06GTA</t>
  </si>
  <si>
    <t>AUN06GTF</t>
  </si>
  <si>
    <t>AUN06GTK</t>
  </si>
  <si>
    <t>AUN06GTP</t>
  </si>
  <si>
    <t>AUN06GTU</t>
  </si>
  <si>
    <t>AUN06GTZ</t>
  </si>
  <si>
    <t>AUN06GU4</t>
  </si>
  <si>
    <t>AUN06GU9</t>
  </si>
  <si>
    <t>AUN06GUE</t>
  </si>
  <si>
    <t>AUN06GUJ</t>
  </si>
  <si>
    <t>AUN06GUO</t>
  </si>
  <si>
    <t>AUN06GUT</t>
  </si>
  <si>
    <t>AUN06GUY</t>
  </si>
  <si>
    <t>AUN06GV3</t>
  </si>
  <si>
    <t>AUN06GV8</t>
  </si>
  <si>
    <t>AUN06GVD</t>
  </si>
  <si>
    <t>AUN06GVI</t>
  </si>
  <si>
    <t xml:space="preserve">ADCV5   </t>
  </si>
  <si>
    <t>AUN08QXU</t>
  </si>
  <si>
    <t>AUN08QXZ</t>
  </si>
  <si>
    <t>AUN08QY4</t>
  </si>
  <si>
    <t>AUN08QY9</t>
  </si>
  <si>
    <t>AUN08QYE</t>
  </si>
  <si>
    <t>AUN08QYJ</t>
  </si>
  <si>
    <t>AUN08QYO</t>
  </si>
  <si>
    <t>AUN08QYT</t>
  </si>
  <si>
    <t>AUN08QYY</t>
  </si>
  <si>
    <t>AUN08QZ3</t>
  </si>
  <si>
    <t>AUN08QZ8</t>
  </si>
  <si>
    <t>AUN08QZD</t>
  </si>
  <si>
    <t>AUN08QZI</t>
  </si>
  <si>
    <t>AUN08QZN</t>
  </si>
  <si>
    <t>AUN08QZS</t>
  </si>
  <si>
    <t>AUN08QZX</t>
  </si>
  <si>
    <t>AUN08R02</t>
  </si>
  <si>
    <t>AUN08R07</t>
  </si>
  <si>
    <t>AUN08R0C</t>
  </si>
  <si>
    <t>AUN08R0H</t>
  </si>
  <si>
    <t>AUN08R0M</t>
  </si>
  <si>
    <t>AUN08R0R</t>
  </si>
  <si>
    <t>AUN08R0W</t>
  </si>
  <si>
    <t>AUN08R11</t>
  </si>
  <si>
    <t>AUN08R16</t>
  </si>
  <si>
    <t>AUN08R1B</t>
  </si>
  <si>
    <t>AUN08R1G</t>
  </si>
  <si>
    <t>AUN08R1L</t>
  </si>
  <si>
    <t>AUN08R1Q</t>
  </si>
  <si>
    <t>AUN06SXS</t>
  </si>
  <si>
    <t>AUN06TEQ</t>
  </si>
  <si>
    <t>AUN06TEV</t>
  </si>
  <si>
    <t>AUN06TF0</t>
  </si>
  <si>
    <t>AUN06TF5</t>
  </si>
  <si>
    <t>AUN06TFA</t>
  </si>
  <si>
    <t>AUN06TFF</t>
  </si>
  <si>
    <t>AUN06TFK</t>
  </si>
  <si>
    <t>AUN06TFP</t>
  </si>
  <si>
    <t>AUN06TFU</t>
  </si>
  <si>
    <t>AUN06TFZ</t>
  </si>
  <si>
    <t>AUN06TG4</t>
  </si>
  <si>
    <t>AUN06TG9</t>
  </si>
  <si>
    <t>AUN06TGE</t>
  </si>
  <si>
    <t>AUN06TGJ</t>
  </si>
  <si>
    <t>AUN06TGO</t>
  </si>
  <si>
    <t>AUN06TGT</t>
  </si>
  <si>
    <t>AUN06TGY</t>
  </si>
  <si>
    <t>AUN06TH3</t>
  </si>
  <si>
    <t>AUN06TH8</t>
  </si>
  <si>
    <t>AUN06THD</t>
  </si>
  <si>
    <t>AUN06THI</t>
  </si>
  <si>
    <t>AUN06THN</t>
  </si>
  <si>
    <t>AUN06THS</t>
  </si>
  <si>
    <t>AUN06THX</t>
  </si>
  <si>
    <t>AUN06TI2</t>
  </si>
  <si>
    <t>AUN06TI7</t>
  </si>
  <si>
    <t>AUN06TIC</t>
  </si>
  <si>
    <t>AUN06TIH</t>
  </si>
  <si>
    <t>AUN06TIM</t>
  </si>
  <si>
    <t xml:space="preserve">ADCV7   </t>
  </si>
  <si>
    <t>AUN06ZQA</t>
  </si>
  <si>
    <t>AUN06ZQF</t>
  </si>
  <si>
    <t>AUN06ZQK</t>
  </si>
  <si>
    <t>AUN06ZQP</t>
  </si>
  <si>
    <t>AUN06ZQU</t>
  </si>
  <si>
    <t>AUN06ZQZ</t>
  </si>
  <si>
    <t>AUN06ZR4</t>
  </si>
  <si>
    <t>AUN06ZR9</t>
  </si>
  <si>
    <t>AUN06ZRE</t>
  </si>
  <si>
    <t>AUN06ZRJ</t>
  </si>
  <si>
    <t>AUN06ZRO</t>
  </si>
  <si>
    <t>AUN06ZRT</t>
  </si>
  <si>
    <t>AUN06ZRY</t>
  </si>
  <si>
    <t>AUN06ZS3</t>
  </si>
  <si>
    <t>AUN06ZS8</t>
  </si>
  <si>
    <t>AUN06ZSD</t>
  </si>
  <si>
    <t>AUN06ZSI</t>
  </si>
  <si>
    <t>AUN06ZSN</t>
  </si>
  <si>
    <t>AUN06ZSS</t>
  </si>
  <si>
    <t>AUN06ZSX</t>
  </si>
  <si>
    <t>AUN06ZT2</t>
  </si>
  <si>
    <t>AUN06ZT7</t>
  </si>
  <si>
    <t>AUN06ZTC</t>
  </si>
  <si>
    <t>AUN06ZTH</t>
  </si>
  <si>
    <t>AUN06ZTM</t>
  </si>
  <si>
    <t>AUN06ZTR</t>
  </si>
  <si>
    <t>AUN06ZTW</t>
  </si>
  <si>
    <t>AUN06ZU1</t>
  </si>
  <si>
    <t>AUN06ZU6</t>
  </si>
  <si>
    <t>AUN075KW</t>
  </si>
  <si>
    <t>AUN0761U</t>
  </si>
  <si>
    <t>AUN0761Z</t>
  </si>
  <si>
    <t>AUN07624</t>
  </si>
  <si>
    <t>AUN07629</t>
  </si>
  <si>
    <t>AUN0762E</t>
  </si>
  <si>
    <t>AUN0762J</t>
  </si>
  <si>
    <t>AUN0762O</t>
  </si>
  <si>
    <t>AUN0762T</t>
  </si>
  <si>
    <t>AUN0762Y</t>
  </si>
  <si>
    <t>AUN07633</t>
  </si>
  <si>
    <t>AUN07638</t>
  </si>
  <si>
    <t>AUN0763D</t>
  </si>
  <si>
    <t>AUN0763I</t>
  </si>
  <si>
    <t>AUN0763N</t>
  </si>
  <si>
    <t>AUN0763S</t>
  </si>
  <si>
    <t>AUN0763X</t>
  </si>
  <si>
    <t>AUN07642</t>
  </si>
  <si>
    <t>AUN07647</t>
  </si>
  <si>
    <t>AUN0764C</t>
  </si>
  <si>
    <t>AUN0764H</t>
  </si>
  <si>
    <t>AUN0764M</t>
  </si>
  <si>
    <t>AUN0764R</t>
  </si>
  <si>
    <t>AUN0764W</t>
  </si>
  <si>
    <t>AUN07651</t>
  </si>
  <si>
    <t>AUN07656</t>
  </si>
  <si>
    <t>AUN0765B</t>
  </si>
  <si>
    <t>AUN0765G</t>
  </si>
  <si>
    <t>AUN0765L</t>
  </si>
  <si>
    <t>AUN0765Q</t>
  </si>
  <si>
    <t>AUN07BWG</t>
  </si>
  <si>
    <t>AUN07CDE</t>
  </si>
  <si>
    <t>AUN07CDJ</t>
  </si>
  <si>
    <t>AUN07CDO</t>
  </si>
  <si>
    <t>AUN07CDT</t>
  </si>
  <si>
    <t>AUN07CDY</t>
  </si>
  <si>
    <t>AUN07CE3</t>
  </si>
  <si>
    <t>AUN07CE8</t>
  </si>
  <si>
    <t>AUN07CED</t>
  </si>
  <si>
    <t>AUN07CEI</t>
  </si>
  <si>
    <t>AUN07CEN</t>
  </si>
  <si>
    <t>AUN07CES</t>
  </si>
  <si>
    <t>AUN07CEX</t>
  </si>
  <si>
    <t>AUN07CF2</t>
  </si>
  <si>
    <t>AUN07CF7</t>
  </si>
  <si>
    <t>AUN07CFC</t>
  </si>
  <si>
    <t>AUN07CFH</t>
  </si>
  <si>
    <t>AUN07CFM</t>
  </si>
  <si>
    <t>AUN07CFR</t>
  </si>
  <si>
    <t>AUN07CFW</t>
  </si>
  <si>
    <t>AUN07CG1</t>
  </si>
  <si>
    <t>AUN07CG6</t>
  </si>
  <si>
    <t>AUN07CGB</t>
  </si>
  <si>
    <t>AUN07CGG</t>
  </si>
  <si>
    <t>AUN07CGL</t>
  </si>
  <si>
    <t>AUN07CGQ</t>
  </si>
  <si>
    <t>AUN07CGV</t>
  </si>
  <si>
    <t>AUN07CH0</t>
  </si>
  <si>
    <t>AUN07CH5</t>
  </si>
  <si>
    <t>AUN07CHA</t>
  </si>
  <si>
    <t xml:space="preserve">ADCV10  </t>
  </si>
  <si>
    <t>AUN08X9E</t>
  </si>
  <si>
    <t>AUN08X9J</t>
  </si>
  <si>
    <t>AUN08X9O</t>
  </si>
  <si>
    <t>AUN08X9T</t>
  </si>
  <si>
    <t>AUN08X9Y</t>
  </si>
  <si>
    <t>AUN08XA3</t>
  </si>
  <si>
    <t>AUN08XA8</t>
  </si>
  <si>
    <t>AUN08XAD</t>
  </si>
  <si>
    <t>AUN08XAI</t>
  </si>
  <si>
    <t>AUN08XAN</t>
  </si>
  <si>
    <t>AUN08XAS</t>
  </si>
  <si>
    <t>AUN08XAX</t>
  </si>
  <si>
    <t>AUN08XB2</t>
  </si>
  <si>
    <t>AUN08XB7</t>
  </si>
  <si>
    <t>AUN08XBC</t>
  </si>
  <si>
    <t>AUN08XBH</t>
  </si>
  <si>
    <t>AUN08XBM</t>
  </si>
  <si>
    <t>AUN08XBR</t>
  </si>
  <si>
    <t>AUN08XBW</t>
  </si>
  <si>
    <t>AUN08XC1</t>
  </si>
  <si>
    <t>AUN08XC6</t>
  </si>
  <si>
    <t>AUN08XCB</t>
  </si>
  <si>
    <t>AUN08XCG</t>
  </si>
  <si>
    <t>AUN08XCL</t>
  </si>
  <si>
    <t>AUN08XCQ</t>
  </si>
  <si>
    <t>AUN08XCV</t>
  </si>
  <si>
    <t>AUN08XD0</t>
  </si>
  <si>
    <t>AUN08XD5</t>
  </si>
  <si>
    <t>AUN08XDA</t>
  </si>
  <si>
    <t>AUN07UV4</t>
  </si>
  <si>
    <t>AUN07VC2</t>
  </si>
  <si>
    <t>AUN07VC7</t>
  </si>
  <si>
    <t>AUN07VCC</t>
  </si>
  <si>
    <t>AUN07VCH</t>
  </si>
  <si>
    <t>AUN07VCM</t>
  </si>
  <si>
    <t>AUN07VCR</t>
  </si>
  <si>
    <t>AUN07VCW</t>
  </si>
  <si>
    <t>AUN07VD1</t>
  </si>
  <si>
    <t>AUN07VD6</t>
  </si>
  <si>
    <t>AUN07VDB</t>
  </si>
  <si>
    <t>AUN07VDG</t>
  </si>
  <si>
    <t>AUN07VDL</t>
  </si>
  <si>
    <t>AUN07VDQ</t>
  </si>
  <si>
    <t>AUN07VDV</t>
  </si>
  <si>
    <t>AUN07VE0</t>
  </si>
  <si>
    <t>AUN07VE5</t>
  </si>
  <si>
    <t>AUN07VEA</t>
  </si>
  <si>
    <t>AUN07VEF</t>
  </si>
  <si>
    <t>AUN07VEK</t>
  </si>
  <si>
    <t>AUN07VEP</t>
  </si>
  <si>
    <t>AUN07VEU</t>
  </si>
  <si>
    <t>AUN07VEZ</t>
  </si>
  <si>
    <t>AUN07VF4</t>
  </si>
  <si>
    <t>AUN07VF9</t>
  </si>
  <si>
    <t>AUN07VFE</t>
  </si>
  <si>
    <t>AUN07VFJ</t>
  </si>
  <si>
    <t>AUN07VFO</t>
  </si>
  <si>
    <t>AUN07VFT</t>
  </si>
  <si>
    <t>AUN07VFY</t>
  </si>
  <si>
    <t>AUN09340</t>
  </si>
  <si>
    <t>AUN093KY</t>
  </si>
  <si>
    <t>AUN093L3</t>
  </si>
  <si>
    <t>AUN093L8</t>
  </si>
  <si>
    <t>AUN093LD</t>
  </si>
  <si>
    <t>AUN093LI</t>
  </si>
  <si>
    <t>AUN093LN</t>
  </si>
  <si>
    <t>AUN093LS</t>
  </si>
  <si>
    <t>AUN093LX</t>
  </si>
  <si>
    <t>AUN093M2</t>
  </si>
  <si>
    <t>AUN093M7</t>
  </si>
  <si>
    <t>AUN093MC</t>
  </si>
  <si>
    <t>AUN093MH</t>
  </si>
  <si>
    <t>AUN093MM</t>
  </si>
  <si>
    <t>AUN093MR</t>
  </si>
  <si>
    <t>AUN093MW</t>
  </si>
  <si>
    <t>AUN093N1</t>
  </si>
  <si>
    <t>AUN093N6</t>
  </si>
  <si>
    <t>AUN093NB</t>
  </si>
  <si>
    <t>AUN093NG</t>
  </si>
  <si>
    <t>AUN093NL</t>
  </si>
  <si>
    <t>AUN093NQ</t>
  </si>
  <si>
    <t>AUN093NV</t>
  </si>
  <si>
    <t>AUN093O0</t>
  </si>
  <si>
    <t>AUN093O5</t>
  </si>
  <si>
    <t>AUN093OA</t>
  </si>
  <si>
    <t>AUN093OF</t>
  </si>
  <si>
    <t>AUN093OK</t>
  </si>
  <si>
    <t>AUN093OP</t>
  </si>
  <si>
    <t>AUN093OU</t>
  </si>
  <si>
    <t>AUN099FK</t>
  </si>
  <si>
    <t>AUN099WI</t>
  </si>
  <si>
    <t>AUN099WN</t>
  </si>
  <si>
    <t>AUN099WS</t>
  </si>
  <si>
    <t>AUN099WX</t>
  </si>
  <si>
    <t>AUN099X2</t>
  </si>
  <si>
    <t>AUN099X7</t>
  </si>
  <si>
    <t>AUN099XC</t>
  </si>
  <si>
    <t>AUN099XH</t>
  </si>
  <si>
    <t>AUN099XM</t>
  </si>
  <si>
    <t>AUN099XR</t>
  </si>
  <si>
    <t>AUN099XW</t>
  </si>
  <si>
    <t>AUN099Y1</t>
  </si>
  <si>
    <t>AUN099Y6</t>
  </si>
  <si>
    <t>AUN099YB</t>
  </si>
  <si>
    <t>AUN099YG</t>
  </si>
  <si>
    <t>AUN099YL</t>
  </si>
  <si>
    <t>AUN099YQ</t>
  </si>
  <si>
    <t>AUN099YV</t>
  </si>
  <si>
    <t>AUN099Z0</t>
  </si>
  <si>
    <t>AUN099Z5</t>
  </si>
  <si>
    <t>AUN099ZA</t>
  </si>
  <si>
    <t>AUN099ZF</t>
  </si>
  <si>
    <t>AUN099ZK</t>
  </si>
  <si>
    <t>AUN099ZP</t>
  </si>
  <si>
    <t>AUN099ZU</t>
  </si>
  <si>
    <t>AUN099ZZ</t>
  </si>
  <si>
    <t>AUN09A04</t>
  </si>
  <si>
    <t>AUN09A09</t>
  </si>
  <si>
    <t>AUN09A0E</t>
  </si>
  <si>
    <t>AUN09FR4</t>
  </si>
  <si>
    <t>AUN09G82</t>
  </si>
  <si>
    <t>AUN09G87</t>
  </si>
  <si>
    <t>AUN09G8C</t>
  </si>
  <si>
    <t>AUN09G8H</t>
  </si>
  <si>
    <t>AUN09G8M</t>
  </si>
  <si>
    <t>AUN09G8R</t>
  </si>
  <si>
    <t>AUN09G8W</t>
  </si>
  <si>
    <t>AUN09G91</t>
  </si>
  <si>
    <t>AUN09G96</t>
  </si>
  <si>
    <t>AUN09G9B</t>
  </si>
  <si>
    <t>AUN09G9G</t>
  </si>
  <si>
    <t>AUN09G9L</t>
  </si>
  <si>
    <t>AUN09G9Q</t>
  </si>
  <si>
    <t>AUN09G9V</t>
  </si>
  <si>
    <t>AUN09GA0</t>
  </si>
  <si>
    <t>AUN09GA5</t>
  </si>
  <si>
    <t>AUN09GAA</t>
  </si>
  <si>
    <t>AUN09GAF</t>
  </si>
  <si>
    <t>AUN09GAK</t>
  </si>
  <si>
    <t>AUN09GAP</t>
  </si>
  <si>
    <t>AUN09GAU</t>
  </si>
  <si>
    <t>AUN09GAZ</t>
  </si>
  <si>
    <t>AUN09GB4</t>
  </si>
  <si>
    <t>AUN09GB9</t>
  </si>
  <si>
    <t>AUN09GBE</t>
  </si>
  <si>
    <t>AUN09GBJ</t>
  </si>
  <si>
    <t>AUN09GBO</t>
  </si>
  <si>
    <t>AUN09GBT</t>
  </si>
  <si>
    <t>AUN09GBY</t>
  </si>
  <si>
    <t>AUN09M2O</t>
  </si>
  <si>
    <t>AUN09MJM</t>
  </si>
  <si>
    <t>AUN09MJR</t>
  </si>
  <si>
    <t>AUN09MJW</t>
  </si>
  <si>
    <t>AUN09MK1</t>
  </si>
  <si>
    <t>AUN09MK6</t>
  </si>
  <si>
    <t>AUN09MKB</t>
  </si>
  <si>
    <t>AUN09MKG</t>
  </si>
  <si>
    <t>AUN09MKL</t>
  </si>
  <si>
    <t>AUN09MKQ</t>
  </si>
  <si>
    <t>AUN09MKV</t>
  </si>
  <si>
    <t>AUN09ML0</t>
  </si>
  <si>
    <t>AUN09ML5</t>
  </si>
  <si>
    <t>AUN09MLA</t>
  </si>
  <si>
    <t>AUN09MLF</t>
  </si>
  <si>
    <t>AUN09MLK</t>
  </si>
  <si>
    <t>AUN09MLP</t>
  </si>
  <si>
    <t>AUN09MLU</t>
  </si>
  <si>
    <t>AUN09MLZ</t>
  </si>
  <si>
    <t>AUN09MM4</t>
  </si>
  <si>
    <t>AUN09MM9</t>
  </si>
  <si>
    <t>AUN09MME</t>
  </si>
  <si>
    <t>AUN09MMJ</t>
  </si>
  <si>
    <t>AUN09MMO</t>
  </si>
  <si>
    <t>AUN09MMT</t>
  </si>
  <si>
    <t>AUN09MMY</t>
  </si>
  <si>
    <t>AUN09MN3</t>
  </si>
  <si>
    <t>AUN09MN8</t>
  </si>
  <si>
    <t>AUN09MND</t>
  </si>
  <si>
    <t>AUN09MNI</t>
  </si>
  <si>
    <t xml:space="preserve">ADSV0A1 </t>
  </si>
  <si>
    <t xml:space="preserve">ADSV0A2 </t>
  </si>
  <si>
    <t xml:space="preserve">ADSV0A3 </t>
  </si>
  <si>
    <t xml:space="preserve">ADSV0A4 </t>
  </si>
  <si>
    <t xml:space="preserve">ADSV0A5 </t>
  </si>
  <si>
    <t>AUP0I1HC</t>
  </si>
  <si>
    <t xml:space="preserve">ADSV0A7 </t>
  </si>
  <si>
    <t>AUP0IE4G</t>
  </si>
  <si>
    <t>AUP0IKG0</t>
  </si>
  <si>
    <t>ADSV0A10</t>
  </si>
  <si>
    <t>AUP0J3EO</t>
  </si>
  <si>
    <t>AUP0KBNK</t>
  </si>
  <si>
    <t>AUP0KHZ4</t>
  </si>
  <si>
    <t>AUP0KOAO</t>
  </si>
  <si>
    <t>AUP0KUM8</t>
  </si>
  <si>
    <t xml:space="preserve">ADSV0C1 </t>
  </si>
  <si>
    <t xml:space="preserve">ADSV0C2 </t>
  </si>
  <si>
    <t xml:space="preserve">ADSV0C3 </t>
  </si>
  <si>
    <t xml:space="preserve">ADSV0C4 </t>
  </si>
  <si>
    <t xml:space="preserve">ADSV0C5 </t>
  </si>
  <si>
    <t>AUP5HU68</t>
  </si>
  <si>
    <t xml:space="preserve">ADSV0C7 </t>
  </si>
  <si>
    <t>AUP5I6TC</t>
  </si>
  <si>
    <t>AUP5ID4W</t>
  </si>
  <si>
    <t>ADSV0C10</t>
  </si>
  <si>
    <t>AUP5IW3K</t>
  </si>
  <si>
    <t>AUP5K4CG</t>
  </si>
  <si>
    <t>AUP5KAO0</t>
  </si>
  <si>
    <t>AUP5KGZK</t>
  </si>
  <si>
    <t>AUP5KNB4</t>
  </si>
  <si>
    <t xml:space="preserve">ADSV0F1 </t>
  </si>
  <si>
    <t xml:space="preserve">ADSV0F2 </t>
  </si>
  <si>
    <t xml:space="preserve">ADSV0F3 </t>
  </si>
  <si>
    <t xml:space="preserve">ADSV0F4 </t>
  </si>
  <si>
    <t xml:space="preserve">ADSV0F5 </t>
  </si>
  <si>
    <t>AUP5T2PS</t>
  </si>
  <si>
    <t xml:space="preserve">ADSV0F7 </t>
  </si>
  <si>
    <t>AUP5TFCW</t>
  </si>
  <si>
    <t>AUP5TLOG</t>
  </si>
  <si>
    <t>ADSV0F10</t>
  </si>
  <si>
    <t>AUP5U4N4</t>
  </si>
  <si>
    <t>AUP5VCW0</t>
  </si>
  <si>
    <t>AUP5VJ7K</t>
  </si>
  <si>
    <t>AUP5VPJ4</t>
  </si>
  <si>
    <t>AUP5VVUO</t>
  </si>
  <si>
    <t>9 MO</t>
  </si>
  <si>
    <t>AUP63FNK</t>
  </si>
  <si>
    <t>AUP63LZ4</t>
  </si>
  <si>
    <t>AUP63SAO</t>
  </si>
  <si>
    <t>AUP63YM8</t>
  </si>
  <si>
    <t>AUP668SG</t>
  </si>
  <si>
    <t>AUP64B9C</t>
  </si>
  <si>
    <t>AUP64HKW</t>
  </si>
  <si>
    <t>AUP64NWG</t>
  </si>
  <si>
    <t>AUP64U80</t>
  </si>
  <si>
    <t>AUP66F40</t>
  </si>
  <si>
    <t>AUP65D6O</t>
  </si>
  <si>
    <t>AUP66LFK</t>
  </si>
  <si>
    <t>AUP66RR4</t>
  </si>
  <si>
    <t>AUP66Y2O</t>
  </si>
  <si>
    <t>AUP674E8</t>
  </si>
  <si>
    <t xml:space="preserve">ADSV011 </t>
  </si>
  <si>
    <t xml:space="preserve">ADSV012 </t>
  </si>
  <si>
    <t xml:space="preserve">ADSV013 </t>
  </si>
  <si>
    <t xml:space="preserve">ADSV014 </t>
  </si>
  <si>
    <t xml:space="preserve">ADSV015 </t>
  </si>
  <si>
    <t>AUPAHMV4</t>
  </si>
  <si>
    <t xml:space="preserve">ADSV017 </t>
  </si>
  <si>
    <t>AUPAHZI8</t>
  </si>
  <si>
    <t>AUPAI5TS</t>
  </si>
  <si>
    <t>ADSV0110</t>
  </si>
  <si>
    <t>AUPAIOSG</t>
  </si>
  <si>
    <t>AUPAJX1C</t>
  </si>
  <si>
    <t>AUPAK3CW</t>
  </si>
  <si>
    <t>AUPAK9OG</t>
  </si>
  <si>
    <t>AUPAKG00</t>
  </si>
  <si>
    <t xml:space="preserve">ADSV021 </t>
  </si>
  <si>
    <t xml:space="preserve">ADSV022 </t>
  </si>
  <si>
    <t xml:space="preserve">ADSV023 </t>
  </si>
  <si>
    <t xml:space="preserve">ADSV024 </t>
  </si>
  <si>
    <t xml:space="preserve">ADSV025 </t>
  </si>
  <si>
    <t>AUPASVEO</t>
  </si>
  <si>
    <t xml:space="preserve">ADSV027 </t>
  </si>
  <si>
    <t>AUPAT81S</t>
  </si>
  <si>
    <t>AUPATEDC</t>
  </si>
  <si>
    <t>ADSV0210</t>
  </si>
  <si>
    <t>AUPATXC0</t>
  </si>
  <si>
    <t>AUPAV5KW</t>
  </si>
  <si>
    <t>AUPAVBWG</t>
  </si>
  <si>
    <t>AUPAVI80</t>
  </si>
  <si>
    <t>AUPAVOJK</t>
  </si>
  <si>
    <t xml:space="preserve">ADSV031 </t>
  </si>
  <si>
    <t xml:space="preserve">ADSV032 </t>
  </si>
  <si>
    <t xml:space="preserve">ADSV033 </t>
  </si>
  <si>
    <t xml:space="preserve">ADSV034 </t>
  </si>
  <si>
    <t xml:space="preserve">ADSV035 </t>
  </si>
  <si>
    <t>AUPB43Y8</t>
  </si>
  <si>
    <t xml:space="preserve">ADSV037 </t>
  </si>
  <si>
    <t>AUPB4GLC</t>
  </si>
  <si>
    <t>AUPB4MWW</t>
  </si>
  <si>
    <t>ADSV0310</t>
  </si>
  <si>
    <t>AUPB55VK</t>
  </si>
  <si>
    <t>AUPB6E4G</t>
  </si>
  <si>
    <t>AUPB6KG0</t>
  </si>
  <si>
    <t>AUPB6QRK</t>
  </si>
  <si>
    <t>AUPB6X34</t>
  </si>
  <si>
    <t>AUPBEGW0</t>
  </si>
  <si>
    <t>AUPBEN7K</t>
  </si>
  <si>
    <t>AUPBETJ4</t>
  </si>
  <si>
    <t>AUPBEZUO</t>
  </si>
  <si>
    <t>AUPBHA0W</t>
  </si>
  <si>
    <t>AUPBFCHS</t>
  </si>
  <si>
    <t>AUPBFITC</t>
  </si>
  <si>
    <t>AUPBFP4W</t>
  </si>
  <si>
    <t>AUPBFVGG</t>
  </si>
  <si>
    <t>AUPBHGCG</t>
  </si>
  <si>
    <t>AUPBGEF4</t>
  </si>
  <si>
    <t>AUPBHMO0</t>
  </si>
  <si>
    <t>AUPBHSZK</t>
  </si>
  <si>
    <t>AUPBHZB4</t>
  </si>
  <si>
    <t>AUPBI5MO</t>
  </si>
  <si>
    <t xml:space="preserve">ADSV051 </t>
  </si>
  <si>
    <t xml:space="preserve">ADSV052 </t>
  </si>
  <si>
    <t xml:space="preserve">ADSV053 </t>
  </si>
  <si>
    <t xml:space="preserve">ADSV054 </t>
  </si>
  <si>
    <t xml:space="preserve">ADSV055 </t>
  </si>
  <si>
    <t>AUPFHFK0</t>
  </si>
  <si>
    <t xml:space="preserve">ADSV057 </t>
  </si>
  <si>
    <t>AUPFHS74</t>
  </si>
  <si>
    <t>AUPFHYIO</t>
  </si>
  <si>
    <t>ADSV0510</t>
  </si>
  <si>
    <t>AUPFIHHC</t>
  </si>
  <si>
    <t>AUPFJPQ8</t>
  </si>
  <si>
    <t>AUPFJW1S</t>
  </si>
  <si>
    <t>AUPFK2DC</t>
  </si>
  <si>
    <t>AUPFK8OW</t>
  </si>
  <si>
    <t>AUPC0XZ4</t>
  </si>
  <si>
    <t>AUPC14AO</t>
  </si>
  <si>
    <t>AUPC1AM8</t>
  </si>
  <si>
    <t>AUPC1GXS</t>
  </si>
  <si>
    <t>AUPC3R40</t>
  </si>
  <si>
    <t>AUPC1TKW</t>
  </si>
  <si>
    <t>AUPC1ZWG</t>
  </si>
  <si>
    <t>AUPC2680</t>
  </si>
  <si>
    <t>AUPC2CJK</t>
  </si>
  <si>
    <t>AUPC3XFK</t>
  </si>
  <si>
    <t>AUPC2VI8</t>
  </si>
  <si>
    <t>AUPC43R4</t>
  </si>
  <si>
    <t>AUPC4A2O</t>
  </si>
  <si>
    <t>AUPC4GE8</t>
  </si>
  <si>
    <t>AUPC4MPS</t>
  </si>
  <si>
    <t xml:space="preserve">ADSV071 </t>
  </si>
  <si>
    <t xml:space="preserve">ADSV072 </t>
  </si>
  <si>
    <t xml:space="preserve">ADSV073 </t>
  </si>
  <si>
    <t xml:space="preserve">ADSV074 </t>
  </si>
  <si>
    <t xml:space="preserve">ADSV075 </t>
  </si>
  <si>
    <t>AUPCD24G</t>
  </si>
  <si>
    <t xml:space="preserve">ADSV077 </t>
  </si>
  <si>
    <t>AUPCDERK</t>
  </si>
  <si>
    <t>AUPCDL34</t>
  </si>
  <si>
    <t>ADSV0710</t>
  </si>
  <si>
    <t>AUPCE41S</t>
  </si>
  <si>
    <t>AUPCFCAO</t>
  </si>
  <si>
    <t>AUPCFIM8</t>
  </si>
  <si>
    <t>AUPCFOXS</t>
  </si>
  <si>
    <t>AUPCFV9C</t>
  </si>
  <si>
    <t>AUPCNF28</t>
  </si>
  <si>
    <t>AUPCNLDS</t>
  </si>
  <si>
    <t>AUPCNRPC</t>
  </si>
  <si>
    <t>AUPCNY0W</t>
  </si>
  <si>
    <t>AUPCQ874</t>
  </si>
  <si>
    <t>AUPCOAO0</t>
  </si>
  <si>
    <t>AUPCOGZK</t>
  </si>
  <si>
    <t>AUPCONB4</t>
  </si>
  <si>
    <t>AUPCOTMO</t>
  </si>
  <si>
    <t>AUPCQEIO</t>
  </si>
  <si>
    <t>AUPCPCLC</t>
  </si>
  <si>
    <t>AUPCQKU8</t>
  </si>
  <si>
    <t>AUPCQR5S</t>
  </si>
  <si>
    <t>AUPCQXHC</t>
  </si>
  <si>
    <t>AUPCR3SW</t>
  </si>
  <si>
    <t>AUPCYNLS</t>
  </si>
  <si>
    <t>AUPCYTXC</t>
  </si>
  <si>
    <t>AUPCZ08W</t>
  </si>
  <si>
    <t>AUPCZ6KG</t>
  </si>
  <si>
    <t>AUPD1GQO</t>
  </si>
  <si>
    <t>AUPCZJ7K</t>
  </si>
  <si>
    <t>AUPCZPJ4</t>
  </si>
  <si>
    <t>AUPCZVUO</t>
  </si>
  <si>
    <t>AUPD0268</t>
  </si>
  <si>
    <t>AUPD1N28</t>
  </si>
  <si>
    <t>AUPD0L4W</t>
  </si>
  <si>
    <t>AUPD1TDS</t>
  </si>
  <si>
    <t>AUPD1ZPC</t>
  </si>
  <si>
    <t>AUPD260W</t>
  </si>
  <si>
    <t>AUPD2CCG</t>
  </si>
  <si>
    <t xml:space="preserve">ADSV101 </t>
  </si>
  <si>
    <t xml:space="preserve">ADSV102 </t>
  </si>
  <si>
    <t xml:space="preserve">ADSV103 </t>
  </si>
  <si>
    <t xml:space="preserve">ADSV104 </t>
  </si>
  <si>
    <t xml:space="preserve">ADSV105 </t>
  </si>
  <si>
    <t>AUPFSO3K</t>
  </si>
  <si>
    <t xml:space="preserve">ADSV107 </t>
  </si>
  <si>
    <t>AUPFT0QO</t>
  </si>
  <si>
    <t>AUPFT728</t>
  </si>
  <si>
    <t>ADSV1010</t>
  </si>
  <si>
    <t>AUPFTQ0W</t>
  </si>
  <si>
    <t>AUPFUY9S</t>
  </si>
  <si>
    <t>AUPFV4LC</t>
  </si>
  <si>
    <t>AUPFVAWW</t>
  </si>
  <si>
    <t>AUPFVH8G</t>
  </si>
  <si>
    <t xml:space="preserve">NDCV1   </t>
  </si>
  <si>
    <t>NDN05XSY</t>
  </si>
  <si>
    <t>NDN05XT3</t>
  </si>
  <si>
    <t>NDN05XT8</t>
  </si>
  <si>
    <t>NDN05XTD</t>
  </si>
  <si>
    <t>NDN05XTI</t>
  </si>
  <si>
    <t>NDN05XTN</t>
  </si>
  <si>
    <t>NDN05XTS</t>
  </si>
  <si>
    <t>NDN05XTX</t>
  </si>
  <si>
    <t>NDN05XU2</t>
  </si>
  <si>
    <t>NDN05XU7</t>
  </si>
  <si>
    <t>NDN05XUC</t>
  </si>
  <si>
    <t>NDN05XUH</t>
  </si>
  <si>
    <t>NDN05XUM</t>
  </si>
  <si>
    <t>NDN05XUR</t>
  </si>
  <si>
    <t>NDN05XUW</t>
  </si>
  <si>
    <t>NDN05XV1</t>
  </si>
  <si>
    <t>NDN05XV6</t>
  </si>
  <si>
    <t>NDN05XVB</t>
  </si>
  <si>
    <t>NDN05XVG</t>
  </si>
  <si>
    <t>NDN05XVL</t>
  </si>
  <si>
    <t>NDN05XVQ</t>
  </si>
  <si>
    <t>NDN05XVV</t>
  </si>
  <si>
    <t>NDN05XW0</t>
  </si>
  <si>
    <t>NDN05XW5</t>
  </si>
  <si>
    <t>NDN05XWA</t>
  </si>
  <si>
    <t>NDN05XWF</t>
  </si>
  <si>
    <t>NDN05XWK</t>
  </si>
  <si>
    <t>NDN05XWP</t>
  </si>
  <si>
    <t>NDN05XWU</t>
  </si>
  <si>
    <t xml:space="preserve">NDCV2   </t>
  </si>
  <si>
    <t>NDN0644I</t>
  </si>
  <si>
    <t>NDN0644N</t>
  </si>
  <si>
    <t>NDN0644S</t>
  </si>
  <si>
    <t>NDN0644X</t>
  </si>
  <si>
    <t>NDN06452</t>
  </si>
  <si>
    <t>NDN06457</t>
  </si>
  <si>
    <t>NDN0645C</t>
  </si>
  <si>
    <t>NDN0645H</t>
  </si>
  <si>
    <t>NDN0645M</t>
  </si>
  <si>
    <t>NDN0645R</t>
  </si>
  <si>
    <t>NDN0645W</t>
  </si>
  <si>
    <t>NDN06461</t>
  </si>
  <si>
    <t>NDN06466</t>
  </si>
  <si>
    <t>NDN0646B</t>
  </si>
  <si>
    <t>NDN0646G</t>
  </si>
  <si>
    <t>NDN0646L</t>
  </si>
  <si>
    <t>NDN0646Q</t>
  </si>
  <si>
    <t>NDN0646V</t>
  </si>
  <si>
    <t>NDN06470</t>
  </si>
  <si>
    <t>NDN06475</t>
  </si>
  <si>
    <t>NDN0647A</t>
  </si>
  <si>
    <t>NDN0647F</t>
  </si>
  <si>
    <t>NDN0647K</t>
  </si>
  <si>
    <t>NDN0647P</t>
  </si>
  <si>
    <t>NDN0647U</t>
  </si>
  <si>
    <t>NDN0647Z</t>
  </si>
  <si>
    <t>NDN06484</t>
  </si>
  <si>
    <t>NDN06489</t>
  </si>
  <si>
    <t>NDN0648E</t>
  </si>
  <si>
    <t xml:space="preserve">NDCV3   </t>
  </si>
  <si>
    <t>NDN06AG2</t>
  </si>
  <si>
    <t>NDN06AG7</t>
  </si>
  <si>
    <t>NDN06AGC</t>
  </si>
  <si>
    <t>NDN06AGH</t>
  </si>
  <si>
    <t>NDN06AGM</t>
  </si>
  <si>
    <t>NDN06AGR</t>
  </si>
  <si>
    <t>NDN06AGW</t>
  </si>
  <si>
    <t>NDN06AH1</t>
  </si>
  <si>
    <t>NDN06AH6</t>
  </si>
  <si>
    <t>NDN06AHB</t>
  </si>
  <si>
    <t>NDN06AHG</t>
  </si>
  <si>
    <t>NDN06AHL</t>
  </si>
  <si>
    <t>NDN06AHQ</t>
  </si>
  <si>
    <t>NDN06AHV</t>
  </si>
  <si>
    <t>NDN06AI0</t>
  </si>
  <si>
    <t>NDN06AI5</t>
  </si>
  <si>
    <t>NDN06AIA</t>
  </si>
  <si>
    <t>NDN06AIF</t>
  </si>
  <si>
    <t>NDN06AIK</t>
  </si>
  <si>
    <t>NDN06AIP</t>
  </si>
  <si>
    <t>NDN06AIU</t>
  </si>
  <si>
    <t>NDN06AIZ</t>
  </si>
  <si>
    <t>NDN06AJ4</t>
  </si>
  <si>
    <t>NDN06AJ9</t>
  </si>
  <si>
    <t>NDN06AJE</t>
  </si>
  <si>
    <t>NDN06AJJ</t>
  </si>
  <si>
    <t>NDN06AJO</t>
  </si>
  <si>
    <t>NDN06AJT</t>
  </si>
  <si>
    <t>NDN06AJY</t>
  </si>
  <si>
    <t xml:space="preserve">NDCV4   </t>
  </si>
  <si>
    <t>NDN06GRM</t>
  </si>
  <si>
    <t>NDN06GRR</t>
  </si>
  <si>
    <t>NDN06GRW</t>
  </si>
  <si>
    <t>NDN06GS1</t>
  </si>
  <si>
    <t>NDN06GS6</t>
  </si>
  <si>
    <t>NDN06GSB</t>
  </si>
  <si>
    <t>NDN06GSG</t>
  </si>
  <si>
    <t>NDN06GSL</t>
  </si>
  <si>
    <t>NDN06GSQ</t>
  </si>
  <si>
    <t>NDN06GSV</t>
  </si>
  <si>
    <t>NDN06GT0</t>
  </si>
  <si>
    <t>NDN06GT5</t>
  </si>
  <si>
    <t>NDN06GTA</t>
  </si>
  <si>
    <t>NDN06GTF</t>
  </si>
  <si>
    <t>NDN06GTK</t>
  </si>
  <si>
    <t>NDN06GTP</t>
  </si>
  <si>
    <t>NDN06GTU</t>
  </si>
  <si>
    <t>NDN06GTZ</t>
  </si>
  <si>
    <t>NDN06GU4</t>
  </si>
  <si>
    <t>NDN06GU9</t>
  </si>
  <si>
    <t>NDN06GUE</t>
  </si>
  <si>
    <t>NDN06GUJ</t>
  </si>
  <si>
    <t>NDN06GUO</t>
  </si>
  <si>
    <t>NDN06GUT</t>
  </si>
  <si>
    <t>NDN06GUY</t>
  </si>
  <si>
    <t>NDN06GV3</t>
  </si>
  <si>
    <t>NDN06GV8</t>
  </si>
  <si>
    <t>NDN06GVD</t>
  </si>
  <si>
    <t>NDN06GVI</t>
  </si>
  <si>
    <t xml:space="preserve">NDCV5   </t>
  </si>
  <si>
    <t>NDN08QXU</t>
  </si>
  <si>
    <t>NDN08QXZ</t>
  </si>
  <si>
    <t>NDN08QY4</t>
  </si>
  <si>
    <t>NDN08QY9</t>
  </si>
  <si>
    <t>NDN08QYE</t>
  </si>
  <si>
    <t>NDN08QYJ</t>
  </si>
  <si>
    <t>NDN08QYO</t>
  </si>
  <si>
    <t>NDN08QYT</t>
  </si>
  <si>
    <t>NDN08QYY</t>
  </si>
  <si>
    <t>NDN08QZ3</t>
  </si>
  <si>
    <t>NDN08QZ8</t>
  </si>
  <si>
    <t>NDN08QZD</t>
  </si>
  <si>
    <t>NDN08QZI</t>
  </si>
  <si>
    <t>NDN08QZN</t>
  </si>
  <si>
    <t>NDN08QZS</t>
  </si>
  <si>
    <t>NDN08QZX</t>
  </si>
  <si>
    <t>NDN08R02</t>
  </si>
  <si>
    <t>NDN08R07</t>
  </si>
  <si>
    <t>NDN08R0C</t>
  </si>
  <si>
    <t>NDN08R0H</t>
  </si>
  <si>
    <t>NDN08R0M</t>
  </si>
  <si>
    <t>NDN08R0R</t>
  </si>
  <si>
    <t>NDN08R0W</t>
  </si>
  <si>
    <t>NDN08R11</t>
  </si>
  <si>
    <t>NDN08R16</t>
  </si>
  <si>
    <t>NDN08R1B</t>
  </si>
  <si>
    <t>NDN08R1G</t>
  </si>
  <si>
    <t>NDN08R1L</t>
  </si>
  <si>
    <t>NDN08R1Q</t>
  </si>
  <si>
    <t xml:space="preserve">NDCV6   </t>
  </si>
  <si>
    <t>NDN06TEQ</t>
  </si>
  <si>
    <t>NDN06TEV</t>
  </si>
  <si>
    <t>NDN06TF0</t>
  </si>
  <si>
    <t>NDN06TF5</t>
  </si>
  <si>
    <t>NDN06TFA</t>
  </si>
  <si>
    <t>NDN06TFF</t>
  </si>
  <si>
    <t>NDN06TFK</t>
  </si>
  <si>
    <t>NDN06TFP</t>
  </si>
  <si>
    <t>NDN06TFU</t>
  </si>
  <si>
    <t>NDN06TFZ</t>
  </si>
  <si>
    <t>NDN06TG4</t>
  </si>
  <si>
    <t>NDN06TG9</t>
  </si>
  <si>
    <t>NDN06TGE</t>
  </si>
  <si>
    <t>NDN06TGJ</t>
  </si>
  <si>
    <t>NDN06TGO</t>
  </si>
  <si>
    <t>NDN06TGT</t>
  </si>
  <si>
    <t>NDN06TGY</t>
  </si>
  <si>
    <t>NDN06TH3</t>
  </si>
  <si>
    <t>NDN06TH8</t>
  </si>
  <si>
    <t>NDN06THD</t>
  </si>
  <si>
    <t>NDN06THI</t>
  </si>
  <si>
    <t>NDN06THN</t>
  </si>
  <si>
    <t>NDN06THS</t>
  </si>
  <si>
    <t>NDN06THX</t>
  </si>
  <si>
    <t>NDN06TI2</t>
  </si>
  <si>
    <t>NDN06TI7</t>
  </si>
  <si>
    <t>NDN06TIC</t>
  </si>
  <si>
    <t>NDN06TIH</t>
  </si>
  <si>
    <t>NDN06TIM</t>
  </si>
  <si>
    <t xml:space="preserve">NDCV7   </t>
  </si>
  <si>
    <t>NDN06ZQA</t>
  </si>
  <si>
    <t>NDN06ZQF</t>
  </si>
  <si>
    <t>NDN06ZQK</t>
  </si>
  <si>
    <t>NDN06ZQP</t>
  </si>
  <si>
    <t>NDN06ZQU</t>
  </si>
  <si>
    <t>NDN06ZQZ</t>
  </si>
  <si>
    <t>NDN06ZR4</t>
  </si>
  <si>
    <t>NDN06ZR9</t>
  </si>
  <si>
    <t>NDN06ZRE</t>
  </si>
  <si>
    <t>NDN06ZRJ</t>
  </si>
  <si>
    <t>NDN06ZRO</t>
  </si>
  <si>
    <t>NDN06ZRT</t>
  </si>
  <si>
    <t>NDN06ZRY</t>
  </si>
  <si>
    <t>NDN06ZS3</t>
  </si>
  <si>
    <t>NDN06ZS8</t>
  </si>
  <si>
    <t>NDN06ZSD</t>
  </si>
  <si>
    <t>NDN06ZSI</t>
  </si>
  <si>
    <t>NDN06ZSN</t>
  </si>
  <si>
    <t>NDN06ZSS</t>
  </si>
  <si>
    <t>NDN06ZSX</t>
  </si>
  <si>
    <t>NDN06ZT2</t>
  </si>
  <si>
    <t>NDN06ZT7</t>
  </si>
  <si>
    <t>NDN06ZTC</t>
  </si>
  <si>
    <t>NDN06ZTH</t>
  </si>
  <si>
    <t>NDN06ZTM</t>
  </si>
  <si>
    <t>NDN06ZTR</t>
  </si>
  <si>
    <t>NDN06ZTW</t>
  </si>
  <si>
    <t>NDN06ZU1</t>
  </si>
  <si>
    <t>NDN06ZU6</t>
  </si>
  <si>
    <t xml:space="preserve">NDCV8   </t>
  </si>
  <si>
    <t>NDN0761U</t>
  </si>
  <si>
    <t>NDN0761Z</t>
  </si>
  <si>
    <t>NDN07624</t>
  </si>
  <si>
    <t>NDN07629</t>
  </si>
  <si>
    <t>NDN0762E</t>
  </si>
  <si>
    <t>NDN0762J</t>
  </si>
  <si>
    <t>NDN0762O</t>
  </si>
  <si>
    <t>NDN0762T</t>
  </si>
  <si>
    <t>NDN0762Y</t>
  </si>
  <si>
    <t>NDN07633</t>
  </si>
  <si>
    <t>NDN07638</t>
  </si>
  <si>
    <t>NDN0763D</t>
  </si>
  <si>
    <t>NDN0763I</t>
  </si>
  <si>
    <t>NDN0763N</t>
  </si>
  <si>
    <t>NDN0763S</t>
  </si>
  <si>
    <t>NDN0763X</t>
  </si>
  <si>
    <t>NDN07642</t>
  </si>
  <si>
    <t>NDN07647</t>
  </si>
  <si>
    <t>NDN0764C</t>
  </si>
  <si>
    <t>NDN0764H</t>
  </si>
  <si>
    <t>NDN0764M</t>
  </si>
  <si>
    <t>NDN0764R</t>
  </si>
  <si>
    <t>NDN0764W</t>
  </si>
  <si>
    <t>NDN07651</t>
  </si>
  <si>
    <t>NDN07656</t>
  </si>
  <si>
    <t>NDN0765B</t>
  </si>
  <si>
    <t>NDN0765G</t>
  </si>
  <si>
    <t>NDN0765L</t>
  </si>
  <si>
    <t>NDN0765Q</t>
  </si>
  <si>
    <t xml:space="preserve">NDCV9   </t>
  </si>
  <si>
    <t>NDN07CDE</t>
  </si>
  <si>
    <t>NDN07CDJ</t>
  </si>
  <si>
    <t>NDN07CDO</t>
  </si>
  <si>
    <t>NDN07CDT</t>
  </si>
  <si>
    <t>NDN07CDY</t>
  </si>
  <si>
    <t>NDN07CE3</t>
  </si>
  <si>
    <t>NDN07CE8</t>
  </si>
  <si>
    <t>NDN07CED</t>
  </si>
  <si>
    <t>NDN07CEI</t>
  </si>
  <si>
    <t>NDN07CEN</t>
  </si>
  <si>
    <t>NDN07CES</t>
  </si>
  <si>
    <t>NDN07CEX</t>
  </si>
  <si>
    <t>NDN07CF2</t>
  </si>
  <si>
    <t>NDN07CF7</t>
  </si>
  <si>
    <t>NDN07CFC</t>
  </si>
  <si>
    <t>NDN07CFH</t>
  </si>
  <si>
    <t>NDN07CFM</t>
  </si>
  <si>
    <t>NDN07CFR</t>
  </si>
  <si>
    <t>NDN07CFW</t>
  </si>
  <si>
    <t>NDN07CG1</t>
  </si>
  <si>
    <t>NDN07CG6</t>
  </si>
  <si>
    <t>NDN07CGB</t>
  </si>
  <si>
    <t>NDN07CGG</t>
  </si>
  <si>
    <t>NDN07CGL</t>
  </si>
  <si>
    <t>NDN07CGQ</t>
  </si>
  <si>
    <t>NDN07CGV</t>
  </si>
  <si>
    <t>NDN07CH0</t>
  </si>
  <si>
    <t>NDN07CH5</t>
  </si>
  <si>
    <t>NDN07CHA</t>
  </si>
  <si>
    <t xml:space="preserve">NDCV10  </t>
  </si>
  <si>
    <t>NDN08X9E</t>
  </si>
  <si>
    <t>NDN08X9J</t>
  </si>
  <si>
    <t>NDN08X9O</t>
  </si>
  <si>
    <t>NDN08X9T</t>
  </si>
  <si>
    <t>NDN08X9Y</t>
  </si>
  <si>
    <t>NDN08XA3</t>
  </si>
  <si>
    <t>NDN08XA8</t>
  </si>
  <si>
    <t>NDN08XAD</t>
  </si>
  <si>
    <t>NDN08XAI</t>
  </si>
  <si>
    <t>NDN08XAN</t>
  </si>
  <si>
    <t>NDN08XAS</t>
  </si>
  <si>
    <t>NDN08XAX</t>
  </si>
  <si>
    <t>NDN08XB2</t>
  </si>
  <si>
    <t>NDN08XB7</t>
  </si>
  <si>
    <t>NDN08XBC</t>
  </si>
  <si>
    <t>NDN08XBH</t>
  </si>
  <si>
    <t>NDN08XBM</t>
  </si>
  <si>
    <t>NDN08XBR</t>
  </si>
  <si>
    <t>NDN08XBW</t>
  </si>
  <si>
    <t>NDN08XC1</t>
  </si>
  <si>
    <t>NDN08XC6</t>
  </si>
  <si>
    <t>NDN08XCB</t>
  </si>
  <si>
    <t>NDN08XCG</t>
  </si>
  <si>
    <t>NDN08XCL</t>
  </si>
  <si>
    <t>NDN08XCQ</t>
  </si>
  <si>
    <t>NDN08XCV</t>
  </si>
  <si>
    <t>NDN08XD0</t>
  </si>
  <si>
    <t>NDN08XD5</t>
  </si>
  <si>
    <t>NDN08XDA</t>
  </si>
  <si>
    <t xml:space="preserve">NDCV12  </t>
  </si>
  <si>
    <t>NDN07VC2</t>
  </si>
  <si>
    <t>NDN07VC7</t>
  </si>
  <si>
    <t>NDN07VCC</t>
  </si>
  <si>
    <t>NDN07VCH</t>
  </si>
  <si>
    <t>NDN07VCM</t>
  </si>
  <si>
    <t>NDN07VCR</t>
  </si>
  <si>
    <t>NDN07VCW</t>
  </si>
  <si>
    <t>NDN07VD1</t>
  </si>
  <si>
    <t>NDN07VD6</t>
  </si>
  <si>
    <t>NDN07VDB</t>
  </si>
  <si>
    <t>NDN07VDG</t>
  </si>
  <si>
    <t>NDN07VDL</t>
  </si>
  <si>
    <t>NDN07VDQ</t>
  </si>
  <si>
    <t>NDN07VDV</t>
  </si>
  <si>
    <t>NDN07VE0</t>
  </si>
  <si>
    <t>NDN07VE5</t>
  </si>
  <si>
    <t>NDN07VEA</t>
  </si>
  <si>
    <t>NDN07VEF</t>
  </si>
  <si>
    <t>NDN07VEK</t>
  </si>
  <si>
    <t>NDN07VEP</t>
  </si>
  <si>
    <t>NDN07VEU</t>
  </si>
  <si>
    <t>NDN07VEZ</t>
  </si>
  <si>
    <t>NDN07VF4</t>
  </si>
  <si>
    <t>NDN07VF9</t>
  </si>
  <si>
    <t>NDN07VFE</t>
  </si>
  <si>
    <t>NDN07VFJ</t>
  </si>
  <si>
    <t>NDN07VFO</t>
  </si>
  <si>
    <t>NDN07VFT</t>
  </si>
  <si>
    <t>NDN07VFY</t>
  </si>
  <si>
    <t xml:space="preserve">NDCV15  </t>
  </si>
  <si>
    <t>NDN093KY</t>
  </si>
  <si>
    <t>NDN093L3</t>
  </si>
  <si>
    <t>NDN093L8</t>
  </si>
  <si>
    <t>NDN093LD</t>
  </si>
  <si>
    <t>NDN093LI</t>
  </si>
  <si>
    <t>NDN093LN</t>
  </si>
  <si>
    <t>NDN093LS</t>
  </si>
  <si>
    <t>NDN093LX</t>
  </si>
  <si>
    <t>NDN093M2</t>
  </si>
  <si>
    <t>NDN093M7</t>
  </si>
  <si>
    <t>NDN093MC</t>
  </si>
  <si>
    <t>NDN093MH</t>
  </si>
  <si>
    <t>NDN093MM</t>
  </si>
  <si>
    <t>NDN093MR</t>
  </si>
  <si>
    <t>NDN093MW</t>
  </si>
  <si>
    <t>NDN093N1</t>
  </si>
  <si>
    <t>NDN093N6</t>
  </si>
  <si>
    <t>NDN093NB</t>
  </si>
  <si>
    <t>NDN093NG</t>
  </si>
  <si>
    <t>NDN093NL</t>
  </si>
  <si>
    <t>NDN093NQ</t>
  </si>
  <si>
    <t>NDN093NV</t>
  </si>
  <si>
    <t>NDN093O0</t>
  </si>
  <si>
    <t>NDN093O5</t>
  </si>
  <si>
    <t>NDN093OA</t>
  </si>
  <si>
    <t>NDN093OF</t>
  </si>
  <si>
    <t>NDN093OK</t>
  </si>
  <si>
    <t>NDN093OP</t>
  </si>
  <si>
    <t>NDN093OU</t>
  </si>
  <si>
    <t xml:space="preserve">NDCV20  </t>
  </si>
  <si>
    <t>NDN099WI</t>
  </si>
  <si>
    <t>NDN099WN</t>
  </si>
  <si>
    <t>NDN099WS</t>
  </si>
  <si>
    <t>NDN099WX</t>
  </si>
  <si>
    <t>NDN099X2</t>
  </si>
  <si>
    <t>NDN099X7</t>
  </si>
  <si>
    <t>NDN099XC</t>
  </si>
  <si>
    <t>NDN099XH</t>
  </si>
  <si>
    <t>NDN099XM</t>
  </si>
  <si>
    <t>NDN099XR</t>
  </si>
  <si>
    <t>NDN099XW</t>
  </si>
  <si>
    <t>NDN099Y1</t>
  </si>
  <si>
    <t>NDN099Y6</t>
  </si>
  <si>
    <t>NDN099YB</t>
  </si>
  <si>
    <t>NDN099YG</t>
  </si>
  <si>
    <t>NDN099YL</t>
  </si>
  <si>
    <t>NDN099YQ</t>
  </si>
  <si>
    <t>NDN099YV</t>
  </si>
  <si>
    <t>NDN099Z0</t>
  </si>
  <si>
    <t>NDN099Z5</t>
  </si>
  <si>
    <t>NDN099ZA</t>
  </si>
  <si>
    <t>NDN099ZF</t>
  </si>
  <si>
    <t>NDN099ZK</t>
  </si>
  <si>
    <t>NDN099ZP</t>
  </si>
  <si>
    <t>NDN099ZU</t>
  </si>
  <si>
    <t>NDN099ZZ</t>
  </si>
  <si>
    <t>NDN09A04</t>
  </si>
  <si>
    <t>NDN09A09</t>
  </si>
  <si>
    <t>NDN09A0E</t>
  </si>
  <si>
    <t xml:space="preserve">NDCV25  </t>
  </si>
  <si>
    <t>NDN09G82</t>
  </si>
  <si>
    <t>NDN09G87</t>
  </si>
  <si>
    <t>NDN09G8C</t>
  </si>
  <si>
    <t>NDN09G8H</t>
  </si>
  <si>
    <t>NDN09G8M</t>
  </si>
  <si>
    <t>NDN09G8R</t>
  </si>
  <si>
    <t>NDN09G8W</t>
  </si>
  <si>
    <t>NDN09G91</t>
  </si>
  <si>
    <t>NDN09G96</t>
  </si>
  <si>
    <t>NDN09G9B</t>
  </si>
  <si>
    <t>NDN09G9G</t>
  </si>
  <si>
    <t>NDN09G9L</t>
  </si>
  <si>
    <t>NDN09G9Q</t>
  </si>
  <si>
    <t>NDN09G9V</t>
  </si>
  <si>
    <t>NDN09GA0</t>
  </si>
  <si>
    <t>NDN09GA5</t>
  </si>
  <si>
    <t>NDN09GAA</t>
  </si>
  <si>
    <t>NDN09GAF</t>
  </si>
  <si>
    <t>NDN09GAK</t>
  </si>
  <si>
    <t>NDN09GAP</t>
  </si>
  <si>
    <t>NDN09GAU</t>
  </si>
  <si>
    <t>NDN09GAZ</t>
  </si>
  <si>
    <t>NDN09GB4</t>
  </si>
  <si>
    <t>NDN09GB9</t>
  </si>
  <si>
    <t>NDN09GBE</t>
  </si>
  <si>
    <t>NDN09GBJ</t>
  </si>
  <si>
    <t>NDN09GBO</t>
  </si>
  <si>
    <t>NDN09GBT</t>
  </si>
  <si>
    <t>NDN09GBY</t>
  </si>
  <si>
    <t xml:space="preserve">NDCV30  </t>
  </si>
  <si>
    <t>NDN09MJM</t>
  </si>
  <si>
    <t>NDN09MJR</t>
  </si>
  <si>
    <t>NDN09MJW</t>
  </si>
  <si>
    <t>NDN09MK1</t>
  </si>
  <si>
    <t>NDN09MK6</t>
  </si>
  <si>
    <t>NDN09MKB</t>
  </si>
  <si>
    <t>NDN09MKG</t>
  </si>
  <si>
    <t>NDN09MKL</t>
  </si>
  <si>
    <t>NDN09MKQ</t>
  </si>
  <si>
    <t>NDN09MKV</t>
  </si>
  <si>
    <t>NDN09ML0</t>
  </si>
  <si>
    <t>NDN09ML5</t>
  </si>
  <si>
    <t>NDN09MLA</t>
  </si>
  <si>
    <t>NDN09MLF</t>
  </si>
  <si>
    <t>NDN09MLK</t>
  </si>
  <si>
    <t>NDN09MLP</t>
  </si>
  <si>
    <t>NDN09MLU</t>
  </si>
  <si>
    <t>NDN09MLZ</t>
  </si>
  <si>
    <t>NDN09MM4</t>
  </si>
  <si>
    <t>NDN09MM9</t>
  </si>
  <si>
    <t>NDN09MME</t>
  </si>
  <si>
    <t>NDN09MMJ</t>
  </si>
  <si>
    <t>NDN09MMO</t>
  </si>
  <si>
    <t>NDN09MMT</t>
  </si>
  <si>
    <t>NDN09MMY</t>
  </si>
  <si>
    <t>NDN09MN3</t>
  </si>
  <si>
    <t>NDN09MN8</t>
  </si>
  <si>
    <t>NDN09MND</t>
  </si>
  <si>
    <t>NDN09MNI</t>
  </si>
  <si>
    <t xml:space="preserve">NDSV0A1 </t>
  </si>
  <si>
    <t xml:space="preserve">NDSV0A2 </t>
  </si>
  <si>
    <t xml:space="preserve">NDSV0A3 </t>
  </si>
  <si>
    <t xml:space="preserve">NDSV0A4 </t>
  </si>
  <si>
    <t xml:space="preserve">NDSV0A5 </t>
  </si>
  <si>
    <t xml:space="preserve">NDSV0A6 </t>
  </si>
  <si>
    <t xml:space="preserve">NDSV0A7 </t>
  </si>
  <si>
    <t xml:space="preserve">NDSV0A8 </t>
  </si>
  <si>
    <t xml:space="preserve">NDSV0A9 </t>
  </si>
  <si>
    <t>NDSV0A10</t>
  </si>
  <si>
    <t>NDSV0A12</t>
  </si>
  <si>
    <t>NDSV0A15</t>
  </si>
  <si>
    <t>NDSV0A20</t>
  </si>
  <si>
    <t>NDSV0A25</t>
  </si>
  <si>
    <t>NDSV0A30</t>
  </si>
  <si>
    <t xml:space="preserve">NDSV0C1 </t>
  </si>
  <si>
    <t xml:space="preserve">NDSV0C2 </t>
  </si>
  <si>
    <t xml:space="preserve">NDSV0C3 </t>
  </si>
  <si>
    <t xml:space="preserve">NDSV0C4 </t>
  </si>
  <si>
    <t xml:space="preserve">NDSV0C5 </t>
  </si>
  <si>
    <t xml:space="preserve">NDSV0C6 </t>
  </si>
  <si>
    <t xml:space="preserve">NDSV0C7 </t>
  </si>
  <si>
    <t xml:space="preserve">NDSV0C8 </t>
  </si>
  <si>
    <t xml:space="preserve">NDSV0C9 </t>
  </si>
  <si>
    <t>NDSV0C10</t>
  </si>
  <si>
    <t>NDSV0C12</t>
  </si>
  <si>
    <t>NDSV0C15</t>
  </si>
  <si>
    <t>NDSV0C20</t>
  </si>
  <si>
    <t>NDSV0C25</t>
  </si>
  <si>
    <t>NDSV0C30</t>
  </si>
  <si>
    <t xml:space="preserve">NDSV0F1 </t>
  </si>
  <si>
    <t xml:space="preserve">NDSV0F2 </t>
  </si>
  <si>
    <t xml:space="preserve">NDSV0F3 </t>
  </si>
  <si>
    <t xml:space="preserve">NDSV0F4 </t>
  </si>
  <si>
    <t xml:space="preserve">NDSV0F5 </t>
  </si>
  <si>
    <t xml:space="preserve">NDSV0F6 </t>
  </si>
  <si>
    <t xml:space="preserve">NDSV0F7 </t>
  </si>
  <si>
    <t xml:space="preserve">NDSV0F8 </t>
  </si>
  <si>
    <t xml:space="preserve">NDSV0F9 </t>
  </si>
  <si>
    <t>NDSV0F10</t>
  </si>
  <si>
    <t>NDSV0F12</t>
  </si>
  <si>
    <t>NDSV0F15</t>
  </si>
  <si>
    <t>NDSV0F20</t>
  </si>
  <si>
    <t>NDSV0F25</t>
  </si>
  <si>
    <t>NDSV0F30</t>
  </si>
  <si>
    <t xml:space="preserve">NDSV0I1 </t>
  </si>
  <si>
    <t xml:space="preserve">NDSV0I2 </t>
  </si>
  <si>
    <t xml:space="preserve">NDSV0I3 </t>
  </si>
  <si>
    <t xml:space="preserve">NDSV0I4 </t>
  </si>
  <si>
    <t xml:space="preserve">NDSV0I5 </t>
  </si>
  <si>
    <t xml:space="preserve">NDSV0I6 </t>
  </si>
  <si>
    <t xml:space="preserve">NDSV0I7 </t>
  </si>
  <si>
    <t xml:space="preserve">NDSV0I8 </t>
  </si>
  <si>
    <t xml:space="preserve">NDSV0I9 </t>
  </si>
  <si>
    <t>NDSV0I10</t>
  </si>
  <si>
    <t>NDSV0I12</t>
  </si>
  <si>
    <t>NDSV0I15</t>
  </si>
  <si>
    <t>NDSV0I20</t>
  </si>
  <si>
    <t>NDSV0I25</t>
  </si>
  <si>
    <t>NDSV0I30</t>
  </si>
  <si>
    <t xml:space="preserve">NDSV011 </t>
  </si>
  <si>
    <t xml:space="preserve">NDSV012 </t>
  </si>
  <si>
    <t xml:space="preserve">NDSV013 </t>
  </si>
  <si>
    <t xml:space="preserve">NDSV014 </t>
  </si>
  <si>
    <t xml:space="preserve">NDSV015 </t>
  </si>
  <si>
    <t xml:space="preserve">NDSV016 </t>
  </si>
  <si>
    <t xml:space="preserve">NDSV017 </t>
  </si>
  <si>
    <t xml:space="preserve">NDSV018 </t>
  </si>
  <si>
    <t xml:space="preserve">NDSV019 </t>
  </si>
  <si>
    <t>NDSV0110</t>
  </si>
  <si>
    <t>NDSV0112</t>
  </si>
  <si>
    <t>NDSV0115</t>
  </si>
  <si>
    <t>NDSV0120</t>
  </si>
  <si>
    <t>NDSV0125</t>
  </si>
  <si>
    <t>NDSV0130</t>
  </si>
  <si>
    <t xml:space="preserve">NDSV021 </t>
  </si>
  <si>
    <t xml:space="preserve">NDSV022 </t>
  </si>
  <si>
    <t xml:space="preserve">NDSV023 </t>
  </si>
  <si>
    <t xml:space="preserve">NDSV024 </t>
  </si>
  <si>
    <t xml:space="preserve">NDSV025 </t>
  </si>
  <si>
    <t xml:space="preserve">NDSV026 </t>
  </si>
  <si>
    <t xml:space="preserve">NDSV027 </t>
  </si>
  <si>
    <t xml:space="preserve">NDSV028 </t>
  </si>
  <si>
    <t xml:space="preserve">NDSV029 </t>
  </si>
  <si>
    <t>NDSV0210</t>
  </si>
  <si>
    <t>NDSV0212</t>
  </si>
  <si>
    <t>NDSV0215</t>
  </si>
  <si>
    <t>NDSV0220</t>
  </si>
  <si>
    <t>NDSV0225</t>
  </si>
  <si>
    <t>NDSV0230</t>
  </si>
  <si>
    <t xml:space="preserve">NDSV031 </t>
  </si>
  <si>
    <t xml:space="preserve">NDSV032 </t>
  </si>
  <si>
    <t xml:space="preserve">NDSV033 </t>
  </si>
  <si>
    <t xml:space="preserve">NDSV034 </t>
  </si>
  <si>
    <t xml:space="preserve">NDSV035 </t>
  </si>
  <si>
    <t xml:space="preserve">NDSV036 </t>
  </si>
  <si>
    <t xml:space="preserve">NDSV037 </t>
  </si>
  <si>
    <t xml:space="preserve">NDSV038 </t>
  </si>
  <si>
    <t xml:space="preserve">NDSV039 </t>
  </si>
  <si>
    <t>NDSV0310</t>
  </si>
  <si>
    <t>NDSV0312</t>
  </si>
  <si>
    <t>NDSV0315</t>
  </si>
  <si>
    <t>NDSV0320</t>
  </si>
  <si>
    <t>NDSV0325</t>
  </si>
  <si>
    <t>NDSV0330</t>
  </si>
  <si>
    <t xml:space="preserve">NDSV041 </t>
  </si>
  <si>
    <t xml:space="preserve">NDSV042 </t>
  </si>
  <si>
    <t xml:space="preserve">NDSV043 </t>
  </si>
  <si>
    <t xml:space="preserve">NDSV044 </t>
  </si>
  <si>
    <t xml:space="preserve">NDSV045 </t>
  </si>
  <si>
    <t xml:space="preserve">NDSV046 </t>
  </si>
  <si>
    <t xml:space="preserve">NDSV047 </t>
  </si>
  <si>
    <t xml:space="preserve">NDSV048 </t>
  </si>
  <si>
    <t xml:space="preserve">NDSV049 </t>
  </si>
  <si>
    <t>NDSV0410</t>
  </si>
  <si>
    <t>NDSV0412</t>
  </si>
  <si>
    <t>NDSV0415</t>
  </si>
  <si>
    <t>NDSV0420</t>
  </si>
  <si>
    <t>NDSV0425</t>
  </si>
  <si>
    <t>NDSV0430</t>
  </si>
  <si>
    <t xml:space="preserve">NDSV051 </t>
  </si>
  <si>
    <t xml:space="preserve">NDSV052 </t>
  </si>
  <si>
    <t xml:space="preserve">NDSV053 </t>
  </si>
  <si>
    <t xml:space="preserve">NDSV054 </t>
  </si>
  <si>
    <t xml:space="preserve">NDSV055 </t>
  </si>
  <si>
    <t xml:space="preserve">NDSV056 </t>
  </si>
  <si>
    <t xml:space="preserve">NDSV057 </t>
  </si>
  <si>
    <t xml:space="preserve">NDSV058 </t>
  </si>
  <si>
    <t xml:space="preserve">NDSV059 </t>
  </si>
  <si>
    <t>NDSV0510</t>
  </si>
  <si>
    <t>NDSV0512</t>
  </si>
  <si>
    <t>NDSV0515</t>
  </si>
  <si>
    <t>NDSV0520</t>
  </si>
  <si>
    <t>NDSV0525</t>
  </si>
  <si>
    <t>NDSV0530</t>
  </si>
  <si>
    <t xml:space="preserve">NDSV061 </t>
  </si>
  <si>
    <t xml:space="preserve">NDSV062 </t>
  </si>
  <si>
    <t xml:space="preserve">NDSV063 </t>
  </si>
  <si>
    <t xml:space="preserve">NDSV064 </t>
  </si>
  <si>
    <t xml:space="preserve">NDSV065 </t>
  </si>
  <si>
    <t xml:space="preserve">NDSV066 </t>
  </si>
  <si>
    <t xml:space="preserve">NDSV067 </t>
  </si>
  <si>
    <t xml:space="preserve">NDSV068 </t>
  </si>
  <si>
    <t xml:space="preserve">NDSV069 </t>
  </si>
  <si>
    <t>NDSV0610</t>
  </si>
  <si>
    <t>NDSV0612</t>
  </si>
  <si>
    <t>NDSV0615</t>
  </si>
  <si>
    <t>NDSV0620</t>
  </si>
  <si>
    <t>NDSV0625</t>
  </si>
  <si>
    <t>NDSV0630</t>
  </si>
  <si>
    <t xml:space="preserve">NDSV071 </t>
  </si>
  <si>
    <t xml:space="preserve">NDSV072 </t>
  </si>
  <si>
    <t xml:space="preserve">NDSV073 </t>
  </si>
  <si>
    <t xml:space="preserve">NDSV074 </t>
  </si>
  <si>
    <t xml:space="preserve">NDSV075 </t>
  </si>
  <si>
    <t xml:space="preserve">NDSV076 </t>
  </si>
  <si>
    <t xml:space="preserve">NDSV077 </t>
  </si>
  <si>
    <t xml:space="preserve">NDSV078 </t>
  </si>
  <si>
    <t xml:space="preserve">NDSV079 </t>
  </si>
  <si>
    <t>NDSV0710</t>
  </si>
  <si>
    <t>NDSV0712</t>
  </si>
  <si>
    <t>NDSV0715</t>
  </si>
  <si>
    <t>NDSV0720</t>
  </si>
  <si>
    <t>NDSV0725</t>
  </si>
  <si>
    <t>NDSV0730</t>
  </si>
  <si>
    <t xml:space="preserve">NDSV081 </t>
  </si>
  <si>
    <t xml:space="preserve">NDSV082 </t>
  </si>
  <si>
    <t xml:space="preserve">NDSV083 </t>
  </si>
  <si>
    <t xml:space="preserve">NDSV084 </t>
  </si>
  <si>
    <t xml:space="preserve">NDSV085 </t>
  </si>
  <si>
    <t xml:space="preserve">NDSV086 </t>
  </si>
  <si>
    <t xml:space="preserve">NDSV087 </t>
  </si>
  <si>
    <t xml:space="preserve">NDSV088 </t>
  </si>
  <si>
    <t xml:space="preserve">NDSV089 </t>
  </si>
  <si>
    <t>NDSV0810</t>
  </si>
  <si>
    <t>NDSV0812</t>
  </si>
  <si>
    <t>NDSV0815</t>
  </si>
  <si>
    <t>NDSV0820</t>
  </si>
  <si>
    <t>NDSV0825</t>
  </si>
  <si>
    <t>NDSV0830</t>
  </si>
  <si>
    <t xml:space="preserve">NDSV091 </t>
  </si>
  <si>
    <t xml:space="preserve">NDSV092 </t>
  </si>
  <si>
    <t xml:space="preserve">NDSV093 </t>
  </si>
  <si>
    <t xml:space="preserve">NDSV094 </t>
  </si>
  <si>
    <t xml:space="preserve">NDSV095 </t>
  </si>
  <si>
    <t xml:space="preserve">NDSV096 </t>
  </si>
  <si>
    <t xml:space="preserve">NDSV097 </t>
  </si>
  <si>
    <t xml:space="preserve">NDSV098 </t>
  </si>
  <si>
    <t xml:space="preserve">NDSV099 </t>
  </si>
  <si>
    <t>NDSV0910</t>
  </si>
  <si>
    <t>NDSV0912</t>
  </si>
  <si>
    <t>NDSV0915</t>
  </si>
  <si>
    <t>NDSV0920</t>
  </si>
  <si>
    <t>NDSV0925</t>
  </si>
  <si>
    <t>NDSV0930</t>
  </si>
  <si>
    <t xml:space="preserve">NDSV101 </t>
  </si>
  <si>
    <t xml:space="preserve">NDSV102 </t>
  </si>
  <si>
    <t xml:space="preserve">NDSV103 </t>
  </si>
  <si>
    <t xml:space="preserve">NDSV104 </t>
  </si>
  <si>
    <t xml:space="preserve">NDSV105 </t>
  </si>
  <si>
    <t xml:space="preserve">NDSV106 </t>
  </si>
  <si>
    <t xml:space="preserve">NDSV107 </t>
  </si>
  <si>
    <t xml:space="preserve">NDSV108 </t>
  </si>
  <si>
    <t xml:space="preserve">NDSV109 </t>
  </si>
  <si>
    <t>NDSV1010</t>
  </si>
  <si>
    <t>NDSV1012</t>
  </si>
  <si>
    <t>NDSV1015</t>
  </si>
  <si>
    <t>NDSV1020</t>
  </si>
  <si>
    <t>NDSV1025</t>
  </si>
  <si>
    <t>NDSV1030</t>
  </si>
  <si>
    <t xml:space="preserve">NDSV121 </t>
  </si>
  <si>
    <t xml:space="preserve">NDSV122 </t>
  </si>
  <si>
    <t xml:space="preserve">NDSV123 </t>
  </si>
  <si>
    <t xml:space="preserve">NDSV124 </t>
  </si>
  <si>
    <t xml:space="preserve">NDSV125 </t>
  </si>
  <si>
    <t xml:space="preserve">NDSV126 </t>
  </si>
  <si>
    <t xml:space="preserve">NDSV127 </t>
  </si>
  <si>
    <t xml:space="preserve">NDSV128 </t>
  </si>
  <si>
    <t xml:space="preserve">NDSV129 </t>
  </si>
  <si>
    <t>NDSV1210</t>
  </si>
  <si>
    <t>NDSV1212</t>
  </si>
  <si>
    <t>NDSV1215</t>
  </si>
  <si>
    <t>NDSV1220</t>
  </si>
  <si>
    <t>NDSV1225</t>
  </si>
  <si>
    <t>NDSV1230</t>
  </si>
  <si>
    <t xml:space="preserve">NDSV151 </t>
  </si>
  <si>
    <t xml:space="preserve">NDSV152 </t>
  </si>
  <si>
    <t xml:space="preserve">NDSV153 </t>
  </si>
  <si>
    <t xml:space="preserve">NDSV154 </t>
  </si>
  <si>
    <t xml:space="preserve">NDSV155 </t>
  </si>
  <si>
    <t xml:space="preserve">NDSV156 </t>
  </si>
  <si>
    <t xml:space="preserve">NDSV157 </t>
  </si>
  <si>
    <t xml:space="preserve">NDSV158 </t>
  </si>
  <si>
    <t xml:space="preserve">NDSV159 </t>
  </si>
  <si>
    <t>NDSV1510</t>
  </si>
  <si>
    <t>NDSV1512</t>
  </si>
  <si>
    <t>NDSV1515</t>
  </si>
  <si>
    <t>NDSV1520</t>
  </si>
  <si>
    <t>NDSV1525</t>
  </si>
  <si>
    <t>NDSV1530</t>
  </si>
  <si>
    <t xml:space="preserve">NDSV201 </t>
  </si>
  <si>
    <t xml:space="preserve">NDSV202 </t>
  </si>
  <si>
    <t xml:space="preserve">NDSV203 </t>
  </si>
  <si>
    <t xml:space="preserve">NDSV204 </t>
  </si>
  <si>
    <t xml:space="preserve">NDSV205 </t>
  </si>
  <si>
    <t xml:space="preserve">NDSV206 </t>
  </si>
  <si>
    <t xml:space="preserve">NDSV207 </t>
  </si>
  <si>
    <t xml:space="preserve">NDSV208 </t>
  </si>
  <si>
    <t xml:space="preserve">NDSV209 </t>
  </si>
  <si>
    <t>NDSV2010</t>
  </si>
  <si>
    <t>NDSV2012</t>
  </si>
  <si>
    <t>NDSV2015</t>
  </si>
  <si>
    <t>NDSV2020</t>
  </si>
  <si>
    <t>NDSV2025</t>
  </si>
  <si>
    <t>NDSV2030</t>
  </si>
  <si>
    <t xml:space="preserve">NDSV251 </t>
  </si>
  <si>
    <t xml:space="preserve">NDSV252 </t>
  </si>
  <si>
    <t xml:space="preserve">NDSV253 </t>
  </si>
  <si>
    <t xml:space="preserve">NDSV254 </t>
  </si>
  <si>
    <t xml:space="preserve">NDSV255 </t>
  </si>
  <si>
    <t xml:space="preserve">NDSV256 </t>
  </si>
  <si>
    <t xml:space="preserve">NDSV257 </t>
  </si>
  <si>
    <t xml:space="preserve">NDSV258 </t>
  </si>
  <si>
    <t xml:space="preserve">NDSV259 </t>
  </si>
  <si>
    <t>NDSV2510</t>
  </si>
  <si>
    <t>NDSV2512</t>
  </si>
  <si>
    <t>NDSV2515</t>
  </si>
  <si>
    <t>NDSV2520</t>
  </si>
  <si>
    <t>NDSV2525</t>
  </si>
  <si>
    <t>NDSV2530</t>
  </si>
  <si>
    <t xml:space="preserve">NDSV301 </t>
  </si>
  <si>
    <t xml:space="preserve">NDSV302 </t>
  </si>
  <si>
    <t xml:space="preserve">NDSV303 </t>
  </si>
  <si>
    <t xml:space="preserve">NDSV304 </t>
  </si>
  <si>
    <t xml:space="preserve">NDSV305 </t>
  </si>
  <si>
    <t xml:space="preserve">NDSV306 </t>
  </si>
  <si>
    <t xml:space="preserve">NDSV307 </t>
  </si>
  <si>
    <t xml:space="preserve">NDSV308 </t>
  </si>
  <si>
    <t xml:space="preserve">NDSV309 </t>
  </si>
  <si>
    <t>NDSV3010</t>
  </si>
  <si>
    <t>NDSV3012</t>
  </si>
  <si>
    <t>NDSV3015</t>
  </si>
  <si>
    <t>NDSV3020</t>
  </si>
  <si>
    <t>NDSV3025</t>
  </si>
  <si>
    <t>NDSV3030</t>
  </si>
  <si>
    <t>CF0512</t>
  </si>
  <si>
    <t>CF0515</t>
  </si>
  <si>
    <t>CF0520</t>
  </si>
  <si>
    <t>CF0525</t>
  </si>
  <si>
    <t>CF0530</t>
  </si>
  <si>
    <t>multi</t>
  </si>
  <si>
    <t>CF0812</t>
  </si>
  <si>
    <t>CF0815</t>
  </si>
  <si>
    <t>CF0820</t>
  </si>
  <si>
    <t>CF0825</t>
  </si>
  <si>
    <t>CF0830</t>
  </si>
  <si>
    <t>CF7512</t>
  </si>
  <si>
    <t>CF7515</t>
  </si>
  <si>
    <t>CF7520</t>
  </si>
  <si>
    <t>CF7525</t>
  </si>
  <si>
    <t>CF7530</t>
  </si>
  <si>
    <t>CF2512</t>
  </si>
  <si>
    <t>CF2515</t>
  </si>
  <si>
    <t>CF2520</t>
  </si>
  <si>
    <t>CF2525</t>
  </si>
  <si>
    <t>CF2530</t>
  </si>
  <si>
    <t>BGN</t>
  </si>
  <si>
    <t>GIRO</t>
  </si>
  <si>
    <t>SMKO</t>
  </si>
  <si>
    <t>TFPR</t>
  </si>
  <si>
    <t>TTFX</t>
  </si>
  <si>
    <t>MTRT</t>
  </si>
  <si>
    <t>Display</t>
  </si>
  <si>
    <t>3YR</t>
  </si>
  <si>
    <t>4YR</t>
  </si>
  <si>
    <t>6YR</t>
  </si>
  <si>
    <t>8YR</t>
  </si>
  <si>
    <t>9YR</t>
  </si>
  <si>
    <t>25YR</t>
  </si>
  <si>
    <t>A</t>
  </si>
  <si>
    <t>C</t>
  </si>
  <si>
    <t>F</t>
  </si>
  <si>
    <t>I</t>
  </si>
  <si>
    <t>1m</t>
  </si>
  <si>
    <t>3m</t>
  </si>
  <si>
    <t>6m</t>
  </si>
  <si>
    <t>9m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</si>
  <si>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</si>
  <si>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</si>
  <si>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</si>
  <si>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</si>
  <si>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</si>
  <si>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</si>
  <si>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</si>
  <si>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</si>
  <si>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</si>
  <si>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</si>
  <si>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</si>
  <si>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</si>
  <si>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</si>
  <si>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</si>
  <si>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PX BID</t>
  </si>
  <si>
    <t>PX MID</t>
  </si>
  <si>
    <t>PX ASK</t>
  </si>
  <si>
    <t>Interest Rate Vol. Cube</t>
  </si>
  <si>
    <t>Market Side</t>
  </si>
  <si>
    <t>ATM Swaption Prem</t>
  </si>
  <si>
    <t>TRPU</t>
  </si>
  <si>
    <t>GFIS</t>
  </si>
  <si>
    <t>BXSO</t>
  </si>
  <si>
    <t>CGOT</t>
  </si>
  <si>
    <t>2 MO</t>
  </si>
  <si>
    <t>PEA1</t>
  </si>
  <si>
    <t>PEA2</t>
  </si>
  <si>
    <t>PEA3</t>
  </si>
  <si>
    <t>PEA4</t>
  </si>
  <si>
    <t>PEA5</t>
  </si>
  <si>
    <t>PEA6</t>
  </si>
  <si>
    <t>PEA7</t>
  </si>
  <si>
    <t>PEA8</t>
  </si>
  <si>
    <t>PEA9</t>
  </si>
  <si>
    <t>PEA10</t>
  </si>
  <si>
    <t>PEA15</t>
  </si>
  <si>
    <t>PEA20</t>
  </si>
  <si>
    <t>PEA25</t>
  </si>
  <si>
    <t>PEA30</t>
  </si>
  <si>
    <t>PEB1</t>
  </si>
  <si>
    <t>PEB2</t>
  </si>
  <si>
    <t>PEB3</t>
  </si>
  <si>
    <t>PEB4</t>
  </si>
  <si>
    <t>PEB5</t>
  </si>
  <si>
    <t>PEB6</t>
  </si>
  <si>
    <t>PEB7</t>
  </si>
  <si>
    <t>PEB8</t>
  </si>
  <si>
    <t>PEB9</t>
  </si>
  <si>
    <t>PEB10</t>
  </si>
  <si>
    <t>PEB15</t>
  </si>
  <si>
    <t>PEB20</t>
  </si>
  <si>
    <t>PEB25</t>
  </si>
  <si>
    <t>PEB30</t>
  </si>
  <si>
    <t>PEC1</t>
  </si>
  <si>
    <t>PEC2</t>
  </si>
  <si>
    <t>PEC3</t>
  </si>
  <si>
    <t>PEC4</t>
  </si>
  <si>
    <t>PEC5</t>
  </si>
  <si>
    <t>PEC6</t>
  </si>
  <si>
    <t>PEC7</t>
  </si>
  <si>
    <t>PEC8</t>
  </si>
  <si>
    <t>PEC9</t>
  </si>
  <si>
    <t>PEC10</t>
  </si>
  <si>
    <t>PEC15</t>
  </si>
  <si>
    <t>PEC20</t>
  </si>
  <si>
    <t>PEC25</t>
  </si>
  <si>
    <t>PEC30</t>
  </si>
  <si>
    <t>PEF1</t>
  </si>
  <si>
    <t>PEF2</t>
  </si>
  <si>
    <t>PEF3</t>
  </si>
  <si>
    <t>PEF4</t>
  </si>
  <si>
    <t>PEF5</t>
  </si>
  <si>
    <t>PEF6</t>
  </si>
  <si>
    <t>PEF7</t>
  </si>
  <si>
    <t>PEF8</t>
  </si>
  <si>
    <t>PEF9</t>
  </si>
  <si>
    <t>PEF10</t>
  </si>
  <si>
    <t>PEF15</t>
  </si>
  <si>
    <t>PEF20</t>
  </si>
  <si>
    <t>PEF25</t>
  </si>
  <si>
    <t>PEF30</t>
  </si>
  <si>
    <t>PEI1</t>
  </si>
  <si>
    <t>PEI2</t>
  </si>
  <si>
    <t>PEI3</t>
  </si>
  <si>
    <t>PEI4</t>
  </si>
  <si>
    <t>PEI5</t>
  </si>
  <si>
    <t>PEI6</t>
  </si>
  <si>
    <t>PEI7</t>
  </si>
  <si>
    <t>PEI8</t>
  </si>
  <si>
    <t>PEI9</t>
  </si>
  <si>
    <t>PEI10</t>
  </si>
  <si>
    <t>PEI15</t>
  </si>
  <si>
    <t>PEI20</t>
  </si>
  <si>
    <t>PEI25</t>
  </si>
  <si>
    <t>PEI30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</si>
  <si>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</si>
  <si>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</si>
  <si>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</si>
  <si>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</si>
  <si>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</si>
  <si>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</si>
  <si>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</si>
  <si>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</si>
  <si>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</si>
  <si>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PE110</t>
  </si>
  <si>
    <t>PE115</t>
  </si>
  <si>
    <t>PE120</t>
  </si>
  <si>
    <t>PE125</t>
  </si>
  <si>
    <t>PE130</t>
  </si>
  <si>
    <t>PER1</t>
  </si>
  <si>
    <t>PER2</t>
  </si>
  <si>
    <t>PER3</t>
  </si>
  <si>
    <t>PER4</t>
  </si>
  <si>
    <t>PER5</t>
  </si>
  <si>
    <t>PER6</t>
  </si>
  <si>
    <t>PER7</t>
  </si>
  <si>
    <t>PER8</t>
  </si>
  <si>
    <t>PER9</t>
  </si>
  <si>
    <t>PER10</t>
  </si>
  <si>
    <t>PER15</t>
  </si>
  <si>
    <t>PER20</t>
  </si>
  <si>
    <t>PER25</t>
  </si>
  <si>
    <t>PER30</t>
  </si>
  <si>
    <t>PE21</t>
  </si>
  <si>
    <t>PE22</t>
  </si>
  <si>
    <t>PE23</t>
  </si>
  <si>
    <t>PE24</t>
  </si>
  <si>
    <t>PE25</t>
  </si>
  <si>
    <t>PE26</t>
  </si>
  <si>
    <t>PE27</t>
  </si>
  <si>
    <t>PE28</t>
  </si>
  <si>
    <t>PE29</t>
  </si>
  <si>
    <t>PE210</t>
  </si>
  <si>
    <t>PE215</t>
  </si>
  <si>
    <t>PE220</t>
  </si>
  <si>
    <t>PE225</t>
  </si>
  <si>
    <t>PE230</t>
  </si>
  <si>
    <t>PE31</t>
  </si>
  <si>
    <t>PE32</t>
  </si>
  <si>
    <t>PE33</t>
  </si>
  <si>
    <t>PE34</t>
  </si>
  <si>
    <t>PE35</t>
  </si>
  <si>
    <t>PE36</t>
  </si>
  <si>
    <t>PE37</t>
  </si>
  <si>
    <t>PE38</t>
  </si>
  <si>
    <t>PE39</t>
  </si>
  <si>
    <t>PE310</t>
  </si>
  <si>
    <t>PE315</t>
  </si>
  <si>
    <t>PE320</t>
  </si>
  <si>
    <t>PE325</t>
  </si>
  <si>
    <t>PE330</t>
  </si>
  <si>
    <t>PE41</t>
  </si>
  <si>
    <t>PE42</t>
  </si>
  <si>
    <t>PE43</t>
  </si>
  <si>
    <t>PE44</t>
  </si>
  <si>
    <t>PE45</t>
  </si>
  <si>
    <t>PE46</t>
  </si>
  <si>
    <t>PE47</t>
  </si>
  <si>
    <t>PE48</t>
  </si>
  <si>
    <t>PE49</t>
  </si>
  <si>
    <t>PE410</t>
  </si>
  <si>
    <t>PE415</t>
  </si>
  <si>
    <t>PE420</t>
  </si>
  <si>
    <t>PE425</t>
  </si>
  <si>
    <t>PE430</t>
  </si>
  <si>
    <t>PE51</t>
  </si>
  <si>
    <t>PE52</t>
  </si>
  <si>
    <t>PE53</t>
  </si>
  <si>
    <t>PE54</t>
  </si>
  <si>
    <t>PE55</t>
  </si>
  <si>
    <t>PE56</t>
  </si>
  <si>
    <t>PE57</t>
  </si>
  <si>
    <t>PE58</t>
  </si>
  <si>
    <t>PE59</t>
  </si>
  <si>
    <t>PE510</t>
  </si>
  <si>
    <t>PE515</t>
  </si>
  <si>
    <t>PE520</t>
  </si>
  <si>
    <t>PE525</t>
  </si>
  <si>
    <t>PE530</t>
  </si>
  <si>
    <t>PE71</t>
  </si>
  <si>
    <t>PE72</t>
  </si>
  <si>
    <t>PE73</t>
  </si>
  <si>
    <t>PE74</t>
  </si>
  <si>
    <t>PE75</t>
  </si>
  <si>
    <t>PE76</t>
  </si>
  <si>
    <t>PE77</t>
  </si>
  <si>
    <t>PE78</t>
  </si>
  <si>
    <t>PE79</t>
  </si>
  <si>
    <t>PE710</t>
  </si>
  <si>
    <t>PE715</t>
  </si>
  <si>
    <t>PE720</t>
  </si>
  <si>
    <t>PE725</t>
  </si>
  <si>
    <t>PE730</t>
  </si>
  <si>
    <t>PE101</t>
  </si>
  <si>
    <t>PE102</t>
  </si>
  <si>
    <t>PE103</t>
  </si>
  <si>
    <t>PE104</t>
  </si>
  <si>
    <t>PE105</t>
  </si>
  <si>
    <t>PE106</t>
  </si>
  <si>
    <t>PE107</t>
  </si>
  <si>
    <t>PE108</t>
  </si>
  <si>
    <t>PE109</t>
  </si>
  <si>
    <t>PE1010</t>
  </si>
  <si>
    <t>PE1015</t>
  </si>
  <si>
    <t>PE1020</t>
  </si>
  <si>
    <t>PE1025</t>
  </si>
  <si>
    <t>PE1030</t>
  </si>
  <si>
    <t>PE151</t>
  </si>
  <si>
    <t>PE152</t>
  </si>
  <si>
    <t>PE153</t>
  </si>
  <si>
    <t>PE154</t>
  </si>
  <si>
    <t>PE155</t>
  </si>
  <si>
    <t>PE156</t>
  </si>
  <si>
    <t>PE157</t>
  </si>
  <si>
    <t>PE158</t>
  </si>
  <si>
    <t>PE159</t>
  </si>
  <si>
    <t>PE1510</t>
  </si>
  <si>
    <t>PE1515</t>
  </si>
  <si>
    <t>PE1520</t>
  </si>
  <si>
    <t>PE1525</t>
  </si>
  <si>
    <t>PE1530</t>
  </si>
  <si>
    <t>PE201</t>
  </si>
  <si>
    <t>PE202</t>
  </si>
  <si>
    <t>PE203</t>
  </si>
  <si>
    <t>PE204</t>
  </si>
  <si>
    <t>PE205</t>
  </si>
  <si>
    <t>PE206</t>
  </si>
  <si>
    <t>PE207</t>
  </si>
  <si>
    <t>PE208</t>
  </si>
  <si>
    <t>PE209</t>
  </si>
  <si>
    <t>PE2010</t>
  </si>
  <si>
    <t>PE2015</t>
  </si>
  <si>
    <t>PE2020</t>
  </si>
  <si>
    <t>PE2025</t>
  </si>
  <si>
    <t>PE2030</t>
  </si>
  <si>
    <t>PE251</t>
  </si>
  <si>
    <t>PE252</t>
  </si>
  <si>
    <t>PE253</t>
  </si>
  <si>
    <t>PE254</t>
  </si>
  <si>
    <t>PE255</t>
  </si>
  <si>
    <t>PE256</t>
  </si>
  <si>
    <t>PE257</t>
  </si>
  <si>
    <t>PE258</t>
  </si>
  <si>
    <t>PE259</t>
  </si>
  <si>
    <t>PE2510</t>
  </si>
  <si>
    <t>PE2515</t>
  </si>
  <si>
    <t>PE2520</t>
  </si>
  <si>
    <t>PE2525</t>
  </si>
  <si>
    <t>PE2530</t>
  </si>
  <si>
    <t>PE301</t>
  </si>
  <si>
    <t>PE302</t>
  </si>
  <si>
    <t>PE303</t>
  </si>
  <si>
    <t>PE304</t>
  </si>
  <si>
    <t>PE305</t>
  </si>
  <si>
    <t>PE306</t>
  </si>
  <si>
    <t>PE307</t>
  </si>
  <si>
    <t>PE308</t>
  </si>
  <si>
    <t>PE309</t>
  </si>
  <si>
    <t>PE3010</t>
  </si>
  <si>
    <t>PE3015</t>
  </si>
  <si>
    <t>PE3020</t>
  </si>
  <si>
    <t>PE3025</t>
  </si>
  <si>
    <t>PE3030</t>
  </si>
  <si>
    <t>ASK</t>
  </si>
  <si>
    <t>SP0A1</t>
  </si>
  <si>
    <t>SP0A2</t>
  </si>
  <si>
    <t>SP0A3</t>
  </si>
  <si>
    <t>SP0A4</t>
  </si>
  <si>
    <t>SP0A5</t>
  </si>
  <si>
    <t>SP0A7</t>
  </si>
  <si>
    <t>SP0A10</t>
  </si>
  <si>
    <t>SP0B1</t>
  </si>
  <si>
    <t>SP0B2</t>
  </si>
  <si>
    <t>SP0B3</t>
  </si>
  <si>
    <t>SP0B4</t>
  </si>
  <si>
    <t>SP0B5</t>
  </si>
  <si>
    <t>SP0B7</t>
  </si>
  <si>
    <t>SP0B10</t>
  </si>
  <si>
    <t>SP0C1</t>
  </si>
  <si>
    <t>SP0C2</t>
  </si>
  <si>
    <t>SP0C3</t>
  </si>
  <si>
    <t>SP0C4</t>
  </si>
  <si>
    <t>SP0C5</t>
  </si>
  <si>
    <t>SP0C7</t>
  </si>
  <si>
    <t>SP0C10</t>
  </si>
  <si>
    <t>SP0F1</t>
  </si>
  <si>
    <t>SP0F2</t>
  </si>
  <si>
    <t>SP0F3</t>
  </si>
  <si>
    <t>SP0F4</t>
  </si>
  <si>
    <t>SP0F5</t>
  </si>
  <si>
    <t>SP0F7</t>
  </si>
  <si>
    <t>SP0F10</t>
  </si>
  <si>
    <t>SP011</t>
  </si>
  <si>
    <t>SP012</t>
  </si>
  <si>
    <t>SP013</t>
  </si>
  <si>
    <t>SP014</t>
  </si>
  <si>
    <t>SP015</t>
  </si>
  <si>
    <t>SP017</t>
  </si>
  <si>
    <t>SP0110</t>
  </si>
  <si>
    <t>SP021</t>
  </si>
  <si>
    <t>SP022</t>
  </si>
  <si>
    <t>SP023</t>
  </si>
  <si>
    <t>SP024</t>
  </si>
  <si>
    <t>SP025</t>
  </si>
  <si>
    <t>SP027</t>
  </si>
  <si>
    <t>SP0210</t>
  </si>
  <si>
    <t>SP031</t>
  </si>
  <si>
    <t>SP032</t>
  </si>
  <si>
    <t>SP033</t>
  </si>
  <si>
    <t>SP034</t>
  </si>
  <si>
    <t>SP035</t>
  </si>
  <si>
    <t>SP037</t>
  </si>
  <si>
    <t>SP0310</t>
  </si>
  <si>
    <t>SP041</t>
  </si>
  <si>
    <t>SP042</t>
  </si>
  <si>
    <t>SP043</t>
  </si>
  <si>
    <t>SP044</t>
  </si>
  <si>
    <t>SP045</t>
  </si>
  <si>
    <t>SP047</t>
  </si>
  <si>
    <t>SP0410</t>
  </si>
  <si>
    <t>SP051</t>
  </si>
  <si>
    <t>SP052</t>
  </si>
  <si>
    <t>SP053</t>
  </si>
  <si>
    <t>SP054</t>
  </si>
  <si>
    <t>SP055</t>
  </si>
  <si>
    <t>SP057</t>
  </si>
  <si>
    <t>SP0510</t>
  </si>
  <si>
    <t>SP071</t>
  </si>
  <si>
    <t>SP072</t>
  </si>
  <si>
    <t>SP073</t>
  </si>
  <si>
    <t>SP074</t>
  </si>
  <si>
    <t>SP075</t>
  </si>
  <si>
    <t>SP077</t>
  </si>
  <si>
    <t>SP0710</t>
  </si>
  <si>
    <t>SP101</t>
  </si>
  <si>
    <t>SP102</t>
  </si>
  <si>
    <t>SP103</t>
  </si>
  <si>
    <t>SP104</t>
  </si>
  <si>
    <t>SP105</t>
  </si>
  <si>
    <t>SP107</t>
  </si>
  <si>
    <t>SP1010</t>
  </si>
  <si>
    <t>SP0A01</t>
  </si>
  <si>
    <t>SP0A02</t>
  </si>
  <si>
    <t>SP0A03</t>
  </si>
  <si>
    <t>SP0A04</t>
  </si>
  <si>
    <t>SP0A05</t>
  </si>
  <si>
    <t>SP0A07</t>
  </si>
  <si>
    <t>SP0B01</t>
  </si>
  <si>
    <t>SP0B02</t>
  </si>
  <si>
    <t>SP0B03</t>
  </si>
  <si>
    <t>SP0B04</t>
  </si>
  <si>
    <t>SP0B05</t>
  </si>
  <si>
    <t>SP0B07</t>
  </si>
  <si>
    <t>SP0C01</t>
  </si>
  <si>
    <t>SP0C02</t>
  </si>
  <si>
    <t>SP0C03</t>
  </si>
  <si>
    <t>SP0C04</t>
  </si>
  <si>
    <t>SP0C05</t>
  </si>
  <si>
    <t>SP0C07</t>
  </si>
  <si>
    <t>SP0F01</t>
  </si>
  <si>
    <t>SP0F02</t>
  </si>
  <si>
    <t>SP0F03</t>
  </si>
  <si>
    <t>SP0F04</t>
  </si>
  <si>
    <t>SP0F05</t>
  </si>
  <si>
    <t>SP0F07</t>
  </si>
  <si>
    <t>SP0101</t>
  </si>
  <si>
    <t>SP0102</t>
  </si>
  <si>
    <t>SP0103</t>
  </si>
  <si>
    <t>SP0104</t>
  </si>
  <si>
    <t>SP0105</t>
  </si>
  <si>
    <t>SP0107</t>
  </si>
  <si>
    <t>SP0201</t>
  </si>
  <si>
    <t>SP0202</t>
  </si>
  <si>
    <t>SP0203</t>
  </si>
  <si>
    <t>SP0204</t>
  </si>
  <si>
    <t>SP0205</t>
  </si>
  <si>
    <t>SP0207</t>
  </si>
  <si>
    <t>SP0301</t>
  </si>
  <si>
    <t>SP0302</t>
  </si>
  <si>
    <t>SP0303</t>
  </si>
  <si>
    <t>SP0304</t>
  </si>
  <si>
    <t>SP0305</t>
  </si>
  <si>
    <t>SP0307</t>
  </si>
  <si>
    <t>SP0401</t>
  </si>
  <si>
    <t>SP0402</t>
  </si>
  <si>
    <t>SP0403</t>
  </si>
  <si>
    <t>SP0404</t>
  </si>
  <si>
    <t>SP0405</t>
  </si>
  <si>
    <t>SP0407</t>
  </si>
  <si>
    <t>SP0501</t>
  </si>
  <si>
    <t>SP0502</t>
  </si>
  <si>
    <t>SP0503</t>
  </si>
  <si>
    <t>SP0504</t>
  </si>
  <si>
    <t>SP0505</t>
  </si>
  <si>
    <t>SP0507</t>
  </si>
  <si>
    <t>SP0701</t>
  </si>
  <si>
    <t>SP0702</t>
  </si>
  <si>
    <t>SP0703</t>
  </si>
  <si>
    <t>SP0704</t>
  </si>
  <si>
    <t>SP0705</t>
  </si>
  <si>
    <t>SP0707</t>
  </si>
  <si>
    <t>SP1001</t>
  </si>
  <si>
    <t>SP1002</t>
  </si>
  <si>
    <t>SP1003</t>
  </si>
  <si>
    <t>SP1004</t>
  </si>
  <si>
    <t>SP1005</t>
  </si>
  <si>
    <t>SP1007</t>
  </si>
  <si>
    <t>GARI</t>
  </si>
  <si>
    <t>SP0I01</t>
  </si>
  <si>
    <t>SP0I02</t>
  </si>
  <si>
    <t>SP0I03</t>
  </si>
  <si>
    <t>SP0I04</t>
  </si>
  <si>
    <t>SP0I05</t>
  </si>
  <si>
    <t>SP0I07</t>
  </si>
  <si>
    <t>SP0I10</t>
  </si>
  <si>
    <t>18MO</t>
  </si>
  <si>
    <t>SP1F01</t>
  </si>
  <si>
    <t>SP1F02</t>
  </si>
  <si>
    <t>SP1F03</t>
  </si>
  <si>
    <t>SP1F04</t>
  </si>
  <si>
    <t>SP1F05</t>
  </si>
  <si>
    <t>SP1F07</t>
  </si>
  <si>
    <t>SP1F10</t>
  </si>
  <si>
    <t>IAUS</t>
  </si>
  <si>
    <t>2m</t>
  </si>
  <si>
    <t>B</t>
  </si>
  <si>
    <t>Swaption Vol.</t>
  </si>
  <si>
    <t>2M</t>
  </si>
  <si>
    <t>18M</t>
  </si>
  <si>
    <t>18m</t>
  </si>
  <si>
    <t>R</t>
  </si>
  <si>
    <t>Norm.</t>
  </si>
  <si>
    <t>Contrib.</t>
  </si>
  <si>
    <t>Contrib</t>
  </si>
  <si>
    <t>Mkt Side</t>
  </si>
  <si>
    <t>Please note that the data can be shown only for the contributors you have access to on {ALLQ&lt;GO&gt;} screen.</t>
  </si>
  <si>
    <t>i.e.) The ticker for JPY Normalized Swaption Volatility for 1Yx1M is JYSN0A1 Curncy. The data you have access to will be shown on {JYSN0A1 Curncy ALLQ&lt;GO&gt;}.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</si>
</sst>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2" formatCode="0.000_ ;[Red]\-0.000\ "/>
    <numFmt numFmtId="173" formatCode="0.00_ ;[Red]\-0.00"/>
  </numFmts>
  <fonts count="13" x14ac:knownFonts="1">
    <font>
      <sz val="10"/>
      <name val="Arial"/>
    </font>
    <font>
      <sz val="8"/>
      <name val="Arial"/>
      <family val="2"/>
    </font>
    <font>
      <b/>
      <sz val="8"/>
      <color indexed="81"/>
      <name val="Tahoma"/>
      <family val="2"/>
    </font>
    <font>
      <b/>
      <sz val="14"/>
      <name val="Calibri"/>
      <family val="2"/>
    </font>
    <font>
      <sz val="12"/>
      <name val="Arial"/>
      <family val="2"/>
    </font>
    <font>
      <b/>
      <sz val="18"/>
      <name val="Calibri"/>
      <family val="2"/>
    </font>
    <font>
      <sz val="10"/>
      <name val="Arial"/>
      <family val="2"/>
    </font>
    <font>
      <i/>
      <sz val="10"/>
      <name val="Arial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2"/>
      <color rgb="FFFFFFFF"/>
      <name val="Calibri"/>
      <family val="2"/>
    </font>
  </fonts>
  <fills count="17">
    <fill>
      <patternFill patternType="none"/>
    </fill>
    <fill>
      <patternFill patternType="gray125"/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B8CCE4"/>
        </stop>
        <stop position="0.5">
          <color rgb="FFDCE6F1"/>
        </stop>
        <stop position="1">
          <color rgb="FFB8CCE4"/>
        </stop>
      </gradientFill>
    </fill>
    <fill>
      <gradientFill>
        <stop position="0">
          <color rgb="FF8DB4E2"/>
        </stop>
        <stop position="0.5">
          <color rgb="FFC5D9F1"/>
        </stop>
        <stop position="1">
          <color rgb="FF8DB4E2"/>
        </stop>
      </gradientFill>
    </fill>
    <fill>
      <gradientFill>
        <stop position="0">
          <color rgb="FF000000"/>
        </stop>
        <stop position="0.5">
          <color rgb="FF808080"/>
        </stop>
        <stop position="1">
          <color rgb="FF000000"/>
        </stop>
      </gradientFill>
    </fill>
    <fill>
      <gradientFill>
        <stop position="0">
          <color rgb="FFFABF8F"/>
        </stop>
        <stop position="0.5">
          <color rgb="FFFCD5B4"/>
        </stop>
        <stop position="1">
          <color rgb="FFFABF8F"/>
        </stop>
      </gradientFill>
    </fill>
    <fill>
      <gradientFill>
        <stop position="0">
          <color rgb="FFFCD5B4"/>
        </stop>
        <stop position="0.5">
          <color rgb="FFFDE9D9"/>
        </stop>
        <stop position="1">
          <color rgb="FFFCD5B4"/>
        </stop>
      </gradientFill>
    </fill>
    <fill>
      <gradientFill degree="270">
        <stop position="0">
          <color rgb="FFFFFFFF"/>
        </stop>
        <stop position="1">
          <color rgb="FFB8CCE4"/>
        </stop>
      </gradientFill>
    </fill>
    <fill>
      <gradientFill type="path" left="1" right="1" top="1" bottom="1">
        <stop position="0">
          <color rgb="FFFFFFFF"/>
        </stop>
        <stop position="1">
          <color rgb="FFB8CCE4"/>
        </stop>
      </gradientFill>
    </fill>
    <fill>
      <gradientFill type="path" top="1">
        <stop position="0">
          <color rgb="FFFFFFFF"/>
        </stop>
        <stop position="1">
          <color rgb="FFB8CCE4"/>
        </stop>
      </gradientFill>
    </fill>
    <fill>
      <gradientFill degree="270">
        <stop position="0">
          <color rgb="FFB8CCE4"/>
        </stop>
        <stop position="1">
          <color rgb="FFFFFFFF"/>
        </stop>
      </gradientFill>
    </fill>
    <fill>
      <gradientFill type="path" left="1">
        <stop position="0">
          <color rgb="FFFFFFFF"/>
        </stop>
        <stop position="1">
          <color rgb="FFB8CCE4"/>
        </stop>
      </gradientFill>
    </fill>
    <fill>
      <gradientFill type="path">
        <stop position="0">
          <color rgb="FFFFFFFF"/>
        </stop>
        <stop position="1">
          <color rgb="FFB8CCE4"/>
        </stop>
      </gradientFill>
    </fill>
    <fill>
      <gradientFill type="path">
        <stop position="0">
          <color rgb="FFB8CCE4"/>
        </stop>
        <stop position="1">
          <color rgb="FFFFFFFF"/>
        </stop>
      </gradientFill>
    </fill>
    <fill>
      <gradientFill degree="180">
        <stop position="0">
          <color rgb="FFFFFFFF"/>
        </stop>
        <stop position="1">
          <color rgb="FFB8CCE4"/>
        </stop>
      </gradientFill>
    </fill>
    <fill>
      <gradientFill degree="180">
        <stop position="0">
          <color rgb="FFB8CCE4"/>
        </stop>
        <stop position="1">
          <color rgb="FFFFFFFF"/>
        </stop>
      </gradient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9"/>
      </top>
      <bottom style="thin">
        <color indexed="9"/>
      </bottom>
      <diagonal/>
    </border>
    <border>
      <left style="thin">
        <color indexed="8"/>
      </left>
      <right/>
      <top style="thin">
        <color indexed="9"/>
      </top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8"/>
      </top>
      <bottom/>
      <diagonal/>
    </border>
    <border>
      <left style="thin">
        <color indexed="9"/>
      </left>
      <right style="thin">
        <color indexed="8"/>
      </right>
      <top style="thin">
        <color indexed="8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8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8"/>
      </bottom>
      <diagonal/>
    </border>
    <border>
      <left style="thin">
        <color indexed="9"/>
      </left>
      <right style="thin">
        <color indexed="8"/>
      </right>
      <top style="thin">
        <color indexed="9"/>
      </top>
      <bottom style="thin">
        <color indexed="8"/>
      </bottom>
      <diagonal/>
    </border>
    <border>
      <left style="thin">
        <color indexed="8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10" fontId="0" fillId="0" borderId="0" xfId="0" applyNumberFormat="1"/>
    <xf numFmtId="0" fontId="0" fillId="0" borderId="0" xfId="0" applyFill="1"/>
    <xf numFmtId="0" fontId="3" fillId="0" borderId="0" xfId="0" applyFont="1"/>
    <xf numFmtId="0" fontId="5" fillId="0" borderId="0" xfId="0" applyFont="1"/>
    <xf numFmtId="49" fontId="0" fillId="0" borderId="0" xfId="0" applyNumberFormat="1"/>
    <xf numFmtId="22" fontId="0" fillId="0" borderId="0" xfId="0" applyNumberFormat="1"/>
    <xf numFmtId="0" fontId="6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wrapText="1"/>
    </xf>
    <xf numFmtId="172" fontId="8" fillId="2" borderId="4" xfId="0" applyNumberFormat="1" applyFont="1" applyFill="1" applyBorder="1" applyAlignment="1">
      <alignment horizontal="center" vertical="center"/>
    </xf>
    <xf numFmtId="172" fontId="8" fillId="2" borderId="5" xfId="0" applyNumberFormat="1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 wrapText="1"/>
    </xf>
    <xf numFmtId="14" fontId="8" fillId="2" borderId="6" xfId="0" applyNumberFormat="1" applyFont="1" applyFill="1" applyBorder="1" applyAlignment="1">
      <alignment horizontal="center" vertical="center" shrinkToFit="1"/>
    </xf>
    <xf numFmtId="0" fontId="8" fillId="2" borderId="6" xfId="0" applyFont="1" applyFill="1" applyBorder="1" applyAlignment="1">
      <alignment horizontal="center" vertical="center"/>
    </xf>
    <xf numFmtId="14" fontId="8" fillId="2" borderId="6" xfId="0" applyNumberFormat="1" applyFont="1" applyFill="1" applyBorder="1" applyAlignment="1">
      <alignment horizontal="center" vertical="center" wrapText="1" shrinkToFit="1"/>
    </xf>
    <xf numFmtId="14" fontId="8" fillId="2" borderId="7" xfId="0" applyNumberFormat="1" applyFont="1" applyFill="1" applyBorder="1" applyAlignment="1">
      <alignment horizontal="center" vertical="center" wrapText="1" shrinkToFit="1"/>
    </xf>
    <xf numFmtId="173" fontId="9" fillId="3" borderId="8" xfId="0" applyNumberFormat="1" applyFont="1" applyFill="1" applyBorder="1" applyAlignment="1">
      <alignment horizontal="center" vertical="center"/>
    </xf>
    <xf numFmtId="173" fontId="9" fillId="3" borderId="9" xfId="0" applyNumberFormat="1" applyFont="1" applyFill="1" applyBorder="1" applyAlignment="1">
      <alignment horizontal="center" vertical="center"/>
    </xf>
    <xf numFmtId="173" fontId="9" fillId="4" borderId="8" xfId="0" applyNumberFormat="1" applyFont="1" applyFill="1" applyBorder="1" applyAlignment="1">
      <alignment horizontal="center" vertical="center"/>
    </xf>
    <xf numFmtId="173" fontId="9" fillId="4" borderId="9" xfId="0" applyNumberFormat="1" applyFont="1" applyFill="1" applyBorder="1" applyAlignment="1">
      <alignment horizontal="center" vertical="center"/>
    </xf>
    <xf numFmtId="173" fontId="9" fillId="4" borderId="10" xfId="0" applyNumberFormat="1" applyFont="1" applyFill="1" applyBorder="1" applyAlignment="1">
      <alignment horizontal="center" vertical="center"/>
    </xf>
    <xf numFmtId="173" fontId="9" fillId="4" borderId="11" xfId="0" applyNumberFormat="1" applyFont="1" applyFill="1" applyBorder="1" applyAlignment="1">
      <alignment horizontal="center" vertical="center"/>
    </xf>
    <xf numFmtId="172" fontId="8" fillId="2" borderId="12" xfId="0" applyNumberFormat="1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 wrapText="1"/>
    </xf>
    <xf numFmtId="172" fontId="8" fillId="2" borderId="14" xfId="0" applyNumberFormat="1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14" fontId="10" fillId="6" borderId="16" xfId="0" applyNumberFormat="1" applyFont="1" applyFill="1" applyBorder="1" applyAlignment="1">
      <alignment horizontal="center" vertical="center"/>
    </xf>
    <xf numFmtId="14" fontId="10" fillId="7" borderId="7" xfId="0" applyNumberFormat="1" applyFont="1" applyFill="1" applyBorder="1" applyAlignment="1">
      <alignment horizontal="center" vertical="center"/>
    </xf>
    <xf numFmtId="10" fontId="8" fillId="2" borderId="6" xfId="0" applyNumberFormat="1" applyFont="1" applyFill="1" applyBorder="1" applyAlignment="1">
      <alignment horizontal="center" vertical="center"/>
    </xf>
    <xf numFmtId="10" fontId="8" fillId="2" borderId="7" xfId="0" applyNumberFormat="1" applyFont="1" applyFill="1" applyBorder="1" applyAlignment="1">
      <alignment horizontal="center" vertical="center"/>
    </xf>
    <xf numFmtId="172" fontId="8" fillId="2" borderId="6" xfId="0" applyNumberFormat="1" applyFont="1" applyFill="1" applyBorder="1" applyAlignment="1">
      <alignment horizontal="center" vertical="center"/>
    </xf>
    <xf numFmtId="172" fontId="8" fillId="2" borderId="7" xfId="0" applyNumberFormat="1" applyFont="1" applyFill="1" applyBorder="1" applyAlignment="1">
      <alignment horizontal="center" vertical="center"/>
    </xf>
    <xf numFmtId="14" fontId="10" fillId="6" borderId="17" xfId="0" applyNumberFormat="1" applyFont="1" applyFill="1" applyBorder="1" applyAlignment="1">
      <alignment horizontal="center" vertical="center"/>
    </xf>
    <xf numFmtId="0" fontId="12" fillId="5" borderId="19" xfId="0" applyFont="1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172" fontId="8" fillId="2" borderId="20" xfId="0" applyNumberFormat="1" applyFont="1" applyFill="1" applyBorder="1" applyAlignment="1">
      <alignment horizontal="center" vertical="center"/>
    </xf>
    <xf numFmtId="172" fontId="8" fillId="2" borderId="21" xfId="0" applyNumberFormat="1" applyFont="1" applyFill="1" applyBorder="1" applyAlignment="1">
      <alignment horizontal="center" vertical="center"/>
    </xf>
    <xf numFmtId="172" fontId="8" fillId="2" borderId="22" xfId="0" applyNumberFormat="1" applyFont="1" applyFill="1" applyBorder="1" applyAlignment="1">
      <alignment horizontal="center" vertical="center"/>
    </xf>
    <xf numFmtId="172" fontId="8" fillId="2" borderId="23" xfId="0" applyNumberFormat="1" applyFont="1" applyFill="1" applyBorder="1" applyAlignment="1">
      <alignment horizontal="center" vertical="center"/>
    </xf>
    <xf numFmtId="173" fontId="9" fillId="4" borderId="24" xfId="0" applyNumberFormat="1" applyFont="1" applyFill="1" applyBorder="1" applyAlignment="1">
      <alignment horizontal="center" vertical="center"/>
    </xf>
    <xf numFmtId="173" fontId="9" fillId="3" borderId="24" xfId="0" applyNumberFormat="1" applyFont="1" applyFill="1" applyBorder="1" applyAlignment="1">
      <alignment horizontal="center" vertical="center"/>
    </xf>
    <xf numFmtId="172" fontId="8" fillId="2" borderId="25" xfId="0" applyNumberFormat="1" applyFont="1" applyFill="1" applyBorder="1" applyAlignment="1">
      <alignment horizontal="center" vertical="center"/>
    </xf>
    <xf numFmtId="173" fontId="9" fillId="4" borderId="26" xfId="0" applyNumberFormat="1" applyFont="1" applyFill="1" applyBorder="1" applyAlignment="1">
      <alignment horizontal="center" vertical="center"/>
    </xf>
    <xf numFmtId="173" fontId="9" fillId="4" borderId="27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5" borderId="28" xfId="0" applyFont="1" applyFill="1" applyBorder="1" applyAlignment="1">
      <alignment vertical="center"/>
    </xf>
    <xf numFmtId="14" fontId="8" fillId="2" borderId="13" xfId="0" applyNumberFormat="1" applyFont="1" applyFill="1" applyBorder="1" applyAlignment="1">
      <alignment horizontal="center" vertical="center" shrinkToFit="1"/>
    </xf>
    <xf numFmtId="0" fontId="8" fillId="2" borderId="13" xfId="0" applyFont="1" applyFill="1" applyBorder="1" applyAlignment="1">
      <alignment horizontal="center" vertical="center"/>
    </xf>
    <xf numFmtId="14" fontId="11" fillId="7" borderId="15" xfId="0" applyNumberFormat="1" applyFont="1" applyFill="1" applyBorder="1" applyAlignment="1">
      <alignment horizontal="left" vertical="center"/>
    </xf>
    <xf numFmtId="14" fontId="11" fillId="7" borderId="18" xfId="0" applyNumberFormat="1" applyFont="1" applyFill="1" applyBorder="1" applyAlignment="1">
      <alignment horizontal="left" vertical="center"/>
    </xf>
    <xf numFmtId="14" fontId="10" fillId="6" borderId="29" xfId="0" applyNumberFormat="1" applyFont="1" applyFill="1" applyBorder="1" applyAlignment="1">
      <alignment horizontal="center" vertical="center"/>
    </xf>
    <xf numFmtId="14" fontId="10" fillId="6" borderId="18" xfId="0" applyNumberFormat="1" applyFont="1" applyFill="1" applyBorder="1" applyAlignment="1">
      <alignment horizontal="center" vertical="center"/>
    </xf>
    <xf numFmtId="0" fontId="0" fillId="14" borderId="0" xfId="0" applyFill="1" applyAlignment="1"/>
    <xf numFmtId="0" fontId="0" fillId="0" borderId="0" xfId="0" applyAlignment="1"/>
    <xf numFmtId="0" fontId="0" fillId="15" borderId="0" xfId="0" applyFill="1" applyAlignment="1"/>
    <xf numFmtId="0" fontId="0" fillId="8" borderId="0" xfId="0" applyFill="1" applyAlignment="1"/>
    <xf numFmtId="0" fontId="0" fillId="16" borderId="0" xfId="0" applyFill="1" applyAlignment="1"/>
    <xf numFmtId="0" fontId="0" fillId="9" borderId="0" xfId="0" applyFill="1" applyAlignment="1"/>
    <xf numFmtId="0" fontId="0" fillId="10" borderId="0" xfId="0" applyFill="1" applyAlignment="1"/>
    <xf numFmtId="0" fontId="0" fillId="11" borderId="0" xfId="0" applyFill="1" applyAlignment="1"/>
    <xf numFmtId="0" fontId="0" fillId="12" borderId="0" xfId="0" applyFill="1" applyAlignment="1"/>
    <xf numFmtId="0" fontId="0" fillId="13" borderId="0" xfId="0" applyFill="1" applyAlignment="1"/>
  </cellXfs>
  <cellStyles count="1">
    <cellStyle name="Normal" xfId="0" builtinId="0"/>
  </cellStyles>
  <dxfs count="1">
    <dxf>
      <font>
        <condense val="0"/>
        <extend val="0"/>
        <color indexed="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8F8F8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F79646"/>
      <rgbColor rgb="0025B14A"/>
      <rgbColor rgb="00810000"/>
      <rgbColor rgb="00008080"/>
      <rgbColor rgb="00EEEEEE"/>
      <rgbColor rgb="007D7D7D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DD5"/>
      <rgbColor rgb="00FFCC99"/>
      <rgbColor rgb="00477AB7"/>
      <rgbColor rgb="0033CCCC"/>
      <rgbColor rgb="0099CC00"/>
      <rgbColor rgb="00FFCC00"/>
      <rgbColor rgb="00FAB882"/>
      <rgbColor rgb="00FF6600"/>
      <rgbColor rgb="00666699"/>
      <rgbColor rgb="00E0E0E0"/>
      <rgbColor rgb="00003366"/>
      <rgbColor rgb="00649955"/>
      <rgbColor rgb="00003300"/>
      <rgbColor rgb="00333300"/>
      <rgbColor rgb="00993300"/>
      <rgbColor rgb="00BC4D10"/>
      <rgbColor rgb="00FAC090"/>
      <rgbColor rgb="00FCD5B4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37.435000000000002</v>
        <stp/>
        <stp>##V3_BDPV12</stp>
        <stp>USCF705  BBIR Curncy</stp>
        <stp>PX MID</stp>
        <stp>[XVLA.xls]Data!R38C18</stp>
        <tr r="R38" s="1"/>
      </tp>
      <tp>
        <v>44.335000000000001</v>
        <stp/>
        <stp>##V3_BDPV12</stp>
        <stp>USCF305  BBIR Curncy</stp>
        <stp>PX MID</stp>
        <stp>[XVLA.xls]Data!R38C14</stp>
        <tr r="N38" s="1"/>
      </tp>
      <tp>
        <v>40.24</v>
        <stp/>
        <stp>##V3_BDPV12</stp>
        <stp>USCF505  BBIR Curncy</stp>
        <stp>PX MID</stp>
        <stp>[XVLA.xls]Data!R38C16</stp>
        <tr r="P38" s="1"/>
      </tp>
      <tp>
        <v>47.475000000000001</v>
        <stp/>
        <stp>##V3_BDPV12</stp>
        <stp>USCF205  BBIR Curncy</stp>
        <stp>PX MID</stp>
        <stp>[XVLA.xls]Data!R38C12</stp>
        <tr r="L38" s="1"/>
      </tp>
      <tp>
        <v>49.564999999999998</v>
        <stp/>
        <stp>##V3_BDPV12</stp>
        <stp>USCF155  BBIR Curncy</stp>
        <stp>PX MID</stp>
        <stp>[XVLA.xls]Data!R38C11</stp>
        <tr r="K38" s="1"/>
      </tp>
      <tp>
        <v>52.6</v>
        <stp/>
        <stp>##V3_BDPV12</stp>
        <stp>USCF105  BBIR Curncy</stp>
        <stp>PX MID</stp>
        <stp>[XVLA.xls]Data!R38C10</stp>
        <tr r="J38" s="1"/>
      </tp>
      <tp>
        <v>42.06</v>
        <stp/>
        <stp>##V3_BDPV12</stp>
        <stp>USCF405  BBIR Curncy</stp>
        <stp>PX MID</stp>
        <stp>[XVLA.xls]Data!R38C15</stp>
        <tr r="O38" s="1"/>
      </tp>
      <tp>
        <v>38.72</v>
        <stp/>
        <stp>##V3_BDPV12</stp>
        <stp>USCF605  BBIR Curncy</stp>
        <stp>PX MID</stp>
        <stp>[XVLA.xls]Data!R38C17</stp>
        <tr r="Q38" s="1"/>
      </tp>
      <tp>
        <v>36.33</v>
        <stp/>
        <stp>##V3_BDPV12</stp>
        <stp>USCF805  BBIR Curncy</stp>
        <stp>PX MID</stp>
        <stp>[XVLA.xls]Data!R38C19</stp>
        <tr r="S38" s="1"/>
      </tp>
      <tp t="s">
        <v>#N/A N/A</v>
        <stp/>
        <stp>##V3_BDPV12</stp>
        <stp>USCF255  BBIR Curncy</stp>
        <stp>PX MID</stp>
        <stp>[XVLA.xls]Data!R38C13</stp>
        <tr r="M38" s="1"/>
      </tp>
      <tp>
        <v>35.369999999999997</v>
        <stp/>
        <stp>##V3_BDPV12</stp>
        <stp>USCF905  BBIR Curncy</stp>
        <stp>PX MID</stp>
        <stp>[XVLA.xls]Data!R38C20</stp>
        <tr r="T38" s="1"/>
      </tp>
      <tp t="s">
        <v>#N/A Field Not Applicable</v>
        <stp/>
        <stp>##V3_BDPV12</stp>
        <stp>USCF055  BBIR Curncy</stp>
        <stp>PX MID</stp>
        <stp>[XVLA.xls]Data!R38C26</stp>
        <tr r="Z38" s="1"/>
      </tp>
      <tp>
        <v>32.534999999999997</v>
        <stp/>
        <stp>##V3_BDPV12</stp>
        <stp>USCF035  BBIR Curncy</stp>
        <stp>PX MID</stp>
        <stp>[XVLA.xls]Data!R38C24</stp>
        <tr r="X38" s="1"/>
      </tp>
      <tp>
        <v>32</v>
        <stp/>
        <stp>##V3_BDPV12</stp>
        <stp>USCF045  BBIR Curncy</stp>
        <stp>PX MID</stp>
        <stp>[XVLA.xls]Data!R38C25</stp>
        <tr r="Y38" s="1"/>
      </tp>
      <tp>
        <v>33.79</v>
        <stp/>
        <stp>##V3_BDPV12</stp>
        <stp>USCF015  BBIR Curncy</stp>
        <stp>PX MID</stp>
        <stp>[XVLA.xls]Data!R38C22</stp>
        <tr r="V38" s="1"/>
      </tp>
      <tp>
        <v>33.125</v>
        <stp/>
        <stp>##V3_BDPV12</stp>
        <stp>USCF025  BBIR Curncy</stp>
        <stp>PX MID</stp>
        <stp>[XVLA.xls]Data!R38C23</stp>
        <tr r="W38" s="1"/>
      </tp>
      <tp t="s">
        <v>#N/A Invalid Security</v>
        <stp/>
        <stp>##V3_BDPV12</stp>
        <stp>USPER1 ICPL Curncy</stp>
        <stp>ASK</stp>
        <stp>[XVLA.xls]Data!R82C5</stp>
        <tr r="E82" s="1"/>
      </tp>
      <tp t="s">
        <v>#N/A Invalid Security</v>
        <stp/>
        <stp>##V3_BDPV12</stp>
        <stp>USPER2 ICPL Curncy</stp>
        <stp>ASK</stp>
        <stp>[XVLA.xls]Data!R82C6</stp>
        <tr r="F82" s="1"/>
      </tp>
      <tp t="s">
        <v>#N/A Invalid Security</v>
        <stp/>
        <stp>##V3_BDPV12</stp>
        <stp>USPER3 ICPL Curncy</stp>
        <stp>ASK</stp>
        <stp>[XVLA.xls]Data!R82C7</stp>
        <tr r="G82" s="1"/>
      </tp>
      <tp t="s">
        <v>#N/A Invalid Security</v>
        <stp/>
        <stp>##V3_BDPV12</stp>
        <stp>USPER4 ICPL Curncy</stp>
        <stp>ASK</stp>
        <stp>[XVLA.xls]Data!R82C8</stp>
        <tr r="H82" s="1"/>
      </tp>
      <tp t="s">
        <v>#N/A Invalid Security</v>
        <stp/>
        <stp>##V3_BDPV12</stp>
        <stp>USPER5 ICPL Curncy</stp>
        <stp>ASK</stp>
        <stp>[XVLA.xls]Data!R82C9</stp>
        <tr r="I82" s="1"/>
      </tp>
      <tp>
        <v>39.064999999999998</v>
        <stp/>
        <stp>##V3_BDPV12</stp>
        <stp>USCF704  BBIR Curncy</stp>
        <stp>PX MID</stp>
        <stp>[XVLA.xls]Data!R37C18</stp>
        <tr r="R37" s="1"/>
      </tp>
      <tp>
        <v>44.4</v>
        <stp/>
        <stp>##V3_BDPV12</stp>
        <stp>USCF304  BBIR Curncy</stp>
        <stp>PX MID</stp>
        <stp>[XVLA.xls]Data!R37C14</stp>
        <tr r="N37" s="1"/>
      </tp>
      <tp>
        <v>41.265000000000001</v>
        <stp/>
        <stp>##V3_BDPV12</stp>
        <stp>USCF504  BBIR Curncy</stp>
        <stp>PX MID</stp>
        <stp>[XVLA.xls]Data!R37C16</stp>
        <tr r="P37" s="1"/>
      </tp>
      <tp>
        <v>48.625</v>
        <stp/>
        <stp>##V3_BDPV12</stp>
        <stp>USCF154  BBIR Curncy</stp>
        <stp>PX MID</stp>
        <stp>[XVLA.xls]Data!R37C11</stp>
        <tr r="K37" s="1"/>
      </tp>
      <tp>
        <v>46.945</v>
        <stp/>
        <stp>##V3_BDPV12</stp>
        <stp>USCF204  BBIR Curncy</stp>
        <stp>PX MID</stp>
        <stp>[XVLA.xls]Data!R37C12</stp>
        <tr r="L37" s="1"/>
      </tp>
      <tp t="s">
        <v>#N/A N/A</v>
        <stp/>
        <stp>##V3_BDPV12</stp>
        <stp>USCF254  BBIR Curncy</stp>
        <stp>PX MID</stp>
        <stp>[XVLA.xls]Data!R37C13</stp>
        <tr r="M37" s="1"/>
      </tp>
      <tp>
        <v>51.064999999999998</v>
        <stp/>
        <stp>##V3_BDPV12</stp>
        <stp>USCF104  BBIR Curncy</stp>
        <stp>PX MID</stp>
        <stp>[XVLA.xls]Data!R37C10</stp>
        <tr r="J37" s="1"/>
      </tp>
      <tp>
        <v>42.655000000000001</v>
        <stp/>
        <stp>##V3_BDPV12</stp>
        <stp>USCF404  BBIR Curncy</stp>
        <stp>PX MID</stp>
        <stp>[XVLA.xls]Data!R37C15</stp>
        <tr r="O37" s="1"/>
      </tp>
      <tp>
        <v>40.090000000000003</v>
        <stp/>
        <stp>##V3_BDPV12</stp>
        <stp>USCF604  BBIR Curncy</stp>
        <stp>PX MID</stp>
        <stp>[XVLA.xls]Data!R37C17</stp>
        <tr r="Q37" s="1"/>
      </tp>
      <tp>
        <v>38.159999999999997</v>
        <stp/>
        <stp>##V3_BDPV12</stp>
        <stp>USCF804  BBIR Curncy</stp>
        <stp>PX MID</stp>
        <stp>[XVLA.xls]Data!R37C19</stp>
        <tr r="S37" s="1"/>
      </tp>
      <tp>
        <v>37.354999999999997</v>
        <stp/>
        <stp>##V3_BDPV12</stp>
        <stp>USCF904  BBIR Curncy</stp>
        <stp>PX MID</stp>
        <stp>[XVLA.xls]Data!R37C20</stp>
        <tr r="T37" s="1"/>
      </tp>
      <tp t="s">
        <v>#N/A Field Not Applicable</v>
        <stp/>
        <stp>##V3_BDPV12</stp>
        <stp>USCF054  BBIR Curncy</stp>
        <stp>PX MID</stp>
        <stp>[XVLA.xls]Data!R37C26</stp>
        <tr r="Z37" s="1"/>
      </tp>
      <tp>
        <v>34.85</v>
        <stp/>
        <stp>##V3_BDPV12</stp>
        <stp>USCF034  BBIR Curncy</stp>
        <stp>PX MID</stp>
        <stp>[XVLA.xls]Data!R37C24</stp>
        <tr r="X37" s="1"/>
      </tp>
      <tp>
        <v>34.354999999999997</v>
        <stp/>
        <stp>##V3_BDPV12</stp>
        <stp>USCF044  BBIR Curncy</stp>
        <stp>PX MID</stp>
        <stp>[XVLA.xls]Data!R37C25</stp>
        <tr r="Y37" s="1"/>
      </tp>
      <tp>
        <v>35.984999999999999</v>
        <stp/>
        <stp>##V3_BDPV12</stp>
        <stp>USCF014  BBIR Curncy</stp>
        <stp>PX MID</stp>
        <stp>[XVLA.xls]Data!R37C22</stp>
        <tr r="V37" s="1"/>
      </tp>
      <tp>
        <v>35.39</v>
        <stp/>
        <stp>##V3_BDPV12</stp>
        <stp>USCF024  BBIR Curncy</stp>
        <stp>PX MID</stp>
        <stp>[XVLA.xls]Data!R37C23</stp>
        <tr r="W37" s="1"/>
      </tp>
      <tp>
        <v>33.795000000000002</v>
        <stp/>
        <stp>##V3_BDPV12</stp>
        <stp>USCF707  BBIR Curncy</stp>
        <stp>PX MID</stp>
        <stp>[XVLA.xls]Data!R40C18</stp>
        <tr r="R40" s="1"/>
      </tp>
      <tp>
        <v>56.774999999999999</v>
        <stp/>
        <stp>##V3_BDPV12</stp>
        <stp>USCF107  BBIR Curncy</stp>
        <stp>PX MID</stp>
        <stp>[XVLA.xls]Data!R40C10</stp>
        <tr r="J40" s="1"/>
      </tp>
      <tp>
        <v>37.895000000000003</v>
        <stp/>
        <stp>##V3_BDPV12</stp>
        <stp>USCF407  BBIR Curncy</stp>
        <stp>PX MID</stp>
        <stp>[XVLA.xls]Data!R40C15</stp>
        <tr r="O40" s="1"/>
      </tp>
      <tp>
        <v>34.659999999999997</v>
        <stp/>
        <stp>##V3_BDPV12</stp>
        <stp>USCF607  BBIR Curncy</stp>
        <stp>PX MID</stp>
        <stp>[XVLA.xls]Data!R40C17</stp>
        <tr r="Q40" s="1"/>
      </tp>
      <tp>
        <v>33.265000000000001</v>
        <stp/>
        <stp>##V3_BDPV12</stp>
        <stp>USCF807  BBIR Curncy</stp>
        <stp>PX MID</stp>
        <stp>[XVLA.xls]Data!R40C19</stp>
        <tr r="S40" s="1"/>
      </tp>
      <tp t="s">
        <v>#N/A N/A</v>
        <stp/>
        <stp>##V3_BDPV12</stp>
        <stp>USCF257  BBIR Curncy</stp>
        <stp>PX MID</stp>
        <stp>[XVLA.xls]Data!R40C13</stp>
        <tr r="M40" s="1"/>
      </tp>
      <tp>
        <v>46.05</v>
        <stp/>
        <stp>##V3_BDPV12</stp>
        <stp>USCF207  BBIR Curncy</stp>
        <stp>PX MID</stp>
        <stp>[XVLA.xls]Data!R40C12</stp>
        <tr r="L40" s="1"/>
      </tp>
      <tp>
        <v>50.185000000000002</v>
        <stp/>
        <stp>##V3_BDPV12</stp>
        <stp>USCF157  BBIR Curncy</stp>
        <stp>PX MID</stp>
        <stp>[XVLA.xls]Data!R40C11</stp>
        <tr r="K40" s="1"/>
      </tp>
      <tp>
        <v>35.965000000000003</v>
        <stp/>
        <stp>##V3_BDPV12</stp>
        <stp>USCF507  BBIR Curncy</stp>
        <stp>PX MID</stp>
        <stp>[XVLA.xls]Data!R40C16</stp>
        <tr r="P40" s="1"/>
      </tp>
      <tp>
        <v>40.880000000000003</v>
        <stp/>
        <stp>##V3_BDPV12</stp>
        <stp>USCF307  BBIR Curncy</stp>
        <stp>PX MID</stp>
        <stp>[XVLA.xls]Data!R40C14</stp>
        <tr r="N40" s="1"/>
      </tp>
      <tp>
        <v>32.99</v>
        <stp/>
        <stp>##V3_BDPV12</stp>
        <stp>USCF907  BBIR Curncy</stp>
        <stp>PX MID</stp>
        <stp>[XVLA.xls]Data!R40C20</stp>
        <tr r="T40" s="1"/>
      </tp>
      <tp>
        <v>33</v>
        <stp/>
        <stp>##V3_BDPV12</stp>
        <stp>USCF027  BBIR Curncy</stp>
        <stp>PX MID</stp>
        <stp>[XVLA.xls]Data!R40C23</stp>
        <tr r="W40" s="1"/>
      </tp>
      <tp>
        <v>32.909999999999997</v>
        <stp/>
        <stp>##V3_BDPV12</stp>
        <stp>USCF017  BBIR Curncy</stp>
        <stp>PX MID</stp>
        <stp>[XVLA.xls]Data!R40C22</stp>
        <tr r="V40" s="1"/>
      </tp>
      <tp>
        <v>33.265000000000001</v>
        <stp/>
        <stp>##V3_BDPV12</stp>
        <stp>USCF047  BBIR Curncy</stp>
        <stp>PX MID</stp>
        <stp>[XVLA.xls]Data!R40C25</stp>
        <tr r="Y40" s="1"/>
      </tp>
      <tp>
        <v>33.119999999999997</v>
        <stp/>
        <stp>##V3_BDPV12</stp>
        <stp>USCF037  BBIR Curncy</stp>
        <stp>PX MID</stp>
        <stp>[XVLA.xls]Data!R40C24</stp>
        <tr r="X40" s="1"/>
      </tp>
      <tp t="s">
        <v>#N/A Field Not Applicable</v>
        <stp/>
        <stp>##V3_BDPV12</stp>
        <stp>USCF057  BBIR Curncy</stp>
        <stp>PX MID</stp>
        <stp>[XVLA.xls]Data!R40C26</stp>
        <tr r="Z40" s="1"/>
      </tp>
      <tp>
        <v>36.685000000000002</v>
        <stp/>
        <stp>##V3_BDPV12</stp>
        <stp>USCF706  BBIR Curncy</stp>
        <stp>PX MID</stp>
        <stp>[XVLA.xls]Data!R39C18</stp>
        <tr r="R39" s="1"/>
      </tp>
      <tp>
        <v>42.1</v>
        <stp/>
        <stp>##V3_BDPV12</stp>
        <stp>USCF306  BBIR Curncy</stp>
        <stp>PX MID</stp>
        <stp>[XVLA.xls]Data!R39C14</stp>
        <tr r="N39" s="1"/>
      </tp>
      <tp>
        <v>38.295000000000002</v>
        <stp/>
        <stp>##V3_BDPV12</stp>
        <stp>USCF506  BBIR Curncy</stp>
        <stp>PX MID</stp>
        <stp>[XVLA.xls]Data!R39C16</stp>
        <tr r="P39" s="1"/>
      </tp>
      <tp>
        <v>46.305</v>
        <stp/>
        <stp>##V3_BDPV12</stp>
        <stp>USCF206  BBIR Curncy</stp>
        <stp>PX MID</stp>
        <stp>[XVLA.xls]Data!R39C12</stp>
        <tr r="L39" s="1"/>
      </tp>
      <tp>
        <v>49.68</v>
        <stp/>
        <stp>##V3_BDPV12</stp>
        <stp>USCF156  BBIR Curncy</stp>
        <stp>PX MID</stp>
        <stp>[XVLA.xls]Data!R39C11</stp>
        <tr r="K39" s="1"/>
      </tp>
      <tp>
        <v>55</v>
        <stp/>
        <stp>##V3_BDPV12</stp>
        <stp>USCF106  BBIR Curncy</stp>
        <stp>PX MID</stp>
        <stp>[XVLA.xls]Data!R39C10</stp>
        <tr r="J39" s="1"/>
      </tp>
      <tp>
        <v>39.765000000000001</v>
        <stp/>
        <stp>##V3_BDPV12</stp>
        <stp>USCF406  BBIR Curncy</stp>
        <stp>PX MID</stp>
        <stp>[XVLA.xls]Data!R39C15</stp>
        <tr r="O39" s="1"/>
      </tp>
      <tp>
        <v>37.32</v>
        <stp/>
        <stp>##V3_BDPV12</stp>
        <stp>USCF606  BBIR Curncy</stp>
        <stp>PX MID</stp>
        <stp>[XVLA.xls]Data!R39C17</stp>
        <tr r="Q39" s="1"/>
      </tp>
      <tp>
        <v>36.295000000000002</v>
        <stp/>
        <stp>##V3_BDPV12</stp>
        <stp>USCF806  BBIR Curncy</stp>
        <stp>PX MID</stp>
        <stp>[XVLA.xls]Data!R39C19</stp>
        <tr r="S39" s="1"/>
      </tp>
      <tp t="s">
        <v>#N/A N/A</v>
        <stp/>
        <stp>##V3_BDPV12</stp>
        <stp>USCF256  BBIR Curncy</stp>
        <stp>PX MID</stp>
        <stp>[XVLA.xls]Data!R39C13</stp>
        <tr r="M39" s="1"/>
      </tp>
      <tp>
        <v>36.094999999999999</v>
        <stp/>
        <stp>##V3_BDPV12</stp>
        <stp>USCF906  BBIR Curncy</stp>
        <stp>PX MID</stp>
        <stp>[XVLA.xls]Data!R39C20</stp>
        <tr r="T39" s="1"/>
      </tp>
      <tp t="s">
        <v>#N/A Field Not Applicable</v>
        <stp/>
        <stp>##V3_BDPV12</stp>
        <stp>USCF056  BBIR Curncy</stp>
        <stp>PX MID</stp>
        <stp>[XVLA.xls]Data!R39C26</stp>
        <tr r="Z39" s="1"/>
      </tp>
      <tp>
        <v>36.29</v>
        <stp/>
        <stp>##V3_BDPV12</stp>
        <stp>USCF036  BBIR Curncy</stp>
        <stp>PX MID</stp>
        <stp>[XVLA.xls]Data!R39C24</stp>
        <tr r="X39" s="1"/>
      </tp>
      <tp>
        <v>36.450000000000003</v>
        <stp/>
        <stp>##V3_BDPV12</stp>
        <stp>USCF046  BBIR Curncy</stp>
        <stp>PX MID</stp>
        <stp>[XVLA.xls]Data!R39C25</stp>
        <tr r="Y39" s="1"/>
      </tp>
      <tp>
        <v>36.06</v>
        <stp/>
        <stp>##V3_BDPV12</stp>
        <stp>USCF016  BBIR Curncy</stp>
        <stp>PX MID</stp>
        <stp>[XVLA.xls]Data!R39C22</stp>
        <tr r="V39" s="1"/>
      </tp>
      <tp>
        <v>36.15</v>
        <stp/>
        <stp>##V3_BDPV12</stp>
        <stp>USCF026  BBIR Curncy</stp>
        <stp>PX MID</stp>
        <stp>[XVLA.xls]Data!R39C23</stp>
        <tr r="W39" s="1"/>
      </tp>
      <tp>
        <v>32.630000000000003</v>
        <stp/>
        <stp>##V3_BDPV12</stp>
        <stp>USCF7010 BBIR Curncy</stp>
        <stp>PX MID</stp>
        <stp>[XVLA.xls]Data!R43C18</stp>
        <tr r="R43" s="1"/>
      </tp>
      <tp>
        <v>57.85</v>
        <stp/>
        <stp>##V3_BDPV12</stp>
        <stp>USCF1010 BBIR Curncy</stp>
        <stp>PX MID</stp>
        <stp>[XVLA.xls]Data!R43C10</stp>
        <tr r="J43" s="1"/>
      </tp>
      <tp>
        <v>35.92</v>
        <stp/>
        <stp>##V3_BDPV12</stp>
        <stp>USCF4010 BBIR Curncy</stp>
        <stp>PX MID</stp>
        <stp>[XVLA.xls]Data!R43C15</stp>
        <tr r="O43" s="1"/>
      </tp>
      <tp>
        <v>33.28</v>
        <stp/>
        <stp>##V3_BDPV12</stp>
        <stp>USCF6010 BBIR Curncy</stp>
        <stp>PX MID</stp>
        <stp>[XVLA.xls]Data!R43C17</stp>
        <tr r="Q43" s="1"/>
      </tp>
      <tp>
        <v>32.200000000000003</v>
        <stp/>
        <stp>##V3_BDPV12</stp>
        <stp>USCF8010 BBIR Curncy</stp>
        <stp>PX MID</stp>
        <stp>[XVLA.xls]Data!R43C19</stp>
        <tr r="S43" s="1"/>
      </tp>
      <tp t="s">
        <v>#N/A N/A</v>
        <stp/>
        <stp>##V3_BDPV12</stp>
        <stp>USCF2510 BBIR Curncy</stp>
        <stp>PX MID</stp>
        <stp>[XVLA.xls]Data!R43C13</stp>
        <tr r="M43" s="1"/>
      </tp>
      <tp>
        <v>44.555</v>
        <stp/>
        <stp>##V3_BDPV12</stp>
        <stp>USCF2010 BBIR Curncy</stp>
        <stp>PX MID</stp>
        <stp>[XVLA.xls]Data!R43C12</stp>
        <tr r="L43" s="1"/>
      </tp>
      <tp>
        <v>49.55</v>
        <stp/>
        <stp>##V3_BDPV12</stp>
        <stp>USCF1510 BBIR Curncy</stp>
        <stp>PX MID</stp>
        <stp>[XVLA.xls]Data!R43C11</stp>
        <tr r="K43" s="1"/>
      </tp>
      <tp>
        <v>34.284999999999997</v>
        <stp/>
        <stp>##V3_BDPV12</stp>
        <stp>USCF5010 BBIR Curncy</stp>
        <stp>PX MID</stp>
        <stp>[XVLA.xls]Data!R43C16</stp>
        <tr r="P43" s="1"/>
      </tp>
      <tp>
        <v>38.82</v>
        <stp/>
        <stp>##V3_BDPV12</stp>
        <stp>USCF3010 BBIR Curncy</stp>
        <stp>PX MID</stp>
        <stp>[XVLA.xls]Data!R43C14</stp>
        <tr r="N43" s="1"/>
      </tp>
      <tp>
        <v>31.96</v>
        <stp/>
        <stp>##V3_BDPV12</stp>
        <stp>USCF9012 BBIR Curncy</stp>
        <stp>PX MID</stp>
        <stp>[XVLA.xls]Data!R44C20</stp>
        <tr r="T44" s="1"/>
      </tp>
      <tp>
        <v>32.01</v>
        <stp/>
        <stp>##V3_BDPV12</stp>
        <stp>USCF0012 BBIR Curncy</stp>
        <stp>PX MID</stp>
        <stp>[XVLA.xls]Data!R44C21</stp>
        <tr r="U44" s="1"/>
      </tp>
      <tp>
        <v>32.229999999999997</v>
        <stp/>
        <stp>##V3_BDPV12</stp>
        <stp>USCF0212 BBIR Curncy</stp>
        <stp>PX MID</stp>
        <stp>[XVLA.xls]Data!R44C23</stp>
        <tr r="W44" s="1"/>
      </tp>
      <tp>
        <v>32.11</v>
        <stp/>
        <stp>##V3_BDPV12</stp>
        <stp>USCF0112 BBIR Curncy</stp>
        <stp>PX MID</stp>
        <stp>[XVLA.xls]Data!R44C22</stp>
        <tr r="V44" s="1"/>
      </tp>
      <tp>
        <v>32.520000000000003</v>
        <stp/>
        <stp>##V3_BDPV12</stp>
        <stp>USCF0412 BBIR Curncy</stp>
        <stp>PX MID</stp>
        <stp>[XVLA.xls]Data!R44C25</stp>
        <tr r="Y44" s="1"/>
      </tp>
      <tp>
        <v>32.369999999999997</v>
        <stp/>
        <stp>##V3_BDPV12</stp>
        <stp>USCF0312 BBIR Curncy</stp>
        <stp>PX MID</stp>
        <stp>[XVLA.xls]Data!R44C24</stp>
        <tr r="X44" s="1"/>
      </tp>
      <tp t="s">
        <v>#N/A N/A</v>
        <stp/>
        <stp>##V3_BDPV12</stp>
        <stp>USCF0512 BBIR Curncy</stp>
        <stp>PX MID</stp>
        <stp>[XVLA.xls]Data!R44C26</stp>
        <tr r="Z44" s="1"/>
      </tp>
      <tp>
        <v>32.1</v>
        <stp/>
        <stp>##V3_BDPV12</stp>
        <stp>USCF7012 BBIR Curncy</stp>
        <stp>PX MID</stp>
        <stp>[XVLA.xls]Data!R44C18</stp>
        <tr r="R44" s="1"/>
      </tp>
      <tp>
        <v>59.325000000000003</v>
        <stp/>
        <stp>##V3_BDPV12</stp>
        <stp>USCF1012 BBIR Curncy</stp>
        <stp>PX MID</stp>
        <stp>[XVLA.xls]Data!R44C10</stp>
        <tr r="J44" s="1"/>
      </tp>
      <tp>
        <v>34.4</v>
        <stp/>
        <stp>##V3_BDPV12</stp>
        <stp>USCF4012 BBIR Curncy</stp>
        <stp>PX MID</stp>
        <stp>[XVLA.xls]Data!R44C15</stp>
        <tr r="O44" s="1"/>
      </tp>
      <tp>
        <v>32.42</v>
        <stp/>
        <stp>##V3_BDPV12</stp>
        <stp>USCF6012 BBIR Curncy</stp>
        <stp>PX MID</stp>
        <stp>[XVLA.xls]Data!R44C17</stp>
        <tr r="Q44" s="1"/>
      </tp>
      <tp>
        <v>31.97</v>
        <stp/>
        <stp>##V3_BDPV12</stp>
        <stp>USCF8012 BBIR Curncy</stp>
        <stp>PX MID</stp>
        <stp>[XVLA.xls]Data!R44C19</stp>
        <tr r="S44" s="1"/>
      </tp>
      <tp>
        <v>49.27</v>
        <stp/>
        <stp>##V3_BDPV12</stp>
        <stp>USCF1512 BBIR Curncy</stp>
        <stp>PX MID</stp>
        <stp>[XVLA.xls]Data!R44C11</stp>
        <tr r="K44" s="1"/>
      </tp>
      <tp>
        <v>43.44</v>
        <stp/>
        <stp>##V3_BDPV12</stp>
        <stp>USCF2012 BBIR Curncy</stp>
        <stp>PX MID</stp>
        <stp>[XVLA.xls]Data!R44C12</stp>
        <tr r="L44" s="1"/>
      </tp>
      <tp>
        <v>37.17</v>
        <stp/>
        <stp>##V3_BDPV12</stp>
        <stp>USCF3012 BBIR Curncy</stp>
        <stp>PX MID</stp>
        <stp>[XVLA.xls]Data!R44C13</stp>
        <tr r="M44" s="1"/>
      </tp>
      <tp>
        <v>33.08</v>
        <stp/>
        <stp>##V3_BDPV12</stp>
        <stp>USCF5012 BBIR Curncy</stp>
        <stp>PX MID</stp>
        <stp>[XVLA.xls]Data!R44C16</stp>
        <tr r="P44" s="1"/>
      </tp>
      <tp>
        <v>35.520000000000003</v>
        <stp/>
        <stp>##V3_BDPV12</stp>
        <stp>USCF3512 BBIR Curncy</stp>
        <stp>PX MID</stp>
        <stp>[XVLA.xls]Data!R44C14</stp>
        <tr r="N44" s="1"/>
      </tp>
      <tp>
        <v>31.91</v>
        <stp/>
        <stp>##V3_BDPV12</stp>
        <stp>USCF9010 BBIR Curncy</stp>
        <stp>PX MID</stp>
        <stp>[XVLA.xls]Data!R43C20</stp>
        <tr r="T43" s="1"/>
      </tp>
      <tp>
        <v>31.48</v>
        <stp/>
        <stp>##V3_BDPV12</stp>
        <stp>USCF0210 BBIR Curncy</stp>
        <stp>PX MID</stp>
        <stp>[XVLA.xls]Data!R43C23</stp>
        <tr r="W43" s="1"/>
      </tp>
      <tp>
        <v>31.57</v>
        <stp/>
        <stp>##V3_BDPV12</stp>
        <stp>USCF0110 BBIR Curncy</stp>
        <stp>PX MID</stp>
        <stp>[XVLA.xls]Data!R43C22</stp>
        <tr r="V43" s="1"/>
      </tp>
      <tp>
        <v>31.4</v>
        <stp/>
        <stp>##V3_BDPV12</stp>
        <stp>USCF0410 BBIR Curncy</stp>
        <stp>PX MID</stp>
        <stp>[XVLA.xls]Data!R43C25</stp>
        <tr r="Y43" s="1"/>
      </tp>
      <tp>
        <v>31.43</v>
        <stp/>
        <stp>##V3_BDPV12</stp>
        <stp>USCF0310 BBIR Curncy</stp>
        <stp>PX MID</stp>
        <stp>[XVLA.xls]Data!R43C24</stp>
        <tr r="X43" s="1"/>
      </tp>
      <tp t="s">
        <v>#N/A N/A</v>
        <stp/>
        <stp>##V3_BDPV12</stp>
        <stp>USCF0510 BBIR Curncy</stp>
        <stp>PX MID</stp>
        <stp>[XVLA.xls]Data!R43C26</stp>
        <tr r="Z43" s="1"/>
      </tp>
      <tp>
        <v>30.7</v>
        <stp/>
        <stp>##V3_BDPV12</stp>
        <stp>USCF7015 BBIR Curncy</stp>
        <stp>PX MID</stp>
        <stp>[XVLA.xls]Data!R45C18</stp>
        <tr r="R45" s="1"/>
      </tp>
      <tp>
        <v>54.88</v>
        <stp/>
        <stp>##V3_BDPV12</stp>
        <stp>USCF1015 BBIR Curncy</stp>
        <stp>PX MID</stp>
        <stp>[XVLA.xls]Data!R45C10</stp>
        <tr r="J45" s="1"/>
      </tp>
      <tp>
        <v>32.840000000000003</v>
        <stp/>
        <stp>##V3_BDPV12</stp>
        <stp>USCF4015 BBIR Curncy</stp>
        <stp>PX MID</stp>
        <stp>[XVLA.xls]Data!R45C15</stp>
        <tr r="O45" s="1"/>
      </tp>
      <tp>
        <v>31.01</v>
        <stp/>
        <stp>##V3_BDPV12</stp>
        <stp>USCF6015 BBIR Curncy</stp>
        <stp>PX MID</stp>
        <stp>[XVLA.xls]Data!R45C17</stp>
        <tr r="Q45" s="1"/>
      </tp>
      <tp>
        <v>30.55</v>
        <stp/>
        <stp>##V3_BDPV12</stp>
        <stp>USCF8015 BBIR Curncy</stp>
        <stp>PX MID</stp>
        <stp>[XVLA.xls]Data!R45C19</stp>
        <tr r="S45" s="1"/>
      </tp>
      <tp>
        <v>46.06</v>
        <stp/>
        <stp>##V3_BDPV12</stp>
        <stp>USCF1515 BBIR Curncy</stp>
        <stp>PX MID</stp>
        <stp>[XVLA.xls]Data!R45C11</stp>
        <tr r="K45" s="1"/>
      </tp>
      <tp>
        <v>40.89</v>
        <stp/>
        <stp>##V3_BDPV12</stp>
        <stp>USCF2015 BBIR Curncy</stp>
        <stp>PX MID</stp>
        <stp>[XVLA.xls]Data!R45C12</stp>
        <tr r="L45" s="1"/>
      </tp>
      <tp>
        <v>35.32</v>
        <stp/>
        <stp>##V3_BDPV12</stp>
        <stp>USCF3015 BBIR Curncy</stp>
        <stp>PX MID</stp>
        <stp>[XVLA.xls]Data!R45C13</stp>
        <tr r="M45" s="1"/>
      </tp>
      <tp>
        <v>31.63</v>
        <stp/>
        <stp>##V3_BDPV12</stp>
        <stp>USCF5015 BBIR Curncy</stp>
        <stp>PX MID</stp>
        <stp>[XVLA.xls]Data!R45C16</stp>
        <tr r="P45" s="1"/>
      </tp>
      <tp>
        <v>33.85</v>
        <stp/>
        <stp>##V3_BDPV12</stp>
        <stp>USCF3515 BBIR Curncy</stp>
        <stp>PX MID</stp>
        <stp>[XVLA.xls]Data!R45C14</stp>
        <tr r="N45" s="1"/>
      </tp>
      <tp>
        <v>30.51</v>
        <stp/>
        <stp>##V3_BDPV12</stp>
        <stp>USCF9015 BBIR Curncy</stp>
        <stp>PX MID</stp>
        <stp>[XVLA.xls]Data!R45C20</stp>
        <tr r="T45" s="1"/>
      </tp>
      <tp>
        <v>30.52</v>
        <stp/>
        <stp>##V3_BDPV12</stp>
        <stp>USCF0015 BBIR Curncy</stp>
        <stp>PX MID</stp>
        <stp>[XVLA.xls]Data!R45C21</stp>
        <tr r="U45" s="1"/>
      </tp>
      <tp>
        <v>30.65</v>
        <stp/>
        <stp>##V3_BDPV12</stp>
        <stp>USCF0215 BBIR Curncy</stp>
        <stp>PX MID</stp>
        <stp>[XVLA.xls]Data!R45C23</stp>
        <tr r="W45" s="1"/>
      </tp>
      <tp>
        <v>30.58</v>
        <stp/>
        <stp>##V3_BDPV12</stp>
        <stp>USCF0115 BBIR Curncy</stp>
        <stp>PX MID</stp>
        <stp>[XVLA.xls]Data!R45C22</stp>
        <tr r="V45" s="1"/>
      </tp>
      <tp>
        <v>30.84</v>
        <stp/>
        <stp>##V3_BDPV12</stp>
        <stp>USCF0415 BBIR Curncy</stp>
        <stp>PX MID</stp>
        <stp>[XVLA.xls]Data!R45C25</stp>
        <tr r="Y45" s="1"/>
      </tp>
      <tp>
        <v>30.74</v>
        <stp/>
        <stp>##V3_BDPV12</stp>
        <stp>USCF0315 BBIR Curncy</stp>
        <stp>PX MID</stp>
        <stp>[XVLA.xls]Data!R45C24</stp>
        <tr r="X45" s="1"/>
      </tp>
      <tp t="s">
        <v>#N/A N/A</v>
        <stp/>
        <stp>##V3_BDPV12</stp>
        <stp>USCF0515 BBIR Curncy</stp>
        <stp>PX MID</stp>
        <stp>[XVLA.xls]Data!R45C26</stp>
        <tr r="Z45" s="1"/>
      </tp>
      <tp>
        <v>42.04</v>
        <stp/>
        <stp>##V3_BDPV12</stp>
        <stp>USCF701  BBIR Curncy</stp>
        <stp>PX MID</stp>
        <stp>[XVLA.xls]Data!R34C18</stp>
        <tr r="R34" s="1"/>
      </tp>
      <tp>
        <v>34.695</v>
        <stp/>
        <stp>##V3_BDPV12</stp>
        <stp>USCF301  BBIR Curncy</stp>
        <stp>PX MID</stp>
        <stp>[XVLA.xls]Data!R34C14</stp>
        <tr r="N34" s="1"/>
      </tp>
      <tp>
        <v>39.024999999999999</v>
        <stp/>
        <stp>##V3_BDPV12</stp>
        <stp>USCF501  BBIR Curncy</stp>
        <stp>PX MID</stp>
        <stp>[XVLA.xls]Data!R34C16</stp>
        <tr r="P34" s="1"/>
      </tp>
      <tp>
        <v>31.105</v>
        <stp/>
        <stp>##V3_BDPV12</stp>
        <stp>USCF151  BBIR Curncy</stp>
        <stp>PX MID</stp>
        <stp>[XVLA.xls]Data!R34C11</stp>
        <tr r="K34" s="1"/>
      </tp>
      <tp>
        <v>32.020000000000003</v>
        <stp/>
        <stp>##V3_BDPV12</stp>
        <stp>USCF201  BBIR Curncy</stp>
        <stp>PX MID</stp>
        <stp>[XVLA.xls]Data!R34C12</stp>
        <tr r="L34" s="1"/>
      </tp>
      <tp t="s">
        <v>#N/A N/A</v>
        <stp/>
        <stp>##V3_BDPV12</stp>
        <stp>USCF251  BBIR Curncy</stp>
        <stp>PX MID</stp>
        <stp>[XVLA.xls]Data!R34C13</stp>
        <tr r="M34" s="1"/>
      </tp>
      <tp>
        <v>31.8</v>
        <stp/>
        <stp>##V3_BDPV12</stp>
        <stp>USCF101  BBIR Curncy</stp>
        <stp>PX MID</stp>
        <stp>[XVLA.xls]Data!R34C10</stp>
        <tr r="J34" s="1"/>
      </tp>
      <tp>
        <v>37.07</v>
        <stp/>
        <stp>##V3_BDPV12</stp>
        <stp>USCF401  BBIR Curncy</stp>
        <stp>PX MID</stp>
        <stp>[XVLA.xls]Data!R34C15</stp>
        <tr r="O34" s="1"/>
      </tp>
      <tp>
        <v>40.655000000000001</v>
        <stp/>
        <stp>##V3_BDPV12</stp>
        <stp>USCF601  BBIR Curncy</stp>
        <stp>PX MID</stp>
        <stp>[XVLA.xls]Data!R34C17</stp>
        <tr r="Q34" s="1"/>
      </tp>
      <tp>
        <v>43.25</v>
        <stp/>
        <stp>##V3_BDPV12</stp>
        <stp>USCF801  BBIR Curncy</stp>
        <stp>PX MID</stp>
        <stp>[XVLA.xls]Data!R34C19</stp>
        <tr r="S34" s="1"/>
      </tp>
      <tp>
        <v>44.314999999999998</v>
        <stp/>
        <stp>##V3_BDPV12</stp>
        <stp>USCF901  BBIR Curncy</stp>
        <stp>PX MID</stp>
        <stp>[XVLA.xls]Data!R34C20</stp>
        <tr r="T34" s="1"/>
      </tp>
      <tp t="s">
        <v>#N/A Field Not Applicable</v>
        <stp/>
        <stp>##V3_BDPV12</stp>
        <stp>USCF051  BBIR Curncy</stp>
        <stp>PX MID</stp>
        <stp>[XVLA.xls]Data!R34C26</stp>
        <tr r="Z34" s="1"/>
      </tp>
      <tp>
        <v>47.645000000000003</v>
        <stp/>
        <stp>##V3_BDPV12</stp>
        <stp>USCF031  BBIR Curncy</stp>
        <stp>PX MID</stp>
        <stp>[XVLA.xls]Data!R34C24</stp>
        <tr r="X34" s="1"/>
      </tp>
      <tp>
        <v>48.32</v>
        <stp/>
        <stp>##V3_BDPV12</stp>
        <stp>USCF041  BBIR Curncy</stp>
        <stp>PX MID</stp>
        <stp>[XVLA.xls]Data!R34C25</stp>
        <tr r="Y34" s="1"/>
      </tp>
      <tp>
        <v>46.134999999999998</v>
        <stp/>
        <stp>##V3_BDPV12</stp>
        <stp>USCF011  BBIR Curncy</stp>
        <stp>PX MID</stp>
        <stp>[XVLA.xls]Data!R34C22</stp>
        <tr r="V34" s="1"/>
      </tp>
      <tp>
        <v>46.92</v>
        <stp/>
        <stp>##V3_BDPV12</stp>
        <stp>USCF021  BBIR Curncy</stp>
        <stp>PX MID</stp>
        <stp>[XVLA.xls]Data!R34C23</stp>
        <tr r="W34" s="1"/>
      </tp>
      <tp>
        <v>31.8</v>
        <stp/>
        <stp>##V3_BDPV12</stp>
        <stp>USCF101  BBIR Curncy</stp>
        <stp>PX MID</stp>
        <stp>[XVLA.xls]Data!R34C21</stp>
        <tr r="U34" s="1"/>
      </tp>
      <tp>
        <v>38.090000000000003</v>
        <stp/>
        <stp>##V3_BDPV12</stp>
        <stp>USCF1003 BBIR Curncy</stp>
        <stp>PX MID</stp>
        <stp>[XVLA.xls]Data!R36C21</stp>
        <tr r="U36" s="1"/>
      </tp>
      <tp>
        <v>39.159999999999997</v>
        <stp/>
        <stp>##V3_BDPV12</stp>
        <stp>USCF1002 BBIR Curncy</stp>
        <stp>PX MID</stp>
        <stp>[XVLA.xls]Data!R35C21</stp>
        <tr r="U35" s="1"/>
      </tp>
      <tp>
        <v>32.89</v>
        <stp/>
        <stp>##V3_BDPV12</stp>
        <stp>USCF1007 BBIR Curncy</stp>
        <stp>PX MID</stp>
        <stp>[XVLA.xls]Data!R40C21</stp>
        <tr r="U40" s="1"/>
      </tp>
      <tp>
        <v>36.03</v>
        <stp/>
        <stp>##V3_BDPV12</stp>
        <stp>USCF1006 BBIR Curncy</stp>
        <stp>PX MID</stp>
        <stp>[XVLA.xls]Data!R39C21</stp>
        <tr r="U39" s="1"/>
      </tp>
      <tp>
        <v>34.53</v>
        <stp/>
        <stp>##V3_BDPV12</stp>
        <stp>USCF1005 BBIR Curncy</stp>
        <stp>PX MID</stp>
        <stp>[XVLA.xls]Data!R38C21</stp>
        <tr r="U38" s="1"/>
      </tp>
      <tp>
        <v>36.634999999999998</v>
        <stp/>
        <stp>##V3_BDPV12</stp>
        <stp>USCF1004 BBIR Curncy</stp>
        <stp>PX MID</stp>
        <stp>[XVLA.xls]Data!R37C21</stp>
        <tr r="U37" s="1"/>
      </tp>
      <tp>
        <v>32.82</v>
        <stp/>
        <stp>##V3_BDPV12</stp>
        <stp>USCF1009 BBIR Curncy</stp>
        <stp>PX MID</stp>
        <stp>[XVLA.xls]Data!R42C21</stp>
        <tr r="U42" s="1"/>
      </tp>
      <tp>
        <v>33.615000000000002</v>
        <stp/>
        <stp>##V3_BDPV12</stp>
        <stp>USCF1008 BBIR Curncy</stp>
        <stp>PX MID</stp>
        <stp>[XVLA.xls]Data!R41C21</stp>
        <tr r="U41" s="1"/>
      </tp>
      <tp>
        <v>31.704999999999998</v>
        <stp/>
        <stp>##V3_BDPV12</stp>
        <stp>USCF100X BBIR Curncy</stp>
        <stp>PX MID</stp>
        <stp>[XVLA.xls]Data!R43C21</stp>
        <tr r="U43" s="1"/>
      </tp>
      <tp>
        <v>31.23</v>
        <stp/>
        <stp>##V3_BDPV12</stp>
        <stp>USCF7030 BBIR Curncy</stp>
        <stp>PX MID</stp>
        <stp>[XVLA.xls]Data!R48C18</stp>
        <tr r="R48" s="1"/>
      </tp>
      <tp>
        <v>57.76</v>
        <stp/>
        <stp>##V3_BDPV12</stp>
        <stp>USCF1030 BBIR Curncy</stp>
        <stp>PX MID</stp>
        <stp>[XVLA.xls]Data!R48C10</stp>
        <tr r="J48" s="1"/>
      </tp>
      <tp>
        <v>30.82</v>
        <stp/>
        <stp>##V3_BDPV12</stp>
        <stp>USCF4030 BBIR Curncy</stp>
        <stp>PX MID</stp>
        <stp>[XVLA.xls]Data!R48C15</stp>
        <tr r="O48" s="1"/>
      </tp>
      <tp>
        <v>30.83</v>
        <stp/>
        <stp>##V3_BDPV12</stp>
        <stp>USCF6030 BBIR Curncy</stp>
        <stp>PX MID</stp>
        <stp>[XVLA.xls]Data!R48C17</stp>
        <tr r="Q48" s="1"/>
      </tp>
      <tp>
        <v>31.69</v>
        <stp/>
        <stp>##V3_BDPV12</stp>
        <stp>USCF8030 BBIR Curncy</stp>
        <stp>PX MID</stp>
        <stp>[XVLA.xls]Data!R48C19</stp>
        <tr r="S48" s="1"/>
      </tp>
      <tp>
        <v>37.984999999999999</v>
        <stp/>
        <stp>##V3_BDPV12</stp>
        <stp>USCF2030 BBIR Curncy</stp>
        <stp>PX MID</stp>
        <stp>[XVLA.xls]Data!R48C12</stp>
        <tr r="L48" s="1"/>
      </tp>
      <tp>
        <v>32.36</v>
        <stp/>
        <stp>##V3_BDPV12</stp>
        <stp>USCF3030 BBIR Curncy</stp>
        <stp>PX MID</stp>
        <stp>[XVLA.xls]Data!R48C13</stp>
        <tr r="M48" s="1"/>
      </tp>
      <tp>
        <v>44.564999999999998</v>
        <stp/>
        <stp>##V3_BDPV12</stp>
        <stp>USCF1530 BBIR Curncy</stp>
        <stp>PX MID</stp>
        <stp>[XVLA.xls]Data!R48C11</stp>
        <tr r="K48" s="1"/>
      </tp>
      <tp>
        <v>30.6</v>
        <stp/>
        <stp>##V3_BDPV12</stp>
        <stp>USCF5030 BBIR Curncy</stp>
        <stp>PX MID</stp>
        <stp>[XVLA.xls]Data!R48C16</stp>
        <tr r="P48" s="1"/>
      </tp>
      <tp>
        <v>31.32</v>
        <stp/>
        <stp>##V3_BDPV12</stp>
        <stp>USCF3530 BBIR Curncy</stp>
        <stp>PX MID</stp>
        <stp>[XVLA.xls]Data!R48C14</stp>
        <tr r="N48" s="1"/>
      </tp>
      <tp>
        <v>32.159999999999997</v>
        <stp/>
        <stp>##V3_BDPV12</stp>
        <stp>USCF9030 BBIR Curncy</stp>
        <stp>PX MID</stp>
        <stp>[XVLA.xls]Data!R48C20</stp>
        <tr r="T48" s="1"/>
      </tp>
      <tp>
        <v>32.619999999999997</v>
        <stp/>
        <stp>##V3_BDPV12</stp>
        <stp>USCF0030 BBIR Curncy</stp>
        <stp>PX MID</stp>
        <stp>[XVLA.xls]Data!R48C21</stp>
        <tr r="U48" s="1"/>
      </tp>
      <tp>
        <v>33.479999999999997</v>
        <stp/>
        <stp>##V3_BDPV12</stp>
        <stp>USCF0230 BBIR Curncy</stp>
        <stp>PX MID</stp>
        <stp>[XVLA.xls]Data!R48C23</stp>
        <tr r="W48" s="1"/>
      </tp>
      <tp>
        <v>33.06</v>
        <stp/>
        <stp>##V3_BDPV12</stp>
        <stp>USCF0130 BBIR Curncy</stp>
        <stp>PX MID</stp>
        <stp>[XVLA.xls]Data!R48C22</stp>
        <tr r="V48" s="1"/>
      </tp>
      <tp>
        <v>34.25</v>
        <stp/>
        <stp>##V3_BDPV12</stp>
        <stp>USCF0430 BBIR Curncy</stp>
        <stp>PX MID</stp>
        <stp>[XVLA.xls]Data!R48C25</stp>
        <tr r="Y48" s="1"/>
      </tp>
      <tp>
        <v>33.880000000000003</v>
        <stp/>
        <stp>##V3_BDPV12</stp>
        <stp>USCF0330 BBIR Curncy</stp>
        <stp>PX MID</stp>
        <stp>[XVLA.xls]Data!R48C24</stp>
        <tr r="X48" s="1"/>
      </tp>
      <tp t="s">
        <v>#N/A N/A</v>
        <stp/>
        <stp>##V3_BDPV12</stp>
        <stp>USCF0530 BBIR Curncy</stp>
        <stp>PX MID</stp>
        <stp>[XVLA.xls]Data!R48C26</stp>
        <tr r="Z48" s="1"/>
      </tp>
      <tp>
        <v>39.375</v>
        <stp/>
        <stp>##V3_BDPV12</stp>
        <stp>USCF703  BBIR Curncy</stp>
        <stp>PX MID</stp>
        <stp>[XVLA.xls]Data!R36C18</stp>
        <tr r="R36" s="1"/>
      </tp>
      <tp>
        <v>42.84</v>
        <stp/>
        <stp>##V3_BDPV12</stp>
        <stp>USCF303  BBIR Curncy</stp>
        <stp>PX MID</stp>
        <stp>[XVLA.xls]Data!R36C14</stp>
        <tr r="N36" s="1"/>
      </tp>
      <tp>
        <v>40.615000000000002</v>
        <stp/>
        <stp>##V3_BDPV12</stp>
        <stp>USCF503  BBIR Curncy</stp>
        <stp>PX MID</stp>
        <stp>[XVLA.xls]Data!R36C16</stp>
        <tr r="P36" s="1"/>
      </tp>
      <tp>
        <v>46.68</v>
        <stp/>
        <stp>##V3_BDPV12</stp>
        <stp>USCF153  BBIR Curncy</stp>
        <stp>PX MID</stp>
        <stp>[XVLA.xls]Data!R36C11</stp>
        <tr r="K36" s="1"/>
      </tp>
      <tp>
        <v>45.2</v>
        <stp/>
        <stp>##V3_BDPV12</stp>
        <stp>USCF203  BBIR Curncy</stp>
        <stp>PX MID</stp>
        <stp>[XVLA.xls]Data!R36C12</stp>
        <tr r="L36" s="1"/>
      </tp>
      <tp t="s">
        <v>#N/A N/A</v>
        <stp/>
        <stp>##V3_BDPV12</stp>
        <stp>USCF253  BBIR Curncy</stp>
        <stp>PX MID</stp>
        <stp>[XVLA.xls]Data!R36C13</stp>
        <tr r="M36" s="1"/>
      </tp>
      <tp>
        <v>48.634999999999998</v>
        <stp/>
        <stp>##V3_BDPV12</stp>
        <stp>USCF103  BBIR Curncy</stp>
        <stp>PX MID</stp>
        <stp>[XVLA.xls]Data!R36C10</stp>
        <tr r="J36" s="1"/>
      </tp>
      <tp>
        <v>41.5</v>
        <stp/>
        <stp>##V3_BDPV12</stp>
        <stp>USCF403  BBIR Curncy</stp>
        <stp>PX MID</stp>
        <stp>[XVLA.xls]Data!R36C15</stp>
        <tr r="O36" s="1"/>
      </tp>
      <tp>
        <v>39.935000000000002</v>
        <stp/>
        <stp>##V3_BDPV12</stp>
        <stp>USCF603  BBIR Curncy</stp>
        <stp>PX MID</stp>
        <stp>[XVLA.xls]Data!R36C17</stp>
        <tr r="Q36" s="1"/>
      </tp>
      <tp>
        <v>38.89</v>
        <stp/>
        <stp>##V3_BDPV12</stp>
        <stp>USCF803  BBIR Curncy</stp>
        <stp>PX MID</stp>
        <stp>[XVLA.xls]Data!R36C19</stp>
        <tr r="S36" s="1"/>
      </tp>
      <tp>
        <v>38.465000000000003</v>
        <stp/>
        <stp>##V3_BDPV12</stp>
        <stp>USCF903  BBIR Curncy</stp>
        <stp>PX MID</stp>
        <stp>[XVLA.xls]Data!R36C20</stp>
        <tr r="T36" s="1"/>
      </tp>
      <tp t="s">
        <v>#N/A Field Not Applicable</v>
        <stp/>
        <stp>##V3_BDPV12</stp>
        <stp>USCF053  BBIR Curncy</stp>
        <stp>PX MID</stp>
        <stp>[XVLA.xls]Data!R36C26</stp>
        <tr r="Z36" s="1"/>
      </tp>
      <tp>
        <v>37.15</v>
        <stp/>
        <stp>##V3_BDPV12</stp>
        <stp>USCF033  BBIR Curncy</stp>
        <stp>PX MID</stp>
        <stp>[XVLA.xls]Data!R36C24</stp>
        <tr r="X36" s="1"/>
      </tp>
      <tp>
        <v>36.89</v>
        <stp/>
        <stp>##V3_BDPV12</stp>
        <stp>USCF043  BBIR Curncy</stp>
        <stp>PX MID</stp>
        <stp>[XVLA.xls]Data!R36C25</stp>
        <tr r="Y36" s="1"/>
      </tp>
      <tp>
        <v>37.744999999999997</v>
        <stp/>
        <stp>##V3_BDPV12</stp>
        <stp>USCF013  BBIR Curncy</stp>
        <stp>PX MID</stp>
        <stp>[XVLA.xls]Data!R36C22</stp>
        <tr r="V36" s="1"/>
      </tp>
      <tp>
        <v>37.435000000000002</v>
        <stp/>
        <stp>##V3_BDPV12</stp>
        <stp>USCF023  BBIR Curncy</stp>
        <stp>PX MID</stp>
        <stp>[XVLA.xls]Data!R36C23</stp>
        <tr r="W36" s="1"/>
      </tp>
      <tp>
        <v>29.77</v>
        <stp/>
        <stp>##V3_BDPV12</stp>
        <stp>USCF7020 BBIR Curncy</stp>
        <stp>PX MID</stp>
        <stp>[XVLA.xls]Data!R46C18</stp>
        <tr r="R46" s="1"/>
      </tp>
      <tp>
        <v>52.74</v>
        <stp/>
        <stp>##V3_BDPV12</stp>
        <stp>USCF1020 BBIR Curncy</stp>
        <stp>PX MID</stp>
        <stp>[XVLA.xls]Data!R46C10</stp>
        <tr r="J46" s="1"/>
      </tp>
      <tp>
        <v>30.82</v>
        <stp/>
        <stp>##V3_BDPV12</stp>
        <stp>USCF4020 BBIR Curncy</stp>
        <stp>PX MID</stp>
        <stp>[XVLA.xls]Data!R46C15</stp>
        <tr r="O46" s="1"/>
      </tp>
      <tp>
        <v>29.78</v>
        <stp/>
        <stp>##V3_BDPV12</stp>
        <stp>USCF6020 BBIR Curncy</stp>
        <stp>PX MID</stp>
        <stp>[XVLA.xls]Data!R46C17</stp>
        <tr r="Q46" s="1"/>
      </tp>
      <tp>
        <v>29.88</v>
        <stp/>
        <stp>##V3_BDPV12</stp>
        <stp>USCF8020 BBIR Curncy</stp>
        <stp>PX MID</stp>
        <stp>[XVLA.xls]Data!R46C19</stp>
        <tr r="S46" s="1"/>
      </tp>
      <tp>
        <v>43.494999999999997</v>
        <stp/>
        <stp>##V3_BDPV12</stp>
        <stp>USCF1520 BBIR Curncy</stp>
        <stp>PX MID</stp>
        <stp>[XVLA.xls]Data!R46C11</stp>
        <tr r="K46" s="1"/>
      </tp>
      <tp>
        <v>38.21</v>
        <stp/>
        <stp>##V3_BDPV12</stp>
        <stp>USCF2020 BBIR Curncy</stp>
        <stp>PX MID</stp>
        <stp>[XVLA.xls]Data!R46C12</stp>
        <tr r="L46" s="1"/>
      </tp>
      <tp>
        <v>32.880000000000003</v>
        <stp/>
        <stp>##V3_BDPV12</stp>
        <stp>USCF3020 BBIR Curncy</stp>
        <stp>PX MID</stp>
        <stp>[XVLA.xls]Data!R46C13</stp>
        <tr r="M46" s="1"/>
      </tp>
      <tp>
        <v>30.03</v>
        <stp/>
        <stp>##V3_BDPV12</stp>
        <stp>USCF5020 BBIR Curncy</stp>
        <stp>PX MID</stp>
        <stp>[XVLA.xls]Data!R46C16</stp>
        <tr r="P46" s="1"/>
      </tp>
      <tp>
        <v>31.61</v>
        <stp/>
        <stp>##V3_BDPV12</stp>
        <stp>USCF3520 BBIR Curncy</stp>
        <stp>PX MID</stp>
        <stp>[XVLA.xls]Data!R46C14</stp>
        <tr r="N46" s="1"/>
      </tp>
      <tp>
        <v>30.06</v>
        <stp/>
        <stp>##V3_BDPV12</stp>
        <stp>USCF9020 BBIR Curncy</stp>
        <stp>PX MID</stp>
        <stp>[XVLA.xls]Data!R46C20</stp>
        <tr r="T46" s="1"/>
      </tp>
      <tp>
        <v>30.28</v>
        <stp/>
        <stp>##V3_BDPV12</stp>
        <stp>USCF0020 BBIR Curncy</stp>
        <stp>PX MID</stp>
        <stp>[XVLA.xls]Data!R46C21</stp>
        <tr r="U46" s="1"/>
      </tp>
      <tp>
        <v>30.73</v>
        <stp/>
        <stp>##V3_BDPV12</stp>
        <stp>USCF0220 BBIR Curncy</stp>
        <stp>PX MID</stp>
        <stp>[XVLA.xls]Data!R46C23</stp>
        <tr r="W46" s="1"/>
      </tp>
      <tp>
        <v>30.5</v>
        <stp/>
        <stp>##V3_BDPV12</stp>
        <stp>USCF0120 BBIR Curncy</stp>
        <stp>PX MID</stp>
        <stp>[XVLA.xls]Data!R46C22</stp>
        <tr r="V46" s="1"/>
      </tp>
      <tp>
        <v>31.18</v>
        <stp/>
        <stp>##V3_BDPV12</stp>
        <stp>USCF0420 BBIR Curncy</stp>
        <stp>PX MID</stp>
        <stp>[XVLA.xls]Data!R46C25</stp>
        <tr r="Y46" s="1"/>
      </tp>
      <tp>
        <v>30.96</v>
        <stp/>
        <stp>##V3_BDPV12</stp>
        <stp>USCF0320 BBIR Curncy</stp>
        <stp>PX MID</stp>
        <stp>[XVLA.xls]Data!R46C24</stp>
        <tr r="X46" s="1"/>
      </tp>
      <tp t="s">
        <v>#N/A N/A</v>
        <stp/>
        <stp>##V3_BDPV12</stp>
        <stp>USCF0520 BBIR Curncy</stp>
        <stp>PX MID</stp>
        <stp>[XVLA.xls]Data!R46C26</stp>
        <tr r="Z46" s="1"/>
      </tp>
      <tp>
        <v>30.71</v>
        <stp/>
        <stp>##V3_BDPV12</stp>
        <stp>USCF7025 BBIR Curncy</stp>
        <stp>PX MID</stp>
        <stp>[XVLA.xls]Data!R47C18</stp>
        <tr r="R47" s="1"/>
      </tp>
      <tp>
        <v>55.305</v>
        <stp/>
        <stp>##V3_BDPV12</stp>
        <stp>USCF1025 BBIR Curncy</stp>
        <stp>PX MID</stp>
        <stp>[XVLA.xls]Data!R47C10</stp>
        <tr r="J47" s="1"/>
      </tp>
      <tp>
        <v>30.85</v>
        <stp/>
        <stp>##V3_BDPV12</stp>
        <stp>USCF4025 BBIR Curncy</stp>
        <stp>PX MID</stp>
        <stp>[XVLA.xls]Data!R47C15</stp>
        <tr r="O47" s="1"/>
      </tp>
      <tp>
        <v>30.45</v>
        <stp/>
        <stp>##V3_BDPV12</stp>
        <stp>USCF6025 BBIR Curncy</stp>
        <stp>PX MID</stp>
        <stp>[XVLA.xls]Data!R47C17</stp>
        <tr r="Q47" s="1"/>
      </tp>
      <tp>
        <v>31.05</v>
        <stp/>
        <stp>##V3_BDPV12</stp>
        <stp>USCF8025 BBIR Curncy</stp>
        <stp>PX MID</stp>
        <stp>[XVLA.xls]Data!R47C19</stp>
        <tr r="S47" s="1"/>
      </tp>
      <tp>
        <v>44.1</v>
        <stp/>
        <stp>##V3_BDPV12</stp>
        <stp>USCF1525 BBIR Curncy</stp>
        <stp>PX MID</stp>
        <stp>[XVLA.xls]Data!R47C11</stp>
        <tr r="K47" s="1"/>
      </tp>
      <tp>
        <v>38.115000000000002</v>
        <stp/>
        <stp>##V3_BDPV12</stp>
        <stp>USCF2025 BBIR Curncy</stp>
        <stp>PX MID</stp>
        <stp>[XVLA.xls]Data!R47C12</stp>
        <tr r="L47" s="1"/>
      </tp>
      <tp>
        <v>32.61</v>
        <stp/>
        <stp>##V3_BDPV12</stp>
        <stp>USCF3025 BBIR Curncy</stp>
        <stp>PX MID</stp>
        <stp>[XVLA.xls]Data!R47C13</stp>
        <tr r="M47" s="1"/>
      </tp>
      <tp>
        <v>30.4</v>
        <stp/>
        <stp>##V3_BDPV12</stp>
        <stp>USCF5025 BBIR Curncy</stp>
        <stp>PX MID</stp>
        <stp>[XVLA.xls]Data!R47C16</stp>
        <tr r="P47" s="1"/>
      </tp>
      <tp>
        <v>31.47</v>
        <stp/>
        <stp>##V3_BDPV12</stp>
        <stp>USCF3525 BBIR Curncy</stp>
        <stp>PX MID</stp>
        <stp>[XVLA.xls]Data!R47C14</stp>
        <tr r="N47" s="1"/>
      </tp>
      <tp>
        <v>31.42</v>
        <stp/>
        <stp>##V3_BDPV12</stp>
        <stp>USCF9025 BBIR Curncy</stp>
        <stp>PX MID</stp>
        <stp>[XVLA.xls]Data!R47C20</stp>
        <tr r="T47" s="1"/>
      </tp>
      <tp>
        <v>31.8</v>
        <stp/>
        <stp>##V3_BDPV12</stp>
        <stp>USCF0025 BBIR Curncy</stp>
        <stp>PX MID</stp>
        <stp>[XVLA.xls]Data!R47C21</stp>
        <tr r="U47" s="1"/>
      </tp>
      <tp>
        <v>32.54</v>
        <stp/>
        <stp>##V3_BDPV12</stp>
        <stp>USCF0225 BBIR Curncy</stp>
        <stp>PX MID</stp>
        <stp>[XVLA.xls]Data!R47C23</stp>
        <tr r="W47" s="1"/>
      </tp>
      <tp>
        <v>32.18</v>
        <stp/>
        <stp>##V3_BDPV12</stp>
        <stp>USCF0125 BBIR Curncy</stp>
        <stp>PX MID</stp>
        <stp>[XVLA.xls]Data!R47C22</stp>
        <tr r="V47" s="1"/>
      </tp>
      <tp>
        <v>33.21</v>
        <stp/>
        <stp>##V3_BDPV12</stp>
        <stp>USCF0425 BBIR Curncy</stp>
        <stp>PX MID</stp>
        <stp>[XVLA.xls]Data!R47C25</stp>
        <tr r="Y47" s="1"/>
      </tp>
      <tp>
        <v>32.880000000000003</v>
        <stp/>
        <stp>##V3_BDPV12</stp>
        <stp>USCF0325 BBIR Curncy</stp>
        <stp>PX MID</stp>
        <stp>[XVLA.xls]Data!R47C24</stp>
        <tr r="X47" s="1"/>
      </tp>
      <tp t="s">
        <v>#N/A N/A</v>
        <stp/>
        <stp>##V3_BDPV12</stp>
        <stp>USCF0525 BBIR Curncy</stp>
        <stp>PX MID</stp>
        <stp>[XVLA.xls]Data!R47C26</stp>
        <tr r="Z47" s="1"/>
      </tp>
      <tp>
        <v>39.914999999999999</v>
        <stp/>
        <stp>##V3_BDPV12</stp>
        <stp>USCF702  BBIR Curncy</stp>
        <stp>PX MID</stp>
        <stp>[XVLA.xls]Data!R35C18</stp>
        <tr r="R35" s="1"/>
      </tp>
      <tp>
        <v>44.1</v>
        <stp/>
        <stp>##V3_BDPV12</stp>
        <stp>USCF302  BBIR Curncy</stp>
        <stp>PX MID</stp>
        <stp>[XVLA.xls]Data!R35C14</stp>
        <tr r="N35" s="1"/>
      </tp>
      <tp>
        <v>41.064999999999998</v>
        <stp/>
        <stp>##V3_BDPV12</stp>
        <stp>USCF502  BBIR Curncy</stp>
        <stp>PX MID</stp>
        <stp>[XVLA.xls]Data!R35C16</stp>
        <tr r="P35" s="1"/>
      </tp>
      <tp>
        <v>48.585000000000001</v>
        <stp/>
        <stp>##V3_BDPV12</stp>
        <stp>USCF152  BBIR Curncy</stp>
        <stp>PX MID</stp>
        <stp>[XVLA.xls]Data!R35C11</stp>
        <tr r="K35" s="1"/>
      </tp>
      <tp>
        <v>47.215000000000003</v>
        <stp/>
        <stp>##V3_BDPV12</stp>
        <stp>USCF202  BBIR Curncy</stp>
        <stp>PX MID</stp>
        <stp>[XVLA.xls]Data!R35C12</stp>
        <tr r="L35" s="1"/>
      </tp>
      <tp t="s">
        <v>#N/A N/A</v>
        <stp/>
        <stp>##V3_BDPV12</stp>
        <stp>USCF252  BBIR Curncy</stp>
        <stp>PX MID</stp>
        <stp>[XVLA.xls]Data!R35C13</stp>
        <tr r="M35" s="1"/>
      </tp>
      <tp>
        <v>50.454999999999998</v>
        <stp/>
        <stp>##V3_BDPV12</stp>
        <stp>USCF102  BBIR Curncy</stp>
        <stp>PX MID</stp>
        <stp>[XVLA.xls]Data!R35C10</stp>
        <tr r="J35" s="1"/>
      </tp>
      <tp>
        <v>42.18</v>
        <stp/>
        <stp>##V3_BDPV12</stp>
        <stp>USCF402  BBIR Curncy</stp>
        <stp>PX MID</stp>
        <stp>[XVLA.xls]Data!R35C15</stp>
        <tr r="O35" s="1"/>
      </tp>
      <tp>
        <v>40.380000000000003</v>
        <stp/>
        <stp>##V3_BDPV12</stp>
        <stp>USCF602  BBIR Curncy</stp>
        <stp>PX MID</stp>
        <stp>[XVLA.xls]Data!R35C17</stp>
        <tr r="Q35" s="1"/>
      </tp>
      <tp>
        <v>39.590000000000003</v>
        <stp/>
        <stp>##V3_BDPV12</stp>
        <stp>USCF802  BBIR Curncy</stp>
        <stp>PX MID</stp>
        <stp>[XVLA.xls]Data!R35C19</stp>
        <tr r="S35" s="1"/>
      </tp>
      <tp>
        <v>39.35</v>
        <stp/>
        <stp>##V3_BDPV12</stp>
        <stp>USCF902  BBIR Curncy</stp>
        <stp>PX MID</stp>
        <stp>[XVLA.xls]Data!R35C20</stp>
        <tr r="T35" s="1"/>
      </tp>
      <tp t="s">
        <v>#N/A Field Not Applicable</v>
        <stp/>
        <stp>##V3_BDPV12</stp>
        <stp>USCF052  BBIR Curncy</stp>
        <stp>PX MID</stp>
        <stp>[XVLA.xls]Data!R35C26</stp>
        <tr r="Z35" s="1"/>
      </tp>
      <tp>
        <v>38.79</v>
        <stp/>
        <stp>##V3_BDPV12</stp>
        <stp>USCF032  BBIR Curncy</stp>
        <stp>PX MID</stp>
        <stp>[XVLA.xls]Data!R35C24</stp>
        <tr r="X35" s="1"/>
      </tp>
      <tp>
        <v>38.71</v>
        <stp/>
        <stp>##V3_BDPV12</stp>
        <stp>USCF042  BBIR Curncy</stp>
        <stp>PX MID</stp>
        <stp>[XVLA.xls]Data!R35C25</stp>
        <tr r="Y35" s="1"/>
      </tp>
      <tp>
        <v>39.01</v>
        <stp/>
        <stp>##V3_BDPV12</stp>
        <stp>USCF012  BBIR Curncy</stp>
        <stp>PX MID</stp>
        <stp>[XVLA.xls]Data!R35C22</stp>
        <tr r="V35" s="1"/>
      </tp>
      <tp>
        <v>38.89</v>
        <stp/>
        <stp>##V3_BDPV12</stp>
        <stp>USCF022  BBIR Curncy</stp>
        <stp>PX MID</stp>
        <stp>[XVLA.xls]Data!R35C23</stp>
        <tr r="W35" s="1"/>
      </tp>
      <tp>
        <v>72.03</v>
        <stp/>
        <stp>##V3_BDPV12</stp>
        <stp>USSN016 CMPN Curncy</stp>
        <stp>ASK</stp>
        <stp>[XVLA.xls]Data!R8C10</stp>
        <tr r="J8" s="1"/>
      </tp>
      <tp>
        <v>72.88</v>
        <stp/>
        <stp>##V3_BDPV12</stp>
        <stp>USSN017 CMPN Curncy</stp>
        <stp>ASK</stp>
        <stp>[XVLA.xls]Data!R8C11</stp>
        <tr r="K8" s="1"/>
      </tp>
      <tp>
        <v>33.020000000000003</v>
        <stp/>
        <stp>##V3_BDPV12</stp>
        <stp>USCF709  BBIR Curncy</stp>
        <stp>PX MID</stp>
        <stp>[XVLA.xls]Data!R42C18</stp>
        <tr r="R42" s="1"/>
      </tp>
      <tp>
        <v>59.484999999999999</v>
        <stp/>
        <stp>##V3_BDPV12</stp>
        <stp>USCF109  BBIR Curncy</stp>
        <stp>PX MID</stp>
        <stp>[XVLA.xls]Data!R42C10</stp>
        <tr r="J42" s="1"/>
      </tp>
      <tp>
        <v>35.97</v>
        <stp/>
        <stp>##V3_BDPV12</stp>
        <stp>USCF409  BBIR Curncy</stp>
        <stp>PX MID</stp>
        <stp>[XVLA.xls]Data!R42C15</stp>
        <tr r="O42" s="1"/>
      </tp>
      <tp>
        <v>33.475000000000001</v>
        <stp/>
        <stp>##V3_BDPV12</stp>
        <stp>USCF609  BBIR Curncy</stp>
        <stp>PX MID</stp>
        <stp>[XVLA.xls]Data!R42C17</stp>
        <tr r="Q42" s="1"/>
      </tp>
      <tp>
        <v>32.82</v>
        <stp/>
        <stp>##V3_BDPV12</stp>
        <stp>USCF809  BBIR Curncy</stp>
        <stp>PX MID</stp>
        <stp>[XVLA.xls]Data!R42C19</stp>
        <tr r="S42" s="1"/>
      </tp>
      <tp t="s">
        <v>#N/A N/A</v>
        <stp/>
        <stp>##V3_BDPV12</stp>
        <stp>USCF259  BBIR Curncy</stp>
        <stp>PX MID</stp>
        <stp>[XVLA.xls]Data!R42C13</stp>
        <tr r="M42" s="1"/>
      </tp>
      <tp>
        <v>45.134999999999998</v>
        <stp/>
        <stp>##V3_BDPV12</stp>
        <stp>USCF209  BBIR Curncy</stp>
        <stp>PX MID</stp>
        <stp>[XVLA.xls]Data!R42C12</stp>
        <tr r="L42" s="1"/>
      </tp>
      <tp>
        <v>50.494999999999997</v>
        <stp/>
        <stp>##V3_BDPV12</stp>
        <stp>USCF159  BBIR Curncy</stp>
        <stp>PX MID</stp>
        <stp>[XVLA.xls]Data!R42C11</stp>
        <tr r="K42" s="1"/>
      </tp>
      <tp>
        <v>34.354999999999997</v>
        <stp/>
        <stp>##V3_BDPV12</stp>
        <stp>USCF509  BBIR Curncy</stp>
        <stp>PX MID</stp>
        <stp>[XVLA.xls]Data!R42C16</stp>
        <tr r="P42" s="1"/>
      </tp>
      <tp>
        <v>39</v>
        <stp/>
        <stp>##V3_BDPV12</stp>
        <stp>USCF309  BBIR Curncy</stp>
        <stp>PX MID</stp>
        <stp>[XVLA.xls]Data!R42C14</stp>
        <tr r="N42" s="1"/>
      </tp>
      <tp>
        <v>32.78</v>
        <stp/>
        <stp>##V3_BDPV12</stp>
        <stp>USCF909  BBIR Curncy</stp>
        <stp>PX MID</stp>
        <stp>[XVLA.xls]Data!R42C20</stp>
        <tr r="T42" s="1"/>
      </tp>
      <tp>
        <v>33.03</v>
        <stp/>
        <stp>##V3_BDPV12</stp>
        <stp>USCF029  BBIR Curncy</stp>
        <stp>PX MID</stp>
        <stp>[XVLA.xls]Data!R42C23</stp>
        <tr r="W42" s="1"/>
      </tp>
      <tp>
        <v>32.92</v>
        <stp/>
        <stp>##V3_BDPV12</stp>
        <stp>USCF019  BBIR Curncy</stp>
        <stp>PX MID</stp>
        <stp>[XVLA.xls]Data!R42C22</stp>
        <tr r="V42" s="1"/>
      </tp>
      <tp>
        <v>33.28</v>
        <stp/>
        <stp>##V3_BDPV12</stp>
        <stp>USCF049  BBIR Curncy</stp>
        <stp>PX MID</stp>
        <stp>[XVLA.xls]Data!R42C25</stp>
        <tr r="Y42" s="1"/>
      </tp>
      <tp>
        <v>33.159999999999997</v>
        <stp/>
        <stp>##V3_BDPV12</stp>
        <stp>USCF039  BBIR Curncy</stp>
        <stp>PX MID</stp>
        <stp>[XVLA.xls]Data!R42C24</stp>
        <tr r="X42" s="1"/>
      </tp>
      <tp t="s">
        <v>#N/A Field Not Applicable</v>
        <stp/>
        <stp>##V3_BDPV12</stp>
        <stp>USCF059  BBIR Curncy</stp>
        <stp>PX MID</stp>
        <stp>[XVLA.xls]Data!R42C26</stp>
        <tr r="Z42" s="1"/>
      </tp>
      <tp>
        <v>33.869999999999997</v>
        <stp/>
        <stp>##V3_BDPV12</stp>
        <stp>USCF708  BBIR Curncy</stp>
        <stp>PX MID</stp>
        <stp>[XVLA.xls]Data!R41C18</stp>
        <tr r="R41" s="1"/>
      </tp>
      <tp>
        <v>58.335000000000001</v>
        <stp/>
        <stp>##V3_BDPV12</stp>
        <stp>USCF108  BBIR Curncy</stp>
        <stp>PX MID</stp>
        <stp>[XVLA.xls]Data!R41C10</stp>
        <tr r="J41" s="1"/>
      </tp>
      <tp>
        <v>37.07</v>
        <stp/>
        <stp>##V3_BDPV12</stp>
        <stp>USCF408  BBIR Curncy</stp>
        <stp>PX MID</stp>
        <stp>[XVLA.xls]Data!R41C15</stp>
        <tr r="O41" s="1"/>
      </tp>
      <tp>
        <v>34.409999999999997</v>
        <stp/>
        <stp>##V3_BDPV12</stp>
        <stp>USCF608  BBIR Curncy</stp>
        <stp>PX MID</stp>
        <stp>[XVLA.xls]Data!R41C17</stp>
        <tr r="Q41" s="1"/>
      </tp>
      <tp>
        <v>33.625</v>
        <stp/>
        <stp>##V3_BDPV12</stp>
        <stp>USCF808  BBIR Curncy</stp>
        <stp>PX MID</stp>
        <stp>[XVLA.xls]Data!R41C19</stp>
        <tr r="S41" s="1"/>
      </tp>
      <tp t="s">
        <v>#N/A N/A</v>
        <stp/>
        <stp>##V3_BDPV12</stp>
        <stp>USCF258  BBIR Curncy</stp>
        <stp>PX MID</stp>
        <stp>[XVLA.xls]Data!R41C13</stp>
        <tr r="M41" s="1"/>
      </tp>
      <tp>
        <v>45.68</v>
        <stp/>
        <stp>##V3_BDPV12</stp>
        <stp>USCF208  BBIR Curncy</stp>
        <stp>PX MID</stp>
        <stp>[XVLA.xls]Data!R41C12</stp>
        <tr r="L41" s="1"/>
      </tp>
      <tp>
        <v>50.47</v>
        <stp/>
        <stp>##V3_BDPV12</stp>
        <stp>USCF158  BBIR Curncy</stp>
        <stp>PX MID</stp>
        <stp>[XVLA.xls]Data!R41C11</stp>
        <tr r="K41" s="1"/>
      </tp>
      <tp>
        <v>35.39</v>
        <stp/>
        <stp>##V3_BDPV12</stp>
        <stp>USCF508  BBIR Curncy</stp>
        <stp>PX MID</stp>
        <stp>[XVLA.xls]Data!R41C16</stp>
        <tr r="P41" s="1"/>
      </tp>
      <tp>
        <v>40.020000000000003</v>
        <stp/>
        <stp>##V3_BDPV12</stp>
        <stp>USCF308  BBIR Curncy</stp>
        <stp>PX MID</stp>
        <stp>[XVLA.xls]Data!R41C14</stp>
        <tr r="N41" s="1"/>
      </tp>
      <tp>
        <v>33.564999999999998</v>
        <stp/>
        <stp>##V3_BDPV12</stp>
        <stp>USCF908  BBIR Curncy</stp>
        <stp>PX MID</stp>
        <stp>[XVLA.xls]Data!R41C20</stp>
        <tr r="T41" s="1"/>
      </tp>
      <tp>
        <v>33.869999999999997</v>
        <stp/>
        <stp>##V3_BDPV12</stp>
        <stp>USCF028  BBIR Curncy</stp>
        <stp>PX MID</stp>
        <stp>[XVLA.xls]Data!R41C23</stp>
        <tr r="W41" s="1"/>
      </tp>
      <tp>
        <v>33.729999999999997</v>
        <stp/>
        <stp>##V3_BDPV12</stp>
        <stp>USCF018  BBIR Curncy</stp>
        <stp>PX MID</stp>
        <stp>[XVLA.xls]Data!R41C22</stp>
        <tr r="V41" s="1"/>
      </tp>
      <tp>
        <v>34.18</v>
        <stp/>
        <stp>##V3_BDPV12</stp>
        <stp>USCF048  BBIR Curncy</stp>
        <stp>PX MID</stp>
        <stp>[XVLA.xls]Data!R41C25</stp>
        <tr r="Y41" s="1"/>
      </tp>
      <tp>
        <v>34.020000000000003</v>
        <stp/>
        <stp>##V3_BDPV12</stp>
        <stp>USCF038  BBIR Curncy</stp>
        <stp>PX MID</stp>
        <stp>[XVLA.xls]Data!R41C24</stp>
        <tr r="X41" s="1"/>
      </tp>
      <tp t="s">
        <v>#N/A Field Not Applicable</v>
        <stp/>
        <stp>##V3_BDPV12</stp>
        <stp>USCF058  BBIR Curncy</stp>
        <stp>PX MID</stp>
        <stp>[XVLA.xls]Data!R41C26</stp>
        <tr r="Z41" s="1"/>
      </tp>
      <tp>
        <v>35.08</v>
        <stp/>
        <stp>##V3_BDPV12</stp>
        <stp>USSV257  BBIR Curncy</stp>
        <stp>PX MID</stp>
        <stp>[XVLA.xls]Data!R64C11</stp>
        <tr r="K64" s="1"/>
      </tp>
      <tp>
        <v>33.35</v>
        <stp/>
        <stp>##V3_BDPV12</stp>
        <stp>USSV207  BBIR Curncy</stp>
        <stp>PX MID</stp>
        <stp>[XVLA.xls]Data!R63C11</stp>
        <tr r="K63" s="1"/>
      </tp>
      <tp>
        <v>51.5</v>
        <stp/>
        <stp>##V3_BDPV12</stp>
        <stp>USSV0C7  BBIR Curncy</stp>
        <stp>PX MID</stp>
        <stp>[XVLA.xls]Data!R53C11</stp>
        <tr r="K53" s="1"/>
      </tp>
      <tp>
        <v>55.43</v>
        <stp/>
        <stp>##V3_BDPV12</stp>
        <stp>USSV0F7  BBIR Curncy</stp>
        <stp>PX MID</stp>
        <stp>[XVLA.xls]Data!R54C11</stp>
        <tr r="K54" s="1"/>
      </tp>
      <tp>
        <v>51.63</v>
        <stp/>
        <stp>##V3_BDPV12</stp>
        <stp>USSV0A7  BBIR Curncy</stp>
        <stp>PX MID</stp>
        <stp>[XVLA.xls]Data!R52C11</stp>
        <tr r="K52" s="1"/>
      </tp>
      <tp>
        <v>54.45</v>
        <stp/>
        <stp>##V3_BDPV12</stp>
        <stp>USSV017  BBIR Curncy</stp>
        <stp>PX MID</stp>
        <stp>[XVLA.xls]Data!R55C11</stp>
        <tr r="K55" s="1"/>
      </tp>
      <tp>
        <v>49.085000000000001</v>
        <stp/>
        <stp>##V3_BDPV12</stp>
        <stp>USSV027  BBIR Curncy</stp>
        <stp>PX MID</stp>
        <stp>[XVLA.xls]Data!R56C11</stp>
        <tr r="K56" s="1"/>
      </tp>
      <tp>
        <v>49.234999999999999</v>
        <stp/>
        <stp>##V3_BDPV12</stp>
        <stp>USSV037  BBIR Curncy</stp>
        <stp>PX MID</stp>
        <stp>[XVLA.xls]Data!R57C11</stp>
        <tr r="K57" s="1"/>
      </tp>
      <tp>
        <v>36.935000000000002</v>
        <stp/>
        <stp>##V3_BDPV12</stp>
        <stp>USSV307  BBIR Curncy</stp>
        <stp>PX MID</stp>
        <stp>[XVLA.xls]Data!R65C11</stp>
        <tr r="K65" s="1"/>
      </tp>
      <tp>
        <v>48.325000000000003</v>
        <stp/>
        <stp>##V3_BDPV12</stp>
        <stp>USSV047  BBIR Curncy</stp>
        <stp>PX MID</stp>
        <stp>[XVLA.xls]Data!R58C11</stp>
        <tr r="K58" s="1"/>
      </tp>
      <tp>
        <v>47.18</v>
        <stp/>
        <stp>##V3_BDPV12</stp>
        <stp>USSV057  BBIR Curncy</stp>
        <stp>PX MID</stp>
        <stp>[XVLA.xls]Data!R59C11</stp>
        <tr r="K59" s="1"/>
      </tp>
      <tp>
        <v>44.215000000000003</v>
        <stp/>
        <stp>##V3_BDPV12</stp>
        <stp>USSV077  BBIR Curncy</stp>
        <stp>PX MID</stp>
        <stp>[XVLA.xls]Data!R60C11</stp>
        <tr r="K60" s="1"/>
      </tp>
      <tp>
        <v>36.234999999999999</v>
        <stp/>
        <stp>##V3_BDPV12</stp>
        <stp>USSV107  BBIR Curncy</stp>
        <stp>PX MID</stp>
        <stp>[XVLA.xls]Data!R61C11</stp>
        <tr r="K61" s="1"/>
      </tp>
      <tp>
        <v>34.56</v>
        <stp/>
        <stp>##V3_BDPV12</stp>
        <stp>USSV157  BBIR Curncy</stp>
        <stp>PX MID</stp>
        <stp>[XVLA.xls]Data!R62C11</stp>
        <tr r="K62" s="1"/>
      </tp>
      <tp>
        <v>50.93</v>
        <stp/>
        <stp>##V3_BDPV12</stp>
        <stp>USSV0C6  BBIR Curncy</stp>
        <stp>PX MID</stp>
        <stp>[XVLA.xls]Data!R53C10</stp>
        <tr r="J53" s="1"/>
      </tp>
      <tp>
        <v>55.8</v>
        <stp/>
        <stp>##V3_BDPV12</stp>
        <stp>USSV0F6  BBIR Curncy</stp>
        <stp>PX MID</stp>
        <stp>[XVLA.xls]Data!R54C10</stp>
        <tr r="J54" s="1"/>
      </tp>
      <tp>
        <v>51.98</v>
        <stp/>
        <stp>##V3_BDPV12</stp>
        <stp>USSV0A6  BBIR Curncy</stp>
        <stp>PX MID</stp>
        <stp>[XVLA.xls]Data!R52C10</stp>
        <tr r="J52" s="1"/>
      </tp>
      <tp>
        <v>55.19</v>
        <stp/>
        <stp>##V3_BDPV12</stp>
        <stp>USSV016  BBIR Curncy</stp>
        <stp>PX MID</stp>
        <stp>[XVLA.xls]Data!R55C10</stp>
        <tr r="J55" s="1"/>
      </tp>
      <tp>
        <v>48.98</v>
        <stp/>
        <stp>##V3_BDPV12</stp>
        <stp>USSV026  BBIR Curncy</stp>
        <stp>PX MID</stp>
        <stp>[XVLA.xls]Data!R56C10</stp>
        <tr r="J56" s="1"/>
      </tp>
      <tp>
        <v>50.04</v>
        <stp/>
        <stp>##V3_BDPV12</stp>
        <stp>USSV036  BBIR Curncy</stp>
        <stp>PX MID</stp>
        <stp>[XVLA.xls]Data!R57C10</stp>
        <tr r="J57" s="1"/>
      </tp>
      <tp>
        <v>37.515000000000001</v>
        <stp/>
        <stp>##V3_BDPV12</stp>
        <stp>USSV306  BBIR Curncy</stp>
        <stp>PX MID</stp>
        <stp>[XVLA.xls]Data!R65C10</stp>
        <tr r="J65" s="1"/>
      </tp>
      <tp>
        <v>49.27</v>
        <stp/>
        <stp>##V3_BDPV12</stp>
        <stp>USSV046  BBIR Curncy</stp>
        <stp>PX MID</stp>
        <stp>[XVLA.xls]Data!R58C10</stp>
        <tr r="J58" s="1"/>
      </tp>
      <tp>
        <v>48.365000000000002</v>
        <stp/>
        <stp>##V3_BDPV12</stp>
        <stp>USSV056  BBIR Curncy</stp>
        <stp>PX MID</stp>
        <stp>[XVLA.xls]Data!R59C10</stp>
        <tr r="J59" s="1"/>
      </tp>
      <tp>
        <v>34.74</v>
        <stp/>
        <stp>##V3_BDPV12</stp>
        <stp>USSV256  BBIR Curncy</stp>
        <stp>PX MID</stp>
        <stp>[XVLA.xls]Data!R64C10</stp>
        <tr r="J64" s="1"/>
      </tp>
      <tp>
        <v>33.26</v>
        <stp/>
        <stp>##V3_BDPV12</stp>
        <stp>USSV206  BBIR Curncy</stp>
        <stp>PX MID</stp>
        <stp>[XVLA.xls]Data!R63C10</stp>
        <tr r="J63" s="1"/>
      </tp>
      <tp>
        <v>38.729999999999997</v>
        <stp/>
        <stp>##V3_BDPV12</stp>
        <stp>USSV106  BBIR Curncy</stp>
        <stp>PX MID</stp>
        <stp>[XVLA.xls]Data!R61C10</stp>
        <tr r="J61" s="1"/>
      </tp>
      <tp>
        <v>34.56</v>
        <stp/>
        <stp>##V3_BDPV12</stp>
        <stp>USSV156  BBIR Curncy</stp>
        <stp>PX MID</stp>
        <stp>[XVLA.xls]Data!R62C10</stp>
        <tr r="J62" s="1"/>
      </tp>
      <tp>
        <v>44.994999999999997</v>
        <stp/>
        <stp>##V3_BDPV12</stp>
        <stp>USSV076  BBIR Curncy</stp>
        <stp>PX MID</stp>
        <stp>[XVLA.xls]Data!R60C10</stp>
        <tr r="J60" s="1"/>
      </tp>
      <tp t="s">
        <v>#N/A N/A</v>
        <stp/>
        <stp>##V3_BDPV12</stp>
        <stp>USPEB1 ICPL Curncy</stp>
        <stp>ASK</stp>
        <stp>[XVLA.xls]Data!R77C5</stp>
        <tr r="E77" s="1"/>
      </tp>
      <tp t="s">
        <v>#N/A N/A</v>
        <stp/>
        <stp>##V3_BDPV12</stp>
        <stp>USPEB2 ICPL Curncy</stp>
        <stp>ASK</stp>
        <stp>[XVLA.xls]Data!R77C6</stp>
        <tr r="F77" s="1"/>
      </tp>
      <tp t="s">
        <v>#N/A N/A</v>
        <stp/>
        <stp>##V3_BDPV12</stp>
        <stp>USPEB3 ICPL Curncy</stp>
        <stp>ASK</stp>
        <stp>[XVLA.xls]Data!R77C7</stp>
        <tr r="G77" s="1"/>
      </tp>
      <tp t="s">
        <v>#N/A N/A</v>
        <stp/>
        <stp>##V3_BDPV12</stp>
        <stp>USPEB4 ICPL Curncy</stp>
        <stp>ASK</stp>
        <stp>[XVLA.xls]Data!R77C8</stp>
        <tr r="H77" s="1"/>
      </tp>
      <tp t="s">
        <v>#N/A N/A</v>
        <stp/>
        <stp>##V3_BDPV12</stp>
        <stp>USPEB5 ICPL Curncy</stp>
        <stp>ASK</stp>
        <stp>[XVLA.xls]Data!R77C9</stp>
        <tr r="I77" s="1"/>
      </tp>
      <tp>
        <v>47.34</v>
        <stp/>
        <stp>##V3_BDPV12</stp>
        <stp>USSV0C10 BBIR Curncy</stp>
        <stp>PX MID</stp>
        <stp>[XVLA.xls]Data!R53C14</stp>
        <tr r="N53" s="1"/>
      </tp>
      <tp>
        <v>47.59</v>
        <stp/>
        <stp>##V3_BDPV12</stp>
        <stp>USSV0F10 BBIR Curncy</stp>
        <stp>PX MID</stp>
        <stp>[XVLA.xls]Data!R54C14</stp>
        <tr r="N54" s="1"/>
      </tp>
      <tp>
        <v>41.42</v>
        <stp/>
        <stp>##V3_BDPV12</stp>
        <stp>USSV0A10 BBIR Curncy</stp>
        <stp>PX MID</stp>
        <stp>[XVLA.xls]Data!R52C14</stp>
        <tr r="N52" s="1"/>
      </tp>
      <tp>
        <v>48.57</v>
        <stp/>
        <stp>##V3_BDPV12</stp>
        <stp>USSV0110 BBIR Curncy</stp>
        <stp>PX MID</stp>
        <stp>[XVLA.xls]Data!R55C14</stp>
        <tr r="N55" s="1"/>
      </tp>
      <tp>
        <v>47.89</v>
        <stp/>
        <stp>##V3_BDPV12</stp>
        <stp>USSV0210 BBIR Curncy</stp>
        <stp>PX MID</stp>
        <stp>[XVLA.xls]Data!R56C14</stp>
        <tr r="N56" s="1"/>
      </tp>
      <tp>
        <v>47.055</v>
        <stp/>
        <stp>##V3_BDPV12</stp>
        <stp>USSV0310 BBIR Curncy</stp>
        <stp>PX MID</stp>
        <stp>[XVLA.xls]Data!R57C14</stp>
        <tr r="N57" s="1"/>
      </tp>
      <tp>
        <v>35.134999999999998</v>
        <stp/>
        <stp>##V3_BDPV12</stp>
        <stp>USSV3010 BBIR Curncy</stp>
        <stp>PX MID</stp>
        <stp>[XVLA.xls]Data!R65C14</stp>
        <tr r="N65" s="1"/>
      </tp>
      <tp>
        <v>45.924999999999997</v>
        <stp/>
        <stp>##V3_BDPV12</stp>
        <stp>USSV0410 BBIR Curncy</stp>
        <stp>PX MID</stp>
        <stp>[XVLA.xls]Data!R58C14</stp>
        <tr r="N58" s="1"/>
      </tp>
      <tp>
        <v>44.85</v>
        <stp/>
        <stp>##V3_BDPV12</stp>
        <stp>USSV0510 BBIR Curncy</stp>
        <stp>PX MID</stp>
        <stp>[XVLA.xls]Data!R59C14</stp>
        <tr r="N59" s="1"/>
      </tp>
      <tp>
        <v>35.24</v>
        <stp/>
        <stp>##V3_BDPV12</stp>
        <stp>USSV2510 BBIR Curncy</stp>
        <stp>PX MID</stp>
        <stp>[XVLA.xls]Data!R64C14</stp>
        <tr r="N64" s="1"/>
      </tp>
      <tp>
        <v>33.659999999999997</v>
        <stp/>
        <stp>##V3_BDPV12</stp>
        <stp>USSV2010 BBIR Curncy</stp>
        <stp>PX MID</stp>
        <stp>[XVLA.xls]Data!R63C14</stp>
        <tr r="N63" s="1"/>
      </tp>
      <tp>
        <v>38.895000000000003</v>
        <stp/>
        <stp>##V3_BDPV12</stp>
        <stp>USSV1010 BBIR Curncy</stp>
        <stp>PX MID</stp>
        <stp>[XVLA.xls]Data!R61C14</stp>
        <tr r="N61" s="1"/>
      </tp>
      <tp>
        <v>34.965000000000003</v>
        <stp/>
        <stp>##V3_BDPV12</stp>
        <stp>USSV1510 BBIR Curncy</stp>
        <stp>PX MID</stp>
        <stp>[XVLA.xls]Data!R62C14</stp>
        <tr r="N62" s="1"/>
      </tp>
      <tp>
        <v>42.384999999999998</v>
        <stp/>
        <stp>##V3_BDPV12</stp>
        <stp>USSV0710 BBIR Curncy</stp>
        <stp>PX MID</stp>
        <stp>[XVLA.xls]Data!R60C14</stp>
        <tr r="N60" s="1"/>
      </tp>
      <tp>
        <v>34.354999999999997</v>
        <stp/>
        <stp>##V3_BDPV12</stp>
        <stp>USSV2512 BBIR Curncy</stp>
        <stp>PX MID</stp>
        <stp>[XVLA.xls]Data!R64C15</stp>
        <tr r="O64" s="1"/>
      </tp>
      <tp>
        <v>32.799999999999997</v>
        <stp/>
        <stp>##V3_BDPV12</stp>
        <stp>USSV2012 BBIR Curncy</stp>
        <stp>PX MID</stp>
        <stp>[XVLA.xls]Data!R63C15</stp>
        <tr r="O63" s="1"/>
      </tp>
      <tp>
        <v>35.225000000000001</v>
        <stp/>
        <stp>##V3_BDPV12</stp>
        <stp>USSV3012 BBIR Curncy</stp>
        <stp>PX MID</stp>
        <stp>[XVLA.xls]Data!R65C15</stp>
        <tr r="O65" s="1"/>
      </tp>
      <tp>
        <v>34.164999999999999</v>
        <stp/>
        <stp>##V3_BDPV12</stp>
        <stp>USSV1512 BBIR Curncy</stp>
        <stp>PX MID</stp>
        <stp>[XVLA.xls]Data!R62C15</stp>
        <tr r="O62" s="1"/>
      </tp>
      <tp>
        <v>32.92</v>
        <stp/>
        <stp>##V3_BDPV12</stp>
        <stp>USSV1515 BBIR Curncy</stp>
        <stp>PX MID</stp>
        <stp>[XVLA.xls]Data!R62C16</stp>
        <tr r="P62" s="1"/>
      </tp>
      <tp>
        <v>42.795000000000002</v>
        <stp/>
        <stp>##V3_BDPV12</stp>
        <stp>USSV0C15 BBIR Curncy</stp>
        <stp>PX MID</stp>
        <stp>[XVLA.xls]Data!R53C15</stp>
        <tr r="O53" s="1"/>
      </tp>
      <tp>
        <v>44.325000000000003</v>
        <stp/>
        <stp>##V3_BDPV12</stp>
        <stp>USSV0F15 BBIR Curncy</stp>
        <stp>PX MID</stp>
        <stp>[XVLA.xls]Data!R54C15</stp>
        <tr r="O54" s="1"/>
      </tp>
      <tp>
        <v>40.32</v>
        <stp/>
        <stp>##V3_BDPV12</stp>
        <stp>USSV0A15 BBIR Curncy</stp>
        <stp>PX MID</stp>
        <stp>[XVLA.xls]Data!R52C15</stp>
        <tr r="O52" s="1"/>
      </tp>
      <tp>
        <v>44.414999999999999</v>
        <stp/>
        <stp>##V3_BDPV12</stp>
        <stp>USSV0115 BBIR Curncy</stp>
        <stp>PX MID</stp>
        <stp>[XVLA.xls]Data!R55C15</stp>
        <tr r="O55" s="1"/>
      </tp>
      <tp>
        <v>44.024999999999999</v>
        <stp/>
        <stp>##V3_BDPV12</stp>
        <stp>USSV0215 BBIR Curncy</stp>
        <stp>PX MID</stp>
        <stp>[XVLA.xls]Data!R56C15</stp>
        <tr r="O56" s="1"/>
      </tp>
      <tp>
        <v>43.375</v>
        <stp/>
        <stp>##V3_BDPV12</stp>
        <stp>USSV0315 BBIR Curncy</stp>
        <stp>PX MID</stp>
        <stp>[XVLA.xls]Data!R57C15</stp>
        <tr r="O57" s="1"/>
      </tp>
      <tp>
        <v>42.645000000000003</v>
        <stp/>
        <stp>##V3_BDPV12</stp>
        <stp>USSV0415 BBIR Curncy</stp>
        <stp>PX MID</stp>
        <stp>[XVLA.xls]Data!R58C15</stp>
        <tr r="O58" s="1"/>
      </tp>
      <tp>
        <v>41.935000000000002</v>
        <stp/>
        <stp>##V3_BDPV12</stp>
        <stp>USSV0515 BBIR Curncy</stp>
        <stp>PX MID</stp>
        <stp>[XVLA.xls]Data!R59C15</stp>
        <tr r="O59" s="1"/>
      </tp>
      <tp>
        <v>35.25</v>
        <stp/>
        <stp>##V3_BDPV12</stp>
        <stp>USSV3015 BBIR Curncy</stp>
        <stp>PX MID</stp>
        <stp>[XVLA.xls]Data!R65C16</stp>
        <tr r="P65" s="1"/>
      </tp>
      <tp>
        <v>39.659999999999997</v>
        <stp/>
        <stp>##V3_BDPV12</stp>
        <stp>USSV0715 BBIR Curncy</stp>
        <stp>PX MID</stp>
        <stp>[XVLA.xls]Data!R60C15</stp>
        <tr r="O60" s="1"/>
      </tp>
      <tp>
        <v>36.604999999999997</v>
        <stp/>
        <stp>##V3_BDPV12</stp>
        <stp>USSV1015 BBIR Curncy</stp>
        <stp>PX MID</stp>
        <stp>[XVLA.xls]Data!R61C15</stp>
        <tr r="O61" s="1"/>
      </tp>
      <tp>
        <v>32.99</v>
        <stp/>
        <stp>##V3_BDPV12</stp>
        <stp>USSV2515 BBIR Curncy</stp>
        <stp>PX MID</stp>
        <stp>[XVLA.xls]Data!R64C16</stp>
        <tr r="P64" s="1"/>
      </tp>
      <tp>
        <v>31.43</v>
        <stp/>
        <stp>##V3_BDPV12</stp>
        <stp>USSV2015 BBIR Curncy</stp>
        <stp>PX MID</stp>
        <stp>[XVLA.xls]Data!R63C16</stp>
        <tr r="P63" s="1"/>
      </tp>
      <tp>
        <v>8</v>
        <stp/>
        <stp>##V3_BDPV12</stp>
        <stp>USPEA1 ICPL Curncy</stp>
        <stp>ASK</stp>
        <stp>[XVLA.xls]Data!R76C5</stp>
        <tr r="E76" s="1"/>
      </tp>
      <tp>
        <v>20.399999999999999</v>
        <stp/>
        <stp>##V3_BDPV12</stp>
        <stp>USPEA2 ICPL Curncy</stp>
        <stp>ASK</stp>
        <stp>[XVLA.xls]Data!R76C6</stp>
        <tr r="F76" s="1"/>
      </tp>
      <tp>
        <v>34.5</v>
        <stp/>
        <stp>##V3_BDPV12</stp>
        <stp>USPEA3 ICPL Curncy</stp>
        <stp>ASK</stp>
        <stp>[XVLA.xls]Data!R76C7</stp>
        <tr r="G76" s="1"/>
      </tp>
      <tp>
        <v>49.6</v>
        <stp/>
        <stp>##V3_BDPV12</stp>
        <stp>USPEA4 ICPL Curncy</stp>
        <stp>ASK</stp>
        <stp>[XVLA.xls]Data!R76C8</stp>
        <tr r="H76" s="1"/>
      </tp>
      <tp>
        <v>66</v>
        <stp/>
        <stp>##V3_BDPV12</stp>
        <stp>USPEA5 ICPL Curncy</stp>
        <stp>ASK</stp>
        <stp>[XVLA.xls]Data!R76C9</stp>
        <tr r="I76" s="1"/>
      </tp>
      <tp>
        <v>39.020000000000003</v>
        <stp/>
        <stp>##V3_BDPV12</stp>
        <stp>USSV0C30 BBIR Curncy</stp>
        <stp>PX MID</stp>
        <stp>[XVLA.xls]Data!R53C18</stp>
        <tr r="R53" s="1"/>
      </tp>
      <tp>
        <v>41.034999999999997</v>
        <stp/>
        <stp>##V3_BDPV12</stp>
        <stp>USSV0F30 BBIR Curncy</stp>
        <stp>PX MID</stp>
        <stp>[XVLA.xls]Data!R54C18</stp>
        <tr r="R54" s="1"/>
      </tp>
      <tp>
        <v>36.225000000000001</v>
        <stp/>
        <stp>##V3_BDPV12</stp>
        <stp>USSV0A30 BBIR Curncy</stp>
        <stp>PX MID</stp>
        <stp>[XVLA.xls]Data!R52C18</stp>
        <tr r="R52" s="1"/>
      </tp>
      <tp>
        <v>39.844999999999999</v>
        <stp/>
        <stp>##V3_BDPV12</stp>
        <stp>USSV0130 BBIR Curncy</stp>
        <stp>PX MID</stp>
        <stp>[XVLA.xls]Data!R55C18</stp>
        <tr r="R55" s="1"/>
      </tp>
      <tp>
        <v>39.68</v>
        <stp/>
        <stp>##V3_BDPV12</stp>
        <stp>USSV0230 BBIR Curncy</stp>
        <stp>PX MID</stp>
        <stp>[XVLA.xls]Data!R56C18</stp>
        <tr r="R56" s="1"/>
      </tp>
      <tp>
        <v>38.93</v>
        <stp/>
        <stp>##V3_BDPV12</stp>
        <stp>USSV0330 BBIR Curncy</stp>
        <stp>PX MID</stp>
        <stp>[XVLA.xls]Data!R57C18</stp>
        <tr r="R57" s="1"/>
      </tp>
      <tp>
        <v>39.134999999999998</v>
        <stp/>
        <stp>##V3_BDPV12</stp>
        <stp>USSV0430 BBIR Curncy</stp>
        <stp>PX MID</stp>
        <stp>[XVLA.xls]Data!R58C18</stp>
        <tr r="R58" s="1"/>
      </tp>
      <tp>
        <v>39.075000000000003</v>
        <stp/>
        <stp>##V3_BDPV12</stp>
        <stp>USSV0530 BBIR Curncy</stp>
        <stp>PX MID</stp>
        <stp>[XVLA.xls]Data!R59C18</stp>
        <tr r="R59" s="1"/>
      </tp>
      <tp>
        <v>32.975000000000001</v>
        <stp/>
        <stp>##V3_BDPV12</stp>
        <stp>USSV1030 BBIR Curncy</stp>
        <stp>PX MID</stp>
        <stp>[XVLA.xls]Data!R61C18</stp>
        <tr r="R61" s="1"/>
      </tp>
      <tp>
        <v>36.340000000000003</v>
        <stp/>
        <stp>##V3_BDPV12</stp>
        <stp>USSV0730 BBIR Curncy</stp>
        <stp>PX MID</stp>
        <stp>[XVLA.xls]Data!R60C18</stp>
        <tr r="R60" s="1"/>
      </tp>
      <tp>
        <v>34.234999999999999</v>
        <stp/>
        <stp>##V3_BDPV12</stp>
        <stp>USSV1020 BBIR Curncy</stp>
        <stp>PX MID</stp>
        <stp>[XVLA.xls]Data!R61C16</stp>
        <tr r="P61" s="1"/>
      </tp>
      <tp>
        <v>37.36</v>
        <stp/>
        <stp>##V3_BDPV12</stp>
        <stp>USSV0720 BBIR Curncy</stp>
        <stp>PX MID</stp>
        <stp>[XVLA.xls]Data!R60C16</stp>
        <tr r="P60" s="1"/>
      </tp>
      <tp>
        <v>32.085000000000001</v>
        <stp/>
        <stp>##V3_BDPV12</stp>
        <stp>USSV1520 BBIR Curncy</stp>
        <stp>PX MID</stp>
        <stp>[XVLA.xls]Data!R62C17</stp>
        <tr r="Q62" s="1"/>
      </tp>
      <tp>
        <v>40.630000000000003</v>
        <stp/>
        <stp>##V3_BDPV12</stp>
        <stp>USSV0C20 BBIR Curncy</stp>
        <stp>PX MID</stp>
        <stp>[XVLA.xls]Data!R53C16</stp>
        <tr r="P53" s="1"/>
      </tp>
      <tp>
        <v>42.625</v>
        <stp/>
        <stp>##V3_BDPV12</stp>
        <stp>USSV0F20 BBIR Curncy</stp>
        <stp>PX MID</stp>
        <stp>[XVLA.xls]Data!R54C16</stp>
        <tr r="P54" s="1"/>
      </tp>
      <tp>
        <v>38.82</v>
        <stp/>
        <stp>##V3_BDPV12</stp>
        <stp>USSV0A20 BBIR Curncy</stp>
        <stp>PX MID</stp>
        <stp>[XVLA.xls]Data!R52C16</stp>
        <tr r="P52" s="1"/>
      </tp>
      <tp>
        <v>32.265000000000001</v>
        <stp/>
        <stp>##V3_BDPV12</stp>
        <stp>USSV2520 BBIR Curncy</stp>
        <stp>PX MID</stp>
        <stp>[XVLA.xls]Data!R64C17</stp>
        <tr r="Q64" s="1"/>
      </tp>
      <tp>
        <v>30.65</v>
        <stp/>
        <stp>##V3_BDPV12</stp>
        <stp>USSV2020 BBIR Curncy</stp>
        <stp>PX MID</stp>
        <stp>[XVLA.xls]Data!R63C17</stp>
        <tr r="Q63" s="1"/>
      </tp>
      <tp>
        <v>42.215000000000003</v>
        <stp/>
        <stp>##V3_BDPV12</stp>
        <stp>USSV0120 BBIR Curncy</stp>
        <stp>PX MID</stp>
        <stp>[XVLA.xls]Data!R55C16</stp>
        <tr r="P55" s="1"/>
      </tp>
      <tp>
        <v>41.53</v>
        <stp/>
        <stp>##V3_BDPV12</stp>
        <stp>USSV0220 BBIR Curncy</stp>
        <stp>PX MID</stp>
        <stp>[XVLA.xls]Data!R56C16</stp>
        <tr r="P56" s="1"/>
      </tp>
      <tp>
        <v>40.905000000000001</v>
        <stp/>
        <stp>##V3_BDPV12</stp>
        <stp>USSV0320 BBIR Curncy</stp>
        <stp>PX MID</stp>
        <stp>[XVLA.xls]Data!R57C16</stp>
        <tr r="P57" s="1"/>
      </tp>
      <tp>
        <v>40.365000000000002</v>
        <stp/>
        <stp>##V3_BDPV12</stp>
        <stp>USSV0420 BBIR Curncy</stp>
        <stp>PX MID</stp>
        <stp>[XVLA.xls]Data!R58C16</stp>
        <tr r="P58" s="1"/>
      </tp>
      <tp>
        <v>39.875</v>
        <stp/>
        <stp>##V3_BDPV12</stp>
        <stp>USSV0520 BBIR Curncy</stp>
        <stp>PX MID</stp>
        <stp>[XVLA.xls]Data!R59C16</stp>
        <tr r="P59" s="1"/>
      </tp>
      <tp>
        <v>33.770000000000003</v>
        <stp/>
        <stp>##V3_BDPV12</stp>
        <stp>USSV3020 BBIR Curncy</stp>
        <stp>PX MID</stp>
        <stp>[XVLA.xls]Data!R65C17</stp>
        <tr r="Q65" s="1"/>
      </tp>
      <tp>
        <v>32.659999999999997</v>
        <stp/>
        <stp>##V3_BDPV12</stp>
        <stp>USSV3025 BBIR Curncy</stp>
        <stp>PX MID</stp>
        <stp>[XVLA.xls]Data!R65C18</stp>
        <tr r="R65" s="1"/>
      </tp>
      <tp>
        <v>31.524999999999999</v>
        <stp/>
        <stp>##V3_BDPV12</stp>
        <stp>USSV2525 BBIR Curncy</stp>
        <stp>PX MID</stp>
        <stp>[XVLA.xls]Data!R64C18</stp>
        <tr r="R64" s="1"/>
      </tp>
      <tp>
        <v>30.63</v>
        <stp/>
        <stp>##V3_BDPV12</stp>
        <stp>USSV2025 BBIR Curncy</stp>
        <stp>PX MID</stp>
        <stp>[XVLA.xls]Data!R63C18</stp>
        <tr r="R63" s="1"/>
      </tp>
      <tp>
        <v>30.55</v>
        <stp/>
        <stp>##V3_BDPV12</stp>
        <stp>USSV1525 BBIR Curncy</stp>
        <stp>PX MID</stp>
        <stp>[XVLA.xls]Data!R62C18</stp>
        <tr r="R62" s="1"/>
      </tp>
      <tp>
        <v>35.840000000000003</v>
        <stp/>
        <stp>##V3_BDPV12</stp>
        <stp>USSV0725 BBIR Curncy</stp>
        <stp>PX MID</stp>
        <stp>[XVLA.xls]Data!R60C17</stp>
        <tr r="Q60" s="1"/>
      </tp>
      <tp>
        <v>34.204999999999998</v>
        <stp/>
        <stp>##V3_BDPV12</stp>
        <stp>USSV1025 BBIR Curncy</stp>
        <stp>PX MID</stp>
        <stp>[XVLA.xls]Data!R61C17</stp>
        <tr r="Q61" s="1"/>
      </tp>
      <tp>
        <v>39.604999999999997</v>
        <stp/>
        <stp>##V3_BDPV12</stp>
        <stp>USSV0C25 BBIR Curncy</stp>
        <stp>PX MID</stp>
        <stp>[XVLA.xls]Data!R53C17</stp>
        <tr r="Q53" s="1"/>
      </tp>
      <tp>
        <v>41.604999999999997</v>
        <stp/>
        <stp>##V3_BDPV12</stp>
        <stp>USSV0F25 BBIR Curncy</stp>
        <stp>PX MID</stp>
        <stp>[XVLA.xls]Data!R54C17</stp>
        <tr r="Q54" s="1"/>
      </tp>
      <tp>
        <v>37.255000000000003</v>
        <stp/>
        <stp>##V3_BDPV12</stp>
        <stp>USSV0A25 BBIR Curncy</stp>
        <stp>PX MID</stp>
        <stp>[XVLA.xls]Data!R52C17</stp>
        <tr r="Q52" s="1"/>
      </tp>
      <tp>
        <v>40.994999999999997</v>
        <stp/>
        <stp>##V3_BDPV12</stp>
        <stp>USSV0125 BBIR Curncy</stp>
        <stp>PX MID</stp>
        <stp>[XVLA.xls]Data!R55C17</stp>
        <tr r="Q55" s="1"/>
      </tp>
      <tp>
        <v>39.67</v>
        <stp/>
        <stp>##V3_BDPV12</stp>
        <stp>USSV0225 BBIR Curncy</stp>
        <stp>PX MID</stp>
        <stp>[XVLA.xls]Data!R56C17</stp>
        <tr r="Q56" s="1"/>
      </tp>
      <tp>
        <v>38.97</v>
        <stp/>
        <stp>##V3_BDPV12</stp>
        <stp>USSV0325 BBIR Curncy</stp>
        <stp>PX MID</stp>
        <stp>[XVLA.xls]Data!R57C17</stp>
        <tr r="Q57" s="1"/>
      </tp>
      <tp>
        <v>39.555</v>
        <stp/>
        <stp>##V3_BDPV12</stp>
        <stp>USSV0425 BBIR Curncy</stp>
        <stp>PX MID</stp>
        <stp>[XVLA.xls]Data!R58C17</stp>
        <tr r="Q58" s="1"/>
      </tp>
      <tp>
        <v>39.26</v>
        <stp/>
        <stp>##V3_BDPV12</stp>
        <stp>USSV0525 BBIR Curncy</stp>
        <stp>PX MID</stp>
        <stp>[XVLA.xls]Data!R59C17</stp>
        <tr r="Q59" s="1"/>
      </tp>
      <tp t="s">
        <v>#N/A N/A</v>
        <stp/>
        <stp>##V3_BDPV12</stp>
        <stp>USPEI1 ICPL Curncy</stp>
        <stp>ASK</stp>
        <stp>[XVLA.xls]Data!R80C5</stp>
        <tr r="E80" s="1"/>
      </tp>
      <tp t="s">
        <v>#N/A N/A</v>
        <stp/>
        <stp>##V3_BDPV12</stp>
        <stp>USPEI2 ICPL Curncy</stp>
        <stp>ASK</stp>
        <stp>[XVLA.xls]Data!R80C6</stp>
        <tr r="F80" s="1"/>
      </tp>
      <tp t="s">
        <v>#N/A N/A</v>
        <stp/>
        <stp>##V3_BDPV12</stp>
        <stp>USPEI3 ICPL Curncy</stp>
        <stp>ASK</stp>
        <stp>[XVLA.xls]Data!R80C7</stp>
        <tr r="G80" s="1"/>
      </tp>
      <tp t="s">
        <v>#N/A N/A</v>
        <stp/>
        <stp>##V3_BDPV12</stp>
        <stp>USPEI4 ICPL Curncy</stp>
        <stp>ASK</stp>
        <stp>[XVLA.xls]Data!R80C8</stp>
        <tr r="H80" s="1"/>
      </tp>
      <tp t="s">
        <v>#N/A N/A</v>
        <stp/>
        <stp>##V3_BDPV12</stp>
        <stp>USPEI5 ICPL Curncy</stp>
        <stp>ASK</stp>
        <stp>[XVLA.xls]Data!R80C9</stp>
        <tr r="I80" s="1"/>
      </tp>
      <tp>
        <v>15.3</v>
        <stp/>
        <stp>##V3_BDPV12</stp>
        <stp>USPEC1 ICPL Curncy</stp>
        <stp>ASK</stp>
        <stp>[XVLA.xls]Data!R78C5</stp>
        <tr r="E78" s="1"/>
      </tp>
      <tp>
        <v>38.9</v>
        <stp/>
        <stp>##V3_BDPV12</stp>
        <stp>USPEC2 ICPL Curncy</stp>
        <stp>ASK</stp>
        <stp>[XVLA.xls]Data!R78C6</stp>
        <tr r="F78" s="1"/>
      </tp>
      <tp>
        <v>67.900000000000006</v>
        <stp/>
        <stp>##V3_BDPV12</stp>
        <stp>USPEC3 ICPL Curncy</stp>
        <stp>ASK</stp>
        <stp>[XVLA.xls]Data!R78C7</stp>
        <tr r="G78" s="1"/>
      </tp>
      <tp>
        <v>96</v>
        <stp/>
        <stp>##V3_BDPV12</stp>
        <stp>USPEC4 ICPL Curncy</stp>
        <stp>ASK</stp>
        <stp>[XVLA.xls]Data!R78C8</stp>
        <tr r="H78" s="1"/>
      </tp>
      <tp>
        <v>126</v>
        <stp/>
        <stp>##V3_BDPV12</stp>
        <stp>USPEC5 ICPL Curncy</stp>
        <stp>ASK</stp>
        <stp>[XVLA.xls]Data!R78C9</stp>
        <tr r="I78" s="1"/>
      </tp>
      <tp>
        <v>42.92</v>
        <stp/>
        <stp>##V3_BDPV12</stp>
        <stp>USSV079  BBIR Curncy</stp>
        <stp>PX MID</stp>
        <stp>[XVLA.xls]Data!R60C13</stp>
        <tr r="M60" s="1"/>
      </tp>
      <tp>
        <v>38.755000000000003</v>
        <stp/>
        <stp>##V3_BDPV12</stp>
        <stp>USSV109  BBIR Curncy</stp>
        <stp>PX MID</stp>
        <stp>[XVLA.xls]Data!R61C13</stp>
        <tr r="M61" s="1"/>
      </tp>
      <tp>
        <v>34.85</v>
        <stp/>
        <stp>##V3_BDPV12</stp>
        <stp>USSV159  BBIR Curncy</stp>
        <stp>PX MID</stp>
        <stp>[XVLA.xls]Data!R62C13</stp>
        <tr r="M62" s="1"/>
      </tp>
      <tp>
        <v>35.295000000000002</v>
        <stp/>
        <stp>##V3_BDPV12</stp>
        <stp>USSV259  BBIR Curncy</stp>
        <stp>PX MID</stp>
        <stp>[XVLA.xls]Data!R64C13</stp>
        <tr r="M64" s="1"/>
      </tp>
      <tp>
        <v>33.314999999999998</v>
        <stp/>
        <stp>##V3_BDPV12</stp>
        <stp>USSV209  BBIR Curncy</stp>
        <stp>PX MID</stp>
        <stp>[XVLA.xls]Data!R63C13</stp>
        <tr r="M63" s="1"/>
      </tp>
      <tp>
        <v>48.475000000000001</v>
        <stp/>
        <stp>##V3_BDPV12</stp>
        <stp>USSV0C9  BBIR Curncy</stp>
        <stp>PX MID</stp>
        <stp>[XVLA.xls]Data!R53C13</stp>
        <tr r="M53" s="1"/>
      </tp>
      <tp>
        <v>50.314999999999998</v>
        <stp/>
        <stp>##V3_BDPV12</stp>
        <stp>USSV0F9  BBIR Curncy</stp>
        <stp>PX MID</stp>
        <stp>[XVLA.xls]Data!R54C13</stp>
        <tr r="M54" s="1"/>
      </tp>
      <tp>
        <v>42.075000000000003</v>
        <stp/>
        <stp>##V3_BDPV12</stp>
        <stp>USSV0A9  BBIR Curncy</stp>
        <stp>PX MID</stp>
        <stp>[XVLA.xls]Data!R52C13</stp>
        <tr r="M52" s="1"/>
      </tp>
      <tp>
        <v>51.45</v>
        <stp/>
        <stp>##V3_BDPV12</stp>
        <stp>USSV019  BBIR Curncy</stp>
        <stp>PX MID</stp>
        <stp>[XVLA.xls]Data!R55C13</stp>
        <tr r="M55" s="1"/>
      </tp>
      <tp>
        <v>48.22</v>
        <stp/>
        <stp>##V3_BDPV12</stp>
        <stp>USSV029  BBIR Curncy</stp>
        <stp>PX MID</stp>
        <stp>[XVLA.xls]Data!R56C13</stp>
        <tr r="M56" s="1"/>
      </tp>
      <tp>
        <v>47.48</v>
        <stp/>
        <stp>##V3_BDPV12</stp>
        <stp>USSV039  BBIR Curncy</stp>
        <stp>PX MID</stp>
        <stp>[XVLA.xls]Data!R57C13</stp>
        <tr r="M57" s="1"/>
      </tp>
      <tp>
        <v>35.795000000000002</v>
        <stp/>
        <stp>##V3_BDPV12</stp>
        <stp>USSV309  BBIR Curncy</stp>
        <stp>PX MID</stp>
        <stp>[XVLA.xls]Data!R65C13</stp>
        <tr r="M65" s="1"/>
      </tp>
      <tp>
        <v>46.63</v>
        <stp/>
        <stp>##V3_BDPV12</stp>
        <stp>USSV049  BBIR Curncy</stp>
        <stp>PX MID</stp>
        <stp>[XVLA.xls]Data!R58C13</stp>
        <tr r="M58" s="1"/>
      </tp>
      <tp>
        <v>45.73</v>
        <stp/>
        <stp>##V3_BDPV12</stp>
        <stp>USSV059  BBIR Curncy</stp>
        <stp>PX MID</stp>
        <stp>[XVLA.xls]Data!R59C13</stp>
        <tr r="M59" s="1"/>
      </tp>
      <tp>
        <v>38.435000000000002</v>
        <stp/>
        <stp>##V3_BDPV12</stp>
        <stp>USSV108  BBIR Curncy</stp>
        <stp>PX MID</stp>
        <stp>[XVLA.xls]Data!R61C12</stp>
        <tr r="L61" s="1"/>
      </tp>
      <tp>
        <v>34.695</v>
        <stp/>
        <stp>##V3_BDPV12</stp>
        <stp>USSV158  BBIR Curncy</stp>
        <stp>PX MID</stp>
        <stp>[XVLA.xls]Data!R62C12</stp>
        <tr r="L62" s="1"/>
      </tp>
      <tp>
        <v>43.284999999999997</v>
        <stp/>
        <stp>##V3_BDPV12</stp>
        <stp>USSV078  BBIR Curncy</stp>
        <stp>PX MID</stp>
        <stp>[XVLA.xls]Data!R60C12</stp>
        <tr r="L60" s="1"/>
      </tp>
      <tp>
        <v>49.87</v>
        <stp/>
        <stp>##V3_BDPV12</stp>
        <stp>USSV0C8  BBIR Curncy</stp>
        <stp>PX MID</stp>
        <stp>[XVLA.xls]Data!R53C12</stp>
        <tr r="L53" s="1"/>
      </tp>
      <tp>
        <v>52.715000000000003</v>
        <stp/>
        <stp>##V3_BDPV12</stp>
        <stp>USSV0F8  BBIR Curncy</stp>
        <stp>PX MID</stp>
        <stp>[XVLA.xls]Data!R54C12</stp>
        <tr r="L54" s="1"/>
      </tp>
      <tp>
        <v>48.8</v>
        <stp/>
        <stp>##V3_BDPV12</stp>
        <stp>USSV0A8  BBIR Curncy</stp>
        <stp>PX MID</stp>
        <stp>[XVLA.xls]Data!R52C12</stp>
        <tr r="L52" s="1"/>
      </tp>
      <tp>
        <v>52.2</v>
        <stp/>
        <stp>##V3_BDPV12</stp>
        <stp>USSV018  BBIR Curncy</stp>
        <stp>PX MID</stp>
        <stp>[XVLA.xls]Data!R55C12</stp>
        <tr r="L55" s="1"/>
      </tp>
      <tp>
        <v>48.55</v>
        <stp/>
        <stp>##V3_BDPV12</stp>
        <stp>USSV028  BBIR Curncy</stp>
        <stp>PX MID</stp>
        <stp>[XVLA.xls]Data!R56C12</stp>
        <tr r="L56" s="1"/>
      </tp>
      <tp>
        <v>48.7</v>
        <stp/>
        <stp>##V3_BDPV12</stp>
        <stp>USSV038  BBIR Curncy</stp>
        <stp>PX MID</stp>
        <stp>[XVLA.xls]Data!R57C12</stp>
        <tr r="L57" s="1"/>
      </tp>
      <tp>
        <v>36.354999999999997</v>
        <stp/>
        <stp>##V3_BDPV12</stp>
        <stp>USSV308  BBIR Curncy</stp>
        <stp>PX MID</stp>
        <stp>[XVLA.xls]Data!R65C12</stp>
        <tr r="L65" s="1"/>
      </tp>
      <tp>
        <v>47.234999999999999</v>
        <stp/>
        <stp>##V3_BDPV12</stp>
        <stp>USSV048  BBIR Curncy</stp>
        <stp>PX MID</stp>
        <stp>[XVLA.xls]Data!R58C12</stp>
        <tr r="L58" s="1"/>
      </tp>
      <tp>
        <v>46.95</v>
        <stp/>
        <stp>##V3_BDPV12</stp>
        <stp>USSV058  BBIR Curncy</stp>
        <stp>PX MID</stp>
        <stp>[XVLA.xls]Data!R59C12</stp>
        <tr r="L59" s="1"/>
      </tp>
      <tp>
        <v>35.25</v>
        <stp/>
        <stp>##V3_BDPV12</stp>
        <stp>USSV258  BBIR Curncy</stp>
        <stp>PX MID</stp>
        <stp>[XVLA.xls]Data!R64C12</stp>
        <tr r="L64" s="1"/>
      </tp>
      <tp>
        <v>33.35</v>
        <stp/>
        <stp>##V3_BDPV12</stp>
        <stp>USSV208  BBIR Curncy</stp>
        <stp>PX MID</stp>
        <stp>[XVLA.xls]Data!R63C12</stp>
        <tr r="L63" s="1"/>
      </tp>
      <tp>
        <v>24.5</v>
        <stp/>
        <stp>##V3_BDPV12</stp>
        <stp>USPEF1 ICPL Curncy</stp>
        <stp>ASK</stp>
        <stp>[XVLA.xls]Data!R79C5</stp>
        <tr r="E79" s="1"/>
      </tp>
      <tp>
        <v>58.5</v>
        <stp/>
        <stp>##V3_BDPV12</stp>
        <stp>USPEF2 ICPL Curncy</stp>
        <stp>ASK</stp>
        <stp>[XVLA.xls]Data!R79C6</stp>
        <tr r="F79" s="1"/>
      </tp>
      <tp>
        <v>101</v>
        <stp/>
        <stp>##V3_BDPV12</stp>
        <stp>USPEF3 ICPL Curncy</stp>
        <stp>ASK</stp>
        <stp>[XVLA.xls]Data!R79C7</stp>
        <tr r="G79" s="1"/>
      </tp>
      <tp>
        <v>143</v>
        <stp/>
        <stp>##V3_BDPV12</stp>
        <stp>USPEF4 ICPL Curncy</stp>
        <stp>ASK</stp>
        <stp>[XVLA.xls]Data!R79C8</stp>
        <tr r="H79" s="1"/>
      </tp>
      <tp>
        <v>185</v>
        <stp/>
        <stp>##V3_BDPV12</stp>
        <stp>USPEF5 ICPL Curncy</stp>
        <stp>ASK</stp>
        <stp>[XVLA.xls]Data!R79C9</stp>
        <tr r="I79" s="1"/>
      </tp>
      <tp>
        <v>50.48</v>
        <stp/>
        <stp>##V3_BDPV12</stp>
        <stp>USSV0C5  BBIR Curncy</stp>
        <stp>PX MID</stp>
        <stp>[XVLA.xls]Data!R53C9</stp>
        <tr r="I53" s="1"/>
      </tp>
      <tp>
        <v>50.765000000000001</v>
        <stp/>
        <stp>##V3_BDPV12</stp>
        <stp>USSV0C4  BBIR Curncy</stp>
        <stp>PX MID</stp>
        <stp>[XVLA.xls]Data!R53C8</stp>
        <tr r="H53" s="1"/>
      </tp>
      <tp>
        <v>40.869999999999997</v>
        <stp/>
        <stp>##V3_BDPV12</stp>
        <stp>USSV0C1  BBIR Curncy</stp>
        <stp>PX MID</stp>
        <stp>[XVLA.xls]Data!R53C5</stp>
        <tr r="E53" s="1"/>
      </tp>
    </main>
    <main first="bloomberg.rtd">
      <tp>
        <v>50.87</v>
        <stp/>
        <stp>##V3_BDPV12</stp>
        <stp>USSV0C3  BBIR Curncy</stp>
        <stp>PX MID</stp>
        <stp>[XVLA.xls]Data!R53C7</stp>
        <tr r="G53" s="1"/>
      </tp>
      <tp>
        <v>48.11</v>
        <stp/>
        <stp>##V3_BDPV12</stp>
        <stp>USSV0C2  BBIR Curncy</stp>
        <stp>PX MID</stp>
        <stp>[XVLA.xls]Data!R53C6</stp>
        <tr r="F53" s="1"/>
      </tp>
      <tp>
        <v>56.42</v>
        <stp/>
        <stp>##V3_BDPV12</stp>
        <stp>USSV0F5  BBIR Curncy</stp>
        <stp>PX MID</stp>
        <stp>[XVLA.xls]Data!R54C9</stp>
        <tr r="I54" s="1"/>
      </tp>
      <tp>
        <v>48.98</v>
        <stp/>
        <stp>##V3_BDPV12</stp>
        <stp>USSV0F4  BBIR Curncy</stp>
        <stp>PX MID</stp>
        <stp>[XVLA.xls]Data!R54C8</stp>
        <tr r="H54" s="1"/>
      </tp>
      <tp>
        <v>39.56</v>
        <stp/>
        <stp>##V3_BDPV12</stp>
        <stp>USSV0F1  BBIR Curncy</stp>
        <stp>PX MID</stp>
        <stp>[XVLA.xls]Data!R54C5</stp>
        <tr r="E54" s="1"/>
      </tp>
      <tp>
        <v>48.24</v>
        <stp/>
        <stp>##V3_BDPV12</stp>
        <stp>USSV0F3  BBIR Curncy</stp>
        <stp>PX MID</stp>
        <stp>[XVLA.xls]Data!R54C7</stp>
        <tr r="G54" s="1"/>
      </tp>
      <tp>
        <v>48.805</v>
        <stp/>
        <stp>##V3_BDPV12</stp>
        <stp>USSV0F2  BBIR Curncy</stp>
        <stp>PX MID</stp>
        <stp>[XVLA.xls]Data!R54C6</stp>
        <tr r="F54" s="1"/>
      </tp>
      <tp>
        <v>52.53</v>
        <stp/>
        <stp>##V3_BDPV12</stp>
        <stp>USSV0A5  BBIR Curncy</stp>
        <stp>PX MID</stp>
        <stp>[XVLA.xls]Data!R52C9</stp>
        <tr r="I52" s="1"/>
      </tp>
      <tp>
        <v>44.03</v>
        <stp/>
        <stp>##V3_BDPV12</stp>
        <stp>USSV0A4  BBIR Curncy</stp>
        <stp>PX MID</stp>
        <stp>[XVLA.xls]Data!R52C8</stp>
        <tr r="H52" s="1"/>
      </tp>
      <tp>
        <v>30.64</v>
        <stp/>
        <stp>##V3_BDPV12</stp>
        <stp>USSV0A1  BBIR Curncy</stp>
        <stp>PX MID</stp>
        <stp>[XVLA.xls]Data!R52C5</stp>
        <tr r="E52" s="1"/>
      </tp>
      <tp>
        <v>35.08</v>
        <stp/>
        <stp>##V3_BDPV12</stp>
        <stp>USSV0A3  BBIR Curncy</stp>
        <stp>PX MID</stp>
        <stp>[XVLA.xls]Data!R52C7</stp>
        <tr r="G52" s="1"/>
      </tp>
      <tp>
        <v>38.21</v>
        <stp/>
        <stp>##V3_BDPV12</stp>
        <stp>USSV0A2  BBIR Curncy</stp>
        <stp>PX MID</stp>
        <stp>[XVLA.xls]Data!R52C6</stp>
        <tr r="F52" s="1"/>
      </tp>
      <tp t="s">
        <v>#N/A Invalid Security</v>
        <stp/>
        <stp>##V3_BDPV12</stp>
        <stp>USPER6 ICPL Curncy</stp>
        <stp>ASK</stp>
        <stp>[XVLA.xls]Data!R82C10</stp>
        <tr r="J82" s="1"/>
      </tp>
      <tp t="s">
        <v>#N/A N/A</v>
        <stp/>
        <stp>##V3_BDPV12</stp>
        <stp>USPEI6 ICPL Curncy</stp>
        <stp>ASK</stp>
        <stp>[XVLA.xls]Data!R80C10</stp>
        <tr r="J80" s="1"/>
      </tp>
      <tp>
        <v>489</v>
        <stp/>
        <stp>##V3_BDPV12</stp>
        <stp>USPE26 ICPL Curncy</stp>
        <stp>ASK</stp>
        <stp>[XVLA.xls]Data!R83C10</stp>
        <tr r="J83" s="1"/>
      </tp>
      <tp>
        <v>718</v>
        <stp/>
        <stp>##V3_BDPV12</stp>
        <stp>USPE46 ICPL Curncy</stp>
        <stp>ASK</stp>
        <stp>[XVLA.xls]Data!R85C10</stp>
        <tr r="J85" s="1"/>
      </tp>
      <tp>
        <v>333</v>
        <stp/>
        <stp>##V3_BDPV12</stp>
        <stp>USPE16 ICPL Curncy</stp>
        <stp>ASK</stp>
        <stp>[XVLA.xls]Data!R81C10</stp>
        <tr r="J81" s="1"/>
      </tp>
      <tp>
        <v>947</v>
        <stp/>
        <stp>##V3_BDPV12</stp>
        <stp>USPE76 ICPL Curncy</stp>
        <stp>ASK</stp>
        <stp>[XVLA.xls]Data!R87C10</stp>
        <tr r="J87" s="1"/>
      </tp>
      <tp>
        <v>809</v>
        <stp/>
        <stp>##V3_BDPV12</stp>
        <stp>USPE56 ICPL Curncy</stp>
        <stp>ASK</stp>
        <stp>[XVLA.xls]Data!R86C10</stp>
        <tr r="J86" s="1"/>
      </tp>
      <tp>
        <v>612</v>
        <stp/>
        <stp>##V3_BDPV12</stp>
        <stp>USPE36 ICPL Curncy</stp>
        <stp>ASK</stp>
        <stp>[XVLA.xls]Data!R84C10</stp>
        <tr r="J84" s="1"/>
      </tp>
      <tp t="s">
        <v>#N/A N/A</v>
        <stp/>
        <stp>##V3_BDPV12</stp>
        <stp>USPEB6 ICPL Curncy</stp>
        <stp>ASK</stp>
        <stp>[XVLA.xls]Data!R77C10</stp>
        <tr r="J77" s="1"/>
      </tp>
      <tp>
        <v>80.400000000000006</v>
        <stp/>
        <stp>##V3_BDPV12</stp>
        <stp>USPEA6 ICPL Curncy</stp>
        <stp>ASK</stp>
        <stp>[XVLA.xls]Data!R76C10</stp>
        <tr r="J76" s="1"/>
      </tp>
      <tp>
        <v>153</v>
        <stp/>
        <stp>##V3_BDPV12</stp>
        <stp>USPEC6 ICPL Curncy</stp>
        <stp>ASK</stp>
        <stp>[XVLA.xls]Data!R78C10</stp>
        <tr r="J78" s="1"/>
      </tp>
      <tp>
        <v>225</v>
        <stp/>
        <stp>##V3_BDPV12</stp>
        <stp>USPEF6 ICPL Curncy</stp>
        <stp>ASK</stp>
        <stp>[XVLA.xls]Data!R79C10</stp>
        <tr r="J79" s="1"/>
      </tp>
      <tp t="s">
        <v>#N/A Invalid Security</v>
        <stp/>
        <stp>##V3_BDPV12</stp>
        <stp>USPER7 ICPL Curncy</stp>
        <stp>ASK</stp>
        <stp>[XVLA.xls]Data!R82C11</stp>
        <tr r="K82" s="1"/>
      </tp>
      <tp t="s">
        <v>#N/A N/A</v>
        <stp/>
        <stp>##V3_BDPV12</stp>
        <stp>USPEI7 ICPL Curncy</stp>
        <stp>ASK</stp>
        <stp>[XVLA.xls]Data!R80C11</stp>
        <tr r="K80" s="1"/>
      </tp>
      <tp>
        <v>575</v>
        <stp/>
        <stp>##V3_BDPV12</stp>
        <stp>USPE27 ICPL Curncy</stp>
        <stp>ASK</stp>
        <stp>[XVLA.xls]Data!R83C11</stp>
        <tr r="K83" s="1"/>
      </tp>
      <tp>
        <v>834</v>
        <stp/>
        <stp>##V3_BDPV12</stp>
        <stp>USPE47 ICPL Curncy</stp>
        <stp>ASK</stp>
        <stp>[XVLA.xls]Data!R85C11</stp>
        <tr r="K85" s="1"/>
      </tp>
      <tp>
        <v>393</v>
        <stp/>
        <stp>##V3_BDPV12</stp>
        <stp>USPE17 ICPL Curncy</stp>
        <stp>ASK</stp>
        <stp>[XVLA.xls]Data!R81C11</stp>
        <tr r="K81" s="1"/>
      </tp>
      <tp>
        <v>1092</v>
        <stp/>
        <stp>##V3_BDPV12</stp>
        <stp>USPE77 ICPL Curncy</stp>
        <stp>ASK</stp>
        <stp>[XVLA.xls]Data!R87C11</stp>
        <tr r="K87" s="1"/>
      </tp>
      <tp>
        <v>936</v>
        <stp/>
        <stp>##V3_BDPV12</stp>
        <stp>USPE57 ICPL Curncy</stp>
        <stp>ASK</stp>
        <stp>[XVLA.xls]Data!R86C11</stp>
        <tr r="K86" s="1"/>
      </tp>
      <tp>
        <v>713</v>
        <stp/>
        <stp>##V3_BDPV12</stp>
        <stp>USPE37 ICPL Curncy</stp>
        <stp>ASK</stp>
        <stp>[XVLA.xls]Data!R84C11</stp>
        <tr r="K84" s="1"/>
      </tp>
      <tp t="s">
        <v>#N/A N/A</v>
        <stp/>
        <stp>##V3_BDPV12</stp>
        <stp>USPEB7 ICPL Curncy</stp>
        <stp>ASK</stp>
        <stp>[XVLA.xls]Data!R77C11</stp>
        <tr r="K77" s="1"/>
      </tp>
      <tp>
        <v>96.5</v>
        <stp/>
        <stp>##V3_BDPV12</stp>
        <stp>USPEA7 ICPL Curncy</stp>
        <stp>ASK</stp>
        <stp>[XVLA.xls]Data!R76C11</stp>
        <tr r="K76" s="1"/>
      </tp>
      <tp>
        <v>182</v>
        <stp/>
        <stp>##V3_BDPV12</stp>
        <stp>USPEC7 ICPL Curncy</stp>
        <stp>ASK</stp>
        <stp>[XVLA.xls]Data!R78C11</stp>
        <tr r="K78" s="1"/>
      </tp>
      <tp>
        <v>266</v>
        <stp/>
        <stp>##V3_BDPV12</stp>
        <stp>USPEF7 ICPL Curncy</stp>
        <stp>ASK</stp>
        <stp>[XVLA.xls]Data!R79C11</stp>
        <tr r="K79" s="1"/>
      </tp>
      <tp t="s">
        <v>#N/A Invalid Security</v>
        <stp/>
        <stp>##V3_BDPV12</stp>
        <stp>USPER8 ICPL Curncy</stp>
        <stp>ASK</stp>
        <stp>[XVLA.xls]Data!R82C12</stp>
        <tr r="L82" s="1"/>
      </tp>
      <tp t="s">
        <v>#N/A N/A</v>
        <stp/>
        <stp>##V3_BDPV12</stp>
        <stp>USPEI8 ICPL Curncy</stp>
        <stp>ASK</stp>
        <stp>[XVLA.xls]Data!R80C12</stp>
        <tr r="L80" s="1"/>
      </tp>
      <tp>
        <v>658</v>
        <stp/>
        <stp>##V3_BDPV12</stp>
        <stp>USPE28 ICPL Curncy</stp>
        <stp>ASK</stp>
        <stp>[XVLA.xls]Data!R83C12</stp>
        <tr r="L83" s="1"/>
      </tp>
      <tp>
        <v>947</v>
        <stp/>
        <stp>##V3_BDPV12</stp>
        <stp>USPE48 ICPL Curncy</stp>
        <stp>ASK</stp>
        <stp>[XVLA.xls]Data!R85C12</stp>
        <tr r="L85" s="1"/>
      </tp>
      <tp>
        <v>450</v>
        <stp/>
        <stp>##V3_BDPV12</stp>
        <stp>USPE18 ICPL Curncy</stp>
        <stp>ASK</stp>
        <stp>[XVLA.xls]Data!R81C12</stp>
        <tr r="L81" s="1"/>
      </tp>
      <tp>
        <v>1231</v>
        <stp/>
        <stp>##V3_BDPV12</stp>
        <stp>USPE78 ICPL Curncy</stp>
        <stp>ASK</stp>
        <stp>[XVLA.xls]Data!R87C12</stp>
        <tr r="L87" s="1"/>
      </tp>
      <tp>
        <v>1060</v>
        <stp/>
        <stp>##V3_BDPV12</stp>
        <stp>USPE58 ICPL Curncy</stp>
        <stp>ASK</stp>
        <stp>[XVLA.xls]Data!R86C12</stp>
        <tr r="L86" s="1"/>
      </tp>
      <tp>
        <v>814</v>
        <stp/>
        <stp>##V3_BDPV12</stp>
        <stp>USPE38 ICPL Curncy</stp>
        <stp>ASK</stp>
        <stp>[XVLA.xls]Data!R84C12</stp>
        <tr r="L84" s="1"/>
      </tp>
      <tp t="s">
        <v>#N/A N/A</v>
        <stp/>
        <stp>##V3_BDPV12</stp>
        <stp>USPEB8 ICPL Curncy</stp>
        <stp>ASK</stp>
        <stp>[XVLA.xls]Data!R77C12</stp>
        <tr r="L77" s="1"/>
      </tp>
      <tp>
        <v>110</v>
        <stp/>
        <stp>##V3_BDPV12</stp>
        <stp>USPEA8 ICPL Curncy</stp>
        <stp>ASK</stp>
        <stp>[XVLA.xls]Data!R76C12</stp>
        <tr r="L76" s="1"/>
      </tp>
      <tp>
        <v>209</v>
        <stp/>
        <stp>##V3_BDPV12</stp>
        <stp>USPEC8 ICPL Curncy</stp>
        <stp>ASK</stp>
        <stp>[XVLA.xls]Data!R78C12</stp>
        <tr r="L78" s="1"/>
      </tp>
      <tp>
        <v>305</v>
        <stp/>
        <stp>##V3_BDPV12</stp>
        <stp>USPEF8 ICPL Curncy</stp>
        <stp>ASK</stp>
        <stp>[XVLA.xls]Data!R79C12</stp>
        <tr r="L79" s="1"/>
      </tp>
      <tp t="s">
        <v>#N/A Invalid Security</v>
        <stp/>
        <stp>##V3_BDPV12</stp>
        <stp>USPER9 ICPL Curncy</stp>
        <stp>ASK</stp>
        <stp>[XVLA.xls]Data!R82C13</stp>
        <tr r="M82" s="1"/>
      </tp>
      <tp t="s">
        <v>#N/A N/A</v>
        <stp/>
        <stp>##V3_BDPV12</stp>
        <stp>USPEI9 ICPL Curncy</stp>
        <stp>ASK</stp>
        <stp>[XVLA.xls]Data!R80C13</stp>
        <tr r="M80" s="1"/>
      </tp>
      <tp>
        <v>740</v>
        <stp/>
        <stp>##V3_BDPV12</stp>
        <stp>USPE29 ICPL Curncy</stp>
        <stp>ASK</stp>
        <stp>[XVLA.xls]Data!R83C13</stp>
        <tr r="M83" s="1"/>
      </tp>
      <tp>
        <v>1059</v>
        <stp/>
        <stp>##V3_BDPV12</stp>
        <stp>USPE49 ICPL Curncy</stp>
        <stp>ASK</stp>
        <stp>[XVLA.xls]Data!R85C13</stp>
        <tr r="M85" s="1"/>
      </tp>
      <tp>
        <v>508</v>
        <stp/>
        <stp>##V3_BDPV12</stp>
        <stp>USPE19 ICPL Curncy</stp>
        <stp>ASK</stp>
        <stp>[XVLA.xls]Data!R81C13</stp>
        <tr r="M81" s="1"/>
      </tp>
      <tp>
        <v>1365</v>
        <stp/>
        <stp>##V3_BDPV12</stp>
        <stp>USPE79 ICPL Curncy</stp>
        <stp>ASK</stp>
        <stp>[XVLA.xls]Data!R87C13</stp>
        <tr r="M87" s="1"/>
      </tp>
      <tp>
        <v>1183</v>
        <stp/>
        <stp>##V3_BDPV12</stp>
        <stp>USPE59 ICPL Curncy</stp>
        <stp>ASK</stp>
        <stp>[XVLA.xls]Data!R86C13</stp>
        <tr r="M86" s="1"/>
      </tp>
      <tp>
        <v>914</v>
        <stp/>
        <stp>##V3_BDPV12</stp>
        <stp>USPE39 ICPL Curncy</stp>
        <stp>ASK</stp>
        <stp>[XVLA.xls]Data!R84C13</stp>
        <tr r="M84" s="1"/>
      </tp>
      <tp t="s">
        <v>#N/A N/A</v>
        <stp/>
        <stp>##V3_BDPV12</stp>
        <stp>USPEB9 ICPL Curncy</stp>
        <stp>ASK</stp>
        <stp>[XVLA.xls]Data!R77C13</stp>
        <tr r="M77" s="1"/>
      </tp>
      <tp>
        <v>125</v>
        <stp/>
        <stp>##V3_BDPV12</stp>
        <stp>USPEA9 ICPL Curncy</stp>
        <stp>ASK</stp>
        <stp>[XVLA.xls]Data!R76C13</stp>
        <tr r="M76" s="1"/>
      </tp>
      <tp>
        <v>237</v>
        <stp/>
        <stp>##V3_BDPV12</stp>
        <stp>USPEC9 ICPL Curncy</stp>
        <stp>ASK</stp>
        <stp>[XVLA.xls]Data!R78C13</stp>
        <tr r="M78" s="1"/>
      </tp>
      <tp>
        <v>345</v>
        <stp/>
        <stp>##V3_BDPV12</stp>
        <stp>USPEF9 ICPL Curncy</stp>
        <stp>ASK</stp>
        <stp>[XVLA.xls]Data!R79C13</stp>
        <tr r="M79" s="1"/>
      </tp>
    </main>
    <main first="bloomberg.rtd">
      <tp>
        <v>50.634999999999998</v>
        <stp/>
        <stp>##V3_BDPV12</stp>
        <stp>USCV7    BBIR Curncy</stp>
        <stp>PX MID</stp>
        <stp>[XVLA.xls]Data!R40C5</stp>
        <tr r="E40" s="1"/>
      </tp>
      <tp>
        <v>50.34</v>
        <stp/>
        <stp>##V3_BDPV12</stp>
        <stp>USCV8    BBIR Curncy</stp>
        <stp>PX MID</stp>
        <stp>[XVLA.xls]Data!R41C5</stp>
        <tr r="E41" s="1"/>
      </tp>
      <tp>
        <v>68.3</v>
        <stp/>
        <stp>##V3_BDPV12</stp>
        <stp>USSN014 CMPN Curncy</stp>
        <stp>ASK</stp>
        <stp>[XVLA.xls]Data!R8C8</stp>
        <tr r="H8" s="1"/>
      </tp>
      <tp>
        <v>70.5</v>
        <stp/>
        <stp>##V3_BDPV12</stp>
        <stp>USSN015 CMPN Curncy</stp>
        <stp>ASK</stp>
        <stp>[XVLA.xls]Data!R8C9</stp>
        <tr r="I8" s="1"/>
      </tp>
      <tp>
        <v>51.25</v>
        <stp/>
        <stp>##V3_BDPV12</stp>
        <stp>USSN011 CMPN Curncy</stp>
        <stp>ASK</stp>
        <stp>[XVLA.xls]Data!R8C5</stp>
        <tr r="E8" s="1"/>
      </tp>
      <tp>
        <v>60</v>
        <stp/>
        <stp>##V3_BDPV12</stp>
        <stp>USSN012 CMPN Curncy</stp>
        <stp>ASK</stp>
        <stp>[XVLA.xls]Data!R8C6</stp>
        <tr r="F8" s="1"/>
      </tp>
      <tp>
        <v>64.88</v>
        <stp/>
        <stp>##V3_BDPV12</stp>
        <stp>USSN013 CMPN Curncy</stp>
        <stp>ASK</stp>
        <stp>[XVLA.xls]Data!R8C7</stp>
        <tr r="G8" s="1"/>
      </tp>
      <tp>
        <v>49.685000000000002</v>
        <stp/>
        <stp>##V3_BDPV12</stp>
        <stp>USCV9    BBIR Curncy</stp>
        <stp>PX MID</stp>
        <stp>[XVLA.xls]Data!R42C5</stp>
        <tr r="E42" s="1"/>
      </tp>
    </main>
    <main first="bloomberg.rtd">
      <tp>
        <v>75.599999999999994</v>
        <stp/>
        <stp>##V3_BDPV12</stp>
        <stp>USSN1F4 CMPN Curncy</stp>
        <stp>ASK</stp>
        <stp>[XVLA.xls]Data!R9C8</stp>
        <tr r="H9" s="1"/>
      </tp>
      <tp>
        <v>77.64</v>
        <stp/>
        <stp>##V3_BDPV12</stp>
        <stp>USSN1F5 CMPN Curncy</stp>
        <stp>ASK</stp>
        <stp>[XVLA.xls]Data!R9C9</stp>
        <tr r="I9" s="1"/>
      </tp>
      <tp>
        <v>69.48</v>
        <stp/>
        <stp>##V3_BDPV12</stp>
        <stp>USSN1F1 CMPN Curncy</stp>
        <stp>ASK</stp>
        <stp>[XVLA.xls]Data!R9C5</stp>
        <tr r="E9" s="1"/>
      </tp>
      <tp>
        <v>71.52</v>
        <stp/>
        <stp>##V3_BDPV12</stp>
        <stp>USSN1F2 CMPN Curncy</stp>
        <stp>ASK</stp>
        <stp>[XVLA.xls]Data!R9C6</stp>
        <tr r="F9" s="1"/>
      </tp>
      <tp>
        <v>73.56</v>
        <stp/>
        <stp>##V3_BDPV12</stp>
        <stp>USSN1F3 CMPN Curncy</stp>
        <stp>ASK</stp>
        <stp>[XVLA.xls]Data!R9C7</stp>
        <tr r="G9" s="1"/>
      </tp>
      <tp>
        <v>31.715</v>
        <stp/>
        <stp>##V3_BDPV12</stp>
        <stp>USCV1    BBIR Curncy</stp>
        <stp>PX MID</stp>
        <stp>[XVLA.xls]Data!R34C5</stp>
        <tr r="E34" s="1"/>
      </tp>
      <tp>
        <v>49.445</v>
        <stp/>
        <stp>##V3_BDPV12</stp>
        <stp>USCV2    BBIR Curncy</stp>
        <stp>PX MID</stp>
        <stp>[XVLA.xls]Data!R35C5</stp>
        <tr r="E35" s="1"/>
      </tp>
      <tp>
        <v>47.54</v>
        <stp/>
        <stp>##V3_BDPV12</stp>
        <stp>USCV3    BBIR Curncy</stp>
        <stp>PX MID</stp>
        <stp>[XVLA.xls]Data!R36C5</stp>
        <tr r="E36" s="1"/>
      </tp>
      <tp>
        <v>49.53</v>
        <stp/>
        <stp>##V3_BDPV12</stp>
        <stp>USCV4    BBIR Curncy</stp>
        <stp>PX MID</stp>
        <stp>[XVLA.xls]Data!R37C5</stp>
        <tr r="E37" s="1"/>
      </tp>
      <tp>
        <v>50.395000000000003</v>
        <stp/>
        <stp>##V3_BDPV12</stp>
        <stp>USCV5    BBIR Curncy</stp>
        <stp>PX MID</stp>
        <stp>[XVLA.xls]Data!R38C5</stp>
        <tr r="E38" s="1"/>
      </tp>
      <tp>
        <v>50.57</v>
        <stp/>
        <stp>##V3_BDPV12</stp>
        <stp>USCV6    BBIR Curncy</stp>
        <stp>PX MID</stp>
        <stp>[XVLA.xls]Data!R39C5</stp>
        <tr r="E39" s="1"/>
      </tp>
      <tp>
        <v>54.6</v>
        <stp/>
        <stp>##V3_BDPV12</stp>
        <stp>USSN0A4 CMPN Curncy</stp>
        <stp>ASK</stp>
        <stp>[XVLA.xls]Data!R3C8</stp>
        <tr r="H3" s="1"/>
      </tp>
      <tp>
        <v>58.54</v>
        <stp/>
        <stp>##V3_BDPV12</stp>
        <stp>USSN0A5 CMPN Curncy</stp>
        <stp>ASK</stp>
        <stp>[XVLA.xls]Data!R3C9</stp>
        <tr r="I3" s="1"/>
      </tp>
      <tp>
        <v>31.27</v>
        <stp/>
        <stp>##V3_BDPV12</stp>
        <stp>USSN0A1 CMPN Curncy</stp>
        <stp>ASK</stp>
        <stp>[XVLA.xls]Data!R3C5</stp>
        <tr r="E3" s="1"/>
      </tp>
      <tp>
        <v>43</v>
        <stp/>
        <stp>##V3_BDPV12</stp>
        <stp>USSN0A2 CMPN Curncy</stp>
        <stp>ASK</stp>
        <stp>[XVLA.xls]Data!R3C6</stp>
        <tr r="F3" s="1"/>
      </tp>
      <tp>
        <v>50.07</v>
        <stp/>
        <stp>##V3_BDPV12</stp>
        <stp>USSN0A3 CMPN Curncy</stp>
        <stp>ASK</stp>
        <stp>[XVLA.xls]Data!R3C7</stp>
        <tr r="G3" s="1"/>
      </tp>
      <tp>
        <v>64.27</v>
        <stp/>
        <stp>##V3_BDPV12</stp>
        <stp>USSN0F4 CMPN Curncy</stp>
        <stp>ASK</stp>
        <stp>[XVLA.xls]Data!R6C8</stp>
        <tr r="H6" s="1"/>
      </tp>
      <tp>
        <v>66.959999999999994</v>
        <stp/>
        <stp>##V3_BDPV12</stp>
        <stp>USSN0F5 CMPN Curncy</stp>
        <stp>ASK</stp>
        <stp>[XVLA.xls]Data!R6C9</stp>
        <tr r="I6" s="1"/>
      </tp>
      <tp>
        <v>43.77</v>
        <stp/>
        <stp>##V3_BDPV12</stp>
        <stp>USSN0F1 CMPN Curncy</stp>
        <stp>ASK</stp>
        <stp>[XVLA.xls]Data!R6C5</stp>
        <tr r="E6" s="1"/>
      </tp>
      <tp>
        <v>53.31</v>
        <stp/>
        <stp>##V3_BDPV12</stp>
        <stp>USSN0F2 CMPN Curncy</stp>
        <stp>ASK</stp>
        <stp>[XVLA.xls]Data!R6C6</stp>
        <tr r="F6" s="1"/>
      </tp>
      <tp>
        <v>59.84</v>
        <stp/>
        <stp>##V3_BDPV12</stp>
        <stp>USSN0F3 CMPN Curncy</stp>
        <stp>ASK</stp>
        <stp>[XVLA.xls]Data!R6C7</stp>
        <tr r="G6" s="1"/>
      </tp>
      <tp>
        <v>66.11</v>
        <stp/>
        <stp>##V3_BDPV12</stp>
        <stp>USSN0I4 CMPN Curncy</stp>
        <stp>ASK</stp>
        <stp>[XVLA.xls]Data!R7C8</stp>
        <tr r="H7" s="1"/>
      </tp>
      <tp>
        <v>68.81</v>
        <stp/>
        <stp>##V3_BDPV12</stp>
        <stp>USSN0I5 CMPN Curncy</stp>
        <stp>ASK</stp>
        <stp>[XVLA.xls]Data!R7C9</stp>
        <tr r="I7" s="1"/>
      </tp>
      <tp>
        <v>47.88</v>
        <stp/>
        <stp>##V3_BDPV12</stp>
        <stp>USSN0I1 CMPN Curncy</stp>
        <stp>ASK</stp>
        <stp>[XVLA.xls]Data!R7C5</stp>
        <tr r="E7" s="1"/>
      </tp>
      <tp>
        <v>57.09</v>
        <stp/>
        <stp>##V3_BDPV12</stp>
        <stp>USSN0I2 CMPN Curncy</stp>
        <stp>ASK</stp>
        <stp>[XVLA.xls]Data!R7C6</stp>
        <tr r="F7" s="1"/>
      </tp>
      <tp>
        <v>62.72</v>
        <stp/>
        <stp>##V3_BDPV12</stp>
        <stp>USSN0I3 CMPN Curncy</stp>
        <stp>ASK</stp>
        <stp>[XVLA.xls]Data!R7C7</stp>
        <tr r="G7" s="1"/>
      </tp>
      <tp>
        <v>58.36</v>
        <stp/>
        <stp>##V3_BDPV12</stp>
        <stp>USSN0B4 CMPN Curncy</stp>
        <stp>ASK</stp>
        <stp>[XVLA.xls]Data!R4C8</stp>
        <tr r="H4" s="1"/>
      </tp>
      <tp>
        <v>60.9</v>
        <stp/>
        <stp>##V3_BDPV12</stp>
        <stp>USSN0B5 CMPN Curncy</stp>
        <stp>ASK</stp>
        <stp>[XVLA.xls]Data!R4C9</stp>
        <tr r="I4" s="1"/>
      </tp>
      <tp>
        <v>37.24</v>
        <stp/>
        <stp>##V3_BDPV12</stp>
        <stp>USSN0B1 CMPN Curncy</stp>
        <stp>ASK</stp>
        <stp>[XVLA.xls]Data!R4C5</stp>
        <tr r="E4" s="1"/>
      </tp>
      <tp>
        <v>46.77</v>
        <stp/>
        <stp>##V3_BDPV12</stp>
        <stp>USSN0B2 CMPN Curncy</stp>
        <stp>ASK</stp>
        <stp>[XVLA.xls]Data!R4C6</stp>
        <tr r="F4" s="1"/>
      </tp>
      <tp>
        <v>54.06</v>
        <stp/>
        <stp>##V3_BDPV12</stp>
        <stp>USSN0B3 CMPN Curncy</stp>
        <stp>ASK</stp>
        <stp>[XVLA.xls]Data!R4C7</stp>
        <tr r="G4" s="1"/>
      </tp>
      <tp>
        <v>60.79</v>
        <stp/>
        <stp>##V3_BDPV12</stp>
        <stp>USSN0C4 CMPN Curncy</stp>
        <stp>ASK</stp>
        <stp>[XVLA.xls]Data!R5C8</stp>
        <tr r="H5" s="1"/>
      </tp>
      <tp>
        <v>63.8</v>
        <stp/>
        <stp>##V3_BDPV12</stp>
        <stp>USSN0C5 CMPN Curncy</stp>
        <stp>ASK</stp>
        <stp>[XVLA.xls]Data!R5C9</stp>
        <tr r="I5" s="1"/>
      </tp>
      <tp>
        <v>39.08</v>
        <stp/>
        <stp>##V3_BDPV12</stp>
        <stp>USSN0C1 CMPN Curncy</stp>
        <stp>ASK</stp>
        <stp>[XVLA.xls]Data!R5C5</stp>
        <tr r="E5" s="1"/>
      </tp>
      <tp>
        <v>49.5</v>
        <stp/>
        <stp>##V3_BDPV12</stp>
        <stp>USSN0C2 CMPN Curncy</stp>
        <stp>ASK</stp>
        <stp>[XVLA.xls]Data!R5C6</stp>
        <tr r="F5" s="1"/>
      </tp>
      <tp>
        <v>56.34</v>
        <stp/>
        <stp>##V3_BDPV12</stp>
        <stp>USSN0C3 CMPN Curncy</stp>
        <stp>ASK</stp>
        <stp>[XVLA.xls]Data!R5C7</stp>
        <tr r="G5" s="1"/>
      </tp>
      <tp t="s">
        <v>#N/A Invalid Security</v>
        <stp/>
        <stp>##V3_BDPV12</stp>
        <stp>USCF0754 BBIR Curncy</stp>
        <stp>PX MID</stp>
        <stp>[XVLA.xls]Data!R37C8</stp>
        <tr r="H37" s="1"/>
      </tp>
      <tp t="s">
        <v>#N/A Invalid Security</v>
        <stp/>
        <stp>##V3_BDPV12</stp>
        <stp>USCF0259 BBIR Curncy</stp>
        <stp>PX MID</stp>
        <stp>[XVLA.xls]Data!R42C6</stp>
        <tr r="F42" s="1"/>
      </tp>
      <tp t="s">
        <v>#N/A Invalid Security</v>
        <stp/>
        <stp>##V3_BDPV12</stp>
        <stp>USCF085  BBIR Curncy</stp>
        <stp>PX MID</stp>
        <stp>[XVLA.xls]Data!R38C9</stp>
        <tr r="I38" s="1"/>
      </tp>
      <tp t="s">
        <v>#N/A N/A</v>
        <stp/>
        <stp>##V3_BDPV12</stp>
        <stp>USCF0515 BBIR Curncy</stp>
        <stp>PX MID</stp>
        <stp>[XVLA.xls]Data!R45C7</stp>
        <tr r="G45" s="1"/>
      </tp>
      <tp t="s">
        <v>#N/A N/A</v>
        <stp/>
        <stp>##V3_BDPV12</stp>
        <stp>USCF2515 BBIR Curncy</stp>
        <stp>PX MID</stp>
        <stp>[XVLA.xls]Data!R45C6</stp>
        <tr r="F45" s="1"/>
      </tp>
      <tp t="s">
        <v>#N/A N/A</v>
        <stp/>
        <stp>##V3_BDPV12</stp>
        <stp>USCF7515 BBIR Curncy</stp>
        <stp>PX MID</stp>
        <stp>[XVLA.xls]Data!R45C8</stp>
        <tr r="H45" s="1"/>
      </tp>
      <tp t="s">
        <v>#N/A Invalid Security</v>
        <stp/>
        <stp>##V3_BDPV12</stp>
        <stp>USCF0830 BBIR Curncy</stp>
        <stp>PX MID</stp>
        <stp>[XVLA.xls]Data!R48C9</stp>
        <tr r="I48" s="1"/>
      </tp>
      <tp t="s">
        <v>#N/A Field Not Applicable</v>
        <stp/>
        <stp>##V3_BDPV12</stp>
        <stp>USCF052  BBIR Curncy</stp>
        <stp>PX MID</stp>
        <stp>[XVLA.xls]Data!R35C7</stp>
        <tr r="G35" s="1"/>
      </tp>
    </main>
    <main first="bloomberg.rtd">
      <tp>
        <v>42.865000000000002</v>
        <stp/>
        <stp>##V3_BDPV12</stp>
        <stp>USCV15   BBIR Curncy</stp>
        <stp>PX MID</stp>
        <stp>[XVLA.xls]Data!R45C5</stp>
        <tr r="E45" s="1"/>
      </tp>
      <tp t="s">
        <v>#N/A Invalid Security</v>
        <stp/>
        <stp>##V3_BDPV12</stp>
        <stp>USCF0753 BBIR Curncy</stp>
        <stp>PX MID</stp>
        <stp>[XVLA.xls]Data!R36C8</stp>
        <tr r="H36" s="1"/>
      </tp>
      <tp t="s">
        <v>#N/A Invalid Security</v>
        <stp/>
        <stp>##V3_BDPV12</stp>
        <stp>USCF086  BBIR Curncy</stp>
        <stp>PX MID</stp>
        <stp>[XVLA.xls]Data!R39C9</stp>
        <tr r="I39" s="1"/>
      </tp>
      <tp t="s">
        <v>#N/A N/A</v>
        <stp/>
        <stp>##V3_BDPV12</stp>
        <stp>USCF2512 BBIR Curncy</stp>
        <stp>PX MID</stp>
        <stp>[XVLA.xls]Data!R44C6</stp>
        <tr r="F44" s="1"/>
      </tp>
      <tp t="s">
        <v>#N/A N/A</v>
        <stp/>
        <stp>##V3_BDPV12</stp>
        <stp>USCF0512 BBIR Curncy</stp>
        <stp>PX MID</stp>
        <stp>[XVLA.xls]Data!R44C7</stp>
        <tr r="G44" s="1"/>
      </tp>
      <tp t="s">
        <v>#N/A Invalid Security</v>
        <stp/>
        <stp>##V3_BDPV12</stp>
        <stp>USCF7512 BBIR Curncy</stp>
        <stp>PX MID</stp>
        <stp>[XVLA.xls]Data!R44C8</stp>
        <tr r="H44" s="1"/>
      </tp>
      <tp t="s">
        <v>#N/A Field Not Applicable</v>
        <stp/>
        <stp>##V3_BDPV12</stp>
        <stp>USCF051  BBIR Curncy</stp>
        <stp>PX MID</stp>
        <stp>[XVLA.xls]Data!R34C7</stp>
        <tr r="G34" s="1"/>
      </tp>
      <tp>
        <v>33.94</v>
        <stp/>
        <stp>##V3_BDPV12</stp>
        <stp>USSV255  BBIR Curncy</stp>
        <stp>PX MID</stp>
        <stp>[XVLA.xls]Data!R64C9</stp>
        <tr r="I64" s="1"/>
      </tp>
      <tp>
        <v>36.884999999999998</v>
        <stp/>
        <stp>##V3_BDPV12</stp>
        <stp>USSV105  BBIR Curncy</stp>
        <stp>PX MID</stp>
        <stp>[XVLA.xls]Data!R61C9</stp>
        <tr r="I61" s="1"/>
      </tp>
      <tp>
        <v>34.74</v>
        <stp/>
        <stp>##V3_BDPV12</stp>
        <stp>USSV254  BBIR Curncy</stp>
        <stp>PX MID</stp>
        <stp>[XVLA.xls]Data!R64C8</stp>
        <tr r="H64" s="1"/>
      </tp>
      <tp>
        <v>38.784999999999997</v>
        <stp/>
        <stp>##V3_BDPV12</stp>
        <stp>USSV104  BBIR Curncy</stp>
        <stp>PX MID</stp>
        <stp>[XVLA.xls]Data!R61C8</stp>
        <tr r="H61" s="1"/>
      </tp>
      <tp>
        <v>37.15</v>
        <stp/>
        <stp>##V3_BDPV12</stp>
        <stp>USSV251  BBIR Curncy</stp>
        <stp>PX MID</stp>
        <stp>[XVLA.xls]Data!R64C5</stp>
        <tr r="E64" s="1"/>
      </tp>
      <tp>
        <v>43.494999999999997</v>
        <stp/>
        <stp>##V3_BDPV12</stp>
        <stp>USSV101  BBIR Curncy</stp>
        <stp>PX MID</stp>
        <stp>[XVLA.xls]Data!R61C5</stp>
        <tr r="E61" s="1"/>
      </tp>
      <tp>
        <v>35.375</v>
        <stp/>
        <stp>##V3_BDPV12</stp>
        <stp>USSV253  BBIR Curncy</stp>
        <stp>PX MID</stp>
        <stp>[XVLA.xls]Data!R64C7</stp>
        <tr r="G64" s="1"/>
      </tp>
      <tp>
        <v>40.244999999999997</v>
        <stp/>
        <stp>##V3_BDPV12</stp>
        <stp>USSV103  BBIR Curncy</stp>
        <stp>PX MID</stp>
        <stp>[XVLA.xls]Data!R61C7</stp>
        <tr r="G61" s="1"/>
      </tp>
      <tp>
        <v>36.055</v>
        <stp/>
        <stp>##V3_BDPV12</stp>
        <stp>USSV252  BBIR Curncy</stp>
        <stp>PX MID</stp>
        <stp>[XVLA.xls]Data!R64C6</stp>
        <tr r="F64" s="1"/>
      </tp>
      <tp>
        <v>41.225000000000001</v>
        <stp/>
        <stp>##V3_BDPV12</stp>
        <stp>USSV102  BBIR Curncy</stp>
        <stp>PX MID</stp>
        <stp>[XVLA.xls]Data!R61C6</stp>
        <tr r="F61" s="1"/>
      </tp>
      <tp t="s">
        <v>#N/A Invalid Security</v>
        <stp/>
        <stp>##V3_BDPV12</stp>
        <stp>USCF0257 BBIR Curncy</stp>
        <stp>PX MID</stp>
        <stp>[XVLA.xls]Data!R40C6</stp>
        <tr r="F40" s="1"/>
      </tp>
      <tp t="s">
        <v>#N/A Invalid Security</v>
        <stp/>
        <stp>##V3_BDPV12</stp>
        <stp>USCF0752 BBIR Curncy</stp>
        <stp>PX MID</stp>
        <stp>[XVLA.xls]Data!R35C8</stp>
        <tr r="H35" s="1"/>
      </tp>
      <tp t="s">
        <v>#N/A Field Not Applicable</v>
        <stp/>
        <stp>##V3_BDPV12</stp>
        <stp>USCF054  BBIR Curncy</stp>
        <stp>PX MID</stp>
        <stp>[XVLA.xls]Data!R37C7</stp>
        <tr r="G37" s="1"/>
      </tp>
      <tp t="s">
        <v>#N/A N/A</v>
        <stp/>
        <stp>##V3_BDPV12</stp>
        <stp>USCF0525 BBIR Curncy</stp>
        <stp>PX MID</stp>
        <stp>[XVLA.xls]Data!R47C7</stp>
        <tr r="G47" s="1"/>
      </tp>
      <tp t="s">
        <v>#N/A N/A</v>
        <stp/>
        <stp>##V3_BDPV12</stp>
        <stp>USCF2525 BBIR Curncy</stp>
        <stp>PX MID</stp>
        <stp>[XVLA.xls]Data!R47C6</stp>
        <tr r="F47" s="1"/>
      </tp>
      <tp t="s">
        <v>#N/A N/A</v>
        <stp/>
        <stp>##V3_BDPV12</stp>
        <stp>USCF7525 BBIR Curncy</stp>
        <stp>PX MID</stp>
        <stp>[XVLA.xls]Data!R47C8</stp>
        <tr r="H47" s="1"/>
      </tp>
      <tp>
        <v>38.950000000000003</v>
        <stp/>
        <stp>##V3_BDPV12</stp>
        <stp>USCV25   BBIR Curncy</stp>
        <stp>PX MID</stp>
        <stp>[XVLA.xls]Data!R47C5</stp>
        <tr r="E47" s="1"/>
      </tp>
    </main>
    <main first="bloomberg.rtd">
      <tp t="s">
        <v>#N/A Invalid Security</v>
        <stp/>
        <stp>##V3_BDPV12</stp>
        <stp>USCF0751 BBIR Curncy</stp>
        <stp>PX MID</stp>
        <stp>[XVLA.xls]Data!R34C8</stp>
        <tr r="H34" s="1"/>
      </tp>
      <tp t="s">
        <v>#N/A Invalid Security</v>
        <stp/>
        <stp>##V3_BDPV12</stp>
        <stp>USCF0258 BBIR Curncy</stp>
        <stp>PX MID</stp>
        <stp>[XVLA.xls]Data!R41C6</stp>
        <tr r="F41" s="1"/>
      </tp>
      <tp t="s">
        <v>#N/A Field Not Applicable</v>
        <stp/>
        <stp>##V3_BDPV12</stp>
        <stp>USCF053  BBIR Curncy</stp>
        <stp>PX MID</stp>
        <stp>[XVLA.xls]Data!R36C7</stp>
        <tr r="G36" s="1"/>
      </tp>
      <tp t="s">
        <v>#N/A N/A</v>
        <stp/>
        <stp>##V3_BDPV12</stp>
        <stp>USCF2520 BBIR Curncy</stp>
        <stp>PX MID</stp>
        <stp>[XVLA.xls]Data!R46C6</stp>
        <tr r="F46" s="1"/>
      </tp>
      <tp t="s">
        <v>#N/A N/A</v>
        <stp/>
        <stp>##V3_BDPV12</stp>
        <stp>USCF0520 BBIR Curncy</stp>
        <stp>PX MID</stp>
        <stp>[XVLA.xls]Data!R46C7</stp>
        <tr r="G46" s="1"/>
      </tp>
      <tp t="s">
        <v>#N/A N/A</v>
        <stp/>
        <stp>##V3_BDPV12</stp>
        <stp>USCF7520 BBIR Curncy</stp>
        <stp>PX MID</stp>
        <stp>[XVLA.xls]Data!R46C8</stp>
        <tr r="H46" s="1"/>
      </tp>
      <tp>
        <v>32.884999999999998</v>
        <stp/>
        <stp>##V3_BDPV12</stp>
        <stp>USSV205  BBIR Curncy</stp>
        <stp>PX MID</stp>
        <stp>[XVLA.xls]Data!R63C9</stp>
        <tr r="I63" s="1"/>
      </tp>
      <tp>
        <v>34.49</v>
        <stp/>
        <stp>##V3_BDPV12</stp>
        <stp>USSV204  BBIR Curncy</stp>
        <stp>PX MID</stp>
        <stp>[XVLA.xls]Data!R63C8</stp>
        <tr r="H63" s="1"/>
      </tp>
      <tp>
        <v>37.58</v>
        <stp/>
        <stp>##V3_BDPV12</stp>
        <stp>USSV201  BBIR Curncy</stp>
        <stp>PX MID</stp>
        <stp>[XVLA.xls]Data!R63C5</stp>
        <tr r="E63" s="1"/>
      </tp>
      <tp>
        <v>48.26</v>
        <stp/>
        <stp>##V3_BDPV12</stp>
        <stp>USCV10   BBIR Curncy</stp>
        <stp>PX MID</stp>
        <stp>[XVLA.xls]Data!R43C5</stp>
        <tr r="E43" s="1"/>
      </tp>
      <tp>
        <v>35.335000000000001</v>
        <stp/>
        <stp>##V3_BDPV12</stp>
        <stp>USSV203  BBIR Curncy</stp>
        <stp>PX MID</stp>
        <stp>[XVLA.xls]Data!R63C7</stp>
        <tr r="G63" s="1"/>
      </tp>
      <tp>
        <v>36.33</v>
        <stp/>
        <stp>##V3_BDPV12</stp>
        <stp>USSV202  BBIR Curncy</stp>
        <stp>PX MID</stp>
        <stp>[XVLA.xls]Data!R63C6</stp>
        <tr r="F63" s="1"/>
      </tp>
      <tp t="s">
        <v>#N/A Invalid Security</v>
        <stp/>
        <stp>##V3_BDPV12</stp>
        <stp>USCF0253 BBIR Curncy</stp>
        <stp>PX MID</stp>
        <stp>[XVLA.xls]Data!R36C6</stp>
        <tr r="F36" s="1"/>
      </tp>
      <tp t="s">
        <v>#N/A Field Not Applicable</v>
        <stp/>
        <stp>##V3_BDPV12</stp>
        <stp>USCF058  BBIR Curncy</stp>
        <stp>PX MID</stp>
        <stp>[XVLA.xls]Data!R41C7</stp>
        <tr r="G41" s="1"/>
      </tp>
      <tp>
        <v>56.24</v>
        <stp/>
        <stp>##V3_BDPV12</stp>
        <stp>USSV015  BBIR Curncy</stp>
        <stp>PX MID</stp>
        <stp>[XVLA.xls]Data!R55C9</stp>
        <tr r="I55" s="1"/>
      </tp>
      <tp>
        <v>55.95</v>
        <stp/>
        <stp>##V3_BDPV12</stp>
        <stp>USSV025  BBIR Curncy</stp>
        <stp>PX MID</stp>
        <stp>[XVLA.xls]Data!R56C9</stp>
        <tr r="I56" s="1"/>
      </tp>
      <tp>
        <v>51.055</v>
        <stp/>
        <stp>##V3_BDPV12</stp>
        <stp>USSV035  BBIR Curncy</stp>
        <stp>PX MID</stp>
        <stp>[XVLA.xls]Data!R57C9</stp>
        <tr r="I57" s="1"/>
      </tp>
      <tp>
        <v>53.46</v>
        <stp/>
        <stp>##V3_BDPV12</stp>
        <stp>USSV014  BBIR Curncy</stp>
        <stp>PX MID</stp>
        <stp>[XVLA.xls]Data!R55C8</stp>
        <tr r="H55" s="1"/>
      </tp>
      <tp>
        <v>52.08</v>
        <stp/>
        <stp>##V3_BDPV12</stp>
        <stp>USSV024  BBIR Curncy</stp>
        <stp>PX MID</stp>
        <stp>[XVLA.xls]Data!R56C8</stp>
        <tr r="H56" s="1"/>
      </tp>
      <tp>
        <v>52.77</v>
        <stp/>
        <stp>##V3_BDPV12</stp>
        <stp>USSV034  BBIR Curncy</stp>
        <stp>PX MID</stp>
        <stp>[XVLA.xls]Data!R57C8</stp>
        <tr r="H57" s="1"/>
      </tp>
      <tp>
        <v>46.945</v>
        <stp/>
        <stp>##V3_BDPV12</stp>
        <stp>USSV011  BBIR Curncy</stp>
        <stp>PX MID</stp>
        <stp>[XVLA.xls]Data!R55C5</stp>
        <tr r="E55" s="1"/>
      </tp>
      <tp>
        <v>56.35</v>
        <stp/>
        <stp>##V3_BDPV12</stp>
        <stp>USSV021  BBIR Curncy</stp>
        <stp>PX MID</stp>
        <stp>[XVLA.xls]Data!R56C5</stp>
        <tr r="E56" s="1"/>
      </tp>
      <tp>
        <v>60.37</v>
        <stp/>
        <stp>##V3_BDPV12</stp>
        <stp>USSV031  BBIR Curncy</stp>
        <stp>PX MID</stp>
        <stp>[XVLA.xls]Data!R57C5</stp>
        <tr r="E57" s="1"/>
      </tp>
      <tp>
        <v>51.82</v>
        <stp/>
        <stp>##V3_BDPV12</stp>
        <stp>USSV013  BBIR Curncy</stp>
        <stp>PX MID</stp>
        <stp>[XVLA.xls]Data!R55C7</stp>
        <tr r="G55" s="1"/>
      </tp>
      <tp>
        <v>55.56</v>
        <stp/>
        <stp>##V3_BDPV12</stp>
        <stp>USSV023  BBIR Curncy</stp>
        <stp>PX MID</stp>
        <stp>[XVLA.xls]Data!R56C7</stp>
        <tr r="G56" s="1"/>
      </tp>
      <tp>
        <v>54.89</v>
        <stp/>
        <stp>##V3_BDPV12</stp>
        <stp>USSV033  BBIR Curncy</stp>
        <stp>PX MID</stp>
        <stp>[XVLA.xls]Data!R57C7</stp>
        <tr r="G57" s="1"/>
      </tp>
      <tp>
        <v>48.34</v>
        <stp/>
        <stp>##V3_BDPV12</stp>
        <stp>USSV012  BBIR Curncy</stp>
        <stp>PX MID</stp>
        <stp>[XVLA.xls]Data!R55C6</stp>
        <tr r="F55" s="1"/>
      </tp>
      <tp>
        <v>59.63</v>
        <stp/>
        <stp>##V3_BDPV12</stp>
        <stp>USSV022  BBIR Curncy</stp>
        <stp>PX MID</stp>
        <stp>[XVLA.xls]Data!R56C6</stp>
        <tr r="F56" s="1"/>
      </tp>
      <tp>
        <v>57.34</v>
        <stp/>
        <stp>##V3_BDPV12</stp>
        <stp>USSV032  BBIR Curncy</stp>
        <stp>PX MID</stp>
        <stp>[XVLA.xls]Data!R57C6</stp>
        <tr r="F57" s="1"/>
      </tp>
      <tp t="s">
        <v>#N/A Invalid Security</v>
        <stp/>
        <stp>##V3_BDPV12</stp>
        <stp>USCF0759 BBIR Curncy</stp>
        <stp>PX MID</stp>
        <stp>[XVLA.xls]Data!R42C8</stp>
        <tr r="H42" s="1"/>
      </tp>
      <tp t="s">
        <v>#N/A Invalid Security</v>
        <stp/>
        <stp>##V3_BDPV12</stp>
        <stp>USCF0254 BBIR Curncy</stp>
        <stp>PX MID</stp>
        <stp>[XVLA.xls]Data!R37C6</stp>
        <tr r="F37" s="1"/>
      </tp>
      <tp t="s">
        <v>#N/A Field Not Applicable</v>
        <stp/>
        <stp>##V3_BDPV12</stp>
        <stp>USCF057  BBIR Curncy</stp>
        <stp>PX MID</stp>
        <stp>[XVLA.xls]Data!R40C7</stp>
        <tr r="G40" s="1"/>
      </tp>
      <tp>
        <v>46.704999999999998</v>
        <stp/>
        <stp>##V3_BDPV12</stp>
        <stp>USCFA12  BBIR Curncy</stp>
        <stp>PX MID</stp>
        <stp>[XVLA.xls]Data!R44C5</stp>
        <tr r="E44" s="1"/>
      </tp>
      <tp>
        <v>38.04</v>
        <stp/>
        <stp>##V3_BDPV12</stp>
        <stp>USSV305  BBIR Curncy</stp>
        <stp>PX MID</stp>
        <stp>[XVLA.xls]Data!R65C9</stp>
        <tr r="I65" s="1"/>
      </tp>
      <tp>
        <v>38.44</v>
        <stp/>
        <stp>##V3_BDPV12</stp>
        <stp>USSV304  BBIR Curncy</stp>
        <stp>PX MID</stp>
        <stp>[XVLA.xls]Data!R65C8</stp>
        <tr r="H65" s="1"/>
      </tp>
      <tp>
        <v>74.150000000000006</v>
        <stp/>
        <stp>##V3_BDPV12</stp>
        <stp>USSN0I15 CMPN Curncy</stp>
        <stp>ASK</stp>
        <stp>[XVLA.xls]Data!R7C13</stp>
        <tr r="M7" s="1"/>
      </tp>
      <tp>
        <v>68.930000000000007</v>
        <stp/>
        <stp>##V3_BDPV12</stp>
        <stp>USSN0B15 CMPN Curncy</stp>
        <stp>ASK</stp>
        <stp>[XVLA.xls]Data!R4C13</stp>
        <tr r="M4" s="1"/>
      </tp>
      <tp>
        <v>71.11</v>
        <stp/>
        <stp>##V3_BDPV12</stp>
        <stp>USSN0C15 CMPN Curncy</stp>
        <stp>ASK</stp>
        <stp>[XVLA.xls]Data!R5C13</stp>
        <tr r="M5" s="1"/>
      </tp>
      <tp>
        <v>67.400000000000006</v>
        <stp/>
        <stp>##V3_BDPV12</stp>
        <stp>USSN0A15 CMPN Curncy</stp>
        <stp>ASK</stp>
        <stp>[XVLA.xls]Data!R3C13</stp>
        <tr r="M3" s="1"/>
      </tp>
      <tp>
        <v>72.599999999999994</v>
        <stp/>
        <stp>##V3_BDPV12</stp>
        <stp>USSN0F15 CMPN Curncy</stp>
        <stp>ASK</stp>
        <stp>[XVLA.xls]Data!R6C13</stp>
        <tr r="M6" s="1"/>
      </tp>
      <tp>
        <v>75.27</v>
        <stp/>
        <stp>##V3_BDPV12</stp>
        <stp>USSN0115 CMPN Curncy</stp>
        <stp>ASK</stp>
        <stp>[XVLA.xls]Data!R8C13</stp>
        <tr r="M8" s="1"/>
      </tp>
      <tp>
        <v>80.650000000000006</v>
        <stp/>
        <stp>##V3_BDPV12</stp>
        <stp>USSN1F15 CMPN Curncy</stp>
        <stp>ASK</stp>
        <stp>[XVLA.xls]Data!R9C13</stp>
        <tr r="M9" s="1"/>
      </tp>
      <tp>
        <v>40.46</v>
        <stp/>
        <stp>##V3_BDPV12</stp>
        <stp>USSV301  BBIR Curncy</stp>
        <stp>PX MID</stp>
        <stp>[XVLA.xls]Data!R65C5</stp>
        <tr r="E65" s="1"/>
      </tp>
      <tp>
        <v>38.89</v>
        <stp/>
        <stp>##V3_BDPV12</stp>
        <stp>USSV303  BBIR Curncy</stp>
        <stp>PX MID</stp>
        <stp>[XVLA.xls]Data!R65C7</stp>
        <tr r="G65" s="1"/>
      </tp>
      <tp>
        <v>83.24</v>
        <stp/>
        <stp>##V3_BDPV12</stp>
        <stp>USSN1F10 CMPN Curncy</stp>
        <stp>ASK</stp>
        <stp>[XVLA.xls]Data!R9C12</stp>
        <tr r="L9" s="1"/>
      </tp>
      <tp>
        <v>73.77</v>
        <stp/>
        <stp>##V3_BDPV12</stp>
        <stp>USSN0I10 CMPN Curncy</stp>
        <stp>ASK</stp>
        <stp>[XVLA.xls]Data!R7C12</stp>
        <tr r="L7" s="1"/>
      </tp>
      <tp>
        <v>68.13</v>
        <stp/>
        <stp>##V3_BDPV12</stp>
        <stp>USSN0B10 CMPN Curncy</stp>
        <stp>ASK</stp>
        <stp>[XVLA.xls]Data!R4C12</stp>
        <tr r="L4" s="1"/>
      </tp>
      <tp>
        <v>70</v>
        <stp/>
        <stp>##V3_BDPV12</stp>
        <stp>USSN0C10 CMPN Curncy</stp>
        <stp>ASK</stp>
        <stp>[XVLA.xls]Data!R5C12</stp>
        <tr r="L5" s="1"/>
      </tp>
      <tp>
        <v>64.965000000000003</v>
        <stp/>
        <stp>##V3_BDPV12</stp>
        <stp>USSN0A10 CMPN Curncy</stp>
        <stp>ASK</stp>
        <stp>[XVLA.xls]Data!R3C12</stp>
        <tr r="L3" s="1"/>
      </tp>
      <tp>
        <v>72.05</v>
        <stp/>
        <stp>##V3_BDPV12</stp>
        <stp>USSN0F10 CMPN Curncy</stp>
        <stp>ASK</stp>
        <stp>[XVLA.xls]Data!R6C12</stp>
        <tr r="L6" s="1"/>
      </tp>
      <tp>
        <v>75.2</v>
        <stp/>
        <stp>##V3_BDPV12</stp>
        <stp>USSN0110 CMPN Curncy</stp>
        <stp>ASK</stp>
        <stp>[XVLA.xls]Data!R8C12</stp>
        <tr r="L8" s="1"/>
      </tp>
      <tp>
        <v>39.42</v>
        <stp/>
        <stp>##V3_BDPV12</stp>
        <stp>USSV302  BBIR Curncy</stp>
        <stp>PX MID</stp>
        <stp>[XVLA.xls]Data!R65C6</stp>
        <tr r="F65" s="1"/>
      </tp>
      <tp t="s">
        <v>#N/A Invalid Security</v>
        <stp/>
        <stp>##V3_BDPV12</stp>
        <stp>USCF0758 BBIR Curncy</stp>
        <stp>PX MID</stp>
        <stp>[XVLA.xls]Data!R41C8</stp>
        <tr r="H41" s="1"/>
      </tp>
      <tp t="s">
        <v>#N/A Invalid Security</v>
        <stp/>
        <stp>##V3_BDPV12</stp>
        <stp>USCF0251 BBIR Curncy</stp>
        <stp>PX MID</stp>
        <stp>[XVLA.xls]Data!R34C6</stp>
        <tr r="F34" s="1"/>
      </tp>
      <tp t="s">
        <v>#N/A N/A</v>
        <stp/>
        <stp>##V3_BDPV12</stp>
        <stp>USCF0510 BBIR Curncy</stp>
        <stp>PX MID</stp>
        <stp>[XVLA.xls]Data!R43C7</stp>
        <tr r="G43" s="1"/>
      </tp>
      <tp t="s">
        <v>#N/A N/A</v>
        <stp/>
        <stp>##V3_BDPV12</stp>
        <stp>USCF7510 BBIR Curncy</stp>
        <stp>PX MID</stp>
        <stp>[XVLA.xls]Data!R43C8</stp>
        <tr r="H43" s="1"/>
      </tp>
      <tp t="s">
        <v>#N/A Invalid Security</v>
        <stp/>
        <stp>##V3_BDPV12</stp>
        <stp>USCP2510 BBIR Curncy</stp>
        <stp>PX MID</stp>
        <stp>[XVLA.xls]Data!R43C6</stp>
        <tr r="F43" s="1"/>
      </tp>
      <tp>
        <v>73.83</v>
        <stp/>
        <stp>##V3_BDPV12</stp>
        <stp>USSN0I25 CMPN Curncy</stp>
        <stp>ASK</stp>
        <stp>[XVLA.xls]Data!R7C15</stp>
        <tr r="O7" s="1"/>
      </tp>
      <tp>
        <v>69.11</v>
        <stp/>
        <stp>##V3_BDPV12</stp>
        <stp>USSN0B25 CMPN Curncy</stp>
        <stp>ASK</stp>
        <stp>[XVLA.xls]Data!R4C15</stp>
        <tr r="O4" s="1"/>
      </tp>
      <tp>
        <v>71.17</v>
        <stp/>
        <stp>##V3_BDPV12</stp>
        <stp>USSN0C25 CMPN Curncy</stp>
        <stp>ASK</stp>
        <stp>[XVLA.xls]Data!R5C15</stp>
        <tr r="O5" s="1"/>
      </tp>
      <tp>
        <v>68.650000000000006</v>
        <stp/>
        <stp>##V3_BDPV12</stp>
        <stp>USSN0A25 CMPN Curncy</stp>
        <stp>ASK</stp>
        <stp>[XVLA.xls]Data!R3C15</stp>
        <tr r="O3" s="1"/>
      </tp>
      <tp>
        <v>73.2</v>
        <stp/>
        <stp>##V3_BDPV12</stp>
        <stp>USSN0F25 CMPN Curncy</stp>
        <stp>ASK</stp>
        <stp>[XVLA.xls]Data!R6C15</stp>
        <tr r="O6" s="1"/>
      </tp>
      <tp>
        <v>74.180000000000007</v>
        <stp/>
        <stp>##V3_BDPV12</stp>
        <stp>USSN0125 CMPN Curncy</stp>
        <stp>ASK</stp>
        <stp>[XVLA.xls]Data!R8C15</stp>
        <tr r="O8" s="1"/>
      </tp>
      <tp>
        <v>75.959999999999994</v>
        <stp/>
        <stp>##V3_BDPV12</stp>
        <stp>USSN1F25 CMPN Curncy</stp>
        <stp>ASK</stp>
        <stp>[XVLA.xls]Data!R9C15</stp>
        <tr r="O9" s="1"/>
      </tp>
      <tp>
        <v>39.340000000000003</v>
        <stp/>
        <stp>##V3_BDPV12</stp>
        <stp>USCV20   BBIR Curncy</stp>
        <stp>PX MID</stp>
        <stp>[XVLA.xls]Data!R46C5</stp>
        <tr r="E46" s="1"/>
      </tp>
      <tp>
        <v>78.05</v>
        <stp/>
        <stp>##V3_BDPV12</stp>
        <stp>USSN1F20 CMPN Curncy</stp>
        <stp>ASK</stp>
        <stp>[XVLA.xls]Data!R9C14</stp>
        <tr r="N9" s="1"/>
      </tp>
      <tp>
        <v>73.7</v>
        <stp/>
        <stp>##V3_BDPV12</stp>
        <stp>USSN0I20 CMPN Curncy</stp>
        <stp>ASK</stp>
        <stp>[XVLA.xls]Data!R7C14</stp>
        <tr r="N7" s="1"/>
      </tp>
      <tp>
        <v>69.11</v>
        <stp/>
        <stp>##V3_BDPV12</stp>
        <stp>USSN0B20 CMPN Curncy</stp>
        <stp>ASK</stp>
        <stp>[XVLA.xls]Data!R4C14</stp>
        <tr r="N4" s="1"/>
      </tp>
      <tp>
        <v>70.8</v>
        <stp/>
        <stp>##V3_BDPV12</stp>
        <stp>USSN0C20 CMPN Curncy</stp>
        <stp>ASK</stp>
        <stp>[XVLA.xls]Data!R5C14</stp>
        <tr r="N5" s="1"/>
      </tp>
      <tp>
        <v>68.05</v>
        <stp/>
        <stp>##V3_BDPV12</stp>
        <stp>USSN0A20 CMPN Curncy</stp>
        <stp>ASK</stp>
        <stp>[XVLA.xls]Data!R3C14</stp>
        <tr r="N3" s="1"/>
      </tp>
      <tp>
        <v>72.59</v>
        <stp/>
        <stp>##V3_BDPV12</stp>
        <stp>USSN0F20 CMPN Curncy</stp>
        <stp>ASK</stp>
        <stp>[XVLA.xls]Data!R6C14</stp>
        <tr r="N6" s="1"/>
      </tp>
      <tp>
        <v>74.19</v>
        <stp/>
        <stp>##V3_BDPV12</stp>
        <stp>USSN0120 CMPN Curncy</stp>
        <stp>ASK</stp>
        <stp>[XVLA.xls]Data!R8C14</stp>
        <tr r="N8" s="1"/>
      </tp>
      <tp t="s">
        <v>#N/A Invalid Security</v>
        <stp/>
        <stp>##V3_BDPV12</stp>
        <stp>USCF0252 BBIR Curncy</stp>
        <stp>PX MID</stp>
        <stp>[XVLA.xls]Data!R35C6</stp>
        <tr r="F35" s="1"/>
      </tp>
      <tp t="s">
        <v>#N/A Invalid Security</v>
        <stp/>
        <stp>##V3_BDPV12</stp>
        <stp>USCF0757 BBIR Curncy</stp>
        <stp>PX MID</stp>
        <stp>[XVLA.xls]Data!R40C8</stp>
        <tr r="H40" s="1"/>
      </tp>
      <tp t="s">
        <v>#N/A Field Not Applicable</v>
        <stp/>
        <stp>##V3_BDPV12</stp>
        <stp>USCF059  BBIR Curncy</stp>
        <stp>PX MID</stp>
        <stp>[XVLA.xls]Data!R42C7</stp>
        <tr r="G42" s="1"/>
      </tp>
      <tp>
        <v>33.454999999999998</v>
        <stp/>
        <stp>##V3_BDPV12</stp>
        <stp>USSV155  BBIR Curncy</stp>
        <stp>PX MID</stp>
        <stp>[XVLA.xls]Data!R62C9</stp>
        <tr r="I62" s="1"/>
      </tp>
      <tp>
        <v>45.57</v>
        <stp/>
        <stp>##V3_BDPV12</stp>
        <stp>USSV075  BBIR Curncy</stp>
        <stp>PX MID</stp>
        <stp>[XVLA.xls]Data!R60C9</stp>
        <tr r="I60" s="1"/>
      </tp>
      <tp>
        <v>34.685000000000002</v>
        <stp/>
        <stp>##V3_BDPV12</stp>
        <stp>USSV154  BBIR Curncy</stp>
        <stp>PX MID</stp>
        <stp>[XVLA.xls]Data!R62C8</stp>
        <tr r="H62" s="1"/>
      </tp>
      <tp>
        <v>46.84</v>
        <stp/>
        <stp>##V3_BDPV12</stp>
        <stp>USSV074  BBIR Curncy</stp>
        <stp>PX MID</stp>
        <stp>[XVLA.xls]Data!R60C8</stp>
        <tr r="H60" s="1"/>
      </tp>
      <tp>
        <v>38.880000000000003</v>
        <stp/>
        <stp>##V3_BDPV12</stp>
        <stp>USSV151  BBIR Curncy</stp>
        <stp>PX MID</stp>
        <stp>[XVLA.xls]Data!R62C5</stp>
        <tr r="E62" s="1"/>
      </tp>
      <tp>
        <v>50.954999999999998</v>
        <stp/>
        <stp>##V3_BDPV12</stp>
        <stp>USSV071  BBIR Curncy</stp>
        <stp>PX MID</stp>
        <stp>[XVLA.xls]Data!R60C5</stp>
        <tr r="E60" s="1"/>
      </tp>
      <tp>
        <v>36.015000000000001</v>
        <stp/>
        <stp>##V3_BDPV12</stp>
        <stp>USSV153  BBIR Curncy</stp>
        <stp>PX MID</stp>
        <stp>[XVLA.xls]Data!R62C7</stp>
        <tr r="G62" s="1"/>
      </tp>
      <tp>
        <v>47.954999999999998</v>
        <stp/>
        <stp>##V3_BDPV12</stp>
        <stp>USSV073  BBIR Curncy</stp>
        <stp>PX MID</stp>
        <stp>[XVLA.xls]Data!R60C7</stp>
        <tr r="G60" s="1"/>
      </tp>
      <tp>
        <v>73.87</v>
        <stp/>
        <stp>##V3_BDPV12</stp>
        <stp>USSN1F30 CMPN Curncy</stp>
        <stp>ASK</stp>
        <stp>[XVLA.xls]Data!R9C16</stp>
        <tr r="P9" s="1"/>
      </tp>
      <tp>
        <v>74.36</v>
        <stp/>
        <stp>##V3_BDPV12</stp>
        <stp>USSN0I30 CMPN Curncy</stp>
        <stp>ASK</stp>
        <stp>[XVLA.xls]Data!R7C16</stp>
        <tr r="P7" s="1"/>
      </tp>
      <tp>
        <v>70.28</v>
        <stp/>
        <stp>##V3_BDPV12</stp>
        <stp>USSN0B30 CMPN Curncy</stp>
        <stp>ASK</stp>
        <stp>[XVLA.xls]Data!R4C16</stp>
        <tr r="P4" s="1"/>
      </tp>
      <tp>
        <v>72.27</v>
        <stp/>
        <stp>##V3_BDPV12</stp>
        <stp>USSN0C30 CMPN Curncy</stp>
        <stp>ASK</stp>
        <stp>[XVLA.xls]Data!R5C16</stp>
        <tr r="P5" s="1"/>
      </tp>
      <tp>
        <v>70</v>
        <stp/>
        <stp>##V3_BDPV12</stp>
        <stp>USSN0A30 CMPN Curncy</stp>
        <stp>ASK</stp>
        <stp>[XVLA.xls]Data!R3C16</stp>
        <tr r="P3" s="1"/>
      </tp>
      <tp>
        <v>73.55</v>
        <stp/>
        <stp>##V3_BDPV12</stp>
        <stp>USSN0F30 CMPN Curncy</stp>
        <stp>ASK</stp>
        <stp>[XVLA.xls]Data!R6C16</stp>
        <tr r="P6" s="1"/>
      </tp>
      <tp>
        <v>74.5</v>
        <stp/>
        <stp>##V3_BDPV12</stp>
        <stp>USSN0130 CMPN Curncy</stp>
        <stp>ASK</stp>
        <stp>[XVLA.xls]Data!R8C16</stp>
        <tr r="P8" s="1"/>
      </tp>
      <tp>
        <v>37.33</v>
        <stp/>
        <stp>##V3_BDPV12</stp>
        <stp>USSV152  BBIR Curncy</stp>
        <stp>PX MID</stp>
        <stp>[XVLA.xls]Data!R62C6</stp>
        <tr r="F62" s="1"/>
      </tp>
      <tp>
        <v>49.305</v>
        <stp/>
        <stp>##V3_BDPV12</stp>
        <stp>USSV072  BBIR Curncy</stp>
        <stp>PX MID</stp>
        <stp>[XVLA.xls]Data!R60C6</stp>
        <tr r="F60" s="1"/>
      </tp>
      <tp t="s">
        <v>#N/A Invalid Security</v>
        <stp/>
        <stp>##V3_BDPV12</stp>
        <stp>USCF087  BBIR Curncy</stp>
        <stp>PX MID</stp>
        <stp>[XVLA.xls]Data!R40C9</stp>
        <tr r="I40" s="1"/>
      </tp>
      <tp>
        <v>38.67</v>
        <stp/>
        <stp>##V3_BDPV12</stp>
        <stp>USCV30   BBIR Curncy</stp>
        <stp>PX MID</stp>
        <stp>[XVLA.xls]Data!R48C5</stp>
        <tr r="E48" s="1"/>
      </tp>
      <tp t="s">
        <v>#N/A Invalid Security</v>
        <stp/>
        <stp>##V3_BDPV12</stp>
        <stp>USCF088  BBIR Curncy</stp>
        <stp>PX MID</stp>
        <stp>[XVLA.xls]Data!R41C9</stp>
        <tr r="I41" s="1"/>
      </tp>
      <tp t="s">
        <v>#N/A Invalid Security</v>
        <stp/>
        <stp>##V3_BDPV12</stp>
        <stp>USCF0255 BBIR Curncy</stp>
        <stp>PX MID</stp>
        <stp>[XVLA.xls]Data!R38C6</stp>
        <tr r="F38" s="1"/>
      </tp>
      <tp t="s">
        <v>#N/A Invalid Security</v>
        <stp/>
        <stp>##V3_BDPV12</stp>
        <stp>USCF089  BBIR Curncy</stp>
        <stp>PX MID</stp>
        <stp>[XVLA.xls]Data!R42C9</stp>
        <tr r="I42" s="1"/>
      </tp>
      <tp t="s">
        <v>#N/A Invalid Security</v>
        <stp/>
        <stp>##V3_BDPV12</stp>
        <stp>USCF0256 BBIR Curncy</stp>
        <stp>PX MID</stp>
        <stp>[XVLA.xls]Data!R39C6</stp>
        <tr r="F39" s="1"/>
      </tp>
      <tp t="s">
        <v>#N/A Invalid Security</v>
        <stp/>
        <stp>##V3_BDPV12</stp>
        <stp>USCF0810 BBIR Curncy</stp>
        <stp>PX MID</stp>
        <stp>[XVLA.xls]Data!R43C9</stp>
        <tr r="I43" s="1"/>
      </tp>
      <tp t="s">
        <v>#N/A Field Not Applicable</v>
        <stp/>
        <stp>##V3_BDPV12</stp>
        <stp>USCF056  BBIR Curncy</stp>
        <stp>PX MID</stp>
        <stp>[XVLA.xls]Data!R39C7</stp>
        <tr r="G39" s="1"/>
      </tp>
      <tp t="s">
        <v>#N/A Invalid Security</v>
        <stp/>
        <stp>##V3_BDPV12</stp>
        <stp>USCF0812 BBIR Curncy</stp>
        <stp>PX MID</stp>
        <stp>[XVLA.xls]Data!R44C9</stp>
        <tr r="I44" s="1"/>
      </tp>
      <tp t="s">
        <v>#N/A Invalid Security</v>
        <stp/>
        <stp>##V3_BDPV12</stp>
        <stp>USCF081  BBIR Curncy</stp>
        <stp>PX MID</stp>
        <stp>[XVLA.xls]Data!R34C9</stp>
        <tr r="I34" s="1"/>
      </tp>
      <tp>
        <v>50.454999999999998</v>
        <stp/>
        <stp>##V3_BDPV12</stp>
        <stp>USSV045  BBIR Curncy</stp>
        <stp>PX MID</stp>
        <stp>[XVLA.xls]Data!R58C9</stp>
        <tr r="I58" s="1"/>
      </tp>
      <tp>
        <v>49.49</v>
        <stp/>
        <stp>##V3_BDPV12</stp>
        <stp>USSV055  BBIR Curncy</stp>
        <stp>PX MID</stp>
        <stp>[XVLA.xls]Data!R59C9</stp>
        <tr r="I59" s="1"/>
      </tp>
      <tp>
        <v>52.145000000000003</v>
        <stp/>
        <stp>##V3_BDPV12</stp>
        <stp>USSV044  BBIR Curncy</stp>
        <stp>PX MID</stp>
        <stp>[XVLA.xls]Data!R58C8</stp>
        <tr r="H58" s="1"/>
      </tp>
      <tp>
        <v>50.954999999999998</v>
        <stp/>
        <stp>##V3_BDPV12</stp>
        <stp>USSV054  BBIR Curncy</stp>
        <stp>PX MID</stp>
        <stp>[XVLA.xls]Data!R59C8</stp>
        <tr r="H59" s="1"/>
      </tp>
      <tp>
        <v>59.15</v>
        <stp/>
        <stp>##V3_BDPV12</stp>
        <stp>USSV041  BBIR Curncy</stp>
        <stp>PX MID</stp>
        <stp>[XVLA.xls]Data!R58C5</stp>
        <tr r="E58" s="1"/>
      </tp>
      <tp>
        <v>67.97</v>
        <stp/>
        <stp>##V3_BDPV12</stp>
        <stp>USSV051  BBIR Curncy</stp>
        <stp>PX MID</stp>
        <stp>[XVLA.xls]Data!R59C5</stp>
        <tr r="E59" s="1"/>
      </tp>
      <tp>
        <v>53.99</v>
        <stp/>
        <stp>##V3_BDPV12</stp>
        <stp>USSV043  BBIR Curncy</stp>
        <stp>PX MID</stp>
        <stp>[XVLA.xls]Data!R58C7</stp>
        <tr r="G58" s="1"/>
      </tp>
      <tp>
        <v>52.69</v>
        <stp/>
        <stp>##V3_BDPV12</stp>
        <stp>USSV053  BBIR Curncy</stp>
        <stp>PX MID</stp>
        <stp>[XVLA.xls]Data!R59C7</stp>
        <tr r="G59" s="1"/>
      </tp>
      <tp>
        <v>56.24</v>
        <stp/>
        <stp>##V3_BDPV12</stp>
        <stp>USSV042  BBIR Curncy</stp>
        <stp>PX MID</stp>
        <stp>[XVLA.xls]Data!R58C6</stp>
        <tr r="F58" s="1"/>
      </tp>
      <tp>
        <v>54.534999999999997</v>
        <stp/>
        <stp>##V3_BDPV12</stp>
        <stp>USSV052  BBIR Curncy</stp>
        <stp>PX MID</stp>
        <stp>[XVLA.xls]Data!R59C6</stp>
        <tr r="F59" s="1"/>
      </tp>
      <tp t="s">
        <v>#N/A Field Not Applicable</v>
        <stp/>
        <stp>##V3_BDPV12</stp>
        <stp>USCF055  BBIR Curncy</stp>
        <stp>PX MID</stp>
        <stp>[XVLA.xls]Data!R38C7</stp>
        <tr r="G38" s="1"/>
      </tp>
      <tp t="s">
        <v>#N/A Invalid Security</v>
        <stp/>
        <stp>##V3_BDPV12</stp>
        <stp>USCF0815 BBIR Curncy</stp>
        <stp>PX MID</stp>
        <stp>[XVLA.xls]Data!R45C9</stp>
        <tr r="I45" s="1"/>
      </tp>
      <tp t="s">
        <v>#N/A N/A</v>
        <stp/>
        <stp>##V3_BDPV12</stp>
        <stp>USCF2530 BBIR Curncy</stp>
        <stp>PX MID</stp>
        <stp>[XVLA.xls]Data!R48C6</stp>
        <tr r="F48" s="1"/>
      </tp>
      <tp t="s">
        <v>#N/A N/A</v>
        <stp/>
        <stp>##V3_BDPV12</stp>
        <stp>USCF0530 BBIR Curncy</stp>
        <stp>PX MID</stp>
        <stp>[XVLA.xls]Data!R48C7</stp>
        <tr r="G48" s="1"/>
      </tp>
      <tp t="s">
        <v>#N/A N/A</v>
        <stp/>
        <stp>##V3_BDPV12</stp>
        <stp>USCF7530 BBIR Curncy</stp>
        <stp>PX MID</stp>
        <stp>[XVLA.xls]Data!R48C8</stp>
        <tr r="H48" s="1"/>
      </tp>
      <tp t="s">
        <v>#N/A Invalid Security</v>
        <stp/>
        <stp>##V3_BDPV12</stp>
        <stp>USCF082  BBIR Curncy</stp>
        <stp>PX MID</stp>
        <stp>[XVLA.xls]Data!R35C9</stp>
        <tr r="I35" s="1"/>
      </tp>
      <tp t="s">
        <v>#N/A Invalid Security</v>
        <stp/>
        <stp>##V3_BDPV12</stp>
        <stp>USCF0756 BBIR Curncy</stp>
        <stp>PX MID</stp>
        <stp>[XVLA.xls]Data!R39C8</stp>
        <tr r="H39" s="1"/>
      </tp>
      <tp t="s">
        <v>#N/A Invalid Security</v>
        <stp/>
        <stp>##V3_BDPV12</stp>
        <stp>USCF083  BBIR Curncy</stp>
        <stp>PX MID</stp>
        <stp>[XVLA.xls]Data!R36C9</stp>
        <tr r="I36" s="1"/>
      </tp>
      <tp t="s">
        <v>#N/A Invalid Security</v>
        <stp/>
        <stp>##V3_BDPV12</stp>
        <stp>USCF0820 BBIR Curncy</stp>
        <stp>PX MID</stp>
        <stp>[XVLA.xls]Data!R46C9</stp>
        <tr r="I46" s="1"/>
      </tp>
      <tp t="s">
        <v>#N/A Invalid Security</v>
        <stp/>
        <stp>##V3_BDPV12</stp>
        <stp>USCF0755 BBIR Curncy</stp>
        <stp>PX MID</stp>
        <stp>[XVLA.xls]Data!R38C8</stp>
        <tr r="H38" s="1"/>
      </tp>
      <tp t="s">
        <v>#N/A Invalid Security</v>
        <stp/>
        <stp>##V3_BDPV12</stp>
        <stp>USCF084  BBIR Curncy</stp>
        <stp>PX MID</stp>
        <stp>[XVLA.xls]Data!R37C9</stp>
        <tr r="I37" s="1"/>
      </tp>
      <tp t="s">
        <v>#N/A Invalid Security</v>
        <stp/>
        <stp>##V3_BDPV12</stp>
        <stp>USCF0825 BBIR Curncy</stp>
        <stp>PX MID</stp>
        <stp>[XVLA.xls]Data!R47C9</stp>
        <tr r="I47" s="1"/>
      </tp>
      <tp>
        <v>52.25</v>
        <stp/>
        <stp>##V3_BDPV12</stp>
        <stp>USSN3025 CMPN Curncy</stp>
        <stp>ASK</stp>
        <stp>[XVLA.xls]Data!R22C15</stp>
        <tr r="O22" s="1"/>
      </tp>
      <tp>
        <v>55.87</v>
        <stp/>
        <stp>##V3_BDPV12</stp>
        <stp>USSN3015 CMPN Curncy</stp>
        <stp>ASK</stp>
        <stp>[XVLA.xls]Data!R22C13</stp>
        <tr r="M22" s="1"/>
      </tp>
      <tp>
        <v>52</v>
        <stp/>
        <stp>##V3_BDPV12</stp>
        <stp>USSN2025 CMPN Curncy</stp>
        <stp>ASK</stp>
        <stp>[XVLA.xls]Data!R20C15</stp>
        <tr r="O20" s="1"/>
      </tp>
      <tp>
        <v>56.98</v>
        <stp/>
        <stp>##V3_BDPV12</stp>
        <stp>USSN2515 CMPN Curncy</stp>
        <stp>ASK</stp>
        <stp>[XVLA.xls]Data!R21C13</stp>
        <tr r="M21" s="1"/>
      </tp>
      <tp>
        <v>52.15</v>
        <stp/>
        <stp>##V3_BDPV12</stp>
        <stp>USSN2525 CMPN Curncy</stp>
        <stp>ASK</stp>
        <stp>[XVLA.xls]Data!R21C15</stp>
        <tr r="O21" s="1"/>
      </tp>
      <tp>
        <v>58.59</v>
        <stp/>
        <stp>##V3_BDPV12</stp>
        <stp>USSN2015 CMPN Curncy</stp>
        <stp>ASK</stp>
        <stp>[XVLA.xls]Data!R20C13</stp>
        <tr r="M20" s="1"/>
      </tp>
      <tp>
        <v>64.040000000000006</v>
        <stp/>
        <stp>##V3_BDPV12</stp>
        <stp>USSN1515 CMPN Curncy</stp>
        <stp>ASK</stp>
        <stp>[XVLA.xls]Data!R19C13</stp>
        <tr r="M19" s="1"/>
      </tp>
      <tp>
        <v>65.239999999999995</v>
        <stp/>
        <stp>##V3_BDPV12</stp>
        <stp>USSN1025 CMPN Curncy</stp>
        <stp>ASK</stp>
        <stp>[XVLA.xls]Data!R18C15</stp>
        <tr r="O18" s="1"/>
      </tp>
      <tp>
        <v>73.739999999999995</v>
        <stp/>
        <stp>##V3_BDPV12</stp>
        <stp>USSN1015 CMPN Curncy</stp>
        <stp>ASK</stp>
        <stp>[XVLA.xls]Data!R18C13</stp>
        <tr r="M18" s="1"/>
      </tp>
      <tp>
        <v>56.76</v>
        <stp/>
        <stp>##V3_BDPV12</stp>
        <stp>USSN1525 CMPN Curncy</stp>
        <stp>ASK</stp>
        <stp>[XVLA.xls]Data!R19C15</stp>
        <tr r="O19" s="1"/>
      </tp>
      <tp t="s">
        <v>#N/A N/A</v>
        <stp/>
        <stp>##V3_BDPV12</stp>
        <stp>USSN0825 CMPN Curncy</stp>
        <stp>ASK</stp>
        <stp>[XVLA.xls]Data!R16C15</stp>
        <tr r="O16" s="1"/>
      </tp>
      <tp t="s">
        <v>#N/A N/A</v>
        <stp/>
        <stp>##V3_BDPV12</stp>
        <stp>USSN0925 CMPN Curncy</stp>
        <stp>ASK</stp>
        <stp>[XVLA.xls]Data!R17C15</stp>
        <tr r="O17" s="1"/>
      </tp>
      <tp t="s">
        <v>#N/A N/A</v>
        <stp/>
        <stp>##V3_BDPV12</stp>
        <stp>USSN0815 CMPN Curncy</stp>
        <stp>ASK</stp>
        <stp>[XVLA.xls]Data!R16C13</stp>
        <tr r="M16" s="1"/>
      </tp>
      <tp t="s">
        <v>#N/A N/A</v>
        <stp/>
        <stp>##V3_BDPV12</stp>
        <stp>USSN0915 CMPN Curncy</stp>
        <stp>ASK</stp>
        <stp>[XVLA.xls]Data!R17C13</stp>
        <tr r="M17" s="1"/>
      </tp>
      <tp>
        <v>75.87</v>
        <stp/>
        <stp>##V3_BDPV12</stp>
        <stp>USSN0415 CMPN Curncy</stp>
        <stp>ASK</stp>
        <stp>[XVLA.xls]Data!R12C13</stp>
        <tr r="M12" s="1"/>
      </tp>
      <tp>
        <v>74.95</v>
        <stp/>
        <stp>##V3_BDPV12</stp>
        <stp>USSN0225 CMPN Curncy</stp>
        <stp>ASK</stp>
        <stp>[XVLA.xls]Data!R10C15</stp>
        <tr r="O10" s="1"/>
      </tp>
      <tp>
        <v>74.290000000000006</v>
        <stp/>
        <stp>##V3_BDPV12</stp>
        <stp>USSN0325 CMPN Curncy</stp>
        <stp>ASK</stp>
        <stp>[XVLA.xls]Data!R11C15</stp>
        <tr r="O11" s="1"/>
      </tp>
      <tp>
        <v>75.47</v>
        <stp/>
        <stp>##V3_BDPV12</stp>
        <stp>USSN0515 CMPN Curncy</stp>
        <stp>ASK</stp>
        <stp>[XVLA.xls]Data!R13C13</stp>
        <tr r="M13" s="1"/>
      </tp>
      <tp t="s">
        <v>#N/A N/A</v>
        <stp/>
        <stp>##V3_BDPV12</stp>
        <stp>USSN0615 CMPN Curncy</stp>
        <stp>ASK</stp>
        <stp>[XVLA.xls]Data!R14C13</stp>
        <tr r="M14" s="1"/>
      </tp>
      <tp>
        <v>72.81</v>
        <stp/>
        <stp>##V3_BDPV12</stp>
        <stp>USSN0715 CMPN Curncy</stp>
        <stp>ASK</stp>
        <stp>[XVLA.xls]Data!R15C13</stp>
        <tr r="M15" s="1"/>
      </tp>
      <tp t="s">
        <v>#N/A N/A</v>
        <stp/>
        <stp>##V3_BDPV12</stp>
        <stp>USSN0625 CMPN Curncy</stp>
        <stp>ASK</stp>
        <stp>[XVLA.xls]Data!R14C15</stp>
        <tr r="O14" s="1"/>
      </tp>
      <tp>
        <v>68.930000000000007</v>
        <stp/>
        <stp>##V3_BDPV12</stp>
        <stp>USSN0725 CMPN Curncy</stp>
        <stp>ASK</stp>
        <stp>[XVLA.xls]Data!R15C15</stp>
        <tr r="O15" s="1"/>
      </tp>
      <tp>
        <v>76.75</v>
        <stp/>
        <stp>##V3_BDPV12</stp>
        <stp>USSN0215 CMPN Curncy</stp>
        <stp>ASK</stp>
        <stp>[XVLA.xls]Data!R10C13</stp>
        <tr r="M10" s="1"/>
      </tp>
      <tp>
        <v>73.11</v>
        <stp/>
        <stp>##V3_BDPV12</stp>
        <stp>USSN0425 CMPN Curncy</stp>
        <stp>ASK</stp>
        <stp>[XVLA.xls]Data!R12C15</stp>
        <tr r="O12" s="1"/>
      </tp>
      <tp>
        <v>72.069999999999993</v>
        <stp/>
        <stp>##V3_BDPV12</stp>
        <stp>USSN0525 CMPN Curncy</stp>
        <stp>ASK</stp>
        <stp>[XVLA.xls]Data!R13C15</stp>
        <tr r="O13" s="1"/>
      </tp>
      <tp>
        <v>77.150000000000006</v>
        <stp/>
        <stp>##V3_BDPV12</stp>
        <stp>USSN0315 CMPN Curncy</stp>
        <stp>ASK</stp>
        <stp>[XVLA.xls]Data!R11C13</stp>
        <tr r="M11" s="1"/>
      </tp>
      <tp>
        <v>70.599999999999994</v>
        <stp/>
        <stp>##V3_BDPV12</stp>
        <stp>USPE21 ICPL Curncy</stp>
        <stp>ASK</stp>
        <stp>[XVLA.xls]Data!R83C5</stp>
        <tr r="E83" s="1"/>
      </tp>
      <tp>
        <v>122</v>
        <stp/>
        <stp>##V3_BDPV12</stp>
        <stp>USPE41 ICPL Curncy</stp>
        <stp>ASK</stp>
        <stp>[XVLA.xls]Data!R85C5</stp>
        <tr r="E85" s="1"/>
      </tp>
      <tp>
        <v>151</v>
        <stp/>
        <stp>##V3_BDPV12</stp>
        <stp>USPE22 ICPL Curncy</stp>
        <stp>ASK</stp>
        <stp>[XVLA.xls]Data!R83C6</stp>
        <tr r="F83" s="1"/>
      </tp>
      <tp>
        <v>244</v>
        <stp/>
        <stp>##V3_BDPV12</stp>
        <stp>USPE42 ICPL Curncy</stp>
        <stp>ASK</stp>
        <stp>[XVLA.xls]Data!R85C6</stp>
        <tr r="F85" s="1"/>
      </tp>
      <tp>
        <v>234</v>
        <stp/>
        <stp>##V3_BDPV12</stp>
        <stp>USPE23 ICPL Curncy</stp>
        <stp>ASK</stp>
        <stp>[XVLA.xls]Data!R83C7</stp>
        <tr r="G83" s="1"/>
      </tp>
      <tp>
        <v>364</v>
        <stp/>
        <stp>##V3_BDPV12</stp>
        <stp>USPE43 ICPL Curncy</stp>
        <stp>ASK</stp>
        <stp>[XVLA.xls]Data!R85C7</stp>
        <tr r="G85" s="1"/>
      </tp>
      <tp>
        <v>320</v>
        <stp/>
        <stp>##V3_BDPV12</stp>
        <stp>USPE24 ICPL Curncy</stp>
        <stp>ASK</stp>
        <stp>[XVLA.xls]Data!R83C8</stp>
        <tr r="H83" s="1"/>
      </tp>
      <tp>
        <v>483</v>
        <stp/>
        <stp>##V3_BDPV12</stp>
        <stp>USPE44 ICPL Curncy</stp>
        <stp>ASK</stp>
        <stp>[XVLA.xls]Data!R85C8</stp>
        <tr r="H85" s="1"/>
      </tp>
      <tp>
        <v>405</v>
        <stp/>
        <stp>##V3_BDPV12</stp>
        <stp>USPE25 ICPL Curncy</stp>
        <stp>ASK</stp>
        <stp>[XVLA.xls]Data!R83C9</stp>
        <tr r="I83" s="1"/>
      </tp>
      <tp>
        <v>601</v>
        <stp/>
        <stp>##V3_BDPV12</stp>
        <stp>USPE45 ICPL Curncy</stp>
        <stp>ASK</stp>
        <stp>[XVLA.xls]Data!R85C9</stp>
        <tr r="I85" s="1"/>
      </tp>
      <tp>
        <v>40.6</v>
        <stp/>
        <stp>##V3_BDPV12</stp>
        <stp>USPE11 ICPL Curncy</stp>
        <stp>ASK</stp>
        <stp>[XVLA.xls]Data!R81C5</stp>
        <tr r="E81" s="1"/>
      </tp>
      <tp>
        <v>168</v>
        <stp/>
        <stp>##V3_BDPV12</stp>
        <stp>USPE71 ICPL Curncy</stp>
        <stp>ASK</stp>
        <stp>[XVLA.xls]Data!R87C5</stp>
        <tr r="E87" s="1"/>
      </tp>
      <tp>
        <v>93.4</v>
        <stp/>
        <stp>##V3_BDPV12</stp>
        <stp>USPE12 ICPL Curncy</stp>
        <stp>ASK</stp>
        <stp>[XVLA.xls]Data!R81C6</stp>
        <tr r="F81" s="1"/>
      </tp>
      <tp>
        <v>331</v>
        <stp/>
        <stp>##V3_BDPV12</stp>
        <stp>USPE72 ICPL Curncy</stp>
        <stp>ASK</stp>
        <stp>[XVLA.xls]Data!R87C6</stp>
        <tr r="F87" s="1"/>
      </tp>
      <tp>
        <v>153</v>
        <stp/>
        <stp>##V3_BDPV12</stp>
        <stp>USPE13 ICPL Curncy</stp>
        <stp>ASK</stp>
        <stp>[XVLA.xls]Data!R81C7</stp>
        <tr r="G81" s="1"/>
      </tp>
      <tp>
        <v>490</v>
        <stp/>
        <stp>##V3_BDPV12</stp>
        <stp>USPE73 ICPL Curncy</stp>
        <stp>ASK</stp>
        <stp>[XVLA.xls]Data!R87C7</stp>
        <tr r="G87" s="1"/>
      </tp>
      <tp>
        <v>213</v>
        <stp/>
        <stp>##V3_BDPV12</stp>
        <stp>USPE14 ICPL Curncy</stp>
        <stp>ASK</stp>
        <stp>[XVLA.xls]Data!R81C8</stp>
        <tr r="H81" s="1"/>
      </tp>
      <tp>
        <v>647</v>
        <stp/>
        <stp>##V3_BDPV12</stp>
        <stp>USPE74 ICPL Curncy</stp>
        <stp>ASK</stp>
        <stp>[XVLA.xls]Data!R87C8</stp>
        <tr r="H87" s="1"/>
      </tp>
      <tp>
        <v>274</v>
        <stp/>
        <stp>##V3_BDPV12</stp>
        <stp>USPE15 ICPL Curncy</stp>
        <stp>ASK</stp>
        <stp>[XVLA.xls]Data!R81C9</stp>
        <tr r="I81" s="1"/>
      </tp>
      <tp>
        <v>800</v>
        <stp/>
        <stp>##V3_BDPV12</stp>
        <stp>USPE75 ICPL Curncy</stp>
        <stp>ASK</stp>
        <stp>[XVLA.xls]Data!R87C9</stp>
        <tr r="I87" s="1"/>
      </tp>
      <tp>
        <v>139</v>
        <stp/>
        <stp>##V3_BDPV12</stp>
        <stp>USPE51 ICPL Curncy</stp>
        <stp>ASK</stp>
        <stp>[XVLA.xls]Data!R86C5</stp>
        <tr r="E86" s="1"/>
      </tp>
      <tp>
        <v>278</v>
        <stp/>
        <stp>##V3_BDPV12</stp>
        <stp>USPE52 ICPL Curncy</stp>
        <stp>ASK</stp>
        <stp>[XVLA.xls]Data!R86C6</stp>
        <tr r="F86" s="1"/>
      </tp>
      <tp>
        <v>415</v>
        <stp/>
        <stp>##V3_BDPV12</stp>
        <stp>USPE53 ICPL Curncy</stp>
        <stp>ASK</stp>
        <stp>[XVLA.xls]Data!R86C7</stp>
        <tr r="G86" s="1"/>
      </tp>
      <tp>
        <v>549</v>
        <stp/>
        <stp>##V3_BDPV12</stp>
        <stp>USPE54 ICPL Curncy</stp>
        <stp>ASK</stp>
        <stp>[XVLA.xls]Data!R86C8</stp>
        <tr r="H86" s="1"/>
      </tp>
      <tp>
        <v>681</v>
        <stp/>
        <stp>##V3_BDPV12</stp>
        <stp>USPE55 ICPL Curncy</stp>
        <stp>ASK</stp>
        <stp>[XVLA.xls]Data!R86C9</stp>
        <tr r="I86" s="1"/>
      </tp>
      <tp>
        <v>53.51</v>
        <stp/>
        <stp>##V3_BDPV12</stp>
        <stp>USSN3020 CMPN Curncy</stp>
        <stp>ASK</stp>
        <stp>[XVLA.xls]Data!R22C14</stp>
        <tr r="N22" s="1"/>
      </tp>
      <tp>
        <v>50.98</v>
        <stp/>
        <stp>##V3_BDPV12</stp>
        <stp>USSN3030 CMPN Curncy</stp>
        <stp>ASK</stp>
        <stp>[XVLA.xls]Data!R22C16</stp>
        <tr r="P22" s="1"/>
      </tp>
      <tp>
        <v>58.23</v>
        <stp/>
        <stp>##V3_BDPV12</stp>
        <stp>USSN3010 CMPN Curncy</stp>
        <stp>ASK</stp>
        <stp>[XVLA.xls]Data!R22C12</stp>
        <tr r="L22" s="1"/>
      </tp>
      <tp>
        <v>54.17</v>
        <stp/>
        <stp>##V3_BDPV12</stp>
        <stp>USSN2020 CMPN Curncy</stp>
        <stp>ASK</stp>
        <stp>[XVLA.xls]Data!R20C14</stp>
        <tr r="N20" s="1"/>
      </tp>
      <tp>
        <v>49.84</v>
        <stp/>
        <stp>##V3_BDPV12</stp>
        <stp>USSN2030 CMPN Curncy</stp>
        <stp>ASK</stp>
        <stp>[XVLA.xls]Data!R20C16</stp>
        <tr r="P20" s="1"/>
      </tp>
      <tp>
        <v>60.19</v>
        <stp/>
        <stp>##V3_BDPV12</stp>
        <stp>USSN2510 CMPN Curncy</stp>
        <stp>ASK</stp>
        <stp>[XVLA.xls]Data!R21C12</stp>
        <tr r="L21" s="1"/>
      </tp>
      <tp>
        <v>53.77</v>
        <stp/>
        <stp>##V3_BDPV12</stp>
        <stp>USSN2520 CMPN Curncy</stp>
        <stp>ASK</stp>
        <stp>[XVLA.xls]Data!R21C14</stp>
        <tr r="N21" s="1"/>
      </tp>
      <tp>
        <v>63.01</v>
        <stp/>
        <stp>##V3_BDPV12</stp>
        <stp>USSN2010 CMPN Curncy</stp>
        <stp>ASK</stp>
        <stp>[XVLA.xls]Data!R20C12</stp>
        <tr r="L20" s="1"/>
      </tp>
      <tp>
        <v>50.53</v>
        <stp/>
        <stp>##V3_BDPV12</stp>
        <stp>USSN2530 CMPN Curncy</stp>
        <stp>ASK</stp>
        <stp>[XVLA.xls]Data!R21C16</stp>
        <tr r="P21" s="1"/>
      </tp>
      <tp>
        <v>69.05</v>
        <stp/>
        <stp>##V3_BDPV12</stp>
        <stp>USSN1510 CMPN Curncy</stp>
        <stp>ASK</stp>
        <stp>[XVLA.xls]Data!R19C12</stp>
        <tr r="L19" s="1"/>
      </tp>
      <tp>
        <v>62.77</v>
        <stp/>
        <stp>##V3_BDPV12</stp>
        <stp>USSN1030 CMPN Curncy</stp>
        <stp>ASK</stp>
        <stp>[XVLA.xls]Data!R18C16</stp>
        <tr r="P18" s="1"/>
      </tp>
      <tp>
        <v>67.709999999999994</v>
        <stp/>
        <stp>##V3_BDPV12</stp>
        <stp>USSN1020 CMPN Curncy</stp>
        <stp>ASK</stp>
        <stp>[XVLA.xls]Data!R18C14</stp>
        <tr r="N18" s="1"/>
      </tp>
      <tp>
        <v>54.49</v>
        <stp/>
        <stp>##V3_BDPV12</stp>
        <stp>USSN1530 CMPN Curncy</stp>
        <stp>ASK</stp>
        <stp>[XVLA.xls]Data!R19C16</stp>
        <tr r="P19" s="1"/>
      </tp>
      <tp>
        <v>73.31</v>
        <stp/>
        <stp>##V3_BDPV12</stp>
        <stp>USSN1010 CMPN Curncy</stp>
        <stp>ASK</stp>
        <stp>[XVLA.xls]Data!R18C12</stp>
        <tr r="L18" s="1"/>
      </tp>
      <tp>
        <v>59.03</v>
        <stp/>
        <stp>##V3_BDPV12</stp>
        <stp>USSN1520 CMPN Curncy</stp>
        <stp>ASK</stp>
        <stp>[XVLA.xls]Data!R19C14</stp>
        <tr r="N19" s="1"/>
      </tp>
      <tp t="s">
        <v>#N/A N/A</v>
        <stp/>
        <stp>##V3_BDPV12</stp>
        <stp>USSN0930 CMPN Curncy</stp>
        <stp>ASK</stp>
        <stp>[XVLA.xls]Data!R17C16</stp>
        <tr r="P17" s="1"/>
      </tp>
      <tp t="s">
        <v>#N/A N/A</v>
        <stp/>
        <stp>##V3_BDPV12</stp>
        <stp>USSN0830 CMPN Curncy</stp>
        <stp>ASK</stp>
        <stp>[XVLA.xls]Data!R16C16</stp>
        <tr r="P16" s="1"/>
      </tp>
      <tp t="s">
        <v>#N/A N/A</v>
        <stp/>
        <stp>##V3_BDPV12</stp>
        <stp>USSN0920 CMPN Curncy</stp>
        <stp>ASK</stp>
        <stp>[XVLA.xls]Data!R17C14</stp>
        <tr r="N17" s="1"/>
      </tp>
      <tp t="s">
        <v>#N/A N/A</v>
        <stp/>
        <stp>##V3_BDPV12</stp>
        <stp>USSN0820 CMPN Curncy</stp>
        <stp>ASK</stp>
        <stp>[XVLA.xls]Data!R16C14</stp>
        <tr r="N16" s="1"/>
      </tp>
      <tp t="s">
        <v>#N/A N/A</v>
        <stp/>
        <stp>##V3_BDPV12</stp>
        <stp>USSN0910 CMPN Curncy</stp>
        <stp>ASK</stp>
        <stp>[XVLA.xls]Data!R17C12</stp>
        <tr r="L17" s="1"/>
      </tp>
      <tp t="s">
        <v>#N/A N/A</v>
        <stp/>
        <stp>##V3_BDPV12</stp>
        <stp>USSN0810 CMPN Curncy</stp>
        <stp>ASK</stp>
        <stp>[XVLA.xls]Data!R16C12</stp>
        <tr r="L16" s="1"/>
      </tp>
      <tp>
        <v>74.36</v>
        <stp/>
        <stp>##V3_BDPV12</stp>
        <stp>USSN0320 CMPN Curncy</stp>
        <stp>ASK</stp>
        <stp>[XVLA.xls]Data!R11C14</stp>
        <tr r="N11" s="1"/>
      </tp>
      <tp>
        <v>79.8</v>
        <stp/>
        <stp>##V3_BDPV12</stp>
        <stp>USSN0510 CMPN Curncy</stp>
        <stp>ASK</stp>
        <stp>[XVLA.xls]Data!R13C12</stp>
        <tr r="L13" s="1"/>
      </tp>
      <tp>
        <v>79.540000000000006</v>
        <stp/>
        <stp>##V3_BDPV12</stp>
        <stp>USSN0410 CMPN Curncy</stp>
        <stp>ASK</stp>
        <stp>[XVLA.xls]Data!R12C12</stp>
        <tr r="L12" s="1"/>
      </tp>
      <tp>
        <v>75.08</v>
        <stp/>
        <stp>##V3_BDPV12</stp>
        <stp>USSN0220 CMPN Curncy</stp>
        <stp>ASK</stp>
        <stp>[XVLA.xls]Data!R10C14</stp>
        <tr r="N10" s="1"/>
      </tp>
      <tp>
        <v>77.42</v>
        <stp/>
        <stp>##V3_BDPV12</stp>
        <stp>USSN0710 CMPN Curncy</stp>
        <stp>ASK</stp>
        <stp>[XVLA.xls]Data!R15C12</stp>
        <tr r="L15" s="1"/>
      </tp>
      <tp>
        <v>73.87</v>
        <stp/>
        <stp>##V3_BDPV12</stp>
        <stp>USSN0330 CMPN Curncy</stp>
        <stp>ASK</stp>
        <stp>[XVLA.xls]Data!R11C16</stp>
        <tr r="P11" s="1"/>
      </tp>
      <tp t="s">
        <v>#N/A N/A</v>
        <stp/>
        <stp>##V3_BDPV12</stp>
        <stp>USSN0610 CMPN Curncy</stp>
        <stp>ASK</stp>
        <stp>[XVLA.xls]Data!R14C12</stp>
        <tr r="L14" s="1"/>
      </tp>
      <tp>
        <v>74.849999999999994</v>
        <stp/>
        <stp>##V3_BDPV12</stp>
        <stp>USSN0230 CMPN Curncy</stp>
        <stp>ASK</stp>
        <stp>[XVLA.xls]Data!R10C16</stp>
        <tr r="P10" s="1"/>
      </tp>
      <tp>
        <v>69.959999999999994</v>
        <stp/>
        <stp>##V3_BDPV12</stp>
        <stp>USSN0720 CMPN Curncy</stp>
        <stp>ASK</stp>
        <stp>[XVLA.xls]Data!R15C14</stp>
        <tr r="N15" s="1"/>
      </tp>
      <tp>
        <v>71.39</v>
        <stp/>
        <stp>##V3_BDPV12</stp>
        <stp>USSN0530 CMPN Curncy</stp>
        <stp>ASK</stp>
        <stp>[XVLA.xls]Data!R13C16</stp>
        <tr r="P13" s="1"/>
      </tp>
      <tp t="s">
        <v>#N/A N/A</v>
        <stp/>
        <stp>##V3_BDPV12</stp>
        <stp>USSN0620 CMPN Curncy</stp>
        <stp>ASK</stp>
        <stp>[XVLA.xls]Data!R14C14</stp>
        <tr r="N14" s="1"/>
      </tp>
      <tp>
        <v>72.39</v>
        <stp/>
        <stp>##V3_BDPV12</stp>
        <stp>USSN0430 CMPN Curncy</stp>
        <stp>ASK</stp>
        <stp>[XVLA.xls]Data!R12C16</stp>
        <tr r="P12" s="1"/>
      </tp>
      <tp>
        <v>68.709999999999994</v>
        <stp/>
        <stp>##V3_BDPV12</stp>
        <stp>USSN0730 CMPN Curncy</stp>
        <stp>ASK</stp>
        <stp>[XVLA.xls]Data!R15C16</stp>
        <tr r="P15" s="1"/>
      </tp>
      <tp>
        <v>72.3</v>
        <stp/>
        <stp>##V3_BDPV12</stp>
        <stp>USSN0520 CMPN Curncy</stp>
        <stp>ASK</stp>
        <stp>[XVLA.xls]Data!R13C14</stp>
        <tr r="N13" s="1"/>
      </tp>
      <tp>
        <v>79.06</v>
        <stp/>
        <stp>##V3_BDPV12</stp>
        <stp>USSN0310 CMPN Curncy</stp>
        <stp>ASK</stp>
        <stp>[XVLA.xls]Data!R11C12</stp>
        <tr r="L11" s="1"/>
      </tp>
      <tp t="s">
        <v>#N/A N/A</v>
        <stp/>
        <stp>##V3_BDPV12</stp>
        <stp>USSN0630 CMPN Curncy</stp>
        <stp>ASK</stp>
        <stp>[XVLA.xls]Data!R14C16</stp>
        <tr r="P14" s="1"/>
      </tp>
      <tp>
        <v>77.87</v>
        <stp/>
        <stp>##V3_BDPV12</stp>
        <stp>USSN0210 CMPN Curncy</stp>
        <stp>ASK</stp>
        <stp>[XVLA.xls]Data!R10C12</stp>
        <tr r="L10" s="1"/>
      </tp>
      <tp>
        <v>73.34</v>
        <stp/>
        <stp>##V3_BDPV12</stp>
        <stp>USSN0420 CMPN Curncy</stp>
        <stp>ASK</stp>
        <stp>[XVLA.xls]Data!R12C14</stp>
        <tr r="N12" s="1"/>
      </tp>
      <tp>
        <v>98.5</v>
        <stp/>
        <stp>##V3_BDPV12</stp>
        <stp>USPE31 ICPL Curncy</stp>
        <stp>ASK</stp>
        <stp>[XVLA.xls]Data!R84C5</stp>
        <tr r="E84" s="1"/>
      </tp>
      <tp>
        <v>200</v>
        <stp/>
        <stp>##V3_BDPV12</stp>
        <stp>USPE32 ICPL Curncy</stp>
        <stp>ASK</stp>
        <stp>[XVLA.xls]Data!R84C6</stp>
        <tr r="F84" s="1"/>
      </tp>
      <tp>
        <v>303</v>
        <stp/>
        <stp>##V3_BDPV12</stp>
        <stp>USPE33 ICPL Curncy</stp>
        <stp>ASK</stp>
        <stp>[XVLA.xls]Data!R84C7</stp>
        <tr r="G84" s="1"/>
      </tp>
      <tp>
        <v>406</v>
        <stp/>
        <stp>##V3_BDPV12</stp>
        <stp>USPE34 ICPL Curncy</stp>
        <stp>ASK</stp>
        <stp>[XVLA.xls]Data!R84C8</stp>
        <tr r="H84" s="1"/>
      </tp>
      <tp>
        <v>511</v>
        <stp/>
        <stp>##V3_BDPV12</stp>
        <stp>USPE35 ICPL Curncy</stp>
        <stp>ASK</stp>
        <stp>[XVLA.xls]Data!R84C9</stp>
        <tr r="I84" s="1"/>
      </tp>
      <tp t="s">
        <v>#N/A Invalid Security</v>
        <stp/>
        <stp>##V3_BDPV12</stp>
        <stp>USPE1015 ICPL Curncy</stp>
        <stp>ASK</stp>
        <stp>[XVLA.xls]Data!R88C15</stp>
        <tr r="O88" s="1"/>
      </tp>
      <tp t="s">
        <v>#N/A Invalid Security</v>
        <stp/>
        <stp>##V3_BDPV12</stp>
        <stp>USPE1025 ICPL Curncy</stp>
        <stp>ASK</stp>
        <stp>[XVLA.xls]Data!R88C17</stp>
        <tr r="Q88" s="1"/>
      </tp>
      <tp t="s">
        <v>#N/A Invalid Security</v>
        <stp/>
        <stp>##V3_BDPV12</stp>
        <stp>USPE1515 ICPL Curncy</stp>
        <stp>ASK</stp>
        <stp>[XVLA.xls]Data!R89C15</stp>
        <tr r="O89" s="1"/>
      </tp>
      <tp t="s">
        <v>#N/A Invalid Security</v>
        <stp/>
        <stp>##V3_BDPV12</stp>
        <stp>USPE1525 ICPL Curncy</stp>
        <stp>ASK</stp>
        <stp>[XVLA.xls]Data!R89C17</stp>
        <tr r="Q89" s="1"/>
      </tp>
      <tp>
        <v>2965</v>
        <stp/>
        <stp>##V3_BDPV12</stp>
        <stp>USPE3015 ICPL Curncy</stp>
        <stp>ASK</stp>
        <stp>[XVLA.xls]Data!R92C15</stp>
        <tr r="O92" s="1"/>
      </tp>
      <tp>
        <v>4486</v>
        <stp/>
        <stp>##V3_BDPV12</stp>
        <stp>USPE3025 ICPL Curncy</stp>
        <stp>ASK</stp>
        <stp>[XVLA.xls]Data!R92C17</stp>
        <tr r="Q92" s="1"/>
      </tp>
      <tp t="s">
        <v>#N/A Invalid Security</v>
        <stp/>
        <stp>##V3_BDPV12</stp>
        <stp>USPE2015 ICPL Curncy</stp>
        <stp>ASK</stp>
        <stp>[XVLA.xls]Data!R90C15</stp>
        <tr r="O90" s="1"/>
      </tp>
      <tp t="s">
        <v>#N/A Invalid Security</v>
        <stp/>
        <stp>##V3_BDPV12</stp>
        <stp>USPE2025 ICPL Curncy</stp>
        <stp>ASK</stp>
        <stp>[XVLA.xls]Data!R90C17</stp>
        <tr r="Q90" s="1"/>
      </tp>
      <tp>
        <v>2763</v>
        <stp/>
        <stp>##V3_BDPV12</stp>
        <stp>USPE2515 ICPL Curncy</stp>
        <stp>ASK</stp>
        <stp>[XVLA.xls]Data!R91C15</stp>
        <tr r="O91" s="1"/>
      </tp>
      <tp>
        <v>4140</v>
        <stp/>
        <stp>##V3_BDPV12</stp>
        <stp>USPE2525 ICPL Curncy</stp>
        <stp>ASK</stp>
        <stp>[XVLA.xls]Data!R91C17</stp>
        <tr r="Q91" s="1"/>
      </tp>
      <tp t="s">
        <v>#N/A Invalid Security</v>
        <stp/>
        <stp>##V3_BDPV12</stp>
        <stp>US BBIR Curncy</stp>
        <stp>PX MID</stp>
        <stp>[XVLA.xls]Data!R70C11</stp>
        <tr r="K70" s="1"/>
      </tp>
      <tp t="s">
        <v>#N/A Invalid Security</v>
        <stp/>
        <stp>##V3_BDPV12</stp>
        <stp>US BBIR Curncy</stp>
        <stp>PX MID</stp>
        <stp>[XVLA.xls]Data!R67C10</stp>
        <tr r="J67" s="1"/>
      </tp>
      <tp t="s">
        <v>#N/A Invalid Security</v>
        <stp/>
        <stp>##V3_BDPV12</stp>
        <stp>US BBIR Curncy</stp>
        <stp>PX MID</stp>
        <stp>[XVLA.xls]Data!R66C10</stp>
        <tr r="J66" s="1"/>
      </tp>
      <tp t="s">
        <v>#N/A Invalid Security</v>
        <stp/>
        <stp>##V3_BDPV12</stp>
        <stp>US BBIR Curncy</stp>
        <stp>PX MID</stp>
        <stp>[XVLA.xls]Data!R69C10</stp>
        <tr r="J69" s="1"/>
      </tp>
      <tp t="s">
        <v>#N/A Invalid Security</v>
        <stp/>
        <stp>##V3_BDPV12</stp>
        <stp>US BBIR Curncy</stp>
        <stp>PX MID</stp>
        <stp>[XVLA.xls]Data!R68C10</stp>
        <tr r="J68" s="1"/>
      </tp>
      <tp t="s">
        <v>#N/A Invalid Security</v>
        <stp/>
        <stp>##V3_BDPV12</stp>
        <stp>US BBIR Curncy</stp>
        <stp>PX MID</stp>
        <stp>[XVLA.xls]Data!R70C10</stp>
        <tr r="J70" s="1"/>
      </tp>
      <tp t="s">
        <v>#N/A Invalid Security</v>
        <stp/>
        <stp>##V3_BDPV12</stp>
        <stp>US BBIR Curncy</stp>
        <stp>PX MID</stp>
        <stp>[XVLA.xls]Data!R67C11</stp>
        <tr r="K67" s="1"/>
      </tp>
      <tp t="s">
        <v>#N/A Invalid Security</v>
        <stp/>
        <stp>##V3_BDPV12</stp>
        <stp>US BBIR Curncy</stp>
        <stp>PX MID</stp>
        <stp>[XVLA.xls]Data!R66C11</stp>
        <tr r="K66" s="1"/>
      </tp>
      <tp t="s">
        <v>#N/A Invalid Security</v>
        <stp/>
        <stp>##V3_BDPV12</stp>
        <stp>US BBIR Curncy</stp>
        <stp>PX MID</stp>
        <stp>[XVLA.xls]Data!R69C11</stp>
        <tr r="K69" s="1"/>
      </tp>
      <tp t="s">
        <v>#N/A Invalid Security</v>
        <stp/>
        <stp>##V3_BDPV12</stp>
        <stp>US BBIR Curncy</stp>
        <stp>PX MID</stp>
        <stp>[XVLA.xls]Data!R68C11</stp>
        <tr r="K68" s="1"/>
      </tp>
      <tp t="s">
        <v>#N/A Invalid Security</v>
        <stp/>
        <stp>##V3_BDPV12</stp>
        <stp>US BBIR Curncy</stp>
        <stp>PX MID</stp>
        <stp>[XVLA.xls]Data!R70C13</stp>
        <tr r="M70" s="1"/>
      </tp>
      <tp t="s">
        <v>#N/A Invalid Security</v>
        <stp/>
        <stp>##V3_BDPV12</stp>
        <stp>US BBIR Curncy</stp>
        <stp>PX MID</stp>
        <stp>[XVLA.xls]Data!R67C12</stp>
        <tr r="L67" s="1"/>
      </tp>
      <tp t="s">
        <v>#N/A Invalid Security</v>
        <stp/>
        <stp>##V3_BDPV12</stp>
        <stp>US BBIR Curncy</stp>
        <stp>PX MID</stp>
        <stp>[XVLA.xls]Data!R66C12</stp>
        <tr r="L66" s="1"/>
      </tp>
      <tp t="s">
        <v>#N/A Invalid Security</v>
        <stp/>
        <stp>##V3_BDPV12</stp>
        <stp>US BBIR Curncy</stp>
        <stp>PX MID</stp>
        <stp>[XVLA.xls]Data!R69C12</stp>
        <tr r="L69" s="1"/>
      </tp>
      <tp t="s">
        <v>#N/A Invalid Security</v>
        <stp/>
        <stp>##V3_BDPV12</stp>
        <stp>US BBIR Curncy</stp>
        <stp>PX MID</stp>
        <stp>[XVLA.xls]Data!R68C12</stp>
        <tr r="L68" s="1"/>
      </tp>
      <tp t="s">
        <v>#N/A Invalid Security</v>
        <stp/>
        <stp>##V3_BDPV12</stp>
        <stp>US BBIR Curncy</stp>
        <stp>PX MID</stp>
        <stp>[XVLA.xls]Data!R70C12</stp>
        <tr r="L70" s="1"/>
      </tp>
      <tp t="s">
        <v>#N/A Invalid Security</v>
        <stp/>
        <stp>##V3_BDPV12</stp>
        <stp>US BBIR Curncy</stp>
        <stp>PX MID</stp>
        <stp>[XVLA.xls]Data!R67C13</stp>
        <tr r="M67" s="1"/>
      </tp>
      <tp t="s">
        <v>#N/A Invalid Security</v>
        <stp/>
        <stp>##V3_BDPV12</stp>
        <stp>US BBIR Curncy</stp>
        <stp>PX MID</stp>
        <stp>[XVLA.xls]Data!R66C13</stp>
        <tr r="M66" s="1"/>
      </tp>
      <tp t="s">
        <v>#N/A Invalid Security</v>
        <stp/>
        <stp>##V3_BDPV12</stp>
        <stp>US BBIR Curncy</stp>
        <stp>PX MID</stp>
        <stp>[XVLA.xls]Data!R69C13</stp>
        <tr r="M69" s="1"/>
      </tp>
      <tp t="s">
        <v>#N/A Invalid Security</v>
        <stp/>
        <stp>##V3_BDPV12</stp>
        <stp>US BBIR Curncy</stp>
        <stp>PX MID</stp>
        <stp>[XVLA.xls]Data!R68C13</stp>
        <tr r="M68" s="1"/>
      </tp>
      <tp t="s">
        <v>#N/A Invalid Security</v>
        <stp/>
        <stp>##V3_BDPV12</stp>
        <stp>US BBIR Curncy</stp>
        <stp>PX MID</stp>
        <stp>[XVLA.xls]Data!R70C15</stp>
        <tr r="O70" s="1"/>
      </tp>
      <tp t="s">
        <v>#N/A Invalid Security</v>
        <stp/>
        <stp>##V3_BDPV12</stp>
        <stp>US BBIR Curncy</stp>
        <stp>PX MID</stp>
        <stp>[XVLA.xls]Data!R67C14</stp>
        <tr r="N67" s="1"/>
      </tp>
      <tp t="s">
        <v>#N/A Invalid Security</v>
        <stp/>
        <stp>##V3_BDPV12</stp>
        <stp>US BBIR Curncy</stp>
        <stp>PX MID</stp>
        <stp>[XVLA.xls]Data!R66C14</stp>
        <tr r="N66" s="1"/>
      </tp>
      <tp t="s">
        <v>#N/A Invalid Security</v>
        <stp/>
        <stp>##V3_BDPV12</stp>
        <stp>US BBIR Curncy</stp>
        <stp>PX MID</stp>
        <stp>[XVLA.xls]Data!R69C14</stp>
        <tr r="N69" s="1"/>
      </tp>
      <tp t="s">
        <v>#N/A Invalid Security</v>
        <stp/>
        <stp>##V3_BDPV12</stp>
        <stp>US BBIR Curncy</stp>
        <stp>PX MID</stp>
        <stp>[XVLA.xls]Data!R68C14</stp>
        <tr r="N68" s="1"/>
      </tp>
      <tp t="s">
        <v>#N/A Invalid Security</v>
        <stp/>
        <stp>##V3_BDPV12</stp>
        <stp>US BBIR Curncy</stp>
        <stp>PX MID</stp>
        <stp>[XVLA.xls]Data!R70C14</stp>
        <tr r="N70" s="1"/>
      </tp>
      <tp t="s">
        <v>#N/A Invalid Security</v>
        <stp/>
        <stp>##V3_BDPV12</stp>
        <stp>US BBIR Curncy</stp>
        <stp>PX MID</stp>
        <stp>[XVLA.xls]Data!R67C15</stp>
        <tr r="O67" s="1"/>
      </tp>
      <tp t="s">
        <v>#N/A Invalid Security</v>
        <stp/>
        <stp>##V3_BDPV12</stp>
        <stp>US BBIR Curncy</stp>
        <stp>PX MID</stp>
        <stp>[XVLA.xls]Data!R66C15</stp>
        <tr r="O66" s="1"/>
      </tp>
      <tp t="s">
        <v>#N/A Invalid Security</v>
        <stp/>
        <stp>##V3_BDPV12</stp>
        <stp>US BBIR Curncy</stp>
        <stp>PX MID</stp>
        <stp>[XVLA.xls]Data!R69C15</stp>
        <tr r="O69" s="1"/>
      </tp>
      <tp t="s">
        <v>#N/A Invalid Security</v>
        <stp/>
        <stp>##V3_BDPV12</stp>
        <stp>US BBIR Curncy</stp>
        <stp>PX MID</stp>
        <stp>[XVLA.xls]Data!R68C15</stp>
        <tr r="O68" s="1"/>
      </tp>
      <tp t="s">
        <v>#N/A Invalid Security</v>
        <stp/>
        <stp>##V3_BDPV12</stp>
        <stp>US BBIR Curncy</stp>
        <stp>PX MID</stp>
        <stp>[XVLA.xls]Data!R70C17</stp>
        <tr r="Q70" s="1"/>
      </tp>
      <tp t="s">
        <v>#N/A Invalid Security</v>
        <stp/>
        <stp>##V3_BDPV12</stp>
        <stp>US BBIR Curncy</stp>
        <stp>PX MID</stp>
        <stp>[XVLA.xls]Data!R67C16</stp>
        <tr r="P67" s="1"/>
      </tp>
      <tp t="s">
        <v>#N/A Invalid Security</v>
        <stp/>
        <stp>##V3_BDPV12</stp>
        <stp>US BBIR Curncy</stp>
        <stp>PX MID</stp>
        <stp>[XVLA.xls]Data!R66C16</stp>
        <tr r="P66" s="1"/>
      </tp>
      <tp t="s">
        <v>#N/A Invalid Security</v>
        <stp/>
        <stp>##V3_BDPV12</stp>
        <stp>US BBIR Curncy</stp>
        <stp>PX MID</stp>
        <stp>[XVLA.xls]Data!R69C16</stp>
        <tr r="P69" s="1"/>
      </tp>
      <tp t="s">
        <v>#N/A Invalid Security</v>
        <stp/>
        <stp>##V3_BDPV12</stp>
        <stp>US BBIR Curncy</stp>
        <stp>PX MID</stp>
        <stp>[XVLA.xls]Data!R68C16</stp>
        <tr r="P68" s="1"/>
      </tp>
      <tp t="s">
        <v>#N/A Invalid Security</v>
        <stp/>
        <stp>##V3_BDPV12</stp>
        <stp>US BBIR Curncy</stp>
        <stp>PX MID</stp>
        <stp>[XVLA.xls]Data!R70C16</stp>
        <tr r="P70" s="1"/>
      </tp>
      <tp t="s">
        <v>#N/A Invalid Security</v>
        <stp/>
        <stp>##V3_BDPV12</stp>
        <stp>US BBIR Curncy</stp>
        <stp>PX MID</stp>
        <stp>[XVLA.xls]Data!R67C17</stp>
        <tr r="Q67" s="1"/>
      </tp>
      <tp t="s">
        <v>#N/A Invalid Security</v>
        <stp/>
        <stp>##V3_BDPV12</stp>
        <stp>US BBIR Curncy</stp>
        <stp>PX MID</stp>
        <stp>[XVLA.xls]Data!R66C17</stp>
        <tr r="Q66" s="1"/>
      </tp>
      <tp t="s">
        <v>#N/A Invalid Security</v>
        <stp/>
        <stp>##V3_BDPV12</stp>
        <stp>US BBIR Curncy</stp>
        <stp>PX MID</stp>
        <stp>[XVLA.xls]Data!R69C17</stp>
        <tr r="Q69" s="1"/>
      </tp>
      <tp t="s">
        <v>#N/A Invalid Security</v>
        <stp/>
        <stp>##V3_BDPV12</stp>
        <stp>US BBIR Curncy</stp>
        <stp>PX MID</stp>
        <stp>[XVLA.xls]Data!R68C17</stp>
        <tr r="Q68" s="1"/>
      </tp>
      <tp t="s">
        <v>#N/A Invalid Security</v>
        <stp/>
        <stp>##V3_BDPV12</stp>
        <stp>US BBIR Curncy</stp>
        <stp>PX MID</stp>
        <stp>[XVLA.xls]Data!R70C19</stp>
        <tr r="S70" s="1"/>
      </tp>
      <tp t="s">
        <v>#N/A Invalid Security</v>
        <stp/>
        <stp>##V3_BDPV12</stp>
        <stp>US BBIR Curncy</stp>
        <stp>PX MID</stp>
        <stp>[XVLA.xls]Data!R67C18</stp>
        <tr r="R67" s="1"/>
      </tp>
      <tp t="s">
        <v>#N/A Invalid Security</v>
        <stp/>
        <stp>##V3_BDPV12</stp>
        <stp>US BBIR Curncy</stp>
        <stp>PX MID</stp>
        <stp>[XVLA.xls]Data!R66C18</stp>
        <tr r="R66" s="1"/>
      </tp>
      <tp t="s">
        <v>#N/A Invalid Security</v>
        <stp/>
        <stp>##V3_BDPV12</stp>
        <stp>US BBIR Curncy</stp>
        <stp>PX MID</stp>
        <stp>[XVLA.xls]Data!R69C18</stp>
        <tr r="R69" s="1"/>
      </tp>
      <tp t="s">
        <v>#N/A Invalid Security</v>
        <stp/>
        <stp>##V3_BDPV12</stp>
        <stp>US BBIR Curncy</stp>
        <stp>PX MID</stp>
        <stp>[XVLA.xls]Data!R68C18</stp>
        <tr r="R68" s="1"/>
      </tp>
      <tp t="s">
        <v>#N/A Invalid Security</v>
        <stp/>
        <stp>##V3_BDPV12</stp>
        <stp>US BBIR Curncy</stp>
        <stp>PX MID</stp>
        <stp>[XVLA.xls]Data!R61C19</stp>
        <tr r="S61" s="1"/>
      </tp>
      <tp t="s">
        <v>#N/A Invalid Security</v>
        <stp/>
        <stp>##V3_BDPV12</stp>
        <stp>US BBIR Curncy</stp>
        <stp>PX MID</stp>
        <stp>[XVLA.xls]Data!R60C19</stp>
        <tr r="S60" s="1"/>
      </tp>
      <tp t="s">
        <v>#N/A Invalid Security</v>
        <stp/>
        <stp>##V3_BDPV12</stp>
        <stp>US BBIR Curncy</stp>
        <stp>PX MID</stp>
        <stp>[XVLA.xls]Data!R70C18</stp>
        <tr r="R70" s="1"/>
      </tp>
      <tp t="s">
        <v>#N/A Invalid Security</v>
        <stp/>
        <stp>##V3_BDPV12</stp>
        <stp>US BBIR Curncy</stp>
        <stp>PX MID</stp>
        <stp>[XVLA.xls]Data!R63C19</stp>
        <tr r="S63" s="1"/>
      </tp>
      <tp t="s">
        <v>#N/A Invalid Security</v>
        <stp/>
        <stp>##V3_BDPV12</stp>
        <stp>US BBIR Curncy</stp>
        <stp>PX MID</stp>
        <stp>[XVLA.xls]Data!R62C19</stp>
        <tr r="S62" s="1"/>
      </tp>
      <tp t="s">
        <v>#N/A Invalid Security</v>
        <stp/>
        <stp>##V3_BDPV12</stp>
        <stp>US BBIR Curncy</stp>
        <stp>PX MID</stp>
        <stp>[XVLA.xls]Data!R65C19</stp>
        <tr r="S65" s="1"/>
      </tp>
      <tp t="s">
        <v>#N/A Invalid Security</v>
        <stp/>
        <stp>##V3_BDPV12</stp>
        <stp>US BBIR Curncy</stp>
        <stp>PX MID</stp>
        <stp>[XVLA.xls]Data!R64C19</stp>
        <tr r="S64" s="1"/>
      </tp>
      <tp t="s">
        <v>#N/A Invalid Security</v>
        <stp/>
        <stp>##V3_BDPV12</stp>
        <stp>US BBIR Curncy</stp>
        <stp>PX MID</stp>
        <stp>[XVLA.xls]Data!R67C19</stp>
        <tr r="S67" s="1"/>
      </tp>
      <tp t="s">
        <v>#N/A Invalid Security</v>
        <stp/>
        <stp>##V3_BDPV12</stp>
        <stp>US BBIR Curncy</stp>
        <stp>PX MID</stp>
        <stp>[XVLA.xls]Data!R66C19</stp>
        <tr r="S66" s="1"/>
      </tp>
      <tp t="s">
        <v>#N/A Invalid Security</v>
        <stp/>
        <stp>##V3_BDPV12</stp>
        <stp>US BBIR Curncy</stp>
        <stp>PX MID</stp>
        <stp>[XVLA.xls]Data!R69C19</stp>
        <tr r="S69" s="1"/>
      </tp>
      <tp t="s">
        <v>#N/A Invalid Security</v>
        <stp/>
        <stp>##V3_BDPV12</stp>
        <stp>US BBIR Curncy</stp>
        <stp>PX MID</stp>
        <stp>[XVLA.xls]Data!R68C19</stp>
        <tr r="S68" s="1"/>
      </tp>
      <tp t="s">
        <v>#N/A Invalid Security</v>
        <stp/>
        <stp>##V3_BDPV12</stp>
        <stp>US BBIR Curncy</stp>
        <stp>PX MID</stp>
        <stp>[XVLA.xls]Data!R53C19</stp>
        <tr r="S53" s="1"/>
      </tp>
      <tp t="s">
        <v>#N/A Invalid Security</v>
        <stp/>
        <stp>##V3_BDPV12</stp>
        <stp>US BBIR Curncy</stp>
        <stp>PX MID</stp>
        <stp>[XVLA.xls]Data!R52C19</stp>
        <tr r="S52" s="1"/>
      </tp>
      <tp t="s">
        <v>#N/A Invalid Security</v>
        <stp/>
        <stp>##V3_BDPV12</stp>
        <stp>US BBIR Curncy</stp>
        <stp>PX MID</stp>
        <stp>[XVLA.xls]Data!R55C19</stp>
        <tr r="S55" s="1"/>
      </tp>
      <tp t="s">
        <v>#N/A Invalid Security</v>
        <stp/>
        <stp>##V3_BDPV12</stp>
        <stp>US BBIR Curncy</stp>
        <stp>PX MID</stp>
        <stp>[XVLA.xls]Data!R54C19</stp>
        <tr r="S54" s="1"/>
      </tp>
      <tp t="s">
        <v>#N/A Invalid Security</v>
        <stp/>
        <stp>##V3_BDPV12</stp>
        <stp>US BBIR Curncy</stp>
        <stp>PX MID</stp>
        <stp>[XVLA.xls]Data!R57C19</stp>
        <tr r="S57" s="1"/>
      </tp>
      <tp t="s">
        <v>#N/A Invalid Security</v>
        <stp/>
        <stp>##V3_BDPV12</stp>
        <stp>US BBIR Curncy</stp>
        <stp>PX MID</stp>
        <stp>[XVLA.xls]Data!R56C19</stp>
        <tr r="S56" s="1"/>
      </tp>
      <tp t="s">
        <v>#N/A Invalid Security</v>
        <stp/>
        <stp>##V3_BDPV12</stp>
        <stp>US BBIR Curncy</stp>
        <stp>PX MID</stp>
        <stp>[XVLA.xls]Data!R59C19</stp>
        <tr r="S59" s="1"/>
      </tp>
      <tp t="s">
        <v>#N/A Invalid Security</v>
        <stp/>
        <stp>##V3_BDPV12</stp>
        <stp>US BBIR Curncy</stp>
        <stp>PX MID</stp>
        <stp>[XVLA.xls]Data!R58C19</stp>
        <tr r="S58" s="1"/>
      </tp>
      <tp t="s">
        <v>#N/A Invalid Security</v>
        <stp/>
        <stp>##V3_BDPV12</stp>
        <stp>US BBIR Curncy</stp>
        <stp>PX MID</stp>
        <stp>[XVLA.xls]Data!R35C27</stp>
        <tr r="AA35" s="1"/>
      </tp>
      <tp t="s">
        <v>#N/A Invalid Security</v>
        <stp/>
        <stp>##V3_BDPV12</stp>
        <stp>US BBIR Curncy</stp>
        <stp>PX MID</stp>
        <stp>[XVLA.xls]Data!R34C27</stp>
        <tr r="AA34" s="1"/>
      </tp>
      <tp t="s">
        <v>#N/A Invalid Security</v>
        <stp/>
        <stp>##V3_BDPV12</stp>
        <stp>US BBIR Curncy</stp>
        <stp>PX MID</stp>
        <stp>[XVLA.xls]Data!R37C27</stp>
        <tr r="AA37" s="1"/>
      </tp>
      <tp t="s">
        <v>#N/A Invalid Security</v>
        <stp/>
        <stp>##V3_BDPV12</stp>
        <stp>US BBIR Curncy</stp>
        <stp>PX MID</stp>
        <stp>[XVLA.xls]Data!R36C27</stp>
        <tr r="AA36" s="1"/>
      </tp>
      <tp t="s">
        <v>#N/A Invalid Security</v>
        <stp/>
        <stp>##V3_BDPV12</stp>
        <stp>US BBIR Curncy</stp>
        <stp>PX MID</stp>
        <stp>[XVLA.xls]Data!R39C27</stp>
        <tr r="AA39" s="1"/>
      </tp>
      <tp t="s">
        <v>#N/A Invalid Security</v>
        <stp/>
        <stp>##V3_BDPV12</stp>
        <stp>US BBIR Curncy</stp>
        <stp>PX MID</stp>
        <stp>[XVLA.xls]Data!R38C27</stp>
        <tr r="AA38" s="1"/>
      </tp>
      <tp t="s">
        <v>#N/A Invalid Security</v>
        <stp/>
        <stp>##V3_BDPV12</stp>
        <stp>US BBIR Curncy</stp>
        <stp>PX MID</stp>
        <stp>[XVLA.xls]Data!R41C27</stp>
        <tr r="AA41" s="1"/>
      </tp>
      <tp t="s">
        <v>#N/A Invalid Security</v>
        <stp/>
        <stp>##V3_BDPV12</stp>
        <stp>US BBIR Curncy</stp>
        <stp>PX MID</stp>
        <stp>[XVLA.xls]Data!R40C27</stp>
        <tr r="AA40" s="1"/>
      </tp>
      <tp t="s">
        <v>#N/A Invalid Security</v>
        <stp/>
        <stp>##V3_BDPV12</stp>
        <stp>US BBIR Curncy</stp>
        <stp>PX MID</stp>
        <stp>[XVLA.xls]Data!R43C27</stp>
        <tr r="AA43" s="1"/>
      </tp>
      <tp t="s">
        <v>#N/A Invalid Security</v>
        <stp/>
        <stp>##V3_BDPV12</stp>
        <stp>US BBIR Curncy</stp>
        <stp>PX MID</stp>
        <stp>[XVLA.xls]Data!R42C27</stp>
        <tr r="AA42" s="1"/>
      </tp>
      <tp t="s">
        <v>#N/A Invalid Security</v>
        <stp/>
        <stp>##V3_BDPV12</stp>
        <stp>US BBIR Curncy</stp>
        <stp>PX MID</stp>
        <stp>[XVLA.xls]Data!R45C27</stp>
        <tr r="AA45" s="1"/>
      </tp>
      <tp t="s">
        <v>#N/A Invalid Security</v>
        <stp/>
        <stp>##V3_BDPV12</stp>
        <stp>US BBIR Curncy</stp>
        <stp>PX MID</stp>
        <stp>[XVLA.xls]Data!R44C27</stp>
        <tr r="AA44" s="1"/>
      </tp>
      <tp t="s">
        <v>#N/A Invalid Security</v>
        <stp/>
        <stp>##V3_BDPV12</stp>
        <stp>US BBIR Curncy</stp>
        <stp>PX MID</stp>
        <stp>[XVLA.xls]Data!R47C27</stp>
        <tr r="AA47" s="1"/>
      </tp>
      <tp t="s">
        <v>#N/A Invalid Security</v>
        <stp/>
        <stp>##V3_BDPV12</stp>
        <stp>US BBIR Curncy</stp>
        <stp>PX MID</stp>
        <stp>[XVLA.xls]Data!R46C27</stp>
        <tr r="AA46" s="1"/>
      </tp>
      <tp t="s">
        <v>#N/A Invalid Security</v>
        <stp/>
        <stp>##V3_BDPV12</stp>
        <stp>US BBIR Curncy</stp>
        <stp>PX MID</stp>
        <stp>[XVLA.xls]Data!R48C27</stp>
        <tr r="AA48" s="1"/>
      </tp>
      <tp t="s">
        <v>#N/A Invalid Security</v>
        <stp/>
        <stp>##V3_BDPV12</stp>
        <stp>US BBIR Curncy</stp>
        <stp>PX MID</stp>
        <stp>[XVLA.xls]Data!R41C28</stp>
        <tr r="AB41" s="1"/>
      </tp>
      <tp t="s">
        <v>#N/A Invalid Security</v>
        <stp/>
        <stp>##V3_BDPV12</stp>
        <stp>US BBIR Curncy</stp>
        <stp>PX MID</stp>
        <stp>[XVLA.xls]Data!R40C28</stp>
        <tr r="AB40" s="1"/>
      </tp>
      <tp t="s">
        <v>#N/A Invalid Security</v>
        <stp/>
        <stp>##V3_BDPV12</stp>
        <stp>US BBIR Curncy</stp>
        <stp>PX MID</stp>
        <stp>[XVLA.xls]Data!R43C28</stp>
        <tr r="AB43" s="1"/>
      </tp>
      <tp t="s">
        <v>#N/A Invalid Security</v>
        <stp/>
        <stp>##V3_BDPV12</stp>
        <stp>US BBIR Curncy</stp>
        <stp>PX MID</stp>
        <stp>[XVLA.xls]Data!R42C28</stp>
        <tr r="AB42" s="1"/>
      </tp>
      <tp t="s">
        <v>#N/A Invalid Security</v>
        <stp/>
        <stp>##V3_BDPV12</stp>
        <stp>US BBIR Curncy</stp>
        <stp>PX MID</stp>
        <stp>[XVLA.xls]Data!R45C28</stp>
        <tr r="AB45" s="1"/>
      </tp>
      <tp t="s">
        <v>#N/A Invalid Security</v>
        <stp/>
        <stp>##V3_BDPV12</stp>
        <stp>US BBIR Curncy</stp>
        <stp>PX MID</stp>
        <stp>[XVLA.xls]Data!R44C28</stp>
        <tr r="AB44" s="1"/>
      </tp>
      <tp t="s">
        <v>#N/A Invalid Security</v>
        <stp/>
        <stp>##V3_BDPV12</stp>
        <stp>US BBIR Curncy</stp>
        <stp>PX MID</stp>
        <stp>[XVLA.xls]Data!R47C28</stp>
        <tr r="AB47" s="1"/>
      </tp>
      <tp t="s">
        <v>#N/A Invalid Security</v>
        <stp/>
        <stp>##V3_BDPV12</stp>
        <stp>US BBIR Curncy</stp>
        <stp>PX MID</stp>
        <stp>[XVLA.xls]Data!R46C28</stp>
        <tr r="AB46" s="1"/>
      </tp>
      <tp t="s">
        <v>#N/A Invalid Security</v>
        <stp/>
        <stp>##V3_BDPV12</stp>
        <stp>US BBIR Curncy</stp>
        <stp>PX MID</stp>
        <stp>[XVLA.xls]Data!R48C28</stp>
        <tr r="AB48" s="1"/>
      </tp>
      <tp t="s">
        <v>#N/A Invalid Security</v>
        <stp/>
        <stp>##V3_BDPV12</stp>
        <stp>US BBIR Curncy</stp>
        <stp>PX MID</stp>
        <stp>[XVLA.xls]Data!R41C29</stp>
        <tr r="AC41" s="1"/>
      </tp>
      <tp t="s">
        <v>#N/A Invalid Security</v>
        <stp/>
        <stp>##V3_BDPV12</stp>
        <stp>US BBIR Curncy</stp>
        <stp>PX MID</stp>
        <stp>[XVLA.xls]Data!R40C29</stp>
        <tr r="AC40" s="1"/>
      </tp>
      <tp t="s">
        <v>#N/A Invalid Security</v>
        <stp/>
        <stp>##V3_BDPV12</stp>
        <stp>US BBIR Curncy</stp>
        <stp>PX MID</stp>
        <stp>[XVLA.xls]Data!R43C29</stp>
        <tr r="AC43" s="1"/>
      </tp>
      <tp t="s">
        <v>#N/A Invalid Security</v>
        <stp/>
        <stp>##V3_BDPV12</stp>
        <stp>US BBIR Curncy</stp>
        <stp>PX MID</stp>
        <stp>[XVLA.xls]Data!R42C29</stp>
        <tr r="AC42" s="1"/>
      </tp>
      <tp t="s">
        <v>#N/A Invalid Security</v>
        <stp/>
        <stp>##V3_BDPV12</stp>
        <stp>US BBIR Curncy</stp>
        <stp>PX MID</stp>
        <stp>[XVLA.xls]Data!R45C29</stp>
        <tr r="AC45" s="1"/>
      </tp>
      <tp t="s">
        <v>#N/A Invalid Security</v>
        <stp/>
        <stp>##V3_BDPV12</stp>
        <stp>US BBIR Curncy</stp>
        <stp>PX MID</stp>
        <stp>[XVLA.xls]Data!R44C29</stp>
        <tr r="AC44" s="1"/>
      </tp>
      <tp t="s">
        <v>#N/A Invalid Security</v>
        <stp/>
        <stp>##V3_BDPV12</stp>
        <stp>US BBIR Curncy</stp>
        <stp>PX MID</stp>
        <stp>[XVLA.xls]Data!R47C29</stp>
        <tr r="AC47" s="1"/>
      </tp>
      <tp t="s">
        <v>#N/A Invalid Security</v>
        <stp/>
        <stp>##V3_BDPV12</stp>
        <stp>US BBIR Curncy</stp>
        <stp>PX MID</stp>
        <stp>[XVLA.xls]Data!R46C29</stp>
        <tr r="AC46" s="1"/>
      </tp>
      <tp t="s">
        <v>#N/A Invalid Security</v>
        <stp/>
        <stp>##V3_BDPV12</stp>
        <stp>US BBIR Curncy</stp>
        <stp>PX MID</stp>
        <stp>[XVLA.xls]Data!R48C29</stp>
        <tr r="AC48" s="1"/>
      </tp>
      <tp t="s">
        <v>#N/A Invalid Security</v>
        <stp/>
        <stp>##V3_BDPV12</stp>
        <stp>US BBIR Curncy</stp>
        <stp>PX MID</stp>
        <stp>[XVLA.xls]Data!R35C29</stp>
        <tr r="AC35" s="1"/>
      </tp>
      <tp t="s">
        <v>#N/A Invalid Security</v>
        <stp/>
        <stp>##V3_BDPV12</stp>
        <stp>US BBIR Curncy</stp>
        <stp>PX MID</stp>
        <stp>[XVLA.xls]Data!R34C29</stp>
        <tr r="AC34" s="1"/>
      </tp>
      <tp t="s">
        <v>#N/A Invalid Security</v>
        <stp/>
        <stp>##V3_BDPV12</stp>
        <stp>US BBIR Curncy</stp>
        <stp>PX MID</stp>
        <stp>[XVLA.xls]Data!R37C29</stp>
        <tr r="AC37" s="1"/>
      </tp>
      <tp t="s">
        <v>#N/A Invalid Security</v>
        <stp/>
        <stp>##V3_BDPV12</stp>
        <stp>US BBIR Curncy</stp>
        <stp>PX MID</stp>
        <stp>[XVLA.xls]Data!R36C29</stp>
        <tr r="AC36" s="1"/>
      </tp>
      <tp t="s">
        <v>#N/A Invalid Security</v>
        <stp/>
        <stp>##V3_BDPV12</stp>
        <stp>US BBIR Curncy</stp>
        <stp>PX MID</stp>
        <stp>[XVLA.xls]Data!R39C29</stp>
        <tr r="AC39" s="1"/>
      </tp>
      <tp t="s">
        <v>#N/A Invalid Security</v>
        <stp/>
        <stp>##V3_BDPV12</stp>
        <stp>US BBIR Curncy</stp>
        <stp>PX MID</stp>
        <stp>[XVLA.xls]Data!R38C29</stp>
        <tr r="AC38" s="1"/>
      </tp>
      <tp t="s">
        <v>#N/A Invalid Security</v>
        <stp/>
        <stp>##V3_BDPV12</stp>
        <stp>US BBIR Curncy</stp>
        <stp>PX MID</stp>
        <stp>[XVLA.xls]Data!R35C28</stp>
        <tr r="AB35" s="1"/>
      </tp>
      <tp t="s">
        <v>#N/A Invalid Security</v>
        <stp/>
        <stp>##V3_BDPV12</stp>
        <stp>US BBIR Curncy</stp>
        <stp>PX MID</stp>
        <stp>[XVLA.xls]Data!R34C28</stp>
        <tr r="AB34" s="1"/>
      </tp>
      <tp t="s">
        <v>#N/A Invalid Security</v>
        <stp/>
        <stp>##V3_BDPV12</stp>
        <stp>US BBIR Curncy</stp>
        <stp>PX MID</stp>
        <stp>[XVLA.xls]Data!R37C28</stp>
        <tr r="AB37" s="1"/>
      </tp>
      <tp t="s">
        <v>#N/A Invalid Security</v>
        <stp/>
        <stp>##V3_BDPV12</stp>
        <stp>US BBIR Curncy</stp>
        <stp>PX MID</stp>
        <stp>[XVLA.xls]Data!R36C28</stp>
        <tr r="AB36" s="1"/>
      </tp>
      <tp t="s">
        <v>#N/A Invalid Security</v>
        <stp/>
        <stp>##V3_BDPV12</stp>
        <stp>US BBIR Curncy</stp>
        <stp>PX MID</stp>
        <stp>[XVLA.xls]Data!R39C28</stp>
        <tr r="AB39" s="1"/>
      </tp>
      <tp t="s">
        <v>#N/A Invalid Security</v>
        <stp/>
        <stp>##V3_BDPV12</stp>
        <stp>US BBIR Curncy</stp>
        <stp>PX MID</stp>
        <stp>[XVLA.xls]Data!R38C28</stp>
        <tr r="AB38" s="1"/>
      </tp>
      <tp t="s">
        <v>#N/A Invalid Security</v>
        <stp/>
        <stp>##V3_BDPV12</stp>
        <stp>US BBIR Curncy</stp>
        <stp>PX MID</stp>
        <stp>[XVLA.xls]Data!R41C32</stp>
        <tr r="AF41" s="1"/>
      </tp>
      <tp t="s">
        <v>#N/A Invalid Security</v>
        <stp/>
        <stp>##V3_BDPV12</stp>
        <stp>US BBIR Curncy</stp>
        <stp>PX MID</stp>
        <stp>[XVLA.xls]Data!R40C32</stp>
        <tr r="AF40" s="1"/>
      </tp>
      <tp t="s">
        <v>#N/A Invalid Security</v>
        <stp/>
        <stp>##V3_BDPV12</stp>
        <stp>US BBIR Curncy</stp>
        <stp>PX MID</stp>
        <stp>[XVLA.xls]Data!R43C32</stp>
        <tr r="AF43" s="1"/>
      </tp>
      <tp t="s">
        <v>#N/A Invalid Security</v>
        <stp/>
        <stp>##V3_BDPV12</stp>
        <stp>US BBIR Curncy</stp>
        <stp>PX MID</stp>
        <stp>[XVLA.xls]Data!R42C32</stp>
        <tr r="AF42" s="1"/>
      </tp>
      <tp t="s">
        <v>#N/A Invalid Security</v>
        <stp/>
        <stp>##V3_BDPV12</stp>
        <stp>US BBIR Curncy</stp>
        <stp>PX MID</stp>
        <stp>[XVLA.xls]Data!R45C32</stp>
        <tr r="AF45" s="1"/>
      </tp>
      <tp t="s">
        <v>#N/A Invalid Security</v>
        <stp/>
        <stp>##V3_BDPV12</stp>
        <stp>US BBIR Curncy</stp>
        <stp>PX MID</stp>
        <stp>[XVLA.xls]Data!R44C32</stp>
        <tr r="AF44" s="1"/>
      </tp>
      <tp t="s">
        <v>#N/A Invalid Security</v>
        <stp/>
        <stp>##V3_BDPV12</stp>
        <stp>US BBIR Curncy</stp>
        <stp>PX MID</stp>
        <stp>[XVLA.xls]Data!R47C32</stp>
        <tr r="AF47" s="1"/>
      </tp>
      <tp t="s">
        <v>#N/A Invalid Security</v>
        <stp/>
        <stp>##V3_BDPV12</stp>
        <stp>US BBIR Curncy</stp>
        <stp>PX MID</stp>
        <stp>[XVLA.xls]Data!R46C32</stp>
        <tr r="AF46" s="1"/>
      </tp>
      <tp t="s">
        <v>#N/A Invalid Security</v>
        <stp/>
        <stp>##V3_BDPV12</stp>
        <stp>US BBIR Curncy</stp>
        <stp>PX MID</stp>
        <stp>[XVLA.xls]Data!R48C32</stp>
        <tr r="AF48" s="1"/>
      </tp>
      <tp t="s">
        <v>#N/A Invalid Security</v>
        <stp/>
        <stp>##V3_BDPV12</stp>
        <stp>US BBIR Curncy</stp>
        <stp>PX MID</stp>
        <stp>[XVLA.xls]Data!R41C33</stp>
        <tr r="AG41" s="1"/>
      </tp>
      <tp t="s">
        <v>#N/A Invalid Security</v>
        <stp/>
        <stp>##V3_BDPV12</stp>
        <stp>US BBIR Curncy</stp>
        <stp>PX MID</stp>
        <stp>[XVLA.xls]Data!R40C33</stp>
        <tr r="AG40" s="1"/>
      </tp>
      <tp t="s">
        <v>#N/A Invalid Security</v>
        <stp/>
        <stp>##V3_BDPV12</stp>
        <stp>US BBIR Curncy</stp>
        <stp>PX MID</stp>
        <stp>[XVLA.xls]Data!R43C33</stp>
        <tr r="AG43" s="1"/>
      </tp>
      <tp t="s">
        <v>#N/A Invalid Security</v>
        <stp/>
        <stp>##V3_BDPV12</stp>
        <stp>US BBIR Curncy</stp>
        <stp>PX MID</stp>
        <stp>[XVLA.xls]Data!R42C33</stp>
        <tr r="AG42" s="1"/>
      </tp>
      <tp t="s">
        <v>#N/A Invalid Security</v>
        <stp/>
        <stp>##V3_BDPV12</stp>
        <stp>US BBIR Curncy</stp>
        <stp>PX MID</stp>
        <stp>[XVLA.xls]Data!R35C34</stp>
        <tr r="AH35" s="1"/>
      </tp>
      <tp t="s">
        <v>#N/A Invalid Security</v>
        <stp/>
        <stp>##V3_BDPV12</stp>
        <stp>US BBIR Curncy</stp>
        <stp>PX MID</stp>
        <stp>[XVLA.xls]Data!R45C33</stp>
        <tr r="AG45" s="1"/>
      </tp>
      <tp t="s">
        <v>#N/A Invalid Security</v>
        <stp/>
        <stp>##V3_BDPV12</stp>
        <stp>US BBIR Curncy</stp>
        <stp>PX MID</stp>
        <stp>[XVLA.xls]Data!R34C34</stp>
        <tr r="AH34" s="1"/>
      </tp>
      <tp t="s">
        <v>#N/A Invalid Security</v>
        <stp/>
        <stp>##V3_BDPV12</stp>
        <stp>US BBIR Curncy</stp>
        <stp>PX MID</stp>
        <stp>[XVLA.xls]Data!R44C33</stp>
        <tr r="AG44" s="1"/>
      </tp>
      <tp t="s">
        <v>#N/A Invalid Security</v>
        <stp/>
        <stp>##V3_BDPV12</stp>
        <stp>US BBIR Curncy</stp>
        <stp>PX MID</stp>
        <stp>[XVLA.xls]Data!R37C34</stp>
        <tr r="AH37" s="1"/>
      </tp>
      <tp t="s">
        <v>#N/A Invalid Security</v>
        <stp/>
        <stp>##V3_BDPV12</stp>
        <stp>US BBIR Curncy</stp>
        <stp>PX MID</stp>
        <stp>[XVLA.xls]Data!R47C33</stp>
        <tr r="AG47" s="1"/>
      </tp>
      <tp t="s">
        <v>#N/A Invalid Security</v>
        <stp/>
        <stp>##V3_BDPV12</stp>
        <stp>US BBIR Curncy</stp>
        <stp>PX MID</stp>
        <stp>[XVLA.xls]Data!R36C34</stp>
        <tr r="AH36" s="1"/>
      </tp>
      <tp t="s">
        <v>#N/A Invalid Security</v>
        <stp/>
        <stp>##V3_BDPV12</stp>
        <stp>US BBIR Curncy</stp>
        <stp>PX MID</stp>
        <stp>[XVLA.xls]Data!R46C33</stp>
        <tr r="AG46" s="1"/>
      </tp>
      <tp t="s">
        <v>#N/A Invalid Security</v>
        <stp/>
        <stp>##V3_BDPV12</stp>
        <stp>US BBIR Curncy</stp>
        <stp>PX MID</stp>
        <stp>[XVLA.xls]Data!R39C34</stp>
        <tr r="AH39" s="1"/>
      </tp>
      <tp t="s">
        <v>#N/A Invalid Security</v>
        <stp/>
        <stp>##V3_BDPV12</stp>
        <stp>US BBIR Curncy</stp>
        <stp>PX MID</stp>
        <stp>[XVLA.xls]Data!R38C34</stp>
        <tr r="AH38" s="1"/>
      </tp>
      <tp t="s">
        <v>#N/A Invalid Security</v>
        <stp/>
        <stp>##V3_BDPV12</stp>
        <stp>US BBIR Curncy</stp>
        <stp>PX MID</stp>
        <stp>[XVLA.xls]Data!R48C33</stp>
        <tr r="AG48" s="1"/>
      </tp>
      <tp t="s">
        <v>#N/A Invalid Security</v>
        <stp/>
        <stp>##V3_BDPV12</stp>
        <stp>US BBIR Curncy</stp>
        <stp>PX MID</stp>
        <stp>[XVLA.xls]Data!R41C30</stp>
        <tr r="AD41" s="1"/>
      </tp>
      <tp t="s">
        <v>#N/A Invalid Security</v>
        <stp/>
        <stp>##V3_BDPV12</stp>
        <stp>US BBIR Curncy</stp>
        <stp>PX MID</stp>
        <stp>[XVLA.xls]Data!R40C30</stp>
        <tr r="AD40" s="1"/>
      </tp>
      <tp t="s">
        <v>#N/A Invalid Security</v>
        <stp/>
        <stp>##V3_BDPV12</stp>
        <stp>US BBIR Curncy</stp>
        <stp>PX MID</stp>
        <stp>[XVLA.xls]Data!R43C30</stp>
        <tr r="AD43" s="1"/>
      </tp>
      <tp t="s">
        <v>#N/A Invalid Security</v>
        <stp/>
        <stp>##V3_BDPV12</stp>
        <stp>US BBIR Curncy</stp>
        <stp>PX MID</stp>
        <stp>[XVLA.xls]Data!R42C30</stp>
        <tr r="AD42" s="1"/>
      </tp>
      <tp t="s">
        <v>#N/A Invalid Security</v>
        <stp/>
        <stp>##V3_BDPV12</stp>
        <stp>US BBIR Curncy</stp>
        <stp>PX MID</stp>
        <stp>[XVLA.xls]Data!R45C30</stp>
        <tr r="AD45" s="1"/>
      </tp>
      <tp t="s">
        <v>#N/A Invalid Security</v>
        <stp/>
        <stp>##V3_BDPV12</stp>
        <stp>US BBIR Curncy</stp>
        <stp>PX MID</stp>
        <stp>[XVLA.xls]Data!R44C30</stp>
        <tr r="AD44" s="1"/>
      </tp>
      <tp t="s">
        <v>#N/A Invalid Security</v>
        <stp/>
        <stp>##V3_BDPV12</stp>
        <stp>US BBIR Curncy</stp>
        <stp>PX MID</stp>
        <stp>[XVLA.xls]Data!R47C30</stp>
        <tr r="AD47" s="1"/>
      </tp>
      <tp t="s">
        <v>#N/A Invalid Security</v>
        <stp/>
        <stp>##V3_BDPV12</stp>
        <stp>US BBIR Curncy</stp>
        <stp>PX MID</stp>
        <stp>[XVLA.xls]Data!R46C30</stp>
        <tr r="AD46" s="1"/>
      </tp>
      <tp t="s">
        <v>#N/A Invalid Security</v>
        <stp/>
        <stp>##V3_BDPV12</stp>
        <stp>US BBIR Curncy</stp>
        <stp>PX MID</stp>
        <stp>[XVLA.xls]Data!R48C30</stp>
        <tr r="AD48" s="1"/>
      </tp>
      <tp t="s">
        <v>#N/A Invalid Security</v>
        <stp/>
        <stp>##V3_BDPV12</stp>
        <stp>US BBIR Curncy</stp>
        <stp>PX MID</stp>
        <stp>[XVLA.xls]Data!R41C31</stp>
        <tr r="AE41" s="1"/>
      </tp>
      <tp t="s">
        <v>#N/A Invalid Security</v>
        <stp/>
        <stp>##V3_BDPV12</stp>
        <stp>US BBIR Curncy</stp>
        <stp>PX MID</stp>
        <stp>[XVLA.xls]Data!R40C31</stp>
        <tr r="AE40" s="1"/>
      </tp>
      <tp t="s">
        <v>#N/A Invalid Security</v>
        <stp/>
        <stp>##V3_BDPV12</stp>
        <stp>US BBIR Curncy</stp>
        <stp>PX MID</stp>
        <stp>[XVLA.xls]Data!R43C31</stp>
        <tr r="AE43" s="1"/>
      </tp>
      <tp t="s">
        <v>#N/A Invalid Security</v>
        <stp/>
        <stp>##V3_BDPV12</stp>
        <stp>US BBIR Curncy</stp>
        <stp>PX MID</stp>
        <stp>[XVLA.xls]Data!R42C31</stp>
        <tr r="AE42" s="1"/>
      </tp>
      <tp t="s">
        <v>#N/A Invalid Security</v>
        <stp/>
        <stp>##V3_BDPV12</stp>
        <stp>US BBIR Curncy</stp>
        <stp>PX MID</stp>
        <stp>[XVLA.xls]Data!R45C31</stp>
        <tr r="AE45" s="1"/>
      </tp>
      <tp t="s">
        <v>#N/A Invalid Security</v>
        <stp/>
        <stp>##V3_BDPV12</stp>
        <stp>US BBIR Curncy</stp>
        <stp>PX MID</stp>
        <stp>[XVLA.xls]Data!R44C31</stp>
        <tr r="AE44" s="1"/>
      </tp>
      <tp t="s">
        <v>#N/A Invalid Security</v>
        <stp/>
        <stp>##V3_BDPV12</stp>
        <stp>US BBIR Curncy</stp>
        <stp>PX MID</stp>
        <stp>[XVLA.xls]Data!R47C31</stp>
        <tr r="AE47" s="1"/>
      </tp>
      <tp t="s">
        <v>#N/A Invalid Security</v>
        <stp/>
        <stp>##V3_BDPV12</stp>
        <stp>US BBIR Curncy</stp>
        <stp>PX MID</stp>
        <stp>[XVLA.xls]Data!R46C31</stp>
        <tr r="AE46" s="1"/>
      </tp>
      <tp t="s">
        <v>#N/A Invalid Security</v>
        <stp/>
        <stp>##V3_BDPV12</stp>
        <stp>US BBIR Curncy</stp>
        <stp>PX MID</stp>
        <stp>[XVLA.xls]Data!R48C31</stp>
        <tr r="AE48" s="1"/>
      </tp>
      <tp t="s">
        <v>#N/A Invalid Security</v>
        <stp/>
        <stp>##V3_BDPV12</stp>
        <stp>US BBIR Curncy</stp>
        <stp>PX MID</stp>
        <stp>[XVLA.xls]Data!R35C31</stp>
        <tr r="AE35" s="1"/>
      </tp>
      <tp t="s">
        <v>#N/A Invalid Security</v>
        <stp/>
        <stp>##V3_BDPV12</stp>
        <stp>US BBIR Curncy</stp>
        <stp>PX MID</stp>
        <stp>[XVLA.xls]Data!R34C31</stp>
        <tr r="AE34" s="1"/>
      </tp>
      <tp t="s">
        <v>#N/A Invalid Security</v>
        <stp/>
        <stp>##V3_BDPV12</stp>
        <stp>US BBIR Curncy</stp>
        <stp>PX MID</stp>
        <stp>[XVLA.xls]Data!R37C31</stp>
        <tr r="AE37" s="1"/>
      </tp>
      <tp t="s">
        <v>#N/A Invalid Security</v>
        <stp/>
        <stp>##V3_BDPV12</stp>
        <stp>US BBIR Curncy</stp>
        <stp>PX MID</stp>
        <stp>[XVLA.xls]Data!R36C31</stp>
        <tr r="AE36" s="1"/>
      </tp>
      <tp t="s">
        <v>#N/A Invalid Security</v>
        <stp/>
        <stp>##V3_BDPV12</stp>
        <stp>US BBIR Curncy</stp>
        <stp>PX MID</stp>
        <stp>[XVLA.xls]Data!R39C31</stp>
        <tr r="AE39" s="1"/>
      </tp>
      <tp t="s">
        <v>#N/A Invalid Security</v>
        <stp/>
        <stp>##V3_BDPV12</stp>
        <stp>US BBIR Curncy</stp>
        <stp>PX MID</stp>
        <stp>[XVLA.xls]Data!R38C31</stp>
        <tr r="AE38" s="1"/>
      </tp>
      <tp t="s">
        <v>#N/A Invalid Security</v>
        <stp/>
        <stp>##V3_BDPV12</stp>
        <stp>US BBIR Curncy</stp>
        <stp>PX MID</stp>
        <stp>[XVLA.xls]Data!R35C30</stp>
        <tr r="AD35" s="1"/>
      </tp>
      <tp t="s">
        <v>#N/A Invalid Security</v>
        <stp/>
        <stp>##V3_BDPV12</stp>
        <stp>US BBIR Curncy</stp>
        <stp>PX MID</stp>
        <stp>[XVLA.xls]Data!R34C30</stp>
        <tr r="AD34" s="1"/>
      </tp>
      <tp t="s">
        <v>#N/A Invalid Security</v>
        <stp/>
        <stp>##V3_BDPV12</stp>
        <stp>US BBIR Curncy</stp>
        <stp>PX MID</stp>
        <stp>[XVLA.xls]Data!R37C30</stp>
        <tr r="AD37" s="1"/>
      </tp>
      <tp t="s">
        <v>#N/A Invalid Security</v>
        <stp/>
        <stp>##V3_BDPV12</stp>
        <stp>US BBIR Curncy</stp>
        <stp>PX MID</stp>
        <stp>[XVLA.xls]Data!R36C30</stp>
        <tr r="AD36" s="1"/>
      </tp>
      <tp t="s">
        <v>#N/A Invalid Security</v>
        <stp/>
        <stp>##V3_BDPV12</stp>
        <stp>US BBIR Curncy</stp>
        <stp>PX MID</stp>
        <stp>[XVLA.xls]Data!R39C30</stp>
        <tr r="AD39" s="1"/>
      </tp>
      <tp t="s">
        <v>#N/A Invalid Security</v>
        <stp/>
        <stp>##V3_BDPV12</stp>
        <stp>US BBIR Curncy</stp>
        <stp>PX MID</stp>
        <stp>[XVLA.xls]Data!R38C30</stp>
        <tr r="AD38" s="1"/>
      </tp>
      <tp t="s">
        <v>#N/A Invalid Security</v>
        <stp/>
        <stp>##V3_BDPV12</stp>
        <stp>US BBIR Curncy</stp>
        <stp>PX MID</stp>
        <stp>[XVLA.xls]Data!R41C34</stp>
        <tr r="AH41" s="1"/>
      </tp>
      <tp t="s">
        <v>#N/A Invalid Security</v>
        <stp/>
        <stp>##V3_BDPV12</stp>
        <stp>US BBIR Curncy</stp>
        <stp>PX MID</stp>
        <stp>[XVLA.xls]Data!R40C34</stp>
        <tr r="AH40" s="1"/>
      </tp>
      <tp t="s">
        <v>#N/A Invalid Security</v>
        <stp/>
        <stp>##V3_BDPV12</stp>
        <stp>US BBIR Curncy</stp>
        <stp>PX MID</stp>
        <stp>[XVLA.xls]Data!R43C34</stp>
        <tr r="AH43" s="1"/>
      </tp>
      <tp t="s">
        <v>#N/A Invalid Security</v>
        <stp/>
        <stp>##V3_BDPV12</stp>
        <stp>US BBIR Curncy</stp>
        <stp>PX MID</stp>
        <stp>[XVLA.xls]Data!R42C34</stp>
        <tr r="AH42" s="1"/>
      </tp>
      <tp t="s">
        <v>#N/A Invalid Security</v>
        <stp/>
        <stp>##V3_BDPV12</stp>
        <stp>US BBIR Curncy</stp>
        <stp>PX MID</stp>
        <stp>[XVLA.xls]Data!R35C33</stp>
        <tr r="AG35" s="1"/>
      </tp>
      <tp t="s">
        <v>#N/A Invalid Security</v>
        <stp/>
        <stp>##V3_BDPV12</stp>
        <stp>US BBIR Curncy</stp>
        <stp>PX MID</stp>
        <stp>[XVLA.xls]Data!R45C34</stp>
        <tr r="AH45" s="1"/>
      </tp>
      <tp t="s">
        <v>#N/A Invalid Security</v>
        <stp/>
        <stp>##V3_BDPV12</stp>
        <stp>US BBIR Curncy</stp>
        <stp>PX MID</stp>
        <stp>[XVLA.xls]Data!R34C33</stp>
        <tr r="AG34" s="1"/>
      </tp>
      <tp t="s">
        <v>#N/A Invalid Security</v>
        <stp/>
        <stp>##V3_BDPV12</stp>
        <stp>US BBIR Curncy</stp>
        <stp>PX MID</stp>
        <stp>[XVLA.xls]Data!R44C34</stp>
        <tr r="AH44" s="1"/>
      </tp>
      <tp t="s">
        <v>#N/A Invalid Security</v>
        <stp/>
        <stp>##V3_BDPV12</stp>
        <stp>US BBIR Curncy</stp>
        <stp>PX MID</stp>
        <stp>[XVLA.xls]Data!R37C33</stp>
        <tr r="AG37" s="1"/>
      </tp>
      <tp t="s">
        <v>#N/A Invalid Security</v>
        <stp/>
        <stp>##V3_BDPV12</stp>
        <stp>US BBIR Curncy</stp>
        <stp>PX MID</stp>
        <stp>[XVLA.xls]Data!R47C34</stp>
        <tr r="AH47" s="1"/>
      </tp>
      <tp t="s">
        <v>#N/A Invalid Security</v>
        <stp/>
        <stp>##V3_BDPV12</stp>
        <stp>US BBIR Curncy</stp>
        <stp>PX MID</stp>
        <stp>[XVLA.xls]Data!R36C33</stp>
        <tr r="AG36" s="1"/>
      </tp>
      <tp t="s">
        <v>#N/A Invalid Security</v>
        <stp/>
        <stp>##V3_BDPV12</stp>
        <stp>US BBIR Curncy</stp>
        <stp>PX MID</stp>
        <stp>[XVLA.xls]Data!R46C34</stp>
        <tr r="AH46" s="1"/>
      </tp>
      <tp t="s">
        <v>#N/A Invalid Security</v>
        <stp/>
        <stp>##V3_BDPV12</stp>
        <stp>US BBIR Curncy</stp>
        <stp>PX MID</stp>
        <stp>[XVLA.xls]Data!R39C33</stp>
        <tr r="AG39" s="1"/>
      </tp>
      <tp t="s">
        <v>#N/A Invalid Security</v>
        <stp/>
        <stp>##V3_BDPV12</stp>
        <stp>US BBIR Curncy</stp>
        <stp>PX MID</stp>
        <stp>[XVLA.xls]Data!R38C33</stp>
        <tr r="AG38" s="1"/>
      </tp>
      <tp t="s">
        <v>#N/A Invalid Security</v>
        <stp/>
        <stp>##V3_BDPV12</stp>
        <stp>US BBIR Curncy</stp>
        <stp>PX MID</stp>
        <stp>[XVLA.xls]Data!R48C34</stp>
        <tr r="AH48" s="1"/>
      </tp>
      <tp t="s">
        <v>#N/A Invalid Security</v>
        <stp/>
        <stp>##V3_BDPV12</stp>
        <stp>US BBIR Curncy</stp>
        <stp>PX MID</stp>
        <stp>[XVLA.xls]Data!R35C32</stp>
        <tr r="AF35" s="1"/>
      </tp>
      <tp t="s">
        <v>#N/A Invalid Security</v>
        <stp/>
        <stp>##V3_BDPV12</stp>
        <stp>US BBIR Curncy</stp>
        <stp>PX MID</stp>
        <stp>[XVLA.xls]Data!R34C32</stp>
        <tr r="AF34" s="1"/>
      </tp>
      <tp t="s">
        <v>#N/A Invalid Security</v>
        <stp/>
        <stp>##V3_BDPV12</stp>
        <stp>US BBIR Curncy</stp>
        <stp>PX MID</stp>
        <stp>[XVLA.xls]Data!R37C32</stp>
        <tr r="AF37" s="1"/>
      </tp>
      <tp t="s">
        <v>#N/A Invalid Security</v>
        <stp/>
        <stp>##V3_BDPV12</stp>
        <stp>US BBIR Curncy</stp>
        <stp>PX MID</stp>
        <stp>[XVLA.xls]Data!R36C32</stp>
        <tr r="AF36" s="1"/>
      </tp>
      <tp t="s">
        <v>#N/A Invalid Security</v>
        <stp/>
        <stp>##V3_BDPV12</stp>
        <stp>US BBIR Curncy</stp>
        <stp>PX MID</stp>
        <stp>[XVLA.xls]Data!R39C32</stp>
        <tr r="AF39" s="1"/>
      </tp>
      <tp t="s">
        <v>#N/A Invalid Security</v>
        <stp/>
        <stp>##V3_BDPV12</stp>
        <stp>US BBIR Curncy</stp>
        <stp>PX MID</stp>
        <stp>[XVLA.xls]Data!R38C32</stp>
        <tr r="AF38" s="1"/>
      </tp>
      <tp t="s">
        <v>#N/A N/A</v>
        <stp/>
        <stp>##V3_BDPV12</stp>
        <stp>USPE1530 ICPL Curncy</stp>
        <stp>ASK</stp>
        <stp>[XVLA.xls]Data!R89C18</stp>
        <tr r="R89" s="1"/>
      </tp>
      <tp t="s">
        <v>#N/A N/A</v>
        <stp/>
        <stp>##V3_BDPV12</stp>
        <stp>USPE1030 ICPL Curncy</stp>
        <stp>ASK</stp>
        <stp>[XVLA.xls]Data!R88C18</stp>
        <tr r="R88" s="1"/>
      </tp>
      <tp>
        <v>1688</v>
        <stp/>
        <stp>##V3_BDPV12</stp>
        <stp>USPE1010 ICPL Curncy</stp>
        <stp>ASK</stp>
        <stp>[XVLA.xls]Data!R88C14</stp>
        <tr r="N88" s="1"/>
      </tp>
      <tp t="s">
        <v>#N/A N/A</v>
        <stp/>
        <stp>##V3_BDPV12</stp>
        <stp>USPE1020 ICPL Curncy</stp>
        <stp>ASK</stp>
        <stp>[XVLA.xls]Data!R88C16</stp>
        <tr r="P88" s="1"/>
      </tp>
      <tp t="s">
        <v>#N/A N/A</v>
        <stp/>
        <stp>##V3_BDPV12</stp>
        <stp>USPE1510 ICPL Curncy</stp>
        <stp>ASK</stp>
        <stp>[XVLA.xls]Data!R89C14</stp>
        <tr r="N89" s="1"/>
      </tp>
      <tp t="s">
        <v>#N/A N/A</v>
        <stp/>
        <stp>##V3_BDPV12</stp>
        <stp>USPE1520 ICPL Curncy</stp>
        <stp>ASK</stp>
        <stp>[XVLA.xls]Data!R89C16</stp>
        <tr r="P89" s="1"/>
      </tp>
      <tp>
        <v>5182</v>
        <stp/>
        <stp>##V3_BDPV12</stp>
        <stp>USPE3030 ICPL Curncy</stp>
        <stp>ASK</stp>
        <stp>[XVLA.xls]Data!R92C18</stp>
        <tr r="R92" s="1"/>
      </tp>
      <tp>
        <v>2122</v>
        <stp/>
        <stp>##V3_BDPV12</stp>
        <stp>USPE3010 ICPL Curncy</stp>
        <stp>ASK</stp>
        <stp>[XVLA.xls]Data!R92C14</stp>
        <tr r="N92" s="1"/>
      </tp>
      <tp>
        <v>3741</v>
        <stp/>
        <stp>##V3_BDPV12</stp>
        <stp>USPE3020 ICPL Curncy</stp>
        <stp>ASK</stp>
        <stp>[XVLA.xls]Data!R92C16</stp>
        <tr r="P92" s="1"/>
      </tp>
      <tp>
        <v>4770</v>
        <stp/>
        <stp>##V3_BDPV12</stp>
        <stp>USPE2530 ICPL Curncy</stp>
        <stp>ASK</stp>
        <stp>[XVLA.xls]Data!R91C18</stp>
        <tr r="R91" s="1"/>
      </tp>
      <tp t="s">
        <v>#N/A N/A</v>
        <stp/>
        <stp>##V3_BDPV12</stp>
        <stp>USPE2030 ICPL Curncy</stp>
        <stp>ASK</stp>
        <stp>[XVLA.xls]Data!R90C18</stp>
        <tr r="R90" s="1"/>
      </tp>
      <tp>
        <v>1894</v>
        <stp/>
        <stp>##V3_BDPV12</stp>
        <stp>USPE2010 ICPL Curncy</stp>
        <stp>ASK</stp>
        <stp>[XVLA.xls]Data!R90C14</stp>
        <tr r="N90" s="1"/>
      </tp>
      <tp t="s">
        <v>#N/A N/A</v>
        <stp/>
        <stp>##V3_BDPV12</stp>
        <stp>USPE2020 ICPL Curncy</stp>
        <stp>ASK</stp>
        <stp>[XVLA.xls]Data!R90C16</stp>
        <tr r="P90" s="1"/>
      </tp>
      <tp>
        <v>2003</v>
        <stp/>
        <stp>##V3_BDPV12</stp>
        <stp>USPE2510 ICPL Curncy</stp>
        <stp>ASK</stp>
        <stp>[XVLA.xls]Data!R91C14</stp>
        <tr r="N91" s="1"/>
      </tp>
      <tp>
        <v>3460</v>
        <stp/>
        <stp>##V3_BDPV12</stp>
        <stp>USPE2520 ICPL Curncy</stp>
        <stp>ASK</stp>
        <stp>[XVLA.xls]Data!R91C16</stp>
        <tr r="P91" s="1"/>
      </tp>
      <tp>
        <v>70.61</v>
        <stp/>
        <stp>##V3_BDPV12</stp>
        <stp>USSN0I6 CMPN Curncy</stp>
        <stp>ASK</stp>
        <stp>[XVLA.xls]Data!R7C10</stp>
        <tr r="J7" s="1"/>
      </tp>
      <tp>
        <v>71.94</v>
        <stp/>
        <stp>##V3_BDPV12</stp>
        <stp>USSN0I7 CMPN Curncy</stp>
        <stp>ASK</stp>
        <stp>[XVLA.xls]Data!R7C11</stp>
        <tr r="K7" s="1"/>
      </tp>
      <tp t="s">
        <v>#N/A Invalid Security</v>
        <stp/>
        <stp>##V3_BDPV12</stp>
        <stp>US BBIR Curncy</stp>
        <stp>PX MID</stp>
        <stp>[XVLA.xls]Data!R70C9</stp>
        <tr r="I70" s="1"/>
      </tp>
      <tp t="s">
        <v>#N/A Invalid Security</v>
        <stp/>
        <stp>##V3_BDPV12</stp>
        <stp>US BBIR Curncy</stp>
        <stp>PX MID</stp>
        <stp>[XVLA.xls]Data!R70C8</stp>
        <tr r="H70" s="1"/>
      </tp>
      <tp t="s">
        <v>#N/A Invalid Security</v>
        <stp/>
        <stp>##V3_BDPV12</stp>
        <stp>US BBIR Curncy</stp>
        <stp>PX MID</stp>
        <stp>[XVLA.xls]Data!R70C5</stp>
        <tr r="E70" s="1"/>
      </tp>
      <tp t="s">
        <v>#N/A Invalid Security</v>
        <stp/>
        <stp>##V3_BDPV12</stp>
        <stp>US BBIR Curncy</stp>
        <stp>PX MID</stp>
        <stp>[XVLA.xls]Data!R70C7</stp>
        <tr r="G70" s="1"/>
      </tp>
      <tp t="s">
        <v>#N/A Invalid Security</v>
        <stp/>
        <stp>##V3_BDPV12</stp>
        <stp>US BBIR Curncy</stp>
        <stp>PX MID</stp>
        <stp>[XVLA.xls]Data!R70C6</stp>
        <tr r="F70" s="1"/>
      </tp>
      <tp>
        <v>1049</v>
        <stp/>
        <stp>##V3_BDPV12</stp>
        <stp>USPE255 ICPL Curncy</stp>
        <stp>ASK</stp>
        <stp>[XVLA.xls]Data!R91C9</stp>
        <tr r="I91" s="1"/>
      </tp>
      <tp>
        <v>848</v>
        <stp/>
        <stp>##V3_BDPV12</stp>
        <stp>USPE254 ICPL Curncy</stp>
        <stp>ASK</stp>
        <stp>[XVLA.xls]Data!R91C8</stp>
        <tr r="H91" s="1"/>
      </tp>
      <tp>
        <v>644</v>
        <stp/>
        <stp>##V3_BDPV12</stp>
        <stp>USPE253 ICPL Curncy</stp>
        <stp>ASK</stp>
        <stp>[XVLA.xls]Data!R91C7</stp>
        <tr r="G91" s="1"/>
      </tp>
      <tp>
        <v>432</v>
        <stp/>
        <stp>##V3_BDPV12</stp>
        <stp>USPE252 ICPL Curncy</stp>
        <stp>ASK</stp>
        <stp>[XVLA.xls]Data!R91C6</stp>
        <tr r="F91" s="1"/>
      </tp>
      <tp>
        <v>219</v>
        <stp/>
        <stp>##V3_BDPV12</stp>
        <stp>USPE251 ICPL Curncy</stp>
        <stp>ASK</stp>
        <stp>[XVLA.xls]Data!R91C5</stp>
        <tr r="E91" s="1"/>
      </tp>
    </main>
    <main first="bloomberg.ccyreader">
      <tp t="s">
        <v/>
        <stp/>
        <stp>#track</stp>
        <stp>DBG</stp>
        <stp>XVLA</stp>
        <stp>2.1.0.0</stp>
        <stp>Openfile</stp>
        <tr r="A1" s="5"/>
      </tp>
    </main>
    <main first="bloomberg.rtd">
      <tp>
        <v>78.87</v>
        <stp/>
        <stp>##V3_BDPV12</stp>
        <stp>USSN104 CMPN Curncy</stp>
        <stp>ASK</stp>
        <stp>[XVLA.xls]Data!R18C8</stp>
        <tr r="H18" s="1"/>
      </tp>
      <tp>
        <v>76</v>
        <stp/>
        <stp>##V3_BDPV12</stp>
        <stp>USSN105 CMPN Curncy</stp>
        <stp>ASK</stp>
        <stp>[XVLA.xls]Data!R18C9</stp>
        <tr r="I18" s="1"/>
      </tp>
      <tp>
        <v>87.46</v>
        <stp/>
        <stp>##V3_BDPV12</stp>
        <stp>USSN101 CMPN Curncy</stp>
        <stp>ASK</stp>
        <stp>[XVLA.xls]Data!R18C5</stp>
        <tr r="E18" s="1"/>
      </tp>
      <tp>
        <v>84.6</v>
        <stp/>
        <stp>##V3_BDPV12</stp>
        <stp>USSN102 CMPN Curncy</stp>
        <stp>ASK</stp>
        <stp>[XVLA.xls]Data!R18C6</stp>
        <tr r="F18" s="1"/>
      </tp>
      <tp>
        <v>81.73</v>
        <stp/>
        <stp>##V3_BDPV12</stp>
        <stp>USSN103 CMPN Curncy</stp>
        <stp>ASK</stp>
        <stp>[XVLA.xls]Data!R18C7</stp>
        <tr r="G18" s="1"/>
      </tp>
      <tp t="s">
        <v>#N/A N/A</v>
        <stp/>
        <stp>##V3_BDPV12</stp>
        <stp>USSN084 CMPN Curncy</stp>
        <stp>ASK</stp>
        <stp>[XVLA.xls]Data!R16C8</stp>
        <tr r="H16" s="1"/>
      </tp>
      <tp t="s">
        <v>#N/A N/A</v>
        <stp/>
        <stp>##V3_BDPV12</stp>
        <stp>USSN094 CMPN Curncy</stp>
        <stp>ASK</stp>
        <stp>[XVLA.xls]Data!R17C8</stp>
        <tr r="H17" s="1"/>
      </tp>
      <tp t="s">
        <v>#N/A N/A</v>
        <stp/>
        <stp>##V3_BDPV12</stp>
        <stp>USSN085 CMPN Curncy</stp>
        <stp>ASK</stp>
        <stp>[XVLA.xls]Data!R16C9</stp>
        <tr r="I16" s="1"/>
      </tp>
      <tp t="s">
        <v>#N/A N/A</v>
        <stp/>
        <stp>##V3_BDPV12</stp>
        <stp>USSN095 CMPN Curncy</stp>
        <stp>ASK</stp>
        <stp>[XVLA.xls]Data!R17C9</stp>
        <tr r="I17" s="1"/>
      </tp>
      <tp>
        <v>1013</v>
        <stp/>
        <stp>##V3_BDPV12</stp>
        <stp>USPE205 ICPL Curncy</stp>
        <stp>ASK</stp>
        <stp>[XVLA.xls]Data!R90C9</stp>
        <tr r="I90" s="1"/>
      </tp>
      <tp>
        <v>817</v>
        <stp/>
        <stp>##V3_BDPV12</stp>
        <stp>USPE204 ICPL Curncy</stp>
        <stp>ASK</stp>
        <stp>[XVLA.xls]Data!R90C8</stp>
        <tr r="H90" s="1"/>
      </tp>
      <tp>
        <v>619</v>
        <stp/>
        <stp>##V3_BDPV12</stp>
        <stp>USPE203 ICPL Curncy</stp>
        <stp>ASK</stp>
        <stp>[XVLA.xls]Data!R90C7</stp>
        <tr r="G90" s="1"/>
      </tp>
      <tp>
        <v>78.7</v>
        <stp/>
        <stp>##V3_BDPV12</stp>
        <stp>USSN081 CMPN Curncy</stp>
        <stp>ASK</stp>
        <stp>[XVLA.xls]Data!R16C5</stp>
        <tr r="E16" s="1"/>
      </tp>
      <tp>
        <v>78.400000000000006</v>
        <stp/>
        <stp>##V3_BDPV12</stp>
        <stp>USSN091 CMPN Curncy</stp>
        <stp>ASK</stp>
        <stp>[XVLA.xls]Data!R17C5</stp>
        <tr r="E17" s="1"/>
      </tp>
      <tp>
        <v>417</v>
        <stp/>
        <stp>##V3_BDPV12</stp>
        <stp>USPE202 ICPL Curncy</stp>
        <stp>ASK</stp>
        <stp>[XVLA.xls]Data!R90C6</stp>
        <tr r="F90" s="1"/>
      </tp>
      <tp t="s">
        <v>#N/A N/A</v>
        <stp/>
        <stp>##V3_BDPV12</stp>
        <stp>USSN082 CMPN Curncy</stp>
        <stp>ASK</stp>
        <stp>[XVLA.xls]Data!R16C6</stp>
        <tr r="F16" s="1"/>
      </tp>
      <tp t="s">
        <v>#N/A N/A</v>
        <stp/>
        <stp>##V3_BDPV12</stp>
        <stp>USSN092 CMPN Curncy</stp>
        <stp>ASK</stp>
        <stp>[XVLA.xls]Data!R17C6</stp>
        <tr r="F17" s="1"/>
      </tp>
      <tp>
        <v>212</v>
        <stp/>
        <stp>##V3_BDPV12</stp>
        <stp>USPE201 ICPL Curncy</stp>
        <stp>ASK</stp>
        <stp>[XVLA.xls]Data!R90C5</stp>
        <tr r="E90" s="1"/>
      </tp>
      <tp t="s">
        <v>#N/A N/A</v>
        <stp/>
        <stp>##V3_BDPV12</stp>
        <stp>USSN083 CMPN Curncy</stp>
        <stp>ASK</stp>
        <stp>[XVLA.xls]Data!R16C7</stp>
        <tr r="G16" s="1"/>
      </tp>
      <tp t="s">
        <v>#N/A N/A</v>
        <stp/>
        <stp>##V3_BDPV12</stp>
        <stp>USSN093 CMPN Curncy</stp>
        <stp>ASK</stp>
        <stp>[XVLA.xls]Data!R17C7</stp>
        <tr r="G17" s="1"/>
      </tp>
      <tp>
        <v>1820</v>
        <stp/>
        <stp>##V3_BDPV12</stp>
        <stp>USPE259 ICPL Curncy</stp>
        <stp>ASK</stp>
        <stp>[XVLA.xls]Data!R91C13</stp>
        <tr r="M91" s="1"/>
      </tp>
      <tp>
        <v>1728</v>
        <stp/>
        <stp>##V3_BDPV12</stp>
        <stp>USPE209 ICPL Curncy</stp>
        <stp>ASK</stp>
        <stp>[XVLA.xls]Data!R90C13</stp>
        <tr r="M90" s="1"/>
      </tp>
      <tp>
        <v>1922</v>
        <stp/>
        <stp>##V3_BDPV12</stp>
        <stp>USPE309 ICPL Curncy</stp>
        <stp>ASK</stp>
        <stp>[XVLA.xls]Data!R92C13</stp>
        <tr r="M92" s="1"/>
      </tp>
      <tp>
        <v>1679</v>
        <stp/>
        <stp>##V3_BDPV12</stp>
        <stp>USPE159 ICPL Curncy</stp>
        <stp>ASK</stp>
        <stp>[XVLA.xls]Data!R89C13</stp>
        <tr r="M89" s="1"/>
      </tp>
      <tp>
        <v>1544</v>
        <stp/>
        <stp>##V3_BDPV12</stp>
        <stp>USPE109 ICPL Curncy</stp>
        <stp>ASK</stp>
        <stp>[XVLA.xls]Data!R88C13</stp>
        <tr r="M88" s="1"/>
      </tp>
      <tp t="s">
        <v>#N/A Invalid Security</v>
        <stp/>
        <stp>##V3_BDPV12</stp>
        <stp>US BBIR Curncy</stp>
        <stp>PX MID</stp>
        <stp>[XVLA.xls]Data!R67C9</stp>
        <tr r="I67" s="1"/>
      </tp>
      <tp t="s">
        <v>#N/A Invalid Security</v>
        <stp/>
        <stp>##V3_BDPV12</stp>
        <stp>US BBIR Curncy</stp>
        <stp>PX MID</stp>
        <stp>[XVLA.xls]Data!R67C8</stp>
        <tr r="H67" s="1"/>
      </tp>
      <tp t="s">
        <v>#N/A Invalid Security</v>
        <stp/>
        <stp>##V3_BDPV12</stp>
        <stp>US BBIR Curncy</stp>
        <stp>PX MID</stp>
        <stp>[XVLA.xls]Data!R67C5</stp>
        <tr r="E67" s="1"/>
      </tp>
      <tp t="s">
        <v>#N/A Invalid Security</v>
        <stp/>
        <stp>##V3_BDPV12</stp>
        <stp>US BBIR Curncy</stp>
        <stp>PX MID</stp>
        <stp>[XVLA.xls]Data!R67C7</stp>
        <tr r="G67" s="1"/>
      </tp>
      <tp t="s">
        <v>#N/A Invalid Security</v>
        <stp/>
        <stp>##V3_BDPV12</stp>
        <stp>US BBIR Curncy</stp>
        <stp>PX MID</stp>
        <stp>[XVLA.xls]Data!R67C6</stp>
        <tr r="F67" s="1"/>
      </tp>
      <tp>
        <v>1720</v>
        <stp/>
        <stp>##V3_BDPV12</stp>
        <stp>USPE308 ICPL Curncy</stp>
        <stp>ASK</stp>
        <stp>[XVLA.xls]Data!R92C12</stp>
        <tr r="L92" s="1"/>
      </tp>
      <tp>
        <v>1633</v>
        <stp/>
        <stp>##V3_BDPV12</stp>
        <stp>USPE258 ICPL Curncy</stp>
        <stp>ASK</stp>
        <stp>[XVLA.xls]Data!R91C12</stp>
        <tr r="L91" s="1"/>
      </tp>
      <tp>
        <v>1558</v>
        <stp/>
        <stp>##V3_BDPV12</stp>
        <stp>USPE208 ICPL Curncy</stp>
        <stp>ASK</stp>
        <stp>[XVLA.xls]Data!R90C12</stp>
        <tr r="L90" s="1"/>
      </tp>
      <tp>
        <v>1516</v>
        <stp/>
        <stp>##V3_BDPV12</stp>
        <stp>USPE158 ICPL Curncy</stp>
        <stp>ASK</stp>
        <stp>[XVLA.xls]Data!R89C12</stp>
        <tr r="L89" s="1"/>
      </tp>
      <tp>
        <v>1396</v>
        <stp/>
        <stp>##V3_BDPV12</stp>
        <stp>USPE108 ICPL Curncy</stp>
        <stp>ASK</stp>
        <stp>[XVLA.xls]Data!R88C12</stp>
        <tr r="L88" s="1"/>
      </tp>
      <tp t="s">
        <v>#N/A Invalid Security</v>
        <stp/>
        <stp>##V3_BDPV12</stp>
        <stp>US BBIR Curncy</stp>
        <stp>PX MID</stp>
        <stp>[XVLA.xls]Data!R66C9</stp>
        <tr r="I66" s="1"/>
      </tp>
      <tp t="s">
        <v>#N/A Invalid Security</v>
        <stp/>
        <stp>##V3_BDPV12</stp>
        <stp>US BBIR Curncy</stp>
        <stp>PX MID</stp>
        <stp>[XVLA.xls]Data!R66C8</stp>
        <tr r="H66" s="1"/>
      </tp>
      <tp t="s">
        <v>#N/A Invalid Security</v>
        <stp/>
        <stp>##V3_BDPV12</stp>
        <stp>US BBIR Curncy</stp>
        <stp>PX MID</stp>
        <stp>[XVLA.xls]Data!R66C5</stp>
        <tr r="E66" s="1"/>
      </tp>
      <tp t="s">
        <v>#N/A Invalid Security</v>
        <stp/>
        <stp>##V3_BDPV12</stp>
        <stp>US BBIR Curncy</stp>
        <stp>PX MID</stp>
        <stp>[XVLA.xls]Data!R66C7</stp>
        <tr r="G66" s="1"/>
      </tp>
      <tp t="s">
        <v>#N/A Invalid Security</v>
        <stp/>
        <stp>##V3_BDPV12</stp>
        <stp>US BBIR Curncy</stp>
        <stp>PX MID</stp>
        <stp>[XVLA.xls]Data!R66C6</stp>
        <tr r="F66" s="1"/>
      </tp>
      <tp>
        <v>69.94</v>
        <stp/>
        <stp>##V3_BDPV12</stp>
        <stp>USSN154 CMPN Curncy</stp>
        <stp>ASK</stp>
        <stp>[XVLA.xls]Data!R19C8</stp>
        <tr r="H19" s="1"/>
      </tp>
      <tp>
        <v>68.23</v>
        <stp/>
        <stp>##V3_BDPV12</stp>
        <stp>USSN155 CMPN Curncy</stp>
        <stp>ASK</stp>
        <stp>[XVLA.xls]Data!R19C9</stp>
        <tr r="I19" s="1"/>
      </tp>
      <tp>
        <v>1095</v>
        <stp/>
        <stp>##V3_BDPV12</stp>
        <stp>USPE305 ICPL Curncy</stp>
        <stp>ASK</stp>
        <stp>[XVLA.xls]Data!R92C9</stp>
        <tr r="I92" s="1"/>
      </tp>
      <tp>
        <v>884</v>
        <stp/>
        <stp>##V3_BDPV12</stp>
        <stp>USPE304 ICPL Curncy</stp>
        <stp>ASK</stp>
        <stp>[XVLA.xls]Data!R92C8</stp>
        <tr r="H92" s="1"/>
      </tp>
      <tp>
        <v>670</v>
        <stp/>
        <stp>##V3_BDPV12</stp>
        <stp>USPE303 ICPL Curncy</stp>
        <stp>ASK</stp>
        <stp>[XVLA.xls]Data!R92C7</stp>
        <tr r="G92" s="1"/>
      </tp>
      <tp>
        <v>75.069999999999993</v>
        <stp/>
        <stp>##V3_BDPV12</stp>
        <stp>USSN151 CMPN Curncy</stp>
        <stp>ASK</stp>
        <stp>[XVLA.xls]Data!R19C5</stp>
        <tr r="E19" s="1"/>
      </tp>
      <tp>
        <v>451</v>
        <stp/>
        <stp>##V3_BDPV12</stp>
        <stp>USPE302 ICPL Curncy</stp>
        <stp>ASK</stp>
        <stp>[XVLA.xls]Data!R92C6</stp>
        <tr r="F92" s="1"/>
      </tp>
      <tp>
        <v>73.36</v>
        <stp/>
        <stp>##V3_BDPV12</stp>
        <stp>USSN152 CMPN Curncy</stp>
        <stp>ASK</stp>
        <stp>[XVLA.xls]Data!R19C6</stp>
        <tr r="F19" s="1"/>
      </tp>
      <tp>
        <v>227</v>
        <stp/>
        <stp>##V3_BDPV12</stp>
        <stp>USPE301 ICPL Curncy</stp>
        <stp>ASK</stp>
        <stp>[XVLA.xls]Data!R92C5</stp>
        <tr r="E92" s="1"/>
      </tp>
      <tp>
        <v>71.650000000000006</v>
        <stp/>
        <stp>##V3_BDPV12</stp>
        <stp>USSN153 CMPN Curncy</stp>
        <stp>ASK</stp>
        <stp>[XVLA.xls]Data!R19C7</stp>
        <tr r="G19" s="1"/>
      </tp>
      <tp>
        <v>1347</v>
        <stp/>
        <stp>##V3_BDPV12</stp>
        <stp>USPE157 ICPL Curncy</stp>
        <stp>ASK</stp>
        <stp>[XVLA.xls]Data!R89C11</stp>
        <tr r="K89" s="1"/>
      </tp>
      <tp>
        <v>1242</v>
        <stp/>
        <stp>##V3_BDPV12</stp>
        <stp>USPE107 ICPL Curncy</stp>
        <stp>ASK</stp>
        <stp>[XVLA.xls]Data!R88C11</stp>
        <tr r="K88" s="1"/>
      </tp>
      <tp>
        <v>1441</v>
        <stp/>
        <stp>##V3_BDPV12</stp>
        <stp>USPE257 ICPL Curncy</stp>
        <stp>ASK</stp>
        <stp>[XVLA.xls]Data!R91C11</stp>
        <tr r="K91" s="1"/>
      </tp>
      <tp>
        <v>1381</v>
        <stp/>
        <stp>##V3_BDPV12</stp>
        <stp>USPE207 ICPL Curncy</stp>
        <stp>ASK</stp>
        <stp>[XVLA.xls]Data!R90C11</stp>
        <tr r="K90" s="1"/>
      </tp>
      <tp>
        <v>1514</v>
        <stp/>
        <stp>##V3_BDPV12</stp>
        <stp>USPE307 ICPL Curncy</stp>
        <stp>ASK</stp>
        <stp>[XVLA.xls]Data!R92C11</stp>
        <tr r="K92" s="1"/>
      </tp>
      <tp t="s">
        <v>#N/A Invalid Security</v>
        <stp/>
        <stp>##V3_BDPV12</stp>
        <stp>US BBIR Curncy</stp>
        <stp>PX MID</stp>
        <stp>[XVLA.xls]Data!R69C9</stp>
        <tr r="I69" s="1"/>
      </tp>
      <tp t="s">
        <v>#N/A Invalid Security</v>
        <stp/>
        <stp>##V3_BDPV12</stp>
        <stp>US BBIR Curncy</stp>
        <stp>PX MID</stp>
        <stp>[XVLA.xls]Data!R69C8</stp>
        <tr r="H69" s="1"/>
      </tp>
      <tp t="s">
        <v>#N/A Invalid Security</v>
        <stp/>
        <stp>##V3_BDPV12</stp>
        <stp>US BBIR Curncy</stp>
        <stp>PX MID</stp>
        <stp>[XVLA.xls]Data!R69C5</stp>
        <tr r="E69" s="1"/>
      </tp>
      <tp t="s">
        <v>#N/A Invalid Security</v>
        <stp/>
        <stp>##V3_BDPV12</stp>
        <stp>US BBIR Curncy</stp>
        <stp>PX MID</stp>
        <stp>[XVLA.xls]Data!R69C7</stp>
        <tr r="G69" s="1"/>
      </tp>
      <tp t="s">
        <v>#N/A Invalid Security</v>
        <stp/>
        <stp>##V3_BDPV12</stp>
        <stp>US BBIR Curncy</stp>
        <stp>PX MID</stp>
        <stp>[XVLA.xls]Data!R69C6</stp>
        <tr r="F69" s="1"/>
      </tp>
      <tp>
        <v>60.94</v>
        <stp/>
        <stp>##V3_BDPV12</stp>
        <stp>USSN0A6 CMPN Curncy</stp>
        <stp>ASK</stp>
        <stp>[XVLA.xls]Data!R3C10</stp>
        <tr r="J3" s="1"/>
      </tp>
      <tp>
        <v>62.88</v>
        <stp/>
        <stp>##V3_BDPV12</stp>
        <stp>USSN0A7 CMPN Curncy</stp>
        <stp>ASK</stp>
        <stp>[XVLA.xls]Data!R3C11</stp>
        <tr r="K3" s="1"/>
      </tp>
      <tp>
        <v>1170</v>
        <stp/>
        <stp>##V3_BDPV12</stp>
        <stp>USPE156 ICPL Curncy</stp>
        <stp>ASK</stp>
        <stp>[XVLA.xls]Data!R89C10</stp>
        <tr r="J89" s="1"/>
      </tp>
      <tp>
        <v>1082</v>
        <stp/>
        <stp>##V3_BDPV12</stp>
        <stp>USPE106 ICPL Curncy</stp>
        <stp>ASK</stp>
        <stp>[XVLA.xls]Data!R88C10</stp>
        <tr r="J88" s="1"/>
      </tp>
      <tp>
        <v>1306</v>
        <stp/>
        <stp>##V3_BDPV12</stp>
        <stp>USPE306 ICPL Curncy</stp>
        <stp>ASK</stp>
        <stp>[XVLA.xls]Data!R92C10</stp>
        <tr r="J92" s="1"/>
      </tp>
      <tp>
        <v>1247</v>
        <stp/>
        <stp>##V3_BDPV12</stp>
        <stp>USPE256 ICPL Curncy</stp>
        <stp>ASK</stp>
        <stp>[XVLA.xls]Data!R91C10</stp>
        <tr r="J91" s="1"/>
      </tp>
      <tp>
        <v>1199</v>
        <stp/>
        <stp>##V3_BDPV12</stp>
        <stp>USPE206 ICPL Curncy</stp>
        <stp>ASK</stp>
        <stp>[XVLA.xls]Data!R90C10</stp>
        <tr r="J90" s="1"/>
      </tp>
      <tp t="s">
        <v>#N/A Invalid Security</v>
        <stp/>
        <stp>##V3_BDPV12</stp>
        <stp>US BBIR Curncy</stp>
        <stp>PX MID</stp>
        <stp>[XVLA.xls]Data!R68C9</stp>
        <tr r="I68" s="1"/>
      </tp>
      <tp t="s">
        <v>#N/A Invalid Security</v>
        <stp/>
        <stp>##V3_BDPV12</stp>
        <stp>US BBIR Curncy</stp>
        <stp>PX MID</stp>
        <stp>[XVLA.xls]Data!R68C8</stp>
        <tr r="H68" s="1"/>
      </tp>
      <tp t="s">
        <v>#N/A Invalid Security</v>
        <stp/>
        <stp>##V3_BDPV12</stp>
        <stp>US BBIR Curncy</stp>
        <stp>PX MID</stp>
        <stp>[XVLA.xls]Data!R68C5</stp>
        <tr r="E68" s="1"/>
      </tp>
      <tp t="s">
        <v>#N/A Invalid Security</v>
        <stp/>
        <stp>##V3_BDPV12</stp>
        <stp>US BBIR Curncy</stp>
        <stp>PX MID</stp>
        <stp>[XVLA.xls]Data!R68C7</stp>
        <tr r="G68" s="1"/>
      </tp>
      <tp t="s">
        <v>#N/A Invalid Security</v>
        <stp/>
        <stp>##V3_BDPV12</stp>
        <stp>US BBIR Curncy</stp>
        <stp>PX MID</stp>
        <stp>[XVLA.xls]Data!R68C6</stp>
        <tr r="F68" s="1"/>
      </tp>
      <tp>
        <v>73.52</v>
        <stp/>
        <stp>##V3_BDPV12</stp>
        <stp>USSN024 CMPN Curncy</stp>
        <stp>ASK</stp>
        <stp>[XVLA.xls]Data!R10C8</stp>
        <tr r="H10" s="1"/>
      </tp>
      <tp>
        <v>76.28</v>
        <stp/>
        <stp>##V3_BDPV12</stp>
        <stp>USSN034 CMPN Curncy</stp>
        <stp>ASK</stp>
        <stp>[XVLA.xls]Data!R11C8</stp>
        <tr r="H11" s="1"/>
      </tp>
      <tp t="s">
        <v>#N/A N/A</v>
        <stp/>
        <stp>##V3_BDPV12</stp>
        <stp>USSN064 CMPN Curncy</stp>
        <stp>ASK</stp>
        <stp>[XVLA.xls]Data!R14C8</stp>
        <tr r="H14" s="1"/>
      </tp>
      <tp>
        <v>79.73</v>
        <stp/>
        <stp>##V3_BDPV12</stp>
        <stp>USSN074 CMPN Curncy</stp>
        <stp>ASK</stp>
        <stp>[XVLA.xls]Data!R15C8</stp>
        <tr r="H15" s="1"/>
      </tp>
      <tp>
        <v>59.97</v>
        <stp/>
        <stp>##V3_BDPV12</stp>
        <stp>USSN304 CMPN Curncy</stp>
        <stp>ASK</stp>
        <stp>[XVLA.xls]Data!R22C8</stp>
        <tr r="H22" s="1"/>
      </tp>
      <tp>
        <v>74.25</v>
        <stp/>
        <stp>##V3_BDPV12</stp>
        <stp>USSN025 CMPN Curncy</stp>
        <stp>ASK</stp>
        <stp>[XVLA.xls]Data!R10C9</stp>
        <tr r="I10" s="1"/>
      </tp>
      <tp>
        <v>77.06</v>
        <stp/>
        <stp>##V3_BDPV12</stp>
        <stp>USSN035 CMPN Curncy</stp>
        <stp>ASK</stp>
        <stp>[XVLA.xls]Data!R11C9</stp>
        <tr r="I11" s="1"/>
      </tp>
      <tp t="s">
        <v>#N/A N/A</v>
        <stp/>
        <stp>##V3_BDPV12</stp>
        <stp>USSN065 CMPN Curncy</stp>
        <stp>ASK</stp>
        <stp>[XVLA.xls]Data!R14C9</stp>
        <tr r="I14" s="1"/>
      </tp>
      <tp>
        <v>79.569999999999993</v>
        <stp/>
        <stp>##V3_BDPV12</stp>
        <stp>USSN075 CMPN Curncy</stp>
        <stp>ASK</stp>
        <stp>[XVLA.xls]Data!R15C9</stp>
        <tr r="I15" s="1"/>
      </tp>
      <tp>
        <v>59.91</v>
        <stp/>
        <stp>##V3_BDPV12</stp>
        <stp>USSN305 CMPN Curncy</stp>
        <stp>ASK</stp>
        <stp>[XVLA.xls]Data!R22C9</stp>
        <tr r="I22" s="1"/>
      </tp>
      <tp>
        <v>989</v>
        <stp/>
        <stp>##V3_BDPV12</stp>
        <stp>USPE155 ICPL Curncy</stp>
        <stp>ASK</stp>
        <stp>[XVLA.xls]Data!R89C9</stp>
        <tr r="I89" s="1"/>
      </tp>
      <tp>
        <v>800</v>
        <stp/>
        <stp>##V3_BDPV12</stp>
        <stp>USPE154 ICPL Curncy</stp>
        <stp>ASK</stp>
        <stp>[XVLA.xls]Data!R89C8</stp>
        <tr r="H89" s="1"/>
      </tp>
      <tp>
        <v>607</v>
        <stp/>
        <stp>##V3_BDPV12</stp>
        <stp>USPE153 ICPL Curncy</stp>
        <stp>ASK</stp>
        <stp>[XVLA.xls]Data!R89C7</stp>
        <tr r="G89" s="1"/>
      </tp>
      <tp>
        <v>63.39</v>
        <stp/>
        <stp>##V3_BDPV12</stp>
        <stp>USSN021 CMPN Curncy</stp>
        <stp>ASK</stp>
        <stp>[XVLA.xls]Data!R10C5</stp>
        <tr r="E10" s="1"/>
      </tp>
      <tp>
        <v>71.84</v>
        <stp/>
        <stp>##V3_BDPV12</stp>
        <stp>USSN031 CMPN Curncy</stp>
        <stp>ASK</stp>
        <stp>[XVLA.xls]Data!R11C5</stp>
        <tr r="E11" s="1"/>
      </tp>
      <tp>
        <v>79.92</v>
        <stp/>
        <stp>##V3_BDPV12</stp>
        <stp>USSN061 CMPN Curncy</stp>
        <stp>ASK</stp>
        <stp>[XVLA.xls]Data!R14C5</stp>
        <tr r="E14" s="1"/>
      </tp>
      <tp>
        <v>80.48</v>
        <stp/>
        <stp>##V3_BDPV12</stp>
        <stp>USSN071 CMPN Curncy</stp>
        <stp>ASK</stp>
        <stp>[XVLA.xls]Data!R15C5</stp>
        <tr r="E15" s="1"/>
      </tp>
      <tp>
        <v>60.18</v>
        <stp/>
        <stp>##V3_BDPV12</stp>
        <stp>USSN301 CMPN Curncy</stp>
        <stp>ASK</stp>
        <stp>[XVLA.xls]Data!R22C5</stp>
        <tr r="E22" s="1"/>
      </tp>
      <tp>
        <v>409</v>
        <stp/>
        <stp>##V3_BDPV12</stp>
        <stp>USPE152 ICPL Curncy</stp>
        <stp>ASK</stp>
        <stp>[XVLA.xls]Data!R89C6</stp>
        <tr r="F89" s="1"/>
      </tp>
      <tp>
        <v>67.88</v>
        <stp/>
        <stp>##V3_BDPV12</stp>
        <stp>USSN022 CMPN Curncy</stp>
        <stp>ASK</stp>
        <stp>[XVLA.xls]Data!R10C6</stp>
        <tr r="F10" s="1"/>
      </tp>
      <tp>
        <v>73.25</v>
        <stp/>
        <stp>##V3_BDPV12</stp>
        <stp>USSN032 CMPN Curncy</stp>
        <stp>ASK</stp>
        <stp>[XVLA.xls]Data!R11C6</stp>
        <tr r="F11" s="1"/>
      </tp>
      <tp t="s">
        <v>#N/A N/A</v>
        <stp/>
        <stp>##V3_BDPV12</stp>
        <stp>USSN062 CMPN Curncy</stp>
        <stp>ASK</stp>
        <stp>[XVLA.xls]Data!R14C6</stp>
        <tr r="F14" s="1"/>
      </tp>
      <tp>
        <v>80.14</v>
        <stp/>
        <stp>##V3_BDPV12</stp>
        <stp>USSN072 CMPN Curncy</stp>
        <stp>ASK</stp>
        <stp>[XVLA.xls]Data!R15C6</stp>
        <tr r="F15" s="1"/>
      </tp>
      <tp>
        <v>60.11</v>
        <stp/>
        <stp>##V3_BDPV12</stp>
        <stp>USSN302 CMPN Curncy</stp>
        <stp>ASK</stp>
        <stp>[XVLA.xls]Data!R22C6</stp>
        <tr r="F22" s="1"/>
      </tp>
      <tp>
        <v>207</v>
        <stp/>
        <stp>##V3_BDPV12</stp>
        <stp>USPE151 ICPL Curncy</stp>
        <stp>ASK</stp>
        <stp>[XVLA.xls]Data!R89C5</stp>
        <tr r="E89" s="1"/>
      </tp>
      <tp>
        <v>71.010000000000005</v>
        <stp/>
        <stp>##V3_BDPV12</stp>
        <stp>USSN023 CMPN Curncy</stp>
        <stp>ASK</stp>
        <stp>[XVLA.xls]Data!R10C7</stp>
        <tr r="G10" s="1"/>
      </tp>
      <tp>
        <v>74.39</v>
        <stp/>
        <stp>##V3_BDPV12</stp>
        <stp>USSN033 CMPN Curncy</stp>
        <stp>ASK</stp>
        <stp>[XVLA.xls]Data!R11C7</stp>
        <tr r="G11" s="1"/>
      </tp>
      <tp t="s">
        <v>#N/A N/A</v>
        <stp/>
        <stp>##V3_BDPV12</stp>
        <stp>USSN063 CMPN Curncy</stp>
        <stp>ASK</stp>
        <stp>[XVLA.xls]Data!R14C7</stp>
        <tr r="G14" s="1"/>
      </tp>
      <tp>
        <v>80.08</v>
        <stp/>
        <stp>##V3_BDPV12</stp>
        <stp>USSN073 CMPN Curncy</stp>
        <stp>ASK</stp>
        <stp>[XVLA.xls]Data!R15C7</stp>
        <tr r="G15" s="1"/>
      </tp>
      <tp>
        <v>60.04</v>
        <stp/>
        <stp>##V3_BDPV12</stp>
        <stp>USSN303 CMPN Curncy</stp>
        <stp>ASK</stp>
        <stp>[XVLA.xls]Data!R22C7</stp>
        <tr r="G22" s="1"/>
      </tp>
      <tp>
        <v>63.37</v>
        <stp/>
        <stp>##V3_BDPV12</stp>
        <stp>USSN0B6 CMPN Curncy</stp>
        <stp>ASK</stp>
        <stp>[XVLA.xls]Data!R4C10</stp>
        <tr r="J4" s="1"/>
      </tp>
      <tp>
        <v>65.430000000000007</v>
        <stp/>
        <stp>##V3_BDPV12</stp>
        <stp>USSN0B7 CMPN Curncy</stp>
        <stp>ASK</stp>
        <stp>[XVLA.xls]Data!R4C11</stp>
        <tr r="K4" s="1"/>
      </tp>
      <tp>
        <v>76.75</v>
        <stp/>
        <stp>##V3_BDPV12</stp>
        <stp>USSN106 CMPN Curncy</stp>
        <stp>ASK</stp>
        <stp>[XVLA.xls]Data!R18C10</stp>
        <tr r="J18" s="1"/>
      </tp>
      <tp>
        <v>68.39</v>
        <stp/>
        <stp>##V3_BDPV12</stp>
        <stp>USSN156 CMPN Curncy</stp>
        <stp>ASK</stp>
        <stp>[XVLA.xls]Data!R19C10</stp>
        <tr r="J19" s="1"/>
      </tp>
      <tp>
        <v>63.79</v>
        <stp/>
        <stp>##V3_BDPV12</stp>
        <stp>USSN206 CMPN Curncy</stp>
        <stp>ASK</stp>
        <stp>[XVLA.xls]Data!R20C10</stp>
        <tr r="J20" s="1"/>
      </tp>
      <tp>
        <v>61.29</v>
        <stp/>
        <stp>##V3_BDPV12</stp>
        <stp>USSN256 CMPN Curncy</stp>
        <stp>ASK</stp>
        <stp>[XVLA.xls]Data!R21C10</stp>
        <tr r="J21" s="1"/>
      </tp>
      <tp t="s">
        <v>#N/A N/A</v>
        <stp/>
        <stp>##V3_BDPV12</stp>
        <stp>USSN086 CMPN Curncy</stp>
        <stp>ASK</stp>
        <stp>[XVLA.xls]Data!R16C10</stp>
        <tr r="J16" s="1"/>
      </tp>
      <tp t="s">
        <v>#N/A N/A</v>
        <stp/>
        <stp>##V3_BDPV12</stp>
        <stp>USSN096 CMPN Curncy</stp>
        <stp>ASK</stp>
        <stp>[XVLA.xls]Data!R17C10</stp>
        <tr r="J17" s="1"/>
      </tp>
      <tp>
        <v>75.599999999999994</v>
        <stp/>
        <stp>##V3_BDPV12</stp>
        <stp>USSN026 CMPN Curncy</stp>
        <stp>ASK</stp>
        <stp>[XVLA.xls]Data!R10C10</stp>
        <tr r="J10" s="1"/>
      </tp>
      <tp>
        <v>77.930000000000007</v>
        <stp/>
        <stp>##V3_BDPV12</stp>
        <stp>USSN036 CMPN Curncy</stp>
        <stp>ASK</stp>
        <stp>[XVLA.xls]Data!R11C10</stp>
        <tr r="J11" s="1"/>
      </tp>
      <tp t="s">
        <v>#N/A N/A</v>
        <stp/>
        <stp>##V3_BDPV12</stp>
        <stp>USSN066 CMPN Curncy</stp>
        <stp>ASK</stp>
        <stp>[XVLA.xls]Data!R14C10</stp>
        <tr r="J14" s="1"/>
      </tp>
      <tp>
        <v>78.91</v>
        <stp/>
        <stp>##V3_BDPV12</stp>
        <stp>USSN076 CMPN Curncy</stp>
        <stp>ASK</stp>
        <stp>[XVLA.xls]Data!R15C10</stp>
        <tr r="J15" s="1"/>
      </tp>
      <tp>
        <v>59.57</v>
        <stp/>
        <stp>##V3_BDPV12</stp>
        <stp>USSN306 CMPN Curncy</stp>
        <stp>ASK</stp>
        <stp>[XVLA.xls]Data!R22C10</stp>
        <tr r="J22" s="1"/>
      </tp>
      <tp>
        <v>79.23</v>
        <stp/>
        <stp>##V3_BDPV12</stp>
        <stp>USSN046 CMPN Curncy</stp>
        <stp>ASK</stp>
        <stp>[XVLA.xls]Data!R12C10</stp>
        <tr r="J12" s="1"/>
      </tp>
      <tp>
        <v>80.06</v>
        <stp/>
        <stp>##V3_BDPV12</stp>
        <stp>USSN056 CMPN Curncy</stp>
        <stp>ASK</stp>
        <stp>[XVLA.xls]Data!R13C10</stp>
        <tr r="J13" s="1"/>
      </tp>
      <tp t="s">
        <v>#N/A N/A</v>
        <stp/>
        <stp>##V3_BDPV12</stp>
        <stp>USPEB15 ICPL Curncy</stp>
        <stp>ASK</stp>
        <stp>[XVLA.xls]Data!R77C15</stp>
        <tr r="O77" s="1"/>
      </tp>
      <tp>
        <v>328</v>
        <stp/>
        <stp>##V3_BDPV12</stp>
        <stp>USPEA25 ICPL Curncy</stp>
        <stp>ASK</stp>
        <stp>[XVLA.xls]Data!R76C17</stp>
        <tr r="Q76" s="1"/>
      </tp>
      <tp>
        <v>384</v>
        <stp/>
        <stp>##V3_BDPV12</stp>
        <stp>USPEC15 ICPL Curncy</stp>
        <stp>ASK</stp>
        <stp>[XVLA.xls]Data!R78C15</stp>
        <tr r="O78" s="1"/>
      </tp>
      <tp t="s">
        <v>#N/A N/A</v>
        <stp/>
        <stp>##V3_BDPV12</stp>
        <stp>USPEB25 ICPL Curncy</stp>
        <stp>ASK</stp>
        <stp>[XVLA.xls]Data!R77C17</stp>
        <tr r="Q77" s="1"/>
      </tp>
      <tp>
        <v>207</v>
        <stp/>
        <stp>##V3_BDPV12</stp>
        <stp>USPEA15 ICPL Curncy</stp>
        <stp>ASK</stp>
        <stp>[XVLA.xls]Data!R76C15</stp>
        <tr r="O76" s="1"/>
      </tp>
      <tp>
        <v>602</v>
        <stp/>
        <stp>##V3_BDPV12</stp>
        <stp>USPEC25 ICPL Curncy</stp>
        <stp>ASK</stp>
        <stp>[XVLA.xls]Data!R78C17</stp>
        <tr r="Q78" s="1"/>
      </tp>
      <tp t="s">
        <v>#N/A N/A</v>
        <stp/>
        <stp>##V3_BDPV12</stp>
        <stp>USPEI15 ICPL Curncy</stp>
        <stp>ASK</stp>
        <stp>[XVLA.xls]Data!R80C15</stp>
        <tr r="O80" s="1"/>
      </tp>
      <tp>
        <v>557</v>
        <stp/>
        <stp>##V3_BDPV12</stp>
        <stp>USPEF15 ICPL Curncy</stp>
        <stp>ASK</stp>
        <stp>[XVLA.xls]Data!R79C15</stp>
        <tr r="O79" s="1"/>
      </tp>
      <tp t="s">
        <v>#N/A N/A</v>
        <stp/>
        <stp>##V3_BDPV12</stp>
        <stp>USPEI25 ICPL Curncy</stp>
        <stp>ASK</stp>
        <stp>[XVLA.xls]Data!R80C17</stp>
        <tr r="Q80" s="1"/>
      </tp>
      <tp>
        <v>865</v>
        <stp/>
        <stp>##V3_BDPV12</stp>
        <stp>USPEF25 ICPL Curncy</stp>
        <stp>ASK</stp>
        <stp>[XVLA.xls]Data!R79C17</stp>
        <tr r="Q79" s="1"/>
      </tp>
      <tp t="s">
        <v>#N/A Invalid Security</v>
        <stp/>
        <stp>##V3_BDPV12</stp>
        <stp>USPER25 ICPL Curncy</stp>
        <stp>ASK</stp>
        <stp>[XVLA.xls]Data!R82C17</stp>
        <tr r="Q82" s="1"/>
      </tp>
      <tp t="s">
        <v>#N/A Invalid Security</v>
        <stp/>
        <stp>##V3_BDPV12</stp>
        <stp>USPER15 ICPL Curncy</stp>
        <stp>ASK</stp>
        <stp>[XVLA.xls]Data!R82C15</stp>
        <tr r="O82" s="1"/>
      </tp>
      <tp>
        <v>2948</v>
        <stp/>
        <stp>##V3_BDPV12</stp>
        <stp>USPE725 ICPL Curncy</stp>
        <stp>ASK</stp>
        <stp>[XVLA.xls]Data!R87C17</stp>
        <tr r="Q87" s="1"/>
      </tp>
      <tp>
        <v>1781</v>
        <stp/>
        <stp>##V3_BDPV12</stp>
        <stp>USPE515 ICPL Curncy</stp>
        <stp>ASK</stp>
        <stp>[XVLA.xls]Data!R86C15</stp>
        <tr r="O86" s="1"/>
      </tp>
      <tp>
        <v>1619</v>
        <stp/>
        <stp>##V3_BDPV12</stp>
        <stp>USPE415 ICPL Curncy</stp>
        <stp>ASK</stp>
        <stp>[XVLA.xls]Data!R85C15</stp>
        <tr r="O85" s="1"/>
      </tp>
      <tp>
        <v>2610</v>
        <stp/>
        <stp>##V3_BDPV12</stp>
        <stp>USPE525 ICPL Curncy</stp>
        <stp>ASK</stp>
        <stp>[XVLA.xls]Data!R86C17</stp>
        <tr r="Q86" s="1"/>
      </tp>
      <tp>
        <v>2022</v>
        <stp/>
        <stp>##V3_BDPV12</stp>
        <stp>USPE715 ICPL Curncy</stp>
        <stp>ASK</stp>
        <stp>[XVLA.xls]Data!R87C15</stp>
        <tr r="O87" s="1"/>
      </tp>
      <tp>
        <v>2392</v>
        <stp/>
        <stp>##V3_BDPV12</stp>
        <stp>USPE425 ICPL Curncy</stp>
        <stp>ASK</stp>
        <stp>[XVLA.xls]Data!R85C17</stp>
        <tr r="Q85" s="1"/>
      </tp>
      <tp>
        <v>2122</v>
        <stp/>
        <stp>##V3_BDPV12</stp>
        <stp>USPE325 ICPL Curncy</stp>
        <stp>ASK</stp>
        <stp>[XVLA.xls]Data!R84C17</stp>
        <tr r="Q84" s="1"/>
      </tp>
      <tp>
        <v>814</v>
        <stp/>
        <stp>##V3_BDPV12</stp>
        <stp>USPE115 ICPL Curncy</stp>
        <stp>ASK</stp>
        <stp>[XVLA.xls]Data!R81C15</stp>
        <tr r="O81" s="1"/>
      </tp>
      <tp>
        <v>1766</v>
        <stp/>
        <stp>##V3_BDPV12</stp>
        <stp>USPE225 ICPL Curncy</stp>
        <stp>ASK</stp>
        <stp>[XVLA.xls]Data!R83C17</stp>
        <tr r="Q83" s="1"/>
      </tp>
      <tp>
        <v>1424</v>
        <stp/>
        <stp>##V3_BDPV12</stp>
        <stp>USPE315 ICPL Curncy</stp>
        <stp>ASK</stp>
        <stp>[XVLA.xls]Data!R84C15</stp>
        <tr r="O84" s="1"/>
      </tp>
      <tp>
        <v>1247</v>
        <stp/>
        <stp>##V3_BDPV12</stp>
        <stp>USPE125 ICPL Curncy</stp>
        <stp>ASK</stp>
        <stp>[XVLA.xls]Data!R81C17</stp>
        <tr r="Q81" s="1"/>
      </tp>
      <tp>
        <v>1171</v>
        <stp/>
        <stp>##V3_BDPV12</stp>
        <stp>USPE215 ICPL Curncy</stp>
        <stp>ASK</stp>
        <stp>[XVLA.xls]Data!R83C15</stp>
        <tr r="O83" s="1"/>
      </tp>
      <tp>
        <v>65.650000000000006</v>
        <stp/>
        <stp>##V3_BDPV12</stp>
        <stp>USSN0C6 CMPN Curncy</stp>
        <stp>ASK</stp>
        <stp>[XVLA.xls]Data!R5C10</stp>
        <tr r="J5" s="1"/>
      </tp>
      <tp>
        <v>67.41</v>
        <stp/>
        <stp>##V3_BDPV12</stp>
        <stp>USSN0C7 CMPN Curncy</stp>
        <stp>ASK</stp>
        <stp>[XVLA.xls]Data!R5C11</stp>
        <tr r="K5" s="1"/>
      </tp>
      <tp t="s">
        <v>#N/A N/A</v>
        <stp/>
        <stp>##V3_BDPV12</stp>
        <stp>USSN087 CMPN Curncy</stp>
        <stp>ASK</stp>
        <stp>[XVLA.xls]Data!R16C11</stp>
        <tr r="K16" s="1"/>
      </tp>
      <tp t="s">
        <v>#N/A N/A</v>
        <stp/>
        <stp>##V3_BDPV12</stp>
        <stp>USSN097 CMPN Curncy</stp>
        <stp>ASK</stp>
        <stp>[XVLA.xls]Data!R17C11</stp>
        <tr r="K17" s="1"/>
      </tp>
      <tp>
        <v>76.599999999999994</v>
        <stp/>
        <stp>##V3_BDPV12</stp>
        <stp>USSN027 CMPN Curncy</stp>
        <stp>ASK</stp>
        <stp>[XVLA.xls]Data!R10C11</stp>
        <tr r="K10" s="1"/>
      </tp>
      <tp>
        <v>78.66</v>
        <stp/>
        <stp>##V3_BDPV12</stp>
        <stp>USSN037 CMPN Curncy</stp>
        <stp>ASK</stp>
        <stp>[XVLA.xls]Data!R11C11</stp>
        <tr r="K11" s="1"/>
      </tp>
      <tp t="s">
        <v>#N/A N/A</v>
        <stp/>
        <stp>##V3_BDPV12</stp>
        <stp>USSN067 CMPN Curncy</stp>
        <stp>ASK</stp>
        <stp>[XVLA.xls]Data!R14C11</stp>
        <tr r="K14" s="1"/>
      </tp>
      <tp>
        <v>78.44</v>
        <stp/>
        <stp>##V3_BDPV12</stp>
        <stp>USSN077 CMPN Curncy</stp>
        <stp>ASK</stp>
        <stp>[XVLA.xls]Data!R15C11</stp>
        <tr r="K15" s="1"/>
      </tp>
      <tp>
        <v>59.24</v>
        <stp/>
        <stp>##V3_BDPV12</stp>
        <stp>USSN307 CMPN Curncy</stp>
        <stp>ASK</stp>
        <stp>[XVLA.xls]Data!R22C11</stp>
        <tr r="K22" s="1"/>
      </tp>
      <tp>
        <v>79.78</v>
        <stp/>
        <stp>##V3_BDPV12</stp>
        <stp>USSN047 CMPN Curncy</stp>
        <stp>ASK</stp>
        <stp>[XVLA.xls]Data!R12C11</stp>
        <tr r="K12" s="1"/>
      </tp>
      <tp>
        <v>80.31</v>
        <stp/>
        <stp>##V3_BDPV12</stp>
        <stp>USSN057 CMPN Curncy</stp>
        <stp>ASK</stp>
        <stp>[XVLA.xls]Data!R13C11</stp>
        <tr r="K13" s="1"/>
      </tp>
      <tp>
        <v>77.510000000000005</v>
        <stp/>
        <stp>##V3_BDPV12</stp>
        <stp>USSN107 CMPN Curncy</stp>
        <stp>ASK</stp>
        <stp>[XVLA.xls]Data!R18C11</stp>
        <tr r="K18" s="1"/>
      </tp>
      <tp>
        <v>68.55</v>
        <stp/>
        <stp>##V3_BDPV12</stp>
        <stp>USSN157 CMPN Curncy</stp>
        <stp>ASK</stp>
        <stp>[XVLA.xls]Data!R19C11</stp>
        <tr r="K19" s="1"/>
      </tp>
      <tp>
        <v>63.6</v>
        <stp/>
        <stp>##V3_BDPV12</stp>
        <stp>USSN207 CMPN Curncy</stp>
        <stp>ASK</stp>
        <stp>[XVLA.xls]Data!R20C11</stp>
        <tr r="K20" s="1"/>
      </tp>
      <tp>
        <v>61.02</v>
        <stp/>
        <stp>##V3_BDPV12</stp>
        <stp>USSN257 CMPN Curncy</stp>
        <stp>ASK</stp>
        <stp>[XVLA.xls]Data!R21C11</stp>
        <tr r="K21" s="1"/>
      </tp>
      <tp>
        <v>65</v>
        <stp/>
        <stp>##V3_BDPV12</stp>
        <stp>USSN204 CMPN Curncy</stp>
        <stp>ASK</stp>
        <stp>[XVLA.xls]Data!R20C8</stp>
        <tr r="H20" s="1"/>
      </tp>
      <tp>
        <v>63.99</v>
        <stp/>
        <stp>##V3_BDPV12</stp>
        <stp>USSN205 CMPN Curncy</stp>
        <stp>ASK</stp>
        <stp>[XVLA.xls]Data!R20C9</stp>
        <tr r="I20" s="1"/>
      </tp>
      <tp>
        <v>68.03</v>
        <stp/>
        <stp>##V3_BDPV12</stp>
        <stp>USSN201 CMPN Curncy</stp>
        <stp>ASK</stp>
        <stp>[XVLA.xls]Data!R20C5</stp>
        <tr r="E20" s="1"/>
      </tp>
      <tp>
        <v>67.02</v>
        <stp/>
        <stp>##V3_BDPV12</stp>
        <stp>USSN202 CMPN Curncy</stp>
        <stp>ASK</stp>
        <stp>[XVLA.xls]Data!R20C6</stp>
        <tr r="F20" s="1"/>
      </tp>
      <tp>
        <v>66.010000000000005</v>
        <stp/>
        <stp>##V3_BDPV12</stp>
        <stp>USSN203 CMPN Curncy</stp>
        <stp>ASK</stp>
        <stp>[XVLA.xls]Data!R20C7</stp>
        <tr r="G20" s="1"/>
      </tp>
      <tp>
        <v>78.55</v>
        <stp/>
        <stp>##V3_BDPV12</stp>
        <stp>USSN044 CMPN Curncy</stp>
        <stp>ASK</stp>
        <stp>[XVLA.xls]Data!R12C8</stp>
        <tr r="H12" s="1"/>
      </tp>
      <tp>
        <v>80.06</v>
        <stp/>
        <stp>##V3_BDPV12</stp>
        <stp>USSN054 CMPN Curncy</stp>
        <stp>ASK</stp>
        <stp>[XVLA.xls]Data!R13C8</stp>
        <tr r="H13" s="1"/>
      </tp>
      <tp>
        <v>78.77</v>
        <stp/>
        <stp>##V3_BDPV12</stp>
        <stp>USSN045 CMPN Curncy</stp>
        <stp>ASK</stp>
        <stp>[XVLA.xls]Data!R12C9</stp>
        <tr r="I12" s="1"/>
      </tp>
      <tp>
        <v>80</v>
        <stp/>
        <stp>##V3_BDPV12</stp>
        <stp>USSN055 CMPN Curncy</stp>
        <stp>ASK</stp>
        <stp>[XVLA.xls]Data!R13C9</stp>
        <tr r="I13" s="1"/>
      </tp>
      <tp>
        <v>914</v>
        <stp/>
        <stp>##V3_BDPV12</stp>
        <stp>USPE105 ICPL Curncy</stp>
        <stp>ASK</stp>
        <stp>[XVLA.xls]Data!R88C9</stp>
        <tr r="I88" s="1"/>
      </tp>
      <tp>
        <v>740</v>
        <stp/>
        <stp>##V3_BDPV12</stp>
        <stp>USPE104 ICPL Curncy</stp>
        <stp>ASK</stp>
        <stp>[XVLA.xls]Data!R88C8</stp>
        <tr r="H88" s="1"/>
      </tp>
      <tp>
        <v>562</v>
        <stp/>
        <stp>##V3_BDPV12</stp>
        <stp>USPE103 ICPL Curncy</stp>
        <stp>ASK</stp>
        <stp>[XVLA.xls]Data!R88C7</stp>
        <tr r="G88" s="1"/>
      </tp>
      <tp>
        <v>77.5</v>
        <stp/>
        <stp>##V3_BDPV12</stp>
        <stp>USSN041 CMPN Curncy</stp>
        <stp>ASK</stp>
        <stp>[XVLA.xls]Data!R12C5</stp>
        <tr r="E12" s="1"/>
      </tp>
      <tp>
        <v>78.91</v>
        <stp/>
        <stp>##V3_BDPV12</stp>
        <stp>USSN051 CMPN Curncy</stp>
        <stp>ASK</stp>
        <stp>[XVLA.xls]Data!R13C5</stp>
        <tr r="E13" s="1"/>
      </tp>
      <tp>
        <v>379</v>
        <stp/>
        <stp>##V3_BDPV12</stp>
        <stp>USPE102 ICPL Curncy</stp>
        <stp>ASK</stp>
        <stp>[XVLA.xls]Data!R88C6</stp>
        <tr r="F88" s="1"/>
      </tp>
      <tp>
        <v>77.010000000000005</v>
        <stp/>
        <stp>##V3_BDPV12</stp>
        <stp>USSN042 CMPN Curncy</stp>
        <stp>ASK</stp>
        <stp>[XVLA.xls]Data!R12C6</stp>
        <tr r="F12" s="1"/>
      </tp>
      <tp>
        <v>80</v>
        <stp/>
        <stp>##V3_BDPV12</stp>
        <stp>USSN052 CMPN Curncy</stp>
        <stp>ASK</stp>
        <stp>[XVLA.xls]Data!R13C6</stp>
        <tr r="F13" s="1"/>
      </tp>
      <tp>
        <v>193</v>
        <stp/>
        <stp>##V3_BDPV12</stp>
        <stp>USPE101 ICPL Curncy</stp>
        <stp>ASK</stp>
        <stp>[XVLA.xls]Data!R88C5</stp>
        <tr r="E88" s="1"/>
      </tp>
      <tp>
        <v>78.25</v>
        <stp/>
        <stp>##V3_BDPV12</stp>
        <stp>USSN043 CMPN Curncy</stp>
        <stp>ASK</stp>
        <stp>[XVLA.xls]Data!R12C7</stp>
        <tr r="G12" s="1"/>
      </tp>
      <tp>
        <v>79.45</v>
        <stp/>
        <stp>##V3_BDPV12</stp>
        <stp>USSN053 CMPN Curncy</stp>
        <stp>ASK</stp>
        <stp>[XVLA.xls]Data!R13C7</stp>
        <tr r="G13" s="1"/>
      </tp>
      <tp>
        <v>79.819999999999993</v>
        <stp/>
        <stp>##V3_BDPV12</stp>
        <stp>USSN1F6 CMPN Curncy</stp>
        <stp>ASK</stp>
        <stp>[XVLA.xls]Data!R9C10</stp>
        <tr r="J9" s="1"/>
      </tp>
      <tp>
        <v>68.599999999999994</v>
        <stp/>
        <stp>##V3_BDPV12</stp>
        <stp>USSN0F6 CMPN Curncy</stp>
        <stp>ASK</stp>
        <stp>[XVLA.xls]Data!R6C10</stp>
        <tr r="J6" s="1"/>
      </tp>
      <tp>
        <v>82.01</v>
        <stp/>
        <stp>##V3_BDPV12</stp>
        <stp>USSN1F7 CMPN Curncy</stp>
        <stp>ASK</stp>
        <stp>[XVLA.xls]Data!R9C11</stp>
        <tr r="K9" s="1"/>
      </tp>
      <tp>
        <v>70.069999999999993</v>
        <stp/>
        <stp>##V3_BDPV12</stp>
        <stp>USSN0F7 CMPN Curncy</stp>
        <stp>ASK</stp>
        <stp>[XVLA.xls]Data!R6C11</stp>
        <tr r="K6" s="1"/>
      </tp>
      <tp>
        <v>270</v>
        <stp/>
        <stp>##V3_BDPV12</stp>
        <stp>USPEA20 ICPL Curncy</stp>
        <stp>ASK</stp>
        <stp>[XVLA.xls]Data!R76C16</stp>
        <tr r="P76" s="1"/>
      </tp>
      <tp>
        <v>264</v>
        <stp/>
        <stp>##V3_BDPV12</stp>
        <stp>USPEC10 ICPL Curncy</stp>
        <stp>ASK</stp>
        <stp>[XVLA.xls]Data!R78C14</stp>
        <tr r="N78" s="1"/>
      </tp>
      <tp t="s">
        <v>#N/A N/A</v>
        <stp/>
        <stp>##V3_BDPV12</stp>
        <stp>USPEB10 ICPL Curncy</stp>
        <stp>ASK</stp>
        <stp>[XVLA.xls]Data!R77C14</stp>
        <tr r="N77" s="1"/>
      </tp>
      <tp>
        <v>141</v>
        <stp/>
        <stp>##V3_BDPV12</stp>
        <stp>USPEA10 ICPL Curncy</stp>
        <stp>ASK</stp>
        <stp>[XVLA.xls]Data!R76C14</stp>
        <tr r="N76" s="1"/>
      </tp>
      <tp>
        <v>496</v>
        <stp/>
        <stp>##V3_BDPV12</stp>
        <stp>USPEC20 ICPL Curncy</stp>
        <stp>ASK</stp>
        <stp>[XVLA.xls]Data!R78C16</stp>
        <tr r="P78" s="1"/>
      </tp>
      <tp t="s">
        <v>#N/A N/A</v>
        <stp/>
        <stp>##V3_BDPV12</stp>
        <stp>USPEB20 ICPL Curncy</stp>
        <stp>ASK</stp>
        <stp>[XVLA.xls]Data!R77C16</stp>
        <tr r="P77" s="1"/>
      </tp>
      <tp t="s">
        <v>#N/A N/A</v>
        <stp/>
        <stp>##V3_BDPV12</stp>
        <stp>USPEI10 ICPL Curncy</stp>
        <stp>ASK</stp>
        <stp>[XVLA.xls]Data!R80C14</stp>
        <tr r="N80" s="1"/>
      </tp>
      <tp>
        <v>384</v>
        <stp/>
        <stp>##V3_BDPV12</stp>
        <stp>USPEF10 ICPL Curncy</stp>
        <stp>ASK</stp>
        <stp>[XVLA.xls]Data!R79C14</stp>
        <tr r="N79" s="1"/>
      </tp>
      <tp t="s">
        <v>#N/A N/A</v>
        <stp/>
        <stp>##V3_BDPV12</stp>
        <stp>USPEI20 ICPL Curncy</stp>
        <stp>ASK</stp>
        <stp>[XVLA.xls]Data!R80C16</stp>
        <tr r="P80" s="1"/>
      </tp>
      <tp>
        <v>718</v>
        <stp/>
        <stp>##V3_BDPV12</stp>
        <stp>USPEF20 ICPL Curncy</stp>
        <stp>ASK</stp>
        <stp>[XVLA.xls]Data!R79C16</stp>
        <tr r="P79" s="1"/>
      </tp>
      <tp t="s">
        <v>#N/A N/A</v>
        <stp/>
        <stp>##V3_BDPV12</stp>
        <stp>USPEI30 ICPL Curncy</stp>
        <stp>ASK</stp>
        <stp>[XVLA.xls]Data!R80C18</stp>
        <tr r="R80" s="1"/>
      </tp>
      <tp>
        <v>1000</v>
        <stp/>
        <stp>##V3_BDPV12</stp>
        <stp>USPEF30 ICPL Curncy</stp>
        <stp>ASK</stp>
        <stp>[XVLA.xls]Data!R79C18</stp>
        <tr r="R79" s="1"/>
      </tp>
      <tp>
        <v>698</v>
        <stp/>
        <stp>##V3_BDPV12</stp>
        <stp>USPEC30 ICPL Curncy</stp>
        <stp>ASK</stp>
        <stp>[XVLA.xls]Data!R78C18</stp>
        <tr r="R78" s="1"/>
      </tp>
      <tp t="s">
        <v>#N/A N/A</v>
        <stp/>
        <stp>##V3_BDPV12</stp>
        <stp>USPEB30 ICPL Curncy</stp>
        <stp>ASK</stp>
        <stp>[XVLA.xls]Data!R77C18</stp>
        <tr r="R77" s="1"/>
      </tp>
      <tp>
        <v>382</v>
        <stp/>
        <stp>##V3_BDPV12</stp>
        <stp>USPEA30 ICPL Curncy</stp>
        <stp>ASK</stp>
        <stp>[XVLA.xls]Data!R76C18</stp>
        <tr r="R76" s="1"/>
      </tp>
      <tp t="s">
        <v>#N/A Invalid Security</v>
        <stp/>
        <stp>##V3_BDPV12</stp>
        <stp>USPER30 ICPL Curncy</stp>
        <stp>ASK</stp>
        <stp>[XVLA.xls]Data!R82C18</stp>
        <tr r="R82" s="1"/>
      </tp>
      <tp t="s">
        <v>#N/A Invalid Security</v>
        <stp/>
        <stp>##V3_BDPV12</stp>
        <stp>USPER20 ICPL Curncy</stp>
        <stp>ASK</stp>
        <stp>[XVLA.xls]Data!R82C16</stp>
        <tr r="P82" s="1"/>
      </tp>
      <tp t="s">
        <v>#N/A Invalid Security</v>
        <stp/>
        <stp>##V3_BDPV12</stp>
        <stp>USPER10 ICPL Curncy</stp>
        <stp>ASK</stp>
        <stp>[XVLA.xls]Data!R82C14</stp>
        <tr r="N82" s="1"/>
      </tp>
      <tp>
        <v>1438</v>
        <stp/>
        <stp>##V3_BDPV12</stp>
        <stp>USPE130 ICPL Curncy</stp>
        <stp>ASK</stp>
        <stp>[XVLA.xls]Data!R81C18</stp>
        <tr r="R81" s="1"/>
      </tp>
      <tp>
        <v>2031</v>
        <stp/>
        <stp>##V3_BDPV12</stp>
        <stp>USPE230 ICPL Curncy</stp>
        <stp>ASK</stp>
        <stp>[XVLA.xls]Data!R83C18</stp>
        <tr r="R83" s="1"/>
      </tp>
      <tp>
        <v>2436</v>
        <stp/>
        <stp>##V3_BDPV12</stp>
        <stp>USPE330 ICPL Curncy</stp>
        <stp>ASK</stp>
        <stp>[XVLA.xls]Data!R84C18</stp>
        <tr r="R84" s="1"/>
      </tp>
      <tp>
        <v>2740</v>
        <stp/>
        <stp>##V3_BDPV12</stp>
        <stp>USPE430 ICPL Curncy</stp>
        <stp>ASK</stp>
        <stp>[XVLA.xls]Data!R85C18</stp>
        <tr r="R85" s="1"/>
      </tp>
      <tp>
        <v>2985</v>
        <stp/>
        <stp>##V3_BDPV12</stp>
        <stp>USPE530 ICPL Curncy</stp>
        <stp>ASK</stp>
        <stp>[XVLA.xls]Data!R86C18</stp>
        <tr r="R86" s="1"/>
      </tp>
      <tp>
        <v>3367</v>
        <stp/>
        <stp>##V3_BDPV12</stp>
        <stp>USPE730 ICPL Curncy</stp>
        <stp>ASK</stp>
        <stp>[XVLA.xls]Data!R87C18</stp>
        <tr r="R87" s="1"/>
      </tp>
      <tp>
        <v>1170</v>
        <stp/>
        <stp>##V3_BDPV12</stp>
        <stp>USPE410 ICPL Curncy</stp>
        <stp>ASK</stp>
        <stp>[XVLA.xls]Data!R85C14</stp>
        <tr r="N85" s="1"/>
      </tp>
      <tp>
        <v>2488</v>
        <stp/>
        <stp>##V3_BDPV12</stp>
        <stp>USPE720 ICPL Curncy</stp>
        <stp>ASK</stp>
        <stp>[XVLA.xls]Data!R87C16</stp>
        <tr r="P87" s="1"/>
      </tp>
      <tp>
        <v>1303</v>
        <stp/>
        <stp>##V3_BDPV12</stp>
        <stp>USPE510 ICPL Curncy</stp>
        <stp>ASK</stp>
        <stp>[XVLA.xls]Data!R86C14</stp>
        <tr r="N86" s="1"/>
      </tp>
      <tp>
        <v>2016</v>
        <stp/>
        <stp>##V3_BDPV12</stp>
        <stp>USPE420 ICPL Curncy</stp>
        <stp>ASK</stp>
        <stp>[XVLA.xls]Data!R85C16</stp>
        <tr r="P85" s="1"/>
      </tp>
      <tp>
        <v>2202</v>
        <stp/>
        <stp>##V3_BDPV12</stp>
        <stp>USPE520 ICPL Curncy</stp>
        <stp>ASK</stp>
        <stp>[XVLA.xls]Data!R86C16</stp>
        <tr r="P86" s="1"/>
      </tp>
      <tp>
        <v>1497</v>
        <stp/>
        <stp>##V3_BDPV12</stp>
        <stp>USPE710 ICPL Curncy</stp>
        <stp>ASK</stp>
        <stp>[XVLA.xls]Data!R87C14</stp>
        <tr r="N87" s="1"/>
      </tp>
      <tp>
        <v>1478</v>
        <stp/>
        <stp>##V3_BDPV12</stp>
        <stp>USPE220 ICPL Curncy</stp>
        <stp>ASK</stp>
        <stp>[XVLA.xls]Data!R83C16</stp>
        <tr r="P83" s="1"/>
      </tp>
      <tp>
        <v>1783</v>
        <stp/>
        <stp>##V3_BDPV12</stp>
        <stp>USPE320 ICPL Curncy</stp>
        <stp>ASK</stp>
        <stp>[XVLA.xls]Data!R84C16</stp>
        <tr r="P84" s="1"/>
      </tp>
      <tp>
        <v>565</v>
        <stp/>
        <stp>##V3_BDPV12</stp>
        <stp>USPE110 ICPL Curncy</stp>
        <stp>ASK</stp>
        <stp>[XVLA.xls]Data!R81C14</stp>
        <tr r="N81" s="1"/>
      </tp>
      <tp>
        <v>822</v>
        <stp/>
        <stp>##V3_BDPV12</stp>
        <stp>USPE210 ICPL Curncy</stp>
        <stp>ASK</stp>
        <stp>[XVLA.xls]Data!R83C14</stp>
        <tr r="N83" s="1"/>
      </tp>
      <tp>
        <v>1013</v>
        <stp/>
        <stp>##V3_BDPV12</stp>
        <stp>USPE310 ICPL Curncy</stp>
        <stp>ASK</stp>
        <stp>[XVLA.xls]Data!R84C14</stp>
        <tr r="N84" s="1"/>
      </tp>
      <tp>
        <v>1039</v>
        <stp/>
        <stp>##V3_BDPV12</stp>
        <stp>USPE120 ICPL Curncy</stp>
        <stp>ASK</stp>
        <stp>[XVLA.xls]Data!R81C16</stp>
        <tr r="P81" s="1"/>
      </tp>
      <tp>
        <v>62.04</v>
        <stp/>
        <stp>##V3_BDPV12</stp>
        <stp>USSN254 CMPN Curncy</stp>
        <stp>ASK</stp>
        <stp>[XVLA.xls]Data!R21C8</stp>
        <tr r="H21" s="1"/>
      </tp>
      <tp>
        <v>61.57</v>
        <stp/>
        <stp>##V3_BDPV12</stp>
        <stp>USSN255 CMPN Curncy</stp>
        <stp>ASK</stp>
        <stp>[XVLA.xls]Data!R21C9</stp>
        <tr r="I21" s="1"/>
      </tp>
      <tp>
        <v>63.44</v>
        <stp/>
        <stp>##V3_BDPV12</stp>
        <stp>USSN251 CMPN Curncy</stp>
        <stp>ASK</stp>
        <stp>[XVLA.xls]Data!R21C5</stp>
        <tr r="E21" s="1"/>
      </tp>
      <tp>
        <v>62.97</v>
        <stp/>
        <stp>##V3_BDPV12</stp>
        <stp>USSN252 CMPN Curncy</stp>
        <stp>ASK</stp>
        <stp>[XVLA.xls]Data!R21C6</stp>
        <tr r="F21" s="1"/>
      </tp>
      <tp>
        <v>62.5</v>
        <stp/>
        <stp>##V3_BDPV12</stp>
        <stp>USSN253 CMPN Curncy</stp>
        <stp>ASK</stp>
        <stp>[XVLA.xls]Data!R21C7</stp>
        <tr r="G2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Normalized Swaption Volatility</a:t>
            </a:r>
          </a:p>
        </c:rich>
      </c:tx>
      <c:layout>
        <c:manualLayout>
          <c:xMode val="edge"/>
          <c:yMode val="edge"/>
          <c:x val="0.35489275379039154"/>
          <c:y val="1.382476126654380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1182079806178"/>
          <c:y val="0.15437788018433179"/>
          <c:w val="0.84411413653434741"/>
          <c:h val="0.70276497695852536"/>
        </c:manualLayout>
      </c:layout>
      <c:lineChart>
        <c:grouping val="standard"/>
        <c:varyColors val="0"/>
        <c:ser>
          <c:idx val="0"/>
          <c:order val="0"/>
          <c:tx>
            <c:strRef>
              <c:f>Main!$L$14</c:f>
              <c:strCache>
                <c:ptCount val="1"/>
                <c:pt idx="0">
                  <c:v>1M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Main!$M$14:$X$14</c:f>
              <c:numCache>
                <c:formatCode>0.00_ ;[Red]\-0.00</c:formatCode>
                <c:ptCount val="12"/>
                <c:pt idx="0">
                  <c:v>31.27</c:v>
                </c:pt>
                <c:pt idx="1">
                  <c:v>43</c:v>
                </c:pt>
                <c:pt idx="2">
                  <c:v>50.07</c:v>
                </c:pt>
                <c:pt idx="3">
                  <c:v>54.6</c:v>
                </c:pt>
                <c:pt idx="4">
                  <c:v>58.54</c:v>
                </c:pt>
                <c:pt idx="5">
                  <c:v>60.94</c:v>
                </c:pt>
                <c:pt idx="6">
                  <c:v>62.88</c:v>
                </c:pt>
                <c:pt idx="7">
                  <c:v>64.965000000000003</c:v>
                </c:pt>
                <c:pt idx="8">
                  <c:v>67.400000000000006</c:v>
                </c:pt>
                <c:pt idx="9">
                  <c:v>68.05</c:v>
                </c:pt>
                <c:pt idx="10">
                  <c:v>68.650000000000006</c:v>
                </c:pt>
                <c:pt idx="11">
                  <c:v>70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Main!$L$15</c:f>
              <c:strCache>
                <c:ptCount val="1"/>
                <c:pt idx="0">
                  <c:v>2M</c:v>
                </c:pt>
              </c:strCache>
            </c:strRef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CC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Main!$M$15:$X$15</c:f>
              <c:numCache>
                <c:formatCode>0.00_ ;[Red]\-0.00</c:formatCode>
                <c:ptCount val="12"/>
                <c:pt idx="0">
                  <c:v>37.24</c:v>
                </c:pt>
                <c:pt idx="1">
                  <c:v>46.77</c:v>
                </c:pt>
                <c:pt idx="2">
                  <c:v>54.06</c:v>
                </c:pt>
                <c:pt idx="3">
                  <c:v>58.36</c:v>
                </c:pt>
                <c:pt idx="4">
                  <c:v>60.9</c:v>
                </c:pt>
                <c:pt idx="5">
                  <c:v>63.37</c:v>
                </c:pt>
                <c:pt idx="6">
                  <c:v>65.430000000000007</c:v>
                </c:pt>
                <c:pt idx="7">
                  <c:v>68.13</c:v>
                </c:pt>
                <c:pt idx="8">
                  <c:v>68.930000000000007</c:v>
                </c:pt>
                <c:pt idx="9">
                  <c:v>69.11</c:v>
                </c:pt>
                <c:pt idx="10">
                  <c:v>69.11</c:v>
                </c:pt>
                <c:pt idx="11">
                  <c:v>70.28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Main!$L$16</c:f>
              <c:strCache>
                <c:ptCount val="1"/>
                <c:pt idx="0">
                  <c:v>3M</c:v>
                </c:pt>
              </c:strCache>
            </c:strRef>
          </c:tx>
          <c:spPr>
            <a:ln w="25400">
              <a:solidFill>
                <a:srgbClr val="F7964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79646"/>
              </a:solidFill>
              <a:ln>
                <a:solidFill>
                  <a:srgbClr val="F79646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Main!$M$16:$X$16</c:f>
              <c:numCache>
                <c:formatCode>0.00_ ;[Red]\-0.00</c:formatCode>
                <c:ptCount val="12"/>
                <c:pt idx="0">
                  <c:v>39.08</c:v>
                </c:pt>
                <c:pt idx="1">
                  <c:v>49.5</c:v>
                </c:pt>
                <c:pt idx="2">
                  <c:v>56.34</c:v>
                </c:pt>
                <c:pt idx="3">
                  <c:v>60.79</c:v>
                </c:pt>
                <c:pt idx="4">
                  <c:v>63.8</c:v>
                </c:pt>
                <c:pt idx="5">
                  <c:v>65.650000000000006</c:v>
                </c:pt>
                <c:pt idx="6">
                  <c:v>67.41</c:v>
                </c:pt>
                <c:pt idx="7">
                  <c:v>70</c:v>
                </c:pt>
                <c:pt idx="8">
                  <c:v>71.11</c:v>
                </c:pt>
                <c:pt idx="9">
                  <c:v>70.8</c:v>
                </c:pt>
                <c:pt idx="10">
                  <c:v>71.17</c:v>
                </c:pt>
                <c:pt idx="11">
                  <c:v>72.27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Main!$L$17</c:f>
              <c:strCache>
                <c:ptCount val="1"/>
                <c:pt idx="0">
                  <c:v>6M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Main!$M$17:$X$17</c:f>
              <c:numCache>
                <c:formatCode>0.00_ ;[Red]\-0.00</c:formatCode>
                <c:ptCount val="12"/>
                <c:pt idx="0">
                  <c:v>43.77</c:v>
                </c:pt>
                <c:pt idx="1">
                  <c:v>53.31</c:v>
                </c:pt>
                <c:pt idx="2">
                  <c:v>59.84</c:v>
                </c:pt>
                <c:pt idx="3">
                  <c:v>64.27</c:v>
                </c:pt>
                <c:pt idx="4">
                  <c:v>66.959999999999994</c:v>
                </c:pt>
                <c:pt idx="5">
                  <c:v>68.599999999999994</c:v>
                </c:pt>
                <c:pt idx="6">
                  <c:v>70.069999999999993</c:v>
                </c:pt>
                <c:pt idx="7">
                  <c:v>72.05</c:v>
                </c:pt>
                <c:pt idx="8">
                  <c:v>72.599999999999994</c:v>
                </c:pt>
                <c:pt idx="9">
                  <c:v>72.59</c:v>
                </c:pt>
                <c:pt idx="10">
                  <c:v>73.2</c:v>
                </c:pt>
                <c:pt idx="11">
                  <c:v>73.55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Main!$L$18</c:f>
              <c:strCache>
                <c:ptCount val="1"/>
                <c:pt idx="0">
                  <c:v>9M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Main!$M$18:$X$18</c:f>
              <c:numCache>
                <c:formatCode>0.00_ ;[Red]\-0.00</c:formatCode>
                <c:ptCount val="12"/>
                <c:pt idx="0">
                  <c:v>47.88</c:v>
                </c:pt>
                <c:pt idx="1">
                  <c:v>57.09</c:v>
                </c:pt>
                <c:pt idx="2">
                  <c:v>62.72</c:v>
                </c:pt>
                <c:pt idx="3">
                  <c:v>66.11</c:v>
                </c:pt>
                <c:pt idx="4">
                  <c:v>68.81</c:v>
                </c:pt>
                <c:pt idx="5">
                  <c:v>70.61</c:v>
                </c:pt>
                <c:pt idx="6">
                  <c:v>71.94</c:v>
                </c:pt>
                <c:pt idx="7">
                  <c:v>73.77</c:v>
                </c:pt>
                <c:pt idx="8">
                  <c:v>74.150000000000006</c:v>
                </c:pt>
                <c:pt idx="9">
                  <c:v>73.7</c:v>
                </c:pt>
                <c:pt idx="10">
                  <c:v>73.83</c:v>
                </c:pt>
                <c:pt idx="11">
                  <c:v>74.36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Main!$L$19</c:f>
              <c:strCache>
                <c:ptCount val="1"/>
                <c:pt idx="0">
                  <c:v>1YR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Main!$M$19:$X$19</c:f>
              <c:numCache>
                <c:formatCode>0.00_ ;[Red]\-0.00</c:formatCode>
                <c:ptCount val="12"/>
                <c:pt idx="0">
                  <c:v>51.25</c:v>
                </c:pt>
                <c:pt idx="1">
                  <c:v>60</c:v>
                </c:pt>
                <c:pt idx="2">
                  <c:v>64.88</c:v>
                </c:pt>
                <c:pt idx="3">
                  <c:v>68.3</c:v>
                </c:pt>
                <c:pt idx="4">
                  <c:v>70.5</c:v>
                </c:pt>
                <c:pt idx="5">
                  <c:v>72.03</c:v>
                </c:pt>
                <c:pt idx="6">
                  <c:v>72.88</c:v>
                </c:pt>
                <c:pt idx="7">
                  <c:v>75.2</c:v>
                </c:pt>
                <c:pt idx="8">
                  <c:v>75.27</c:v>
                </c:pt>
                <c:pt idx="9">
                  <c:v>74.19</c:v>
                </c:pt>
                <c:pt idx="10">
                  <c:v>74.180000000000007</c:v>
                </c:pt>
                <c:pt idx="11">
                  <c:v>74.5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Main!$L$20</c:f>
              <c:strCache>
                <c:ptCount val="1"/>
                <c:pt idx="0">
                  <c:v>18M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Main!$M$20:$X$20</c:f>
              <c:numCache>
                <c:formatCode>0.00_ ;[Red]\-0.00</c:formatCode>
                <c:ptCount val="12"/>
                <c:pt idx="0">
                  <c:v>69.48</c:v>
                </c:pt>
                <c:pt idx="1">
                  <c:v>71.52</c:v>
                </c:pt>
                <c:pt idx="2">
                  <c:v>73.56</c:v>
                </c:pt>
                <c:pt idx="3">
                  <c:v>75.599999999999994</c:v>
                </c:pt>
                <c:pt idx="4">
                  <c:v>77.64</c:v>
                </c:pt>
                <c:pt idx="5">
                  <c:v>79.819999999999993</c:v>
                </c:pt>
                <c:pt idx="6">
                  <c:v>82.01</c:v>
                </c:pt>
                <c:pt idx="7">
                  <c:v>83.24</c:v>
                </c:pt>
                <c:pt idx="8">
                  <c:v>80.650000000000006</c:v>
                </c:pt>
                <c:pt idx="9">
                  <c:v>78.05</c:v>
                </c:pt>
                <c:pt idx="10">
                  <c:v>75.959999999999994</c:v>
                </c:pt>
                <c:pt idx="11">
                  <c:v>73.87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Main!$L$21</c:f>
              <c:strCache>
                <c:ptCount val="1"/>
                <c:pt idx="0">
                  <c:v>2YR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Main!$M$21:$X$21</c:f>
              <c:numCache>
                <c:formatCode>0.00_ ;[Red]\-0.00</c:formatCode>
                <c:ptCount val="12"/>
                <c:pt idx="0">
                  <c:v>63.39</c:v>
                </c:pt>
                <c:pt idx="1">
                  <c:v>67.88</c:v>
                </c:pt>
                <c:pt idx="2">
                  <c:v>71.010000000000005</c:v>
                </c:pt>
                <c:pt idx="3">
                  <c:v>73.52</c:v>
                </c:pt>
                <c:pt idx="4">
                  <c:v>74.25</c:v>
                </c:pt>
                <c:pt idx="5">
                  <c:v>75.599999999999994</c:v>
                </c:pt>
                <c:pt idx="6">
                  <c:v>76.599999999999994</c:v>
                </c:pt>
                <c:pt idx="7">
                  <c:v>77.87</c:v>
                </c:pt>
                <c:pt idx="8">
                  <c:v>76.75</c:v>
                </c:pt>
                <c:pt idx="9">
                  <c:v>75.08</c:v>
                </c:pt>
                <c:pt idx="10">
                  <c:v>74.95</c:v>
                </c:pt>
                <c:pt idx="11">
                  <c:v>74.849999999999994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Main!$L$22</c:f>
              <c:strCache>
                <c:ptCount val="1"/>
                <c:pt idx="0">
                  <c:v>3YR</c:v>
                </c:pt>
              </c:strCache>
            </c:strRef>
          </c:tx>
          <c:spPr>
            <a:ln w="12700">
              <a:solidFill>
                <a:srgbClr val="B8CCE4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B8CCE4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Main!$M$22:$X$22</c:f>
              <c:numCache>
                <c:formatCode>0.00_ ;[Red]\-0.00</c:formatCode>
                <c:ptCount val="12"/>
                <c:pt idx="0">
                  <c:v>71.84</c:v>
                </c:pt>
                <c:pt idx="1">
                  <c:v>73.25</c:v>
                </c:pt>
                <c:pt idx="2">
                  <c:v>74.39</c:v>
                </c:pt>
                <c:pt idx="3">
                  <c:v>76.28</c:v>
                </c:pt>
                <c:pt idx="4">
                  <c:v>77.06</c:v>
                </c:pt>
                <c:pt idx="5">
                  <c:v>77.930000000000007</c:v>
                </c:pt>
                <c:pt idx="6">
                  <c:v>78.66</c:v>
                </c:pt>
                <c:pt idx="7">
                  <c:v>79.06</c:v>
                </c:pt>
                <c:pt idx="8">
                  <c:v>77.150000000000006</c:v>
                </c:pt>
                <c:pt idx="9">
                  <c:v>74.36</c:v>
                </c:pt>
                <c:pt idx="10">
                  <c:v>74.290000000000006</c:v>
                </c:pt>
                <c:pt idx="11">
                  <c:v>73.87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Main!$L$23</c:f>
              <c:strCache>
                <c:ptCount val="1"/>
                <c:pt idx="0">
                  <c:v>4YR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Main!$M$23:$X$23</c:f>
              <c:numCache>
                <c:formatCode>0.00_ ;[Red]\-0.00</c:formatCode>
                <c:ptCount val="12"/>
                <c:pt idx="0">
                  <c:v>77.5</c:v>
                </c:pt>
                <c:pt idx="1">
                  <c:v>77.010000000000005</c:v>
                </c:pt>
                <c:pt idx="2">
                  <c:v>78.25</c:v>
                </c:pt>
                <c:pt idx="3">
                  <c:v>78.55</c:v>
                </c:pt>
                <c:pt idx="4">
                  <c:v>78.77</c:v>
                </c:pt>
                <c:pt idx="5">
                  <c:v>79.23</c:v>
                </c:pt>
                <c:pt idx="6">
                  <c:v>79.78</c:v>
                </c:pt>
                <c:pt idx="7">
                  <c:v>79.540000000000006</c:v>
                </c:pt>
                <c:pt idx="8">
                  <c:v>75.87</c:v>
                </c:pt>
                <c:pt idx="9">
                  <c:v>73.34</c:v>
                </c:pt>
                <c:pt idx="10">
                  <c:v>73.11</c:v>
                </c:pt>
                <c:pt idx="11">
                  <c:v>72.39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Main!$L$24</c:f>
              <c:strCache>
                <c:ptCount val="1"/>
                <c:pt idx="0">
                  <c:v>5YR</c:v>
                </c:pt>
              </c:strCache>
            </c:strRef>
          </c:tx>
          <c:spPr>
            <a:ln w="12700">
              <a:solidFill>
                <a:srgbClr val="D4E1D1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4E1D1"/>
              </a:solidFill>
              <a:ln>
                <a:solidFill>
                  <a:srgbClr val="D4E1D1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Main!$M$24:$X$24</c:f>
              <c:numCache>
                <c:formatCode>0.00_ ;[Red]\-0.00</c:formatCode>
                <c:ptCount val="12"/>
                <c:pt idx="0">
                  <c:v>78.91</c:v>
                </c:pt>
                <c:pt idx="1">
                  <c:v>80</c:v>
                </c:pt>
                <c:pt idx="2">
                  <c:v>79.45</c:v>
                </c:pt>
                <c:pt idx="3">
                  <c:v>80.06</c:v>
                </c:pt>
                <c:pt idx="4">
                  <c:v>80</c:v>
                </c:pt>
                <c:pt idx="5">
                  <c:v>80.06</c:v>
                </c:pt>
                <c:pt idx="6">
                  <c:v>80.31</c:v>
                </c:pt>
                <c:pt idx="7">
                  <c:v>79.8</c:v>
                </c:pt>
                <c:pt idx="8">
                  <c:v>75.47</c:v>
                </c:pt>
                <c:pt idx="9">
                  <c:v>72.3</c:v>
                </c:pt>
                <c:pt idx="10">
                  <c:v>72.069999999999993</c:v>
                </c:pt>
                <c:pt idx="11">
                  <c:v>71.39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Main!$L$25</c:f>
              <c:strCache>
                <c:ptCount val="1"/>
                <c:pt idx="0">
                  <c:v>6YR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Main!$M$25:$X$25</c:f>
              <c:numCache>
                <c:formatCode>0.00_ ;[Red]\-0.00</c:formatCode>
                <c:ptCount val="12"/>
                <c:pt idx="0">
                  <c:v>79.92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Main!$L$26</c:f>
              <c:strCache>
                <c:ptCount val="1"/>
                <c:pt idx="0">
                  <c:v>7YR</c:v>
                </c:pt>
              </c:strCache>
            </c:strRef>
          </c:tx>
          <c:spPr>
            <a:ln w="12700">
              <a:solidFill>
                <a:srgbClr val="DBE5F1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DBE5F1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Main!$M$26:$X$26</c:f>
              <c:numCache>
                <c:formatCode>0.00_ ;[Red]\-0.00</c:formatCode>
                <c:ptCount val="12"/>
                <c:pt idx="0">
                  <c:v>80.48</c:v>
                </c:pt>
                <c:pt idx="1">
                  <c:v>80.14</c:v>
                </c:pt>
                <c:pt idx="2">
                  <c:v>80.08</c:v>
                </c:pt>
                <c:pt idx="3">
                  <c:v>79.73</c:v>
                </c:pt>
                <c:pt idx="4">
                  <c:v>79.569999999999993</c:v>
                </c:pt>
                <c:pt idx="5">
                  <c:v>78.91</c:v>
                </c:pt>
                <c:pt idx="6">
                  <c:v>78.44</c:v>
                </c:pt>
                <c:pt idx="7">
                  <c:v>77.42</c:v>
                </c:pt>
                <c:pt idx="8">
                  <c:v>72.81</c:v>
                </c:pt>
                <c:pt idx="9">
                  <c:v>69.959999999999994</c:v>
                </c:pt>
                <c:pt idx="10">
                  <c:v>68.930000000000007</c:v>
                </c:pt>
                <c:pt idx="11">
                  <c:v>68.709999999999994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Main!$L$27</c:f>
              <c:strCache>
                <c:ptCount val="1"/>
                <c:pt idx="0">
                  <c:v>8YR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Main!$M$27:$X$27</c:f>
              <c:numCache>
                <c:formatCode>0.00_ ;[Red]\-0.00</c:formatCode>
                <c:ptCount val="12"/>
                <c:pt idx="0">
                  <c:v>78.7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Main!$L$28</c:f>
              <c:strCache>
                <c:ptCount val="1"/>
                <c:pt idx="0">
                  <c:v>9YR</c:v>
                </c:pt>
              </c:strCache>
            </c:strRef>
          </c:tx>
          <c:spPr>
            <a:ln w="12700">
              <a:solidFill>
                <a:srgbClr val="FFDDD5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DDD5"/>
              </a:solidFill>
              <a:ln>
                <a:solidFill>
                  <a:srgbClr val="FFDDD5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Main!$M$28:$X$28</c:f>
              <c:numCache>
                <c:formatCode>0.00_ ;[Red]\-0.00</c:formatCode>
                <c:ptCount val="12"/>
                <c:pt idx="0">
                  <c:v>78.400000000000006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Main!$L$29</c:f>
              <c:strCache>
                <c:ptCount val="1"/>
                <c:pt idx="0">
                  <c:v>10YR</c:v>
                </c:pt>
              </c:strCache>
            </c:strRef>
          </c:tx>
          <c:spPr>
            <a:ln w="12700">
              <a:solidFill>
                <a:srgbClr val="FFCC99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Main!$M$29:$X$29</c:f>
              <c:numCache>
                <c:formatCode>0.00_ ;[Red]\-0.00</c:formatCode>
                <c:ptCount val="12"/>
                <c:pt idx="0">
                  <c:v>87.46</c:v>
                </c:pt>
                <c:pt idx="1">
                  <c:v>84.6</c:v>
                </c:pt>
                <c:pt idx="2">
                  <c:v>81.73</c:v>
                </c:pt>
                <c:pt idx="3">
                  <c:v>78.87</c:v>
                </c:pt>
                <c:pt idx="4">
                  <c:v>76</c:v>
                </c:pt>
                <c:pt idx="5">
                  <c:v>76.75</c:v>
                </c:pt>
                <c:pt idx="6">
                  <c:v>77.510000000000005</c:v>
                </c:pt>
                <c:pt idx="7">
                  <c:v>73.31</c:v>
                </c:pt>
                <c:pt idx="8">
                  <c:v>73.739999999999995</c:v>
                </c:pt>
                <c:pt idx="9">
                  <c:v>67.709999999999994</c:v>
                </c:pt>
                <c:pt idx="10">
                  <c:v>65.239999999999995</c:v>
                </c:pt>
                <c:pt idx="11">
                  <c:v>62.77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Main!$L$30</c:f>
              <c:strCache>
                <c:ptCount val="1"/>
                <c:pt idx="0">
                  <c:v>15YR</c:v>
                </c:pt>
              </c:strCache>
            </c:strRef>
          </c:tx>
          <c:spPr>
            <a:ln w="12700">
              <a:solidFill>
                <a:srgbClr val="477AB7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477AB7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Main!$M$30:$X$30</c:f>
              <c:numCache>
                <c:formatCode>0.00_ ;[Red]\-0.00</c:formatCode>
                <c:ptCount val="12"/>
                <c:pt idx="0">
                  <c:v>75.069999999999993</c:v>
                </c:pt>
                <c:pt idx="1">
                  <c:v>73.36</c:v>
                </c:pt>
                <c:pt idx="2">
                  <c:v>71.650000000000006</c:v>
                </c:pt>
                <c:pt idx="3">
                  <c:v>69.94</c:v>
                </c:pt>
                <c:pt idx="4">
                  <c:v>68.23</c:v>
                </c:pt>
                <c:pt idx="5">
                  <c:v>68.39</c:v>
                </c:pt>
                <c:pt idx="6">
                  <c:v>68.55</c:v>
                </c:pt>
                <c:pt idx="7">
                  <c:v>69.05</c:v>
                </c:pt>
                <c:pt idx="8">
                  <c:v>64.040000000000006</c:v>
                </c:pt>
                <c:pt idx="9">
                  <c:v>59.03</c:v>
                </c:pt>
                <c:pt idx="10">
                  <c:v>56.76</c:v>
                </c:pt>
                <c:pt idx="11">
                  <c:v>54.49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Main!$L$31</c:f>
              <c:strCache>
                <c:ptCount val="1"/>
                <c:pt idx="0">
                  <c:v>20YR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Main!$M$31:$X$31</c:f>
              <c:numCache>
                <c:formatCode>0.00_ ;[Red]\-0.00</c:formatCode>
                <c:ptCount val="12"/>
                <c:pt idx="0">
                  <c:v>68.03</c:v>
                </c:pt>
                <c:pt idx="1">
                  <c:v>67.02</c:v>
                </c:pt>
                <c:pt idx="2">
                  <c:v>66.010000000000005</c:v>
                </c:pt>
                <c:pt idx="3">
                  <c:v>65</c:v>
                </c:pt>
                <c:pt idx="4">
                  <c:v>63.99</c:v>
                </c:pt>
                <c:pt idx="5">
                  <c:v>63.79</c:v>
                </c:pt>
                <c:pt idx="6">
                  <c:v>63.6</c:v>
                </c:pt>
                <c:pt idx="7">
                  <c:v>63.01</c:v>
                </c:pt>
                <c:pt idx="8">
                  <c:v>58.59</c:v>
                </c:pt>
                <c:pt idx="9">
                  <c:v>54.17</c:v>
                </c:pt>
                <c:pt idx="10">
                  <c:v>52</c:v>
                </c:pt>
                <c:pt idx="11">
                  <c:v>49.84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Main!$L$32</c:f>
              <c:strCache>
                <c:ptCount val="1"/>
                <c:pt idx="0">
                  <c:v>25YR</c:v>
                </c:pt>
              </c:strCache>
            </c:strRef>
          </c:tx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Main!$M$32:$X$32</c:f>
              <c:numCache>
                <c:formatCode>0.00_ ;[Red]\-0.00</c:formatCode>
                <c:ptCount val="12"/>
                <c:pt idx="0">
                  <c:v>63.44</c:v>
                </c:pt>
                <c:pt idx="1">
                  <c:v>62.97</c:v>
                </c:pt>
                <c:pt idx="2">
                  <c:v>62.5</c:v>
                </c:pt>
                <c:pt idx="3">
                  <c:v>62.04</c:v>
                </c:pt>
                <c:pt idx="4">
                  <c:v>61.57</c:v>
                </c:pt>
                <c:pt idx="5">
                  <c:v>61.29</c:v>
                </c:pt>
                <c:pt idx="6">
                  <c:v>61.02</c:v>
                </c:pt>
                <c:pt idx="7">
                  <c:v>60.19</c:v>
                </c:pt>
                <c:pt idx="8">
                  <c:v>56.98</c:v>
                </c:pt>
                <c:pt idx="9">
                  <c:v>53.77</c:v>
                </c:pt>
                <c:pt idx="10">
                  <c:v>52.15</c:v>
                </c:pt>
                <c:pt idx="11">
                  <c:v>50.53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Main!$L$33</c:f>
              <c:strCache>
                <c:ptCount val="1"/>
                <c:pt idx="0">
                  <c:v>30YR</c:v>
                </c:pt>
              </c:strCache>
            </c:strRef>
          </c:tx>
          <c:cat>
            <c:strRef>
              <c:f>Main!$M$13:$X$13</c:f>
              <c:strCache>
                <c:ptCount val="12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4YR</c:v>
                </c:pt>
                <c:pt idx="4">
                  <c:v>5YR</c:v>
                </c:pt>
                <c:pt idx="5">
                  <c:v>6YR</c:v>
                </c:pt>
                <c:pt idx="6">
                  <c:v>7YR</c:v>
                </c:pt>
                <c:pt idx="7">
                  <c:v>10YR</c:v>
                </c:pt>
                <c:pt idx="8">
                  <c:v>15YR</c:v>
                </c:pt>
                <c:pt idx="9">
                  <c:v>20YR</c:v>
                </c:pt>
                <c:pt idx="10">
                  <c:v>25YR</c:v>
                </c:pt>
                <c:pt idx="11">
                  <c:v>30YR</c:v>
                </c:pt>
              </c:strCache>
            </c:strRef>
          </c:cat>
          <c:val>
            <c:numRef>
              <c:f>Main!$M$33:$X$33</c:f>
              <c:numCache>
                <c:formatCode>0.00_ ;[Red]\-0.00</c:formatCode>
                <c:ptCount val="12"/>
                <c:pt idx="0">
                  <c:v>60.18</c:v>
                </c:pt>
                <c:pt idx="1">
                  <c:v>60.11</c:v>
                </c:pt>
                <c:pt idx="2">
                  <c:v>60.04</c:v>
                </c:pt>
                <c:pt idx="3">
                  <c:v>59.97</c:v>
                </c:pt>
                <c:pt idx="4">
                  <c:v>59.91</c:v>
                </c:pt>
                <c:pt idx="5">
                  <c:v>59.57</c:v>
                </c:pt>
                <c:pt idx="6">
                  <c:v>59.24</c:v>
                </c:pt>
                <c:pt idx="7">
                  <c:v>58.23</c:v>
                </c:pt>
                <c:pt idx="8">
                  <c:v>55.87</c:v>
                </c:pt>
                <c:pt idx="9">
                  <c:v>53.51</c:v>
                </c:pt>
                <c:pt idx="10">
                  <c:v>52.25</c:v>
                </c:pt>
                <c:pt idx="11">
                  <c:v>50.98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076608"/>
        <c:axId val="701078528"/>
      </c:lineChart>
      <c:catAx>
        <c:axId val="7010766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Calibri" panose="020F0502020204030204" pitchFamily="34" charset="0"/>
                <a:ea typeface="ＭＳ Ｐゴシック"/>
                <a:cs typeface="ＭＳ Ｐゴシック"/>
              </a:defRPr>
            </a:pPr>
            <a:endParaRPr lang="en-US"/>
          </a:p>
        </c:txPr>
        <c:crossAx val="701078528"/>
        <c:crossesAt val="0"/>
        <c:auto val="0"/>
        <c:lblAlgn val="ctr"/>
        <c:lblOffset val="100"/>
        <c:tickLblSkip val="1"/>
        <c:tickMarkSkip val="1"/>
        <c:noMultiLvlLbl val="0"/>
      </c:catAx>
      <c:valAx>
        <c:axId val="701078528"/>
        <c:scaling>
          <c:orientation val="minMax"/>
        </c:scaling>
        <c:delete val="0"/>
        <c:axPos val="l"/>
        <c:majorGridlines>
          <c:spPr>
            <a:ln w="3175">
              <a:pattFill prst="pct25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Calibri" panose="020F0502020204030204" pitchFamily="34" charset="0"/>
                <a:ea typeface="ＭＳ Ｐゴシック"/>
                <a:cs typeface="ＭＳ Ｐゴシック"/>
              </a:defRPr>
            </a:pPr>
            <a:endParaRPr lang="en-US"/>
          </a:p>
        </c:txPr>
        <c:crossAx val="701076608"/>
        <c:crosses val="autoZero"/>
        <c:crossBetween val="between"/>
      </c:valAx>
      <c:spPr>
        <a:solidFill>
          <a:srgbClr val="EEEEEE"/>
        </a:solidFill>
        <a:ln w="12700">
          <a:solidFill>
            <a:srgbClr val="7D7D7D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5022602943862788"/>
          <c:y val="7.6424638409560514E-2"/>
          <c:w val="0.52283060771249745"/>
          <c:h val="0.155443346177472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Cap Market</a:t>
            </a:r>
          </a:p>
        </c:rich>
      </c:tx>
      <c:layout>
        <c:manualLayout>
          <c:xMode val="edge"/>
          <c:yMode val="edge"/>
          <c:x val="0.42691035180235493"/>
          <c:y val="1.44507588725322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94019933554817"/>
          <c:y val="0.23988473159311155"/>
          <c:w val="0.84053156146179397"/>
          <c:h val="0.57225514283657941"/>
        </c:manualLayout>
      </c:layout>
      <c:lineChart>
        <c:grouping val="standard"/>
        <c:varyColors val="0"/>
        <c:ser>
          <c:idx val="2"/>
          <c:order val="0"/>
          <c:tx>
            <c:strRef>
              <c:f>Main!$L$41</c:f>
              <c:strCache>
                <c:ptCount val="1"/>
                <c:pt idx="0">
                  <c:v>1 YR</c:v>
                </c:pt>
              </c:strCache>
            </c:strRef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CC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Main!$M$41:$AP$41</c:f>
              <c:numCache>
                <c:formatCode>0.00_ ;[Red]\-0.00</c:formatCode>
                <c:ptCount val="30"/>
                <c:pt idx="0">
                  <c:v>31.715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31.8</c:v>
                </c:pt>
                <c:pt idx="6">
                  <c:v>31.105</c:v>
                </c:pt>
                <c:pt idx="7">
                  <c:v>32.020000000000003</c:v>
                </c:pt>
                <c:pt idx="8">
                  <c:v>#N/A</c:v>
                </c:pt>
                <c:pt idx="9">
                  <c:v>34.695</c:v>
                </c:pt>
                <c:pt idx="10">
                  <c:v>37.07</c:v>
                </c:pt>
                <c:pt idx="11">
                  <c:v>39.024999999999999</c:v>
                </c:pt>
                <c:pt idx="12">
                  <c:v>40.655000000000001</c:v>
                </c:pt>
                <c:pt idx="13">
                  <c:v>42.04</c:v>
                </c:pt>
                <c:pt idx="14">
                  <c:v>43.25</c:v>
                </c:pt>
                <c:pt idx="15">
                  <c:v>44.314999999999998</c:v>
                </c:pt>
                <c:pt idx="16">
                  <c:v>31.8</c:v>
                </c:pt>
                <c:pt idx="17">
                  <c:v>46.134999999999998</c:v>
                </c:pt>
                <c:pt idx="18">
                  <c:v>46.92</c:v>
                </c:pt>
                <c:pt idx="19">
                  <c:v>47.645000000000003</c:v>
                </c:pt>
                <c:pt idx="20">
                  <c:v>48.32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Main!$L$42</c:f>
              <c:strCache>
                <c:ptCount val="1"/>
                <c:pt idx="0">
                  <c:v>2 YR</c:v>
                </c:pt>
              </c:strCache>
            </c:strRef>
          </c:tx>
          <c:spPr>
            <a:ln w="25400">
              <a:solidFill>
                <a:srgbClr val="F7964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79646"/>
              </a:solidFill>
              <a:ln>
                <a:solidFill>
                  <a:srgbClr val="F79646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Main!$M$42:$AP$42</c:f>
              <c:numCache>
                <c:formatCode>0.00_ ;[Red]\-0.00</c:formatCode>
                <c:ptCount val="30"/>
                <c:pt idx="0">
                  <c:v>49.445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50.454999999999998</c:v>
                </c:pt>
                <c:pt idx="6">
                  <c:v>48.585000000000001</c:v>
                </c:pt>
                <c:pt idx="7">
                  <c:v>47.215000000000003</c:v>
                </c:pt>
                <c:pt idx="8">
                  <c:v>#N/A</c:v>
                </c:pt>
                <c:pt idx="9">
                  <c:v>44.1</c:v>
                </c:pt>
                <c:pt idx="10">
                  <c:v>42.18</c:v>
                </c:pt>
                <c:pt idx="11">
                  <c:v>41.064999999999998</c:v>
                </c:pt>
                <c:pt idx="12">
                  <c:v>40.380000000000003</c:v>
                </c:pt>
                <c:pt idx="13">
                  <c:v>39.914999999999999</c:v>
                </c:pt>
                <c:pt idx="14">
                  <c:v>39.590000000000003</c:v>
                </c:pt>
                <c:pt idx="15">
                  <c:v>39.35</c:v>
                </c:pt>
                <c:pt idx="16">
                  <c:v>39.159999999999997</c:v>
                </c:pt>
                <c:pt idx="17">
                  <c:v>39.01</c:v>
                </c:pt>
                <c:pt idx="18">
                  <c:v>38.89</c:v>
                </c:pt>
                <c:pt idx="19">
                  <c:v>38.79</c:v>
                </c:pt>
                <c:pt idx="20">
                  <c:v>38.71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Main!$L$43</c:f>
              <c:strCache>
                <c:ptCount val="1"/>
                <c:pt idx="0">
                  <c:v>3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Main!$M$43:$AP$43</c:f>
              <c:numCache>
                <c:formatCode>0.00_ ;[Red]\-0.00</c:formatCode>
                <c:ptCount val="30"/>
                <c:pt idx="0">
                  <c:v>47.54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48.634999999999998</c:v>
                </c:pt>
                <c:pt idx="6">
                  <c:v>46.68</c:v>
                </c:pt>
                <c:pt idx="7">
                  <c:v>45.2</c:v>
                </c:pt>
                <c:pt idx="8">
                  <c:v>#N/A</c:v>
                </c:pt>
                <c:pt idx="9">
                  <c:v>42.84</c:v>
                </c:pt>
                <c:pt idx="10">
                  <c:v>41.5</c:v>
                </c:pt>
                <c:pt idx="11">
                  <c:v>40.615000000000002</c:v>
                </c:pt>
                <c:pt idx="12">
                  <c:v>39.935000000000002</c:v>
                </c:pt>
                <c:pt idx="13">
                  <c:v>39.375</c:v>
                </c:pt>
                <c:pt idx="14">
                  <c:v>38.89</c:v>
                </c:pt>
                <c:pt idx="15">
                  <c:v>38.465000000000003</c:v>
                </c:pt>
                <c:pt idx="16">
                  <c:v>38.090000000000003</c:v>
                </c:pt>
                <c:pt idx="17">
                  <c:v>37.744999999999997</c:v>
                </c:pt>
                <c:pt idx="18">
                  <c:v>37.435000000000002</c:v>
                </c:pt>
                <c:pt idx="19">
                  <c:v>37.15</c:v>
                </c:pt>
                <c:pt idx="20">
                  <c:v>36.89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Main!$L$44</c:f>
              <c:strCache>
                <c:ptCount val="1"/>
                <c:pt idx="0">
                  <c:v>4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Main!$M$44:$AP$44</c:f>
              <c:numCache>
                <c:formatCode>0.00_ ;[Red]\-0.00</c:formatCode>
                <c:ptCount val="30"/>
                <c:pt idx="0">
                  <c:v>49.53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51.064999999999998</c:v>
                </c:pt>
                <c:pt idx="6">
                  <c:v>48.625</c:v>
                </c:pt>
                <c:pt idx="7">
                  <c:v>46.945</c:v>
                </c:pt>
                <c:pt idx="8">
                  <c:v>#N/A</c:v>
                </c:pt>
                <c:pt idx="9">
                  <c:v>44.4</c:v>
                </c:pt>
                <c:pt idx="10">
                  <c:v>42.655000000000001</c:v>
                </c:pt>
                <c:pt idx="11">
                  <c:v>41.265000000000001</c:v>
                </c:pt>
                <c:pt idx="12">
                  <c:v>40.090000000000003</c:v>
                </c:pt>
                <c:pt idx="13">
                  <c:v>39.064999999999998</c:v>
                </c:pt>
                <c:pt idx="14">
                  <c:v>38.159999999999997</c:v>
                </c:pt>
                <c:pt idx="15">
                  <c:v>37.354999999999997</c:v>
                </c:pt>
                <c:pt idx="16">
                  <c:v>36.634999999999998</c:v>
                </c:pt>
                <c:pt idx="17">
                  <c:v>35.984999999999999</c:v>
                </c:pt>
                <c:pt idx="18">
                  <c:v>35.39</c:v>
                </c:pt>
                <c:pt idx="19">
                  <c:v>34.85</c:v>
                </c:pt>
                <c:pt idx="20">
                  <c:v>34.354999999999997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Main!$L$45</c:f>
              <c:strCache>
                <c:ptCount val="1"/>
                <c:pt idx="0">
                  <c:v>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Main!$M$45:$AP$45</c:f>
              <c:numCache>
                <c:formatCode>0.00_ ;[Red]\-0.00</c:formatCode>
                <c:ptCount val="30"/>
                <c:pt idx="0">
                  <c:v>50.395000000000003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52.6</c:v>
                </c:pt>
                <c:pt idx="6">
                  <c:v>49.564999999999998</c:v>
                </c:pt>
                <c:pt idx="7">
                  <c:v>47.475000000000001</c:v>
                </c:pt>
                <c:pt idx="8">
                  <c:v>#N/A</c:v>
                </c:pt>
                <c:pt idx="9">
                  <c:v>44.335000000000001</c:v>
                </c:pt>
                <c:pt idx="10">
                  <c:v>42.06</c:v>
                </c:pt>
                <c:pt idx="11">
                  <c:v>40.24</c:v>
                </c:pt>
                <c:pt idx="12">
                  <c:v>38.72</c:v>
                </c:pt>
                <c:pt idx="13">
                  <c:v>37.435000000000002</c:v>
                </c:pt>
                <c:pt idx="14">
                  <c:v>36.33</c:v>
                </c:pt>
                <c:pt idx="15">
                  <c:v>35.369999999999997</c:v>
                </c:pt>
                <c:pt idx="16">
                  <c:v>34.53</c:v>
                </c:pt>
                <c:pt idx="17">
                  <c:v>33.79</c:v>
                </c:pt>
                <c:pt idx="18">
                  <c:v>33.125</c:v>
                </c:pt>
                <c:pt idx="19">
                  <c:v>32.534999999999997</c:v>
                </c:pt>
                <c:pt idx="20">
                  <c:v>32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Main!$L$46</c:f>
              <c:strCache>
                <c:ptCount val="1"/>
                <c:pt idx="0">
                  <c:v>6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Main!$M$46:$AP$46</c:f>
              <c:numCache>
                <c:formatCode>0.00_ ;[Red]\-0.00</c:formatCode>
                <c:ptCount val="30"/>
                <c:pt idx="0">
                  <c:v>50.57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55</c:v>
                </c:pt>
                <c:pt idx="6">
                  <c:v>49.68</c:v>
                </c:pt>
                <c:pt idx="7">
                  <c:v>46.305</c:v>
                </c:pt>
                <c:pt idx="8">
                  <c:v>#N/A</c:v>
                </c:pt>
                <c:pt idx="9">
                  <c:v>42.1</c:v>
                </c:pt>
                <c:pt idx="10">
                  <c:v>39.765000000000001</c:v>
                </c:pt>
                <c:pt idx="11">
                  <c:v>38.295000000000002</c:v>
                </c:pt>
                <c:pt idx="12">
                  <c:v>37.32</c:v>
                </c:pt>
                <c:pt idx="13">
                  <c:v>36.685000000000002</c:v>
                </c:pt>
                <c:pt idx="14">
                  <c:v>36.295000000000002</c:v>
                </c:pt>
                <c:pt idx="15">
                  <c:v>36.094999999999999</c:v>
                </c:pt>
                <c:pt idx="16">
                  <c:v>36.03</c:v>
                </c:pt>
                <c:pt idx="17">
                  <c:v>36.06</c:v>
                </c:pt>
                <c:pt idx="18">
                  <c:v>36.15</c:v>
                </c:pt>
                <c:pt idx="19">
                  <c:v>36.29</c:v>
                </c:pt>
                <c:pt idx="20">
                  <c:v>36.450000000000003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Main!$L$47</c:f>
              <c:strCache>
                <c:ptCount val="1"/>
                <c:pt idx="0">
                  <c:v>7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Main!$M$47:$AP$47</c:f>
              <c:numCache>
                <c:formatCode>0.00_ ;[Red]\-0.00</c:formatCode>
                <c:ptCount val="30"/>
                <c:pt idx="0">
                  <c:v>50.634999999999998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56.774999999999999</c:v>
                </c:pt>
                <c:pt idx="6">
                  <c:v>50.185000000000002</c:v>
                </c:pt>
                <c:pt idx="7">
                  <c:v>46.05</c:v>
                </c:pt>
                <c:pt idx="8">
                  <c:v>#N/A</c:v>
                </c:pt>
                <c:pt idx="9">
                  <c:v>40.880000000000003</c:v>
                </c:pt>
                <c:pt idx="10">
                  <c:v>37.895000000000003</c:v>
                </c:pt>
                <c:pt idx="11">
                  <c:v>35.965000000000003</c:v>
                </c:pt>
                <c:pt idx="12">
                  <c:v>34.659999999999997</c:v>
                </c:pt>
                <c:pt idx="13">
                  <c:v>33.795000000000002</c:v>
                </c:pt>
                <c:pt idx="14">
                  <c:v>33.265000000000001</c:v>
                </c:pt>
                <c:pt idx="15">
                  <c:v>32.99</c:v>
                </c:pt>
                <c:pt idx="16">
                  <c:v>32.89</c:v>
                </c:pt>
                <c:pt idx="17">
                  <c:v>32.909999999999997</c:v>
                </c:pt>
                <c:pt idx="18">
                  <c:v>33</c:v>
                </c:pt>
                <c:pt idx="19">
                  <c:v>33.119999999999997</c:v>
                </c:pt>
                <c:pt idx="20">
                  <c:v>33.265000000000001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Main!$L$48</c:f>
              <c:strCache>
                <c:ptCount val="1"/>
                <c:pt idx="0">
                  <c:v>8 YR</c:v>
                </c:pt>
              </c:strCache>
            </c:strRef>
          </c:tx>
          <c:spPr>
            <a:ln w="12700">
              <a:solidFill>
                <a:srgbClr val="B8CCE4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B8CCE4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Main!$M$48:$AP$48</c:f>
              <c:numCache>
                <c:formatCode>0.00_ ;[Red]\-0.00</c:formatCode>
                <c:ptCount val="30"/>
                <c:pt idx="0">
                  <c:v>50.34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58.335000000000001</c:v>
                </c:pt>
                <c:pt idx="6">
                  <c:v>50.47</c:v>
                </c:pt>
                <c:pt idx="7">
                  <c:v>45.68</c:v>
                </c:pt>
                <c:pt idx="8">
                  <c:v>#N/A</c:v>
                </c:pt>
                <c:pt idx="9">
                  <c:v>40.020000000000003</c:v>
                </c:pt>
                <c:pt idx="10">
                  <c:v>37.07</c:v>
                </c:pt>
                <c:pt idx="11">
                  <c:v>35.39</c:v>
                </c:pt>
                <c:pt idx="12">
                  <c:v>34.409999999999997</c:v>
                </c:pt>
                <c:pt idx="13">
                  <c:v>33.869999999999997</c:v>
                </c:pt>
                <c:pt idx="14">
                  <c:v>33.625</c:v>
                </c:pt>
                <c:pt idx="15">
                  <c:v>33.564999999999998</c:v>
                </c:pt>
                <c:pt idx="16">
                  <c:v>33.615000000000002</c:v>
                </c:pt>
                <c:pt idx="17">
                  <c:v>33.729999999999997</c:v>
                </c:pt>
                <c:pt idx="18">
                  <c:v>33.869999999999997</c:v>
                </c:pt>
                <c:pt idx="19">
                  <c:v>34.020000000000003</c:v>
                </c:pt>
                <c:pt idx="20">
                  <c:v>34.18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9"/>
          <c:order val="8"/>
          <c:tx>
            <c:strRef>
              <c:f>Main!$L$49</c:f>
              <c:strCache>
                <c:ptCount val="1"/>
                <c:pt idx="0">
                  <c:v>9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Main!$M$49:$AP$49</c:f>
              <c:numCache>
                <c:formatCode>0.00_ ;[Red]\-0.00</c:formatCode>
                <c:ptCount val="30"/>
                <c:pt idx="0">
                  <c:v>49.685000000000002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59.484999999999999</c:v>
                </c:pt>
                <c:pt idx="6">
                  <c:v>50.494999999999997</c:v>
                </c:pt>
                <c:pt idx="7">
                  <c:v>45.134999999999998</c:v>
                </c:pt>
                <c:pt idx="8">
                  <c:v>#N/A</c:v>
                </c:pt>
                <c:pt idx="9">
                  <c:v>39</c:v>
                </c:pt>
                <c:pt idx="10">
                  <c:v>35.97</c:v>
                </c:pt>
                <c:pt idx="11">
                  <c:v>34.354999999999997</c:v>
                </c:pt>
                <c:pt idx="12">
                  <c:v>33.475000000000001</c:v>
                </c:pt>
                <c:pt idx="13">
                  <c:v>33.020000000000003</c:v>
                </c:pt>
                <c:pt idx="14">
                  <c:v>32.82</c:v>
                </c:pt>
                <c:pt idx="15">
                  <c:v>32.78</c:v>
                </c:pt>
                <c:pt idx="16">
                  <c:v>32.82</c:v>
                </c:pt>
                <c:pt idx="17">
                  <c:v>32.92</c:v>
                </c:pt>
                <c:pt idx="18">
                  <c:v>33.03</c:v>
                </c:pt>
                <c:pt idx="19">
                  <c:v>33.159999999999997</c:v>
                </c:pt>
                <c:pt idx="20">
                  <c:v>33.28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0"/>
          <c:order val="9"/>
          <c:tx>
            <c:strRef>
              <c:f>Main!$L$50</c:f>
              <c:strCache>
                <c:ptCount val="1"/>
                <c:pt idx="0">
                  <c:v>10 YR</c:v>
                </c:pt>
              </c:strCache>
            </c:strRef>
          </c:tx>
          <c:spPr>
            <a:ln w="12700">
              <a:solidFill>
                <a:srgbClr val="D4E1D1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4E1D1"/>
              </a:solidFill>
              <a:ln>
                <a:solidFill>
                  <a:srgbClr val="D4E1D1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Main!$M$50:$AP$50</c:f>
              <c:numCache>
                <c:formatCode>0.00_ ;[Red]\-0.00</c:formatCode>
                <c:ptCount val="30"/>
                <c:pt idx="0">
                  <c:v>48.26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57.85</c:v>
                </c:pt>
                <c:pt idx="6">
                  <c:v>49.55</c:v>
                </c:pt>
                <c:pt idx="7">
                  <c:v>44.555</c:v>
                </c:pt>
                <c:pt idx="8">
                  <c:v>#N/A</c:v>
                </c:pt>
                <c:pt idx="9">
                  <c:v>38.82</c:v>
                </c:pt>
                <c:pt idx="10">
                  <c:v>35.92</c:v>
                </c:pt>
                <c:pt idx="11">
                  <c:v>34.284999999999997</c:v>
                </c:pt>
                <c:pt idx="12">
                  <c:v>33.28</c:v>
                </c:pt>
                <c:pt idx="13">
                  <c:v>32.630000000000003</c:v>
                </c:pt>
                <c:pt idx="14">
                  <c:v>32.200000000000003</c:v>
                </c:pt>
                <c:pt idx="15">
                  <c:v>31.91</c:v>
                </c:pt>
                <c:pt idx="16">
                  <c:v>31.704999999999998</c:v>
                </c:pt>
                <c:pt idx="17">
                  <c:v>31.57</c:v>
                </c:pt>
                <c:pt idx="18">
                  <c:v>31.48</c:v>
                </c:pt>
                <c:pt idx="19">
                  <c:v>31.43</c:v>
                </c:pt>
                <c:pt idx="20">
                  <c:v>31.4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1"/>
          <c:order val="10"/>
          <c:tx>
            <c:strRef>
              <c:f>Main!$L$51</c:f>
              <c:strCache>
                <c:ptCount val="1"/>
                <c:pt idx="0">
                  <c:v>12 YR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Main!$M$51:$AP$51</c:f>
              <c:numCache>
                <c:formatCode>0.00_ ;[Red]\-0.00</c:formatCode>
                <c:ptCount val="30"/>
                <c:pt idx="0">
                  <c:v>46.704999999999998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59.325000000000003</c:v>
                </c:pt>
                <c:pt idx="6">
                  <c:v>49.27</c:v>
                </c:pt>
                <c:pt idx="7">
                  <c:v>43.44</c:v>
                </c:pt>
                <c:pt idx="8">
                  <c:v>37.17</c:v>
                </c:pt>
                <c:pt idx="9">
                  <c:v>35.520000000000003</c:v>
                </c:pt>
                <c:pt idx="10">
                  <c:v>34.4</c:v>
                </c:pt>
                <c:pt idx="11">
                  <c:v>33.08</c:v>
                </c:pt>
                <c:pt idx="12">
                  <c:v>32.42</c:v>
                </c:pt>
                <c:pt idx="13">
                  <c:v>32.1</c:v>
                </c:pt>
                <c:pt idx="14">
                  <c:v>31.97</c:v>
                </c:pt>
                <c:pt idx="15">
                  <c:v>31.96</c:v>
                </c:pt>
                <c:pt idx="16">
                  <c:v>32.01</c:v>
                </c:pt>
                <c:pt idx="17">
                  <c:v>32.11</c:v>
                </c:pt>
                <c:pt idx="18">
                  <c:v>32.229999999999997</c:v>
                </c:pt>
                <c:pt idx="19">
                  <c:v>32.369999999999997</c:v>
                </c:pt>
                <c:pt idx="20">
                  <c:v>32.520000000000003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2"/>
          <c:order val="11"/>
          <c:tx>
            <c:strRef>
              <c:f>Main!$L$52</c:f>
              <c:strCache>
                <c:ptCount val="1"/>
                <c:pt idx="0">
                  <c:v>15 YR</c:v>
                </c:pt>
              </c:strCache>
            </c:strRef>
          </c:tx>
          <c:spPr>
            <a:ln w="12700">
              <a:solidFill>
                <a:srgbClr val="DBE5F1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DBE5F1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Main!$M$52:$AP$52</c:f>
              <c:numCache>
                <c:formatCode>0.00_ ;[Red]\-0.00</c:formatCode>
                <c:ptCount val="30"/>
                <c:pt idx="0">
                  <c:v>42.865000000000002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54.88</c:v>
                </c:pt>
                <c:pt idx="6">
                  <c:v>46.06</c:v>
                </c:pt>
                <c:pt idx="7">
                  <c:v>40.89</c:v>
                </c:pt>
                <c:pt idx="8">
                  <c:v>35.32</c:v>
                </c:pt>
                <c:pt idx="9">
                  <c:v>33.85</c:v>
                </c:pt>
                <c:pt idx="10">
                  <c:v>32.840000000000003</c:v>
                </c:pt>
                <c:pt idx="11">
                  <c:v>31.63</c:v>
                </c:pt>
                <c:pt idx="12">
                  <c:v>31.01</c:v>
                </c:pt>
                <c:pt idx="13">
                  <c:v>30.7</c:v>
                </c:pt>
                <c:pt idx="14">
                  <c:v>30.55</c:v>
                </c:pt>
                <c:pt idx="15">
                  <c:v>30.51</c:v>
                </c:pt>
                <c:pt idx="16">
                  <c:v>30.52</c:v>
                </c:pt>
                <c:pt idx="17">
                  <c:v>30.58</c:v>
                </c:pt>
                <c:pt idx="18">
                  <c:v>30.65</c:v>
                </c:pt>
                <c:pt idx="19">
                  <c:v>30.74</c:v>
                </c:pt>
                <c:pt idx="20">
                  <c:v>30.84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3"/>
          <c:order val="12"/>
          <c:tx>
            <c:strRef>
              <c:f>Main!$L$53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Main!$M$53:$AP$53</c:f>
              <c:numCache>
                <c:formatCode>0.00_ ;[Red]\-0.00</c:formatCode>
                <c:ptCount val="30"/>
                <c:pt idx="0">
                  <c:v>39.340000000000003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52.74</c:v>
                </c:pt>
                <c:pt idx="6">
                  <c:v>43.494999999999997</c:v>
                </c:pt>
                <c:pt idx="7">
                  <c:v>38.21</c:v>
                </c:pt>
                <c:pt idx="8">
                  <c:v>32.880000000000003</c:v>
                </c:pt>
                <c:pt idx="9">
                  <c:v>31.61</c:v>
                </c:pt>
                <c:pt idx="10">
                  <c:v>30.82</c:v>
                </c:pt>
                <c:pt idx="11">
                  <c:v>30.03</c:v>
                </c:pt>
                <c:pt idx="12">
                  <c:v>29.78</c:v>
                </c:pt>
                <c:pt idx="13">
                  <c:v>29.77</c:v>
                </c:pt>
                <c:pt idx="14">
                  <c:v>29.88</c:v>
                </c:pt>
                <c:pt idx="15">
                  <c:v>30.06</c:v>
                </c:pt>
                <c:pt idx="16">
                  <c:v>30.28</c:v>
                </c:pt>
                <c:pt idx="17">
                  <c:v>30.5</c:v>
                </c:pt>
                <c:pt idx="18">
                  <c:v>30.73</c:v>
                </c:pt>
                <c:pt idx="19">
                  <c:v>30.96</c:v>
                </c:pt>
                <c:pt idx="20">
                  <c:v>31.18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4"/>
          <c:order val="13"/>
          <c:tx>
            <c:strRef>
              <c:f>Main!$L$54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DDD5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DDD5"/>
              </a:solidFill>
              <a:ln>
                <a:solidFill>
                  <a:srgbClr val="FFDDD5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Main!$M$54:$AP$54</c:f>
              <c:numCache>
                <c:formatCode>0.00_ ;[Red]\-0.00</c:formatCode>
                <c:ptCount val="30"/>
                <c:pt idx="0">
                  <c:v>38.950000000000003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55.305</c:v>
                </c:pt>
                <c:pt idx="6">
                  <c:v>44.1</c:v>
                </c:pt>
                <c:pt idx="7">
                  <c:v>38.115000000000002</c:v>
                </c:pt>
                <c:pt idx="8">
                  <c:v>32.61</c:v>
                </c:pt>
                <c:pt idx="9">
                  <c:v>31.47</c:v>
                </c:pt>
                <c:pt idx="10">
                  <c:v>30.85</c:v>
                </c:pt>
                <c:pt idx="11">
                  <c:v>30.4</c:v>
                </c:pt>
                <c:pt idx="12">
                  <c:v>30.45</c:v>
                </c:pt>
                <c:pt idx="13">
                  <c:v>30.71</c:v>
                </c:pt>
                <c:pt idx="14">
                  <c:v>31.05</c:v>
                </c:pt>
                <c:pt idx="15">
                  <c:v>31.42</c:v>
                </c:pt>
                <c:pt idx="16">
                  <c:v>31.8</c:v>
                </c:pt>
                <c:pt idx="17">
                  <c:v>32.18</c:v>
                </c:pt>
                <c:pt idx="18">
                  <c:v>32.54</c:v>
                </c:pt>
                <c:pt idx="19">
                  <c:v>32.880000000000003</c:v>
                </c:pt>
                <c:pt idx="20">
                  <c:v>33.21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5"/>
          <c:order val="14"/>
          <c:tx>
            <c:strRef>
              <c:f>Main!$L$55</c:f>
              <c:strCache>
                <c:ptCount val="1"/>
                <c:pt idx="0">
                  <c:v>30 YR</c:v>
                </c:pt>
              </c:strCache>
            </c:strRef>
          </c:tx>
          <c:spPr>
            <a:ln w="12700">
              <a:solidFill>
                <a:srgbClr val="FFCC99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Main!$M$40:$AP$40</c:f>
              <c:strCache>
                <c:ptCount val="22"/>
                <c:pt idx="0">
                  <c:v>ATM</c:v>
                </c:pt>
                <c:pt idx="1">
                  <c:v>0.25%</c:v>
                </c:pt>
                <c:pt idx="2">
                  <c:v>0.50%</c:v>
                </c:pt>
                <c:pt idx="3">
                  <c:v>0.75%</c:v>
                </c:pt>
                <c:pt idx="4">
                  <c:v>0.80%</c:v>
                </c:pt>
                <c:pt idx="5">
                  <c:v>1.00%</c:v>
                </c:pt>
                <c:pt idx="6">
                  <c:v>1.50%</c:v>
                </c:pt>
                <c:pt idx="7">
                  <c:v>2.00%</c:v>
                </c:pt>
                <c:pt idx="8">
                  <c:v>2.50%</c:v>
                </c:pt>
                <c:pt idx="9">
                  <c:v>3.00%</c:v>
                </c:pt>
                <c:pt idx="10">
                  <c:v>4.00%</c:v>
                </c:pt>
                <c:pt idx="11">
                  <c:v>5.00%</c:v>
                </c:pt>
                <c:pt idx="12">
                  <c:v>6.00%</c:v>
                </c:pt>
                <c:pt idx="13">
                  <c:v>7.00%</c:v>
                </c:pt>
                <c:pt idx="14">
                  <c:v>8.00%</c:v>
                </c:pt>
                <c:pt idx="15">
                  <c:v>9.00%</c:v>
                </c:pt>
                <c:pt idx="16">
                  <c:v>10.00%</c:v>
                </c:pt>
                <c:pt idx="17">
                  <c:v>11.00%</c:v>
                </c:pt>
                <c:pt idx="18">
                  <c:v>12.00%</c:v>
                </c:pt>
                <c:pt idx="19">
                  <c:v>13.00%</c:v>
                </c:pt>
                <c:pt idx="20">
                  <c:v>14.00%</c:v>
                </c:pt>
                <c:pt idx="21">
                  <c:v>15.00%</c:v>
                </c:pt>
              </c:strCache>
            </c:strRef>
          </c:cat>
          <c:val>
            <c:numRef>
              <c:f>Main!$M$55:$AP$55</c:f>
              <c:numCache>
                <c:formatCode>0.00_ ;[Red]\-0.00</c:formatCode>
                <c:ptCount val="30"/>
                <c:pt idx="0">
                  <c:v>38.67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57.76</c:v>
                </c:pt>
                <c:pt idx="6">
                  <c:v>44.564999999999998</c:v>
                </c:pt>
                <c:pt idx="7">
                  <c:v>37.984999999999999</c:v>
                </c:pt>
                <c:pt idx="8">
                  <c:v>32.36</c:v>
                </c:pt>
                <c:pt idx="9">
                  <c:v>31.32</c:v>
                </c:pt>
                <c:pt idx="10">
                  <c:v>30.82</c:v>
                </c:pt>
                <c:pt idx="11">
                  <c:v>30.6</c:v>
                </c:pt>
                <c:pt idx="12">
                  <c:v>30.83</c:v>
                </c:pt>
                <c:pt idx="13">
                  <c:v>31.23</c:v>
                </c:pt>
                <c:pt idx="14">
                  <c:v>31.69</c:v>
                </c:pt>
                <c:pt idx="15">
                  <c:v>32.159999999999997</c:v>
                </c:pt>
                <c:pt idx="16">
                  <c:v>32.619999999999997</c:v>
                </c:pt>
                <c:pt idx="17">
                  <c:v>33.06</c:v>
                </c:pt>
                <c:pt idx="18">
                  <c:v>33.479999999999997</c:v>
                </c:pt>
                <c:pt idx="19">
                  <c:v>33.880000000000003</c:v>
                </c:pt>
                <c:pt idx="20">
                  <c:v>34.25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37760"/>
        <c:axId val="763640832"/>
      </c:lineChart>
      <c:catAx>
        <c:axId val="763637760"/>
        <c:scaling>
          <c:orientation val="minMax"/>
        </c:scaling>
        <c:delete val="0"/>
        <c:axPos val="b"/>
        <c:numFmt formatCode="0.0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Calibri" panose="020F0502020204030204" pitchFamily="34" charset="0"/>
                <a:ea typeface="ＭＳ Ｐゴシック"/>
                <a:cs typeface="ＭＳ Ｐゴシック"/>
              </a:defRPr>
            </a:pPr>
            <a:endParaRPr lang="en-US"/>
          </a:p>
        </c:txPr>
        <c:crossAx val="763640832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763640832"/>
        <c:scaling>
          <c:orientation val="minMax"/>
        </c:scaling>
        <c:delete val="0"/>
        <c:axPos val="l"/>
        <c:majorGridlines>
          <c:spPr>
            <a:ln w="3175">
              <a:pattFill prst="pct25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Calibri" panose="020F0502020204030204" pitchFamily="34" charset="0"/>
                <a:ea typeface="ＭＳ Ｐゴシック"/>
                <a:cs typeface="ＭＳ Ｐゴシック"/>
              </a:defRPr>
            </a:pPr>
            <a:endParaRPr lang="en-US"/>
          </a:p>
        </c:txPr>
        <c:crossAx val="763637760"/>
        <c:crosses val="autoZero"/>
        <c:crossBetween val="midCat"/>
      </c:valAx>
      <c:spPr>
        <a:solidFill>
          <a:srgbClr val="EEEEEE"/>
        </a:solidFill>
        <a:ln w="12700">
          <a:solidFill>
            <a:srgbClr val="7D7D7D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8903657684991207"/>
          <c:y val="0.1127169538590285"/>
          <c:w val="0.62292354740061162"/>
          <c:h val="0.115607288219407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ATM Swaption Market</a:t>
            </a:r>
          </a:p>
        </c:rich>
      </c:tx>
      <c:layout>
        <c:manualLayout>
          <c:xMode val="edge"/>
          <c:yMode val="edge"/>
          <c:x val="0.36484304846509574"/>
          <c:y val="1.6501763037196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74480097040994"/>
          <c:y val="0.22112282488534216"/>
          <c:w val="0.8391390040989779"/>
          <c:h val="0.55775757321825115"/>
        </c:manualLayout>
      </c:layout>
      <c:lineChart>
        <c:grouping val="standard"/>
        <c:varyColors val="0"/>
        <c:ser>
          <c:idx val="0"/>
          <c:order val="0"/>
          <c:tx>
            <c:strRef>
              <c:f>Main!$L$59</c:f>
              <c:strCache>
                <c:ptCount val="1"/>
                <c:pt idx="0">
                  <c:v>1 MO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Main!$M$59:$AA$59</c:f>
              <c:numCache>
                <c:formatCode>0.00_ ;[Red]\-0.00</c:formatCode>
                <c:ptCount val="15"/>
                <c:pt idx="0">
                  <c:v>30.64</c:v>
                </c:pt>
                <c:pt idx="1">
                  <c:v>38.21</c:v>
                </c:pt>
                <c:pt idx="2">
                  <c:v>35.08</c:v>
                </c:pt>
                <c:pt idx="3">
                  <c:v>44.03</c:v>
                </c:pt>
                <c:pt idx="4">
                  <c:v>52.53</c:v>
                </c:pt>
                <c:pt idx="5">
                  <c:v>51.98</c:v>
                </c:pt>
                <c:pt idx="6">
                  <c:v>51.63</c:v>
                </c:pt>
                <c:pt idx="7">
                  <c:v>48.8</c:v>
                </c:pt>
                <c:pt idx="8">
                  <c:v>42.075000000000003</c:v>
                </c:pt>
                <c:pt idx="9">
                  <c:v>41.42</c:v>
                </c:pt>
                <c:pt idx="10">
                  <c:v>40.32</c:v>
                </c:pt>
                <c:pt idx="11">
                  <c:v>38.82</c:v>
                </c:pt>
                <c:pt idx="12">
                  <c:v>37.255000000000003</c:v>
                </c:pt>
                <c:pt idx="13">
                  <c:v>36.225000000000001</c:v>
                </c:pt>
                <c:pt idx="14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Main!$L$60</c:f>
              <c:strCache>
                <c:ptCount val="1"/>
                <c:pt idx="0">
                  <c:v>3 MO</c:v>
                </c:pt>
              </c:strCache>
            </c:strRef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CC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Main!$M$60:$AA$60</c:f>
              <c:numCache>
                <c:formatCode>0.00_ ;[Red]\-0.00</c:formatCode>
                <c:ptCount val="15"/>
                <c:pt idx="0">
                  <c:v>40.869999999999997</c:v>
                </c:pt>
                <c:pt idx="1">
                  <c:v>48.11</c:v>
                </c:pt>
                <c:pt idx="2">
                  <c:v>50.87</c:v>
                </c:pt>
                <c:pt idx="3">
                  <c:v>50.765000000000001</c:v>
                </c:pt>
                <c:pt idx="4">
                  <c:v>50.48</c:v>
                </c:pt>
                <c:pt idx="5">
                  <c:v>50.93</c:v>
                </c:pt>
                <c:pt idx="6">
                  <c:v>51.5</c:v>
                </c:pt>
                <c:pt idx="7">
                  <c:v>49.87</c:v>
                </c:pt>
                <c:pt idx="8">
                  <c:v>48.475000000000001</c:v>
                </c:pt>
                <c:pt idx="9">
                  <c:v>47.34</c:v>
                </c:pt>
                <c:pt idx="10">
                  <c:v>42.795000000000002</c:v>
                </c:pt>
                <c:pt idx="11">
                  <c:v>40.630000000000003</c:v>
                </c:pt>
                <c:pt idx="12">
                  <c:v>39.604999999999997</c:v>
                </c:pt>
                <c:pt idx="13">
                  <c:v>39.020000000000003</c:v>
                </c:pt>
                <c:pt idx="14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Main!$L$61</c:f>
              <c:strCache>
                <c:ptCount val="1"/>
                <c:pt idx="0">
                  <c:v>6 MO</c:v>
                </c:pt>
              </c:strCache>
            </c:strRef>
          </c:tx>
          <c:spPr>
            <a:ln w="25400">
              <a:solidFill>
                <a:srgbClr val="F7964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79646"/>
              </a:solidFill>
              <a:ln>
                <a:solidFill>
                  <a:srgbClr val="F79646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Main!$M$61:$AA$61</c:f>
              <c:numCache>
                <c:formatCode>0.00_ ;[Red]\-0.00</c:formatCode>
                <c:ptCount val="15"/>
                <c:pt idx="0">
                  <c:v>39.56</c:v>
                </c:pt>
                <c:pt idx="1">
                  <c:v>48.805</c:v>
                </c:pt>
                <c:pt idx="2">
                  <c:v>48.24</c:v>
                </c:pt>
                <c:pt idx="3">
                  <c:v>48.98</c:v>
                </c:pt>
                <c:pt idx="4">
                  <c:v>56.42</c:v>
                </c:pt>
                <c:pt idx="5">
                  <c:v>55.8</c:v>
                </c:pt>
                <c:pt idx="6">
                  <c:v>55.43</c:v>
                </c:pt>
                <c:pt idx="7">
                  <c:v>52.715000000000003</c:v>
                </c:pt>
                <c:pt idx="8">
                  <c:v>50.314999999999998</c:v>
                </c:pt>
                <c:pt idx="9">
                  <c:v>47.59</c:v>
                </c:pt>
                <c:pt idx="10">
                  <c:v>44.325000000000003</c:v>
                </c:pt>
                <c:pt idx="11">
                  <c:v>42.625</c:v>
                </c:pt>
                <c:pt idx="12">
                  <c:v>41.604999999999997</c:v>
                </c:pt>
                <c:pt idx="13">
                  <c:v>41.034999999999997</c:v>
                </c:pt>
                <c:pt idx="1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Main!$L$62</c:f>
              <c:strCache>
                <c:ptCount val="1"/>
                <c:pt idx="0">
                  <c:v>1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Main!$M$62:$AA$62</c:f>
              <c:numCache>
                <c:formatCode>0.00_ ;[Red]\-0.00</c:formatCode>
                <c:ptCount val="15"/>
                <c:pt idx="0">
                  <c:v>46.945</c:v>
                </c:pt>
                <c:pt idx="1">
                  <c:v>48.34</c:v>
                </c:pt>
                <c:pt idx="2">
                  <c:v>51.82</c:v>
                </c:pt>
                <c:pt idx="3">
                  <c:v>53.46</c:v>
                </c:pt>
                <c:pt idx="4">
                  <c:v>56.24</c:v>
                </c:pt>
                <c:pt idx="5">
                  <c:v>55.19</c:v>
                </c:pt>
                <c:pt idx="6">
                  <c:v>54.45</c:v>
                </c:pt>
                <c:pt idx="7">
                  <c:v>52.2</c:v>
                </c:pt>
                <c:pt idx="8">
                  <c:v>51.45</c:v>
                </c:pt>
                <c:pt idx="9">
                  <c:v>48.57</c:v>
                </c:pt>
                <c:pt idx="10">
                  <c:v>44.414999999999999</c:v>
                </c:pt>
                <c:pt idx="11">
                  <c:v>42.215000000000003</c:v>
                </c:pt>
                <c:pt idx="12">
                  <c:v>40.994999999999997</c:v>
                </c:pt>
                <c:pt idx="13">
                  <c:v>39.844999999999999</c:v>
                </c:pt>
                <c:pt idx="14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Main!$L$63</c:f>
              <c:strCache>
                <c:ptCount val="1"/>
                <c:pt idx="0">
                  <c:v>2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Main!$M$63:$AA$63</c:f>
              <c:numCache>
                <c:formatCode>0.00_ ;[Red]\-0.00</c:formatCode>
                <c:ptCount val="15"/>
                <c:pt idx="0">
                  <c:v>56.35</c:v>
                </c:pt>
                <c:pt idx="1">
                  <c:v>59.63</c:v>
                </c:pt>
                <c:pt idx="2">
                  <c:v>55.56</c:v>
                </c:pt>
                <c:pt idx="3">
                  <c:v>52.08</c:v>
                </c:pt>
                <c:pt idx="4">
                  <c:v>55.95</c:v>
                </c:pt>
                <c:pt idx="5">
                  <c:v>48.98</c:v>
                </c:pt>
                <c:pt idx="6">
                  <c:v>49.085000000000001</c:v>
                </c:pt>
                <c:pt idx="7">
                  <c:v>48.55</c:v>
                </c:pt>
                <c:pt idx="8">
                  <c:v>48.22</c:v>
                </c:pt>
                <c:pt idx="9">
                  <c:v>47.89</c:v>
                </c:pt>
                <c:pt idx="10">
                  <c:v>44.024999999999999</c:v>
                </c:pt>
                <c:pt idx="11">
                  <c:v>41.53</c:v>
                </c:pt>
                <c:pt idx="12">
                  <c:v>39.67</c:v>
                </c:pt>
                <c:pt idx="13">
                  <c:v>39.68</c:v>
                </c:pt>
                <c:pt idx="14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Main!$L$64</c:f>
              <c:strCache>
                <c:ptCount val="1"/>
                <c:pt idx="0">
                  <c:v>3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Main!$M$64:$AA$64</c:f>
              <c:numCache>
                <c:formatCode>0.00_ ;[Red]\-0.00</c:formatCode>
                <c:ptCount val="15"/>
                <c:pt idx="0">
                  <c:v>60.37</c:v>
                </c:pt>
                <c:pt idx="1">
                  <c:v>57.34</c:v>
                </c:pt>
                <c:pt idx="2">
                  <c:v>54.89</c:v>
                </c:pt>
                <c:pt idx="3">
                  <c:v>52.77</c:v>
                </c:pt>
                <c:pt idx="4">
                  <c:v>51.055</c:v>
                </c:pt>
                <c:pt idx="5">
                  <c:v>50.04</c:v>
                </c:pt>
                <c:pt idx="6">
                  <c:v>49.234999999999999</c:v>
                </c:pt>
                <c:pt idx="7">
                  <c:v>48.7</c:v>
                </c:pt>
                <c:pt idx="8">
                  <c:v>47.48</c:v>
                </c:pt>
                <c:pt idx="9">
                  <c:v>47.055</c:v>
                </c:pt>
                <c:pt idx="10">
                  <c:v>43.375</c:v>
                </c:pt>
                <c:pt idx="11">
                  <c:v>40.905000000000001</c:v>
                </c:pt>
                <c:pt idx="12">
                  <c:v>38.97</c:v>
                </c:pt>
                <c:pt idx="13">
                  <c:v>38.93</c:v>
                </c:pt>
                <c:pt idx="14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Main!$L$65</c:f>
              <c:strCache>
                <c:ptCount val="1"/>
                <c:pt idx="0">
                  <c:v>4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Main!$M$65:$AA$65</c:f>
              <c:numCache>
                <c:formatCode>0.00_ ;[Red]\-0.00</c:formatCode>
                <c:ptCount val="15"/>
                <c:pt idx="0">
                  <c:v>59.15</c:v>
                </c:pt>
                <c:pt idx="1">
                  <c:v>56.24</c:v>
                </c:pt>
                <c:pt idx="2">
                  <c:v>53.99</c:v>
                </c:pt>
                <c:pt idx="3">
                  <c:v>52.145000000000003</c:v>
                </c:pt>
                <c:pt idx="4">
                  <c:v>50.454999999999998</c:v>
                </c:pt>
                <c:pt idx="5">
                  <c:v>49.27</c:v>
                </c:pt>
                <c:pt idx="6">
                  <c:v>48.325000000000003</c:v>
                </c:pt>
                <c:pt idx="7">
                  <c:v>47.234999999999999</c:v>
                </c:pt>
                <c:pt idx="8">
                  <c:v>46.63</c:v>
                </c:pt>
                <c:pt idx="9">
                  <c:v>45.924999999999997</c:v>
                </c:pt>
                <c:pt idx="10">
                  <c:v>42.645000000000003</c:v>
                </c:pt>
                <c:pt idx="11">
                  <c:v>40.365000000000002</c:v>
                </c:pt>
                <c:pt idx="12">
                  <c:v>39.555</c:v>
                </c:pt>
                <c:pt idx="13">
                  <c:v>39.134999999999998</c:v>
                </c:pt>
                <c:pt idx="14">
                  <c:v>#N/A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Main!$L$66</c:f>
              <c:strCache>
                <c:ptCount val="1"/>
                <c:pt idx="0">
                  <c:v>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Main!$M$66:$AA$66</c:f>
              <c:numCache>
                <c:formatCode>0.00_ ;[Red]\-0.00</c:formatCode>
                <c:ptCount val="15"/>
                <c:pt idx="0">
                  <c:v>67.97</c:v>
                </c:pt>
                <c:pt idx="1">
                  <c:v>54.534999999999997</c:v>
                </c:pt>
                <c:pt idx="2">
                  <c:v>52.69</c:v>
                </c:pt>
                <c:pt idx="3">
                  <c:v>50.954999999999998</c:v>
                </c:pt>
                <c:pt idx="4">
                  <c:v>49.49</c:v>
                </c:pt>
                <c:pt idx="5">
                  <c:v>48.365000000000002</c:v>
                </c:pt>
                <c:pt idx="6">
                  <c:v>47.18</c:v>
                </c:pt>
                <c:pt idx="7">
                  <c:v>46.95</c:v>
                </c:pt>
                <c:pt idx="8">
                  <c:v>45.73</c:v>
                </c:pt>
                <c:pt idx="9">
                  <c:v>44.85</c:v>
                </c:pt>
                <c:pt idx="10">
                  <c:v>41.935000000000002</c:v>
                </c:pt>
                <c:pt idx="11">
                  <c:v>39.875</c:v>
                </c:pt>
                <c:pt idx="12">
                  <c:v>39.26</c:v>
                </c:pt>
                <c:pt idx="13">
                  <c:v>39.075000000000003</c:v>
                </c:pt>
                <c:pt idx="14">
                  <c:v>#N/A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Main!$L$67</c:f>
              <c:strCache>
                <c:ptCount val="1"/>
                <c:pt idx="0">
                  <c:v>7 YR</c:v>
                </c:pt>
              </c:strCache>
            </c:strRef>
          </c:tx>
          <c:spPr>
            <a:ln w="12700">
              <a:solidFill>
                <a:srgbClr val="B8CCE4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B8CCE4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Main!$M$67:$AA$67</c:f>
              <c:numCache>
                <c:formatCode>0.00_ ;[Red]\-0.00</c:formatCode>
                <c:ptCount val="15"/>
                <c:pt idx="0">
                  <c:v>50.954999999999998</c:v>
                </c:pt>
                <c:pt idx="1">
                  <c:v>49.305</c:v>
                </c:pt>
                <c:pt idx="2">
                  <c:v>47.954999999999998</c:v>
                </c:pt>
                <c:pt idx="3">
                  <c:v>46.84</c:v>
                </c:pt>
                <c:pt idx="4">
                  <c:v>45.57</c:v>
                </c:pt>
                <c:pt idx="5">
                  <c:v>44.994999999999997</c:v>
                </c:pt>
                <c:pt idx="6">
                  <c:v>44.215000000000003</c:v>
                </c:pt>
                <c:pt idx="7">
                  <c:v>43.284999999999997</c:v>
                </c:pt>
                <c:pt idx="8">
                  <c:v>42.92</c:v>
                </c:pt>
                <c:pt idx="9">
                  <c:v>42.384999999999998</c:v>
                </c:pt>
                <c:pt idx="10">
                  <c:v>39.659999999999997</c:v>
                </c:pt>
                <c:pt idx="11">
                  <c:v>37.36</c:v>
                </c:pt>
                <c:pt idx="12">
                  <c:v>35.840000000000003</c:v>
                </c:pt>
                <c:pt idx="13">
                  <c:v>36.340000000000003</c:v>
                </c:pt>
                <c:pt idx="14">
                  <c:v>#N/A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Main!$L$68</c:f>
              <c:strCache>
                <c:ptCount val="1"/>
                <c:pt idx="0">
                  <c:v>10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Main!$M$68:$AA$68</c:f>
              <c:numCache>
                <c:formatCode>0.00_ ;[Red]\-0.00</c:formatCode>
                <c:ptCount val="15"/>
                <c:pt idx="0">
                  <c:v>43.494999999999997</c:v>
                </c:pt>
                <c:pt idx="1">
                  <c:v>41.225000000000001</c:v>
                </c:pt>
                <c:pt idx="2">
                  <c:v>40.244999999999997</c:v>
                </c:pt>
                <c:pt idx="3">
                  <c:v>38.784999999999997</c:v>
                </c:pt>
                <c:pt idx="4">
                  <c:v>36.884999999999998</c:v>
                </c:pt>
                <c:pt idx="5">
                  <c:v>38.729999999999997</c:v>
                </c:pt>
                <c:pt idx="6">
                  <c:v>36.234999999999999</c:v>
                </c:pt>
                <c:pt idx="7">
                  <c:v>38.435000000000002</c:v>
                </c:pt>
                <c:pt idx="8">
                  <c:v>38.755000000000003</c:v>
                </c:pt>
                <c:pt idx="9">
                  <c:v>38.895000000000003</c:v>
                </c:pt>
                <c:pt idx="10">
                  <c:v>36.604999999999997</c:v>
                </c:pt>
                <c:pt idx="11">
                  <c:v>34.234999999999999</c:v>
                </c:pt>
                <c:pt idx="12">
                  <c:v>34.204999999999998</c:v>
                </c:pt>
                <c:pt idx="13">
                  <c:v>32.975000000000001</c:v>
                </c:pt>
                <c:pt idx="14">
                  <c:v>#N/A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Main!$L$69</c:f>
              <c:strCache>
                <c:ptCount val="1"/>
                <c:pt idx="0">
                  <c:v>15 YR</c:v>
                </c:pt>
              </c:strCache>
            </c:strRef>
          </c:tx>
          <c:spPr>
            <a:ln w="12700">
              <a:solidFill>
                <a:srgbClr val="D4E1D1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4E1D1"/>
              </a:solidFill>
              <a:ln>
                <a:solidFill>
                  <a:srgbClr val="D4E1D1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Main!$M$69:$AA$69</c:f>
              <c:numCache>
                <c:formatCode>0.00_ ;[Red]\-0.00</c:formatCode>
                <c:ptCount val="15"/>
                <c:pt idx="0">
                  <c:v>38.880000000000003</c:v>
                </c:pt>
                <c:pt idx="1">
                  <c:v>37.33</c:v>
                </c:pt>
                <c:pt idx="2">
                  <c:v>36.015000000000001</c:v>
                </c:pt>
                <c:pt idx="3">
                  <c:v>34.685000000000002</c:v>
                </c:pt>
                <c:pt idx="4">
                  <c:v>33.454999999999998</c:v>
                </c:pt>
                <c:pt idx="5">
                  <c:v>34.56</c:v>
                </c:pt>
                <c:pt idx="6">
                  <c:v>34.56</c:v>
                </c:pt>
                <c:pt idx="7">
                  <c:v>34.695</c:v>
                </c:pt>
                <c:pt idx="8">
                  <c:v>34.85</c:v>
                </c:pt>
                <c:pt idx="9">
                  <c:v>34.965000000000003</c:v>
                </c:pt>
                <c:pt idx="10">
                  <c:v>34.164999999999999</c:v>
                </c:pt>
                <c:pt idx="11">
                  <c:v>32.92</c:v>
                </c:pt>
                <c:pt idx="12">
                  <c:v>32.085000000000001</c:v>
                </c:pt>
                <c:pt idx="13">
                  <c:v>30.55</c:v>
                </c:pt>
                <c:pt idx="14">
                  <c:v>#N/A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Main!$L$70</c:f>
              <c:strCache>
                <c:ptCount val="1"/>
                <c:pt idx="0">
                  <c:v>20 YR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Main!$M$70:$AA$70</c:f>
              <c:numCache>
                <c:formatCode>0.00_ ;[Red]\-0.00</c:formatCode>
                <c:ptCount val="15"/>
                <c:pt idx="0">
                  <c:v>37.58</c:v>
                </c:pt>
                <c:pt idx="1">
                  <c:v>36.33</c:v>
                </c:pt>
                <c:pt idx="2">
                  <c:v>35.335000000000001</c:v>
                </c:pt>
                <c:pt idx="3">
                  <c:v>34.49</c:v>
                </c:pt>
                <c:pt idx="4">
                  <c:v>32.884999999999998</c:v>
                </c:pt>
                <c:pt idx="5">
                  <c:v>33.26</c:v>
                </c:pt>
                <c:pt idx="6">
                  <c:v>33.35</c:v>
                </c:pt>
                <c:pt idx="7">
                  <c:v>33.35</c:v>
                </c:pt>
                <c:pt idx="8">
                  <c:v>33.314999999999998</c:v>
                </c:pt>
                <c:pt idx="9">
                  <c:v>33.659999999999997</c:v>
                </c:pt>
                <c:pt idx="10">
                  <c:v>32.799999999999997</c:v>
                </c:pt>
                <c:pt idx="11">
                  <c:v>31.43</c:v>
                </c:pt>
                <c:pt idx="12">
                  <c:v>30.65</c:v>
                </c:pt>
                <c:pt idx="13">
                  <c:v>30.63</c:v>
                </c:pt>
                <c:pt idx="14">
                  <c:v>#N/A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Main!$L$71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DBE5F1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DBE5F1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Main!$M$71:$AA$71</c:f>
              <c:numCache>
                <c:formatCode>0.00_ ;[Red]\-0.00</c:formatCode>
                <c:ptCount val="15"/>
                <c:pt idx="0">
                  <c:v>37.15</c:v>
                </c:pt>
                <c:pt idx="1">
                  <c:v>36.055</c:v>
                </c:pt>
                <c:pt idx="2">
                  <c:v>35.375</c:v>
                </c:pt>
                <c:pt idx="3">
                  <c:v>34.74</c:v>
                </c:pt>
                <c:pt idx="4">
                  <c:v>33.94</c:v>
                </c:pt>
                <c:pt idx="5">
                  <c:v>34.74</c:v>
                </c:pt>
                <c:pt idx="6">
                  <c:v>35.08</c:v>
                </c:pt>
                <c:pt idx="7">
                  <c:v>35.25</c:v>
                </c:pt>
                <c:pt idx="8">
                  <c:v>35.295000000000002</c:v>
                </c:pt>
                <c:pt idx="9">
                  <c:v>35.24</c:v>
                </c:pt>
                <c:pt idx="10">
                  <c:v>34.354999999999997</c:v>
                </c:pt>
                <c:pt idx="11">
                  <c:v>32.99</c:v>
                </c:pt>
                <c:pt idx="12">
                  <c:v>32.265000000000001</c:v>
                </c:pt>
                <c:pt idx="13">
                  <c:v>31.524999999999999</c:v>
                </c:pt>
                <c:pt idx="14">
                  <c:v>#N/A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Main!$L$72</c:f>
              <c:strCache>
                <c:ptCount val="1"/>
                <c:pt idx="0">
                  <c:v>30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Main!$M$72:$AA$72</c:f>
              <c:numCache>
                <c:formatCode>0.00_ ;[Red]\-0.00</c:formatCode>
                <c:ptCount val="15"/>
                <c:pt idx="0">
                  <c:v>40.46</c:v>
                </c:pt>
                <c:pt idx="1">
                  <c:v>39.42</c:v>
                </c:pt>
                <c:pt idx="2">
                  <c:v>38.89</c:v>
                </c:pt>
                <c:pt idx="3">
                  <c:v>38.44</c:v>
                </c:pt>
                <c:pt idx="4">
                  <c:v>38.04</c:v>
                </c:pt>
                <c:pt idx="5">
                  <c:v>37.515000000000001</c:v>
                </c:pt>
                <c:pt idx="6">
                  <c:v>36.935000000000002</c:v>
                </c:pt>
                <c:pt idx="7">
                  <c:v>36.354999999999997</c:v>
                </c:pt>
                <c:pt idx="8">
                  <c:v>35.795000000000002</c:v>
                </c:pt>
                <c:pt idx="9">
                  <c:v>35.134999999999998</c:v>
                </c:pt>
                <c:pt idx="10">
                  <c:v>35.225000000000001</c:v>
                </c:pt>
                <c:pt idx="11">
                  <c:v>35.25</c:v>
                </c:pt>
                <c:pt idx="12">
                  <c:v>33.770000000000003</c:v>
                </c:pt>
                <c:pt idx="13">
                  <c:v>32.659999999999997</c:v>
                </c:pt>
                <c:pt idx="14">
                  <c:v>#N/A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Main!$L$73</c:f>
              <c:strCache>
                <c:ptCount val="1"/>
              </c:strCache>
            </c:strRef>
          </c:tx>
          <c:spPr>
            <a:ln w="12700">
              <a:solidFill>
                <a:srgbClr val="FFDDD5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DDD5"/>
              </a:solidFill>
              <a:ln>
                <a:solidFill>
                  <a:srgbClr val="FFDDD5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Main!$M$73:$AA$73</c:f>
              <c:numCache>
                <c:formatCode>0.00_ ;[Red]\-0.00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Main!$L$74</c:f>
              <c:strCache>
                <c:ptCount val="1"/>
              </c:strCache>
            </c:strRef>
          </c:tx>
          <c:spPr>
            <a:ln w="12700">
              <a:solidFill>
                <a:srgbClr val="FFCC99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Main!$M$74:$AA$74</c:f>
              <c:numCache>
                <c:formatCode>0.00_ ;[Red]\-0.00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Main!$L$75</c:f>
              <c:strCache>
                <c:ptCount val="1"/>
              </c:strCache>
            </c:strRef>
          </c:tx>
          <c:spPr>
            <a:ln w="12700">
              <a:solidFill>
                <a:srgbClr val="477AB7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477AB7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Main!$M$75:$AA$75</c:f>
              <c:numCache>
                <c:formatCode>0.00_ ;[Red]\-0.00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Main!$L$76</c:f>
              <c:strCache>
                <c:ptCount val="1"/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Main!$M$76:$AA$76</c:f>
              <c:numCache>
                <c:formatCode>0.00_ ;[Red]\-0.00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Main!$L$77</c:f>
              <c:strCache>
                <c:ptCount val="1"/>
              </c:strCache>
            </c:strRef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9CC0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Main!$M$58:$AA$58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Main!$M$77:$AA$77</c:f>
              <c:numCache>
                <c:formatCode>0.00_ ;[Red]\-0.00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60032"/>
        <c:axId val="685686784"/>
      </c:lineChart>
      <c:catAx>
        <c:axId val="68566003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Calibri" panose="020F0502020204030204" pitchFamily="34" charset="0"/>
                <a:ea typeface="ＭＳ Ｐゴシック"/>
                <a:cs typeface="ＭＳ Ｐゴシック"/>
              </a:defRPr>
            </a:pPr>
            <a:endParaRPr lang="en-US"/>
          </a:p>
        </c:txPr>
        <c:crossAx val="6856867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85686784"/>
        <c:scaling>
          <c:orientation val="minMax"/>
        </c:scaling>
        <c:delete val="0"/>
        <c:axPos val="l"/>
        <c:majorGridlines>
          <c:spPr>
            <a:ln w="3175">
              <a:pattFill prst="pct25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Calibri" panose="020F0502020204030204" pitchFamily="34" charset="0"/>
                <a:ea typeface="ＭＳ Ｐゴシック"/>
                <a:cs typeface="ＭＳ Ｐゴシック"/>
              </a:defRPr>
            </a:pPr>
            <a:endParaRPr lang="en-US"/>
          </a:p>
        </c:txPr>
        <c:crossAx val="685660032"/>
        <c:crosses val="autoZero"/>
        <c:crossBetween val="midCat"/>
      </c:valAx>
      <c:spPr>
        <a:solidFill>
          <a:srgbClr val="EEEEEE"/>
        </a:solidFill>
        <a:ln w="12700">
          <a:solidFill>
            <a:srgbClr val="7D7D7D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608645073212003"/>
          <c:y val="0.10891115883241867"/>
          <c:w val="0.84079740032495942"/>
          <c:h val="0.118812269678411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ATM Swaption Premium Market</a:t>
            </a:r>
          </a:p>
        </c:rich>
      </c:tx>
      <c:layout>
        <c:manualLayout>
          <c:xMode val="edge"/>
          <c:yMode val="edge"/>
          <c:x val="0.36484304846509574"/>
          <c:y val="1.65016872890888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74480097041"/>
          <c:y val="0.22112282488534216"/>
          <c:w val="0.83913900409897813"/>
          <c:h val="0.55775757321825115"/>
        </c:manualLayout>
      </c:layout>
      <c:lineChart>
        <c:grouping val="standard"/>
        <c:varyColors val="0"/>
        <c:ser>
          <c:idx val="0"/>
          <c:order val="0"/>
          <c:tx>
            <c:strRef>
              <c:f>Main!$L$81</c:f>
              <c:strCache>
                <c:ptCount val="1"/>
                <c:pt idx="0">
                  <c:v>1 MO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Main!$M$81:$Z$81</c:f>
              <c:numCache>
                <c:formatCode>0.00_ ;[Red]\-0.00</c:formatCode>
                <c:ptCount val="14"/>
                <c:pt idx="0">
                  <c:v>8</c:v>
                </c:pt>
                <c:pt idx="1">
                  <c:v>20.399999999999999</c:v>
                </c:pt>
                <c:pt idx="2">
                  <c:v>34.5</c:v>
                </c:pt>
                <c:pt idx="3">
                  <c:v>49.6</c:v>
                </c:pt>
                <c:pt idx="4">
                  <c:v>66</c:v>
                </c:pt>
                <c:pt idx="5">
                  <c:v>80.400000000000006</c:v>
                </c:pt>
                <c:pt idx="6">
                  <c:v>96.5</c:v>
                </c:pt>
                <c:pt idx="7">
                  <c:v>110</c:v>
                </c:pt>
                <c:pt idx="8">
                  <c:v>125</c:v>
                </c:pt>
                <c:pt idx="9">
                  <c:v>141</c:v>
                </c:pt>
                <c:pt idx="10">
                  <c:v>207</c:v>
                </c:pt>
                <c:pt idx="11">
                  <c:v>270</c:v>
                </c:pt>
                <c:pt idx="12">
                  <c:v>328</c:v>
                </c:pt>
                <c:pt idx="13">
                  <c:v>382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Main!$L$82</c:f>
              <c:strCache>
                <c:ptCount val="1"/>
                <c:pt idx="0">
                  <c:v>2 MO</c:v>
                </c:pt>
              </c:strCache>
            </c:strRef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CC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Main!$M$82:$Z$82</c:f>
              <c:numCache>
                <c:formatCode>0.00_ ;[Red]\-0.00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Main!$L$83</c:f>
              <c:strCache>
                <c:ptCount val="1"/>
                <c:pt idx="0">
                  <c:v>3 MO</c:v>
                </c:pt>
              </c:strCache>
            </c:strRef>
          </c:tx>
          <c:spPr>
            <a:ln w="25400">
              <a:solidFill>
                <a:srgbClr val="F7964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79646"/>
              </a:solidFill>
              <a:ln>
                <a:solidFill>
                  <a:srgbClr val="F79646"/>
                </a:solidFill>
                <a:prstDash val="solid"/>
              </a:ln>
            </c:spPr>
          </c:marker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Main!$M$83:$Z$83</c:f>
              <c:numCache>
                <c:formatCode>0.00_ ;[Red]\-0.00</c:formatCode>
                <c:ptCount val="14"/>
                <c:pt idx="0">
                  <c:v>15.3</c:v>
                </c:pt>
                <c:pt idx="1">
                  <c:v>38.9</c:v>
                </c:pt>
                <c:pt idx="2">
                  <c:v>67.900000000000006</c:v>
                </c:pt>
                <c:pt idx="3">
                  <c:v>96</c:v>
                </c:pt>
                <c:pt idx="4">
                  <c:v>126</c:v>
                </c:pt>
                <c:pt idx="5">
                  <c:v>153</c:v>
                </c:pt>
                <c:pt idx="6">
                  <c:v>182</c:v>
                </c:pt>
                <c:pt idx="7">
                  <c:v>209</c:v>
                </c:pt>
                <c:pt idx="8">
                  <c:v>237</c:v>
                </c:pt>
                <c:pt idx="9">
                  <c:v>264</c:v>
                </c:pt>
                <c:pt idx="10">
                  <c:v>384</c:v>
                </c:pt>
                <c:pt idx="11">
                  <c:v>496</c:v>
                </c:pt>
                <c:pt idx="12">
                  <c:v>602</c:v>
                </c:pt>
                <c:pt idx="13">
                  <c:v>698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Main!$L$84</c:f>
              <c:strCache>
                <c:ptCount val="1"/>
                <c:pt idx="0">
                  <c:v>6 MO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Main!$M$84:$Z$84</c:f>
              <c:numCache>
                <c:formatCode>0.00_ ;[Red]\-0.00</c:formatCode>
                <c:ptCount val="14"/>
                <c:pt idx="0">
                  <c:v>24.5</c:v>
                </c:pt>
                <c:pt idx="1">
                  <c:v>58.5</c:v>
                </c:pt>
                <c:pt idx="2">
                  <c:v>101</c:v>
                </c:pt>
                <c:pt idx="3">
                  <c:v>143</c:v>
                </c:pt>
                <c:pt idx="4">
                  <c:v>185</c:v>
                </c:pt>
                <c:pt idx="5">
                  <c:v>225</c:v>
                </c:pt>
                <c:pt idx="6">
                  <c:v>266</c:v>
                </c:pt>
                <c:pt idx="7">
                  <c:v>305</c:v>
                </c:pt>
                <c:pt idx="8">
                  <c:v>345</c:v>
                </c:pt>
                <c:pt idx="9">
                  <c:v>384</c:v>
                </c:pt>
                <c:pt idx="10">
                  <c:v>557</c:v>
                </c:pt>
                <c:pt idx="11">
                  <c:v>718</c:v>
                </c:pt>
                <c:pt idx="12">
                  <c:v>865</c:v>
                </c:pt>
                <c:pt idx="13">
                  <c:v>1000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Main!$L$85</c:f>
              <c:strCache>
                <c:ptCount val="1"/>
                <c:pt idx="0">
                  <c:v>9 MO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Main!$M$85:$Z$85</c:f>
              <c:numCache>
                <c:formatCode>0.00_ ;[Red]\-0.00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Main!$L$86</c:f>
              <c:strCache>
                <c:ptCount val="1"/>
                <c:pt idx="0">
                  <c:v>1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Main!$M$86:$Z$86</c:f>
              <c:numCache>
                <c:formatCode>0.00_ ;[Red]\-0.00</c:formatCode>
                <c:ptCount val="14"/>
                <c:pt idx="0">
                  <c:v>40.6</c:v>
                </c:pt>
                <c:pt idx="1">
                  <c:v>93.4</c:v>
                </c:pt>
                <c:pt idx="2">
                  <c:v>153</c:v>
                </c:pt>
                <c:pt idx="3">
                  <c:v>213</c:v>
                </c:pt>
                <c:pt idx="4">
                  <c:v>274</c:v>
                </c:pt>
                <c:pt idx="5">
                  <c:v>333</c:v>
                </c:pt>
                <c:pt idx="6">
                  <c:v>393</c:v>
                </c:pt>
                <c:pt idx="7">
                  <c:v>450</c:v>
                </c:pt>
                <c:pt idx="8">
                  <c:v>508</c:v>
                </c:pt>
                <c:pt idx="9">
                  <c:v>565</c:v>
                </c:pt>
                <c:pt idx="10">
                  <c:v>814</c:v>
                </c:pt>
                <c:pt idx="11">
                  <c:v>1039</c:v>
                </c:pt>
                <c:pt idx="12">
                  <c:v>1247</c:v>
                </c:pt>
                <c:pt idx="13">
                  <c:v>1438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Main!$L$87</c:f>
              <c:strCache>
                <c:ptCount val="1"/>
                <c:pt idx="0">
                  <c:v>18MO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Main!$M$87:$Z$87</c:f>
              <c:numCache>
                <c:formatCode>0.00_ ;[Red]\-0.00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Main!$L$88</c:f>
              <c:strCache>
                <c:ptCount val="1"/>
                <c:pt idx="0">
                  <c:v>2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Main!$M$88:$Z$88</c:f>
              <c:numCache>
                <c:formatCode>0.00_ ;[Red]\-0.00</c:formatCode>
                <c:ptCount val="14"/>
                <c:pt idx="0">
                  <c:v>70.599999999999994</c:v>
                </c:pt>
                <c:pt idx="1">
                  <c:v>151</c:v>
                </c:pt>
                <c:pt idx="2">
                  <c:v>234</c:v>
                </c:pt>
                <c:pt idx="3">
                  <c:v>320</c:v>
                </c:pt>
                <c:pt idx="4">
                  <c:v>405</c:v>
                </c:pt>
                <c:pt idx="5">
                  <c:v>489</c:v>
                </c:pt>
                <c:pt idx="6">
                  <c:v>575</c:v>
                </c:pt>
                <c:pt idx="7">
                  <c:v>658</c:v>
                </c:pt>
                <c:pt idx="8">
                  <c:v>740</c:v>
                </c:pt>
                <c:pt idx="9">
                  <c:v>822</c:v>
                </c:pt>
                <c:pt idx="10">
                  <c:v>1171</c:v>
                </c:pt>
                <c:pt idx="11">
                  <c:v>1478</c:v>
                </c:pt>
                <c:pt idx="12">
                  <c:v>1766</c:v>
                </c:pt>
                <c:pt idx="13">
                  <c:v>2031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Main!$L$89</c:f>
              <c:strCache>
                <c:ptCount val="1"/>
                <c:pt idx="0">
                  <c:v>3 YR</c:v>
                </c:pt>
              </c:strCache>
            </c:strRef>
          </c:tx>
          <c:spPr>
            <a:ln w="12700">
              <a:solidFill>
                <a:srgbClr val="B8CCE4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B8CCE4"/>
                </a:solidFill>
                <a:prstDash val="solid"/>
              </a:ln>
            </c:spPr>
          </c:marker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Main!$M$89:$Z$89</c:f>
              <c:numCache>
                <c:formatCode>0.00_ ;[Red]\-0.00</c:formatCode>
                <c:ptCount val="14"/>
                <c:pt idx="0">
                  <c:v>98.5</c:v>
                </c:pt>
                <c:pt idx="1">
                  <c:v>200</c:v>
                </c:pt>
                <c:pt idx="2">
                  <c:v>303</c:v>
                </c:pt>
                <c:pt idx="3">
                  <c:v>406</c:v>
                </c:pt>
                <c:pt idx="4">
                  <c:v>511</c:v>
                </c:pt>
                <c:pt idx="5">
                  <c:v>612</c:v>
                </c:pt>
                <c:pt idx="6">
                  <c:v>713</c:v>
                </c:pt>
                <c:pt idx="7">
                  <c:v>814</c:v>
                </c:pt>
                <c:pt idx="8">
                  <c:v>914</c:v>
                </c:pt>
                <c:pt idx="9">
                  <c:v>1013</c:v>
                </c:pt>
                <c:pt idx="10">
                  <c:v>1424</c:v>
                </c:pt>
                <c:pt idx="11">
                  <c:v>1783</c:v>
                </c:pt>
                <c:pt idx="12">
                  <c:v>2122</c:v>
                </c:pt>
                <c:pt idx="13">
                  <c:v>2436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Main!$L$90</c:f>
              <c:strCache>
                <c:ptCount val="1"/>
                <c:pt idx="0">
                  <c:v>4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Main!$M$90:$Z$90</c:f>
              <c:numCache>
                <c:formatCode>0.00_ ;[Red]\-0.00</c:formatCode>
                <c:ptCount val="14"/>
                <c:pt idx="0">
                  <c:v>122</c:v>
                </c:pt>
                <c:pt idx="1">
                  <c:v>244</c:v>
                </c:pt>
                <c:pt idx="2">
                  <c:v>364</c:v>
                </c:pt>
                <c:pt idx="3">
                  <c:v>483</c:v>
                </c:pt>
                <c:pt idx="4">
                  <c:v>601</c:v>
                </c:pt>
                <c:pt idx="5">
                  <c:v>718</c:v>
                </c:pt>
                <c:pt idx="6">
                  <c:v>834</c:v>
                </c:pt>
                <c:pt idx="7">
                  <c:v>947</c:v>
                </c:pt>
                <c:pt idx="8">
                  <c:v>1059</c:v>
                </c:pt>
                <c:pt idx="9">
                  <c:v>1170</c:v>
                </c:pt>
                <c:pt idx="10">
                  <c:v>1619</c:v>
                </c:pt>
                <c:pt idx="11">
                  <c:v>2016</c:v>
                </c:pt>
                <c:pt idx="12">
                  <c:v>2392</c:v>
                </c:pt>
                <c:pt idx="13">
                  <c:v>2740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Main!$L$91</c:f>
              <c:strCache>
                <c:ptCount val="1"/>
                <c:pt idx="0">
                  <c:v>5 YR</c:v>
                </c:pt>
              </c:strCache>
            </c:strRef>
          </c:tx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Main!$M$91:$Z$91</c:f>
              <c:numCache>
                <c:formatCode>0.00_ ;[Red]\-0.00</c:formatCode>
                <c:ptCount val="14"/>
                <c:pt idx="0">
                  <c:v>139</c:v>
                </c:pt>
                <c:pt idx="1">
                  <c:v>278</c:v>
                </c:pt>
                <c:pt idx="2">
                  <c:v>415</c:v>
                </c:pt>
                <c:pt idx="3">
                  <c:v>549</c:v>
                </c:pt>
                <c:pt idx="4">
                  <c:v>681</c:v>
                </c:pt>
                <c:pt idx="5">
                  <c:v>809</c:v>
                </c:pt>
                <c:pt idx="6">
                  <c:v>936</c:v>
                </c:pt>
                <c:pt idx="7">
                  <c:v>1060</c:v>
                </c:pt>
                <c:pt idx="8">
                  <c:v>1183</c:v>
                </c:pt>
                <c:pt idx="9">
                  <c:v>1303</c:v>
                </c:pt>
                <c:pt idx="10">
                  <c:v>1781</c:v>
                </c:pt>
                <c:pt idx="11">
                  <c:v>2202</c:v>
                </c:pt>
                <c:pt idx="12">
                  <c:v>2610</c:v>
                </c:pt>
                <c:pt idx="13">
                  <c:v>2985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Main!$L$92</c:f>
              <c:strCache>
                <c:ptCount val="1"/>
                <c:pt idx="0">
                  <c:v>7 YR</c:v>
                </c:pt>
              </c:strCache>
            </c:strRef>
          </c:tx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Main!$M$92:$Z$92</c:f>
              <c:numCache>
                <c:formatCode>0.00_ ;[Red]\-0.00</c:formatCode>
                <c:ptCount val="14"/>
                <c:pt idx="0">
                  <c:v>168</c:v>
                </c:pt>
                <c:pt idx="1">
                  <c:v>331</c:v>
                </c:pt>
                <c:pt idx="2">
                  <c:v>490</c:v>
                </c:pt>
                <c:pt idx="3">
                  <c:v>647</c:v>
                </c:pt>
                <c:pt idx="4">
                  <c:v>800</c:v>
                </c:pt>
                <c:pt idx="5">
                  <c:v>947</c:v>
                </c:pt>
                <c:pt idx="6">
                  <c:v>1092</c:v>
                </c:pt>
                <c:pt idx="7">
                  <c:v>1231</c:v>
                </c:pt>
                <c:pt idx="8">
                  <c:v>1365</c:v>
                </c:pt>
                <c:pt idx="9">
                  <c:v>1497</c:v>
                </c:pt>
                <c:pt idx="10">
                  <c:v>2022</c:v>
                </c:pt>
                <c:pt idx="11">
                  <c:v>2488</c:v>
                </c:pt>
                <c:pt idx="12">
                  <c:v>2948</c:v>
                </c:pt>
                <c:pt idx="13">
                  <c:v>3367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Main!$L$93</c:f>
              <c:strCache>
                <c:ptCount val="1"/>
                <c:pt idx="0">
                  <c:v>10 YR</c:v>
                </c:pt>
              </c:strCache>
            </c:strRef>
          </c:tx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Main!$M$93:$Z$93</c:f>
              <c:numCache>
                <c:formatCode>0.00_ ;[Red]\-0.00</c:formatCode>
                <c:ptCount val="14"/>
                <c:pt idx="0">
                  <c:v>193</c:v>
                </c:pt>
                <c:pt idx="1">
                  <c:v>379</c:v>
                </c:pt>
                <c:pt idx="2">
                  <c:v>562</c:v>
                </c:pt>
                <c:pt idx="3">
                  <c:v>740</c:v>
                </c:pt>
                <c:pt idx="4">
                  <c:v>914</c:v>
                </c:pt>
                <c:pt idx="5">
                  <c:v>1082</c:v>
                </c:pt>
                <c:pt idx="6">
                  <c:v>1242</c:v>
                </c:pt>
                <c:pt idx="7">
                  <c:v>1396</c:v>
                </c:pt>
                <c:pt idx="8">
                  <c:v>1544</c:v>
                </c:pt>
                <c:pt idx="9">
                  <c:v>1688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Main!$L$94</c:f>
              <c:strCache>
                <c:ptCount val="1"/>
                <c:pt idx="0">
                  <c:v>15 YR</c:v>
                </c:pt>
              </c:strCache>
            </c:strRef>
          </c:tx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Main!$M$94:$Z$94</c:f>
              <c:numCache>
                <c:formatCode>0.00_ ;[Red]\-0.00</c:formatCode>
                <c:ptCount val="14"/>
                <c:pt idx="0">
                  <c:v>207</c:v>
                </c:pt>
                <c:pt idx="1">
                  <c:v>409</c:v>
                </c:pt>
                <c:pt idx="2">
                  <c:v>607</c:v>
                </c:pt>
                <c:pt idx="3">
                  <c:v>800</c:v>
                </c:pt>
                <c:pt idx="4">
                  <c:v>989</c:v>
                </c:pt>
                <c:pt idx="5">
                  <c:v>1170</c:v>
                </c:pt>
                <c:pt idx="6">
                  <c:v>1347</c:v>
                </c:pt>
                <c:pt idx="7">
                  <c:v>1516</c:v>
                </c:pt>
                <c:pt idx="8">
                  <c:v>1679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Main!$L$95</c:f>
              <c:strCache>
                <c:ptCount val="1"/>
                <c:pt idx="0">
                  <c:v>20 YR</c:v>
                </c:pt>
              </c:strCache>
            </c:strRef>
          </c:tx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Main!$M$95:$Z$95</c:f>
              <c:numCache>
                <c:formatCode>0.00_ ;[Red]\-0.00</c:formatCode>
                <c:ptCount val="14"/>
                <c:pt idx="0">
                  <c:v>212</c:v>
                </c:pt>
                <c:pt idx="1">
                  <c:v>417</c:v>
                </c:pt>
                <c:pt idx="2">
                  <c:v>619</c:v>
                </c:pt>
                <c:pt idx="3">
                  <c:v>817</c:v>
                </c:pt>
                <c:pt idx="4">
                  <c:v>1013</c:v>
                </c:pt>
                <c:pt idx="5">
                  <c:v>1199</c:v>
                </c:pt>
                <c:pt idx="6">
                  <c:v>1381</c:v>
                </c:pt>
                <c:pt idx="7">
                  <c:v>1558</c:v>
                </c:pt>
                <c:pt idx="8">
                  <c:v>1728</c:v>
                </c:pt>
                <c:pt idx="9">
                  <c:v>1894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Main!$L$96</c:f>
              <c:strCache>
                <c:ptCount val="1"/>
                <c:pt idx="0">
                  <c:v>25 YR</c:v>
                </c:pt>
              </c:strCache>
            </c:strRef>
          </c:tx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Main!$M$96:$Z$96</c:f>
              <c:numCache>
                <c:formatCode>0.00_ ;[Red]\-0.00</c:formatCode>
                <c:ptCount val="14"/>
                <c:pt idx="0">
                  <c:v>219</c:v>
                </c:pt>
                <c:pt idx="1">
                  <c:v>432</c:v>
                </c:pt>
                <c:pt idx="2">
                  <c:v>644</c:v>
                </c:pt>
                <c:pt idx="3">
                  <c:v>848</c:v>
                </c:pt>
                <c:pt idx="4">
                  <c:v>1049</c:v>
                </c:pt>
                <c:pt idx="5">
                  <c:v>1247</c:v>
                </c:pt>
                <c:pt idx="6">
                  <c:v>1441</c:v>
                </c:pt>
                <c:pt idx="7">
                  <c:v>1633</c:v>
                </c:pt>
                <c:pt idx="8">
                  <c:v>1820</c:v>
                </c:pt>
                <c:pt idx="9">
                  <c:v>2003</c:v>
                </c:pt>
                <c:pt idx="10">
                  <c:v>2763</c:v>
                </c:pt>
                <c:pt idx="11">
                  <c:v>3460</c:v>
                </c:pt>
                <c:pt idx="12">
                  <c:v>4140</c:v>
                </c:pt>
                <c:pt idx="13">
                  <c:v>4770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Main!$L$97</c:f>
              <c:strCache>
                <c:ptCount val="1"/>
                <c:pt idx="0">
                  <c:v>30 YR</c:v>
                </c:pt>
              </c:strCache>
            </c:strRef>
          </c:tx>
          <c:cat>
            <c:strRef>
              <c:f>Main!$M$80:$Z$80</c:f>
              <c:strCache>
                <c:ptCount val="14"/>
                <c:pt idx="0">
                  <c:v>1 YR</c:v>
                </c:pt>
                <c:pt idx="1">
                  <c:v>2 YR</c:v>
                </c:pt>
                <c:pt idx="2">
                  <c:v>3 YR</c:v>
                </c:pt>
                <c:pt idx="3">
                  <c:v>4 YR</c:v>
                </c:pt>
                <c:pt idx="4">
                  <c:v>5 YR</c:v>
                </c:pt>
                <c:pt idx="5">
                  <c:v>6 YR</c:v>
                </c:pt>
                <c:pt idx="6">
                  <c:v>7 YR</c:v>
                </c:pt>
                <c:pt idx="7">
                  <c:v>8 YR</c:v>
                </c:pt>
                <c:pt idx="8">
                  <c:v>9 YR</c:v>
                </c:pt>
                <c:pt idx="9">
                  <c:v>10 YR</c:v>
                </c:pt>
                <c:pt idx="10">
                  <c:v>15 YR</c:v>
                </c:pt>
                <c:pt idx="11">
                  <c:v>20 YR</c:v>
                </c:pt>
                <c:pt idx="12">
                  <c:v>25 YR</c:v>
                </c:pt>
                <c:pt idx="13">
                  <c:v>30 YR</c:v>
                </c:pt>
              </c:strCache>
            </c:strRef>
          </c:cat>
          <c:val>
            <c:numRef>
              <c:f>Main!$M$97:$Z$97</c:f>
              <c:numCache>
                <c:formatCode>0.00_ ;[Red]\-0.00</c:formatCode>
                <c:ptCount val="14"/>
                <c:pt idx="0">
                  <c:v>227</c:v>
                </c:pt>
                <c:pt idx="1">
                  <c:v>451</c:v>
                </c:pt>
                <c:pt idx="2">
                  <c:v>670</c:v>
                </c:pt>
                <c:pt idx="3">
                  <c:v>884</c:v>
                </c:pt>
                <c:pt idx="4">
                  <c:v>1095</c:v>
                </c:pt>
                <c:pt idx="5">
                  <c:v>1306</c:v>
                </c:pt>
                <c:pt idx="6">
                  <c:v>1514</c:v>
                </c:pt>
                <c:pt idx="7">
                  <c:v>1720</c:v>
                </c:pt>
                <c:pt idx="8">
                  <c:v>1922</c:v>
                </c:pt>
                <c:pt idx="9">
                  <c:v>2122</c:v>
                </c:pt>
                <c:pt idx="10">
                  <c:v>2965</c:v>
                </c:pt>
                <c:pt idx="11">
                  <c:v>3741</c:v>
                </c:pt>
                <c:pt idx="12">
                  <c:v>4486</c:v>
                </c:pt>
                <c:pt idx="13">
                  <c:v>5182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58528"/>
        <c:axId val="686360448"/>
      </c:lineChart>
      <c:catAx>
        <c:axId val="686358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Calibri" panose="020F0502020204030204" pitchFamily="34" charset="0"/>
                <a:ea typeface="ＭＳ Ｐゴシック"/>
                <a:cs typeface="ＭＳ Ｐゴシック"/>
              </a:defRPr>
            </a:pPr>
            <a:endParaRPr lang="en-US"/>
          </a:p>
        </c:txPr>
        <c:crossAx val="6863604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86360448"/>
        <c:scaling>
          <c:orientation val="minMax"/>
        </c:scaling>
        <c:delete val="0"/>
        <c:axPos val="l"/>
        <c:majorGridlines>
          <c:spPr>
            <a:ln w="3175">
              <a:pattFill prst="pct25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Calibri" panose="020F0502020204030204" pitchFamily="34" charset="0"/>
                <a:ea typeface="ＭＳ Ｐゴシック"/>
                <a:cs typeface="ＭＳ Ｐゴシック"/>
              </a:defRPr>
            </a:pPr>
            <a:endParaRPr lang="en-US"/>
          </a:p>
        </c:txPr>
        <c:crossAx val="686358528"/>
        <c:crosses val="autoZero"/>
        <c:crossBetween val="midCat"/>
      </c:valAx>
      <c:spPr>
        <a:solidFill>
          <a:srgbClr val="EEEEEE"/>
        </a:solidFill>
        <a:ln w="12700">
          <a:solidFill>
            <a:srgbClr val="7D7D7D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608645073212003"/>
          <c:y val="0.10011046696086065"/>
          <c:w val="0.83942122619287973"/>
          <c:h val="0.1540154596060107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jpe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10</xdr:row>
      <xdr:rowOff>285750</xdr:rowOff>
    </xdr:from>
    <xdr:to>
      <xdr:col>10</xdr:col>
      <xdr:colOff>38100</xdr:colOff>
      <xdr:row>34</xdr:row>
      <xdr:rowOff>104775</xdr:rowOff>
    </xdr:to>
    <xdr:graphicFrame macro="">
      <xdr:nvGraphicFramePr>
        <xdr:cNvPr id="194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38</xdr:row>
      <xdr:rowOff>228600</xdr:rowOff>
    </xdr:from>
    <xdr:to>
      <xdr:col>10</xdr:col>
      <xdr:colOff>38100</xdr:colOff>
      <xdr:row>56</xdr:row>
      <xdr:rowOff>85725</xdr:rowOff>
    </xdr:to>
    <xdr:graphicFrame macro="">
      <xdr:nvGraphicFramePr>
        <xdr:cNvPr id="194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57</xdr:row>
      <xdr:rowOff>9525</xdr:rowOff>
    </xdr:from>
    <xdr:to>
      <xdr:col>10</xdr:col>
      <xdr:colOff>47625</xdr:colOff>
      <xdr:row>76</xdr:row>
      <xdr:rowOff>161925</xdr:rowOff>
    </xdr:to>
    <xdr:graphicFrame macro="">
      <xdr:nvGraphicFramePr>
        <xdr:cNvPr id="194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38100</xdr:colOff>
      <xdr:row>79</xdr:row>
      <xdr:rowOff>0</xdr:rowOff>
    </xdr:from>
    <xdr:to>
      <xdr:col>10</xdr:col>
      <xdr:colOff>76200</xdr:colOff>
      <xdr:row>97</xdr:row>
      <xdr:rowOff>38100</xdr:rowOff>
    </xdr:to>
    <xdr:graphicFrame macro="">
      <xdr:nvGraphicFramePr>
        <xdr:cNvPr id="1945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</xdr:row>
          <xdr:rowOff>76200</xdr:rowOff>
        </xdr:from>
        <xdr:to>
          <xdr:col>4</xdr:col>
          <xdr:colOff>19050</xdr:colOff>
          <xdr:row>9</xdr:row>
          <xdr:rowOff>114300</xdr:rowOff>
        </xdr:to>
        <xdr:sp macro="" textlink="">
          <xdr:nvSpPr>
            <xdr:cNvPr id="1451" name="CmdRefresh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4</xdr:col>
      <xdr:colOff>67235</xdr:colOff>
      <xdr:row>1</xdr:row>
      <xdr:rowOff>0</xdr:rowOff>
    </xdr:from>
    <xdr:to>
      <xdr:col>24</xdr:col>
      <xdr:colOff>44823</xdr:colOff>
      <xdr:row>3</xdr:row>
      <xdr:rowOff>185928</xdr:rowOff>
    </xdr:to>
    <xdr:sp macro="" textlink="">
      <xdr:nvSpPr>
        <xdr:cNvPr id="11" name="BannerTitle"/>
        <xdr:cNvSpPr>
          <a:spLocks noChangeArrowheads="1"/>
        </xdr:cNvSpPr>
      </xdr:nvSpPr>
      <xdr:spPr bwMode="auto">
        <a:xfrm>
          <a:off x="1680882" y="56029"/>
          <a:ext cx="11441206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GB" sz="2800" b="1" i="0" u="none" strike="noStrike" baseline="0">
              <a:solidFill>
                <a:srgbClr val="EEEEEE"/>
              </a:solidFill>
              <a:latin typeface="Calibri"/>
              <a:cs typeface="Calibri"/>
            </a:rPr>
            <a:t>Normalized Swaption  / Interest Rate Volatility Monitor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4</xdr:col>
      <xdr:colOff>323850</xdr:colOff>
      <xdr:row>3</xdr:row>
      <xdr:rowOff>180975</xdr:rowOff>
    </xdr:to>
    <xdr:pic>
      <xdr:nvPicPr>
        <xdr:cNvPr id="1947" name="Bloomberg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57150"/>
          <a:ext cx="182880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280147</xdr:colOff>
      <xdr:row>1</xdr:row>
      <xdr:rowOff>0</xdr:rowOff>
    </xdr:from>
    <xdr:to>
      <xdr:col>22</xdr:col>
      <xdr:colOff>393407</xdr:colOff>
      <xdr:row>3</xdr:row>
      <xdr:rowOff>185928</xdr:rowOff>
    </xdr:to>
    <xdr:sp macro="" textlink="">
      <xdr:nvSpPr>
        <xdr:cNvPr id="2" name="BannerTitle"/>
        <xdr:cNvSpPr>
          <a:spLocks noChangeArrowheads="1"/>
        </xdr:cNvSpPr>
      </xdr:nvSpPr>
      <xdr:spPr bwMode="auto">
        <a:xfrm>
          <a:off x="1602441" y="56029"/>
          <a:ext cx="11610495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GB" sz="2800" b="1" i="0" u="none" strike="noStrike" baseline="0">
              <a:solidFill>
                <a:srgbClr val="EEEEEE"/>
              </a:solidFill>
              <a:latin typeface="Calibri"/>
              <a:cs typeface="Calibri"/>
            </a:rPr>
            <a:t>Normalized Swaption  / Interest Rate Volatility Monitor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4</xdr:col>
      <xdr:colOff>0</xdr:colOff>
      <xdr:row>3</xdr:row>
      <xdr:rowOff>180975</xdr:rowOff>
    </xdr:to>
    <xdr:pic>
      <xdr:nvPicPr>
        <xdr:cNvPr id="548896" name="Bloomber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57150"/>
          <a:ext cx="182880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358589</xdr:colOff>
      <xdr:row>18</xdr:row>
      <xdr:rowOff>123265</xdr:rowOff>
    </xdr:from>
    <xdr:to>
      <xdr:col>17</xdr:col>
      <xdr:colOff>470648</xdr:colOff>
      <xdr:row>44</xdr:row>
      <xdr:rowOff>154626</xdr:rowOff>
    </xdr:to>
    <xdr:pic>
      <xdr:nvPicPr>
        <xdr:cNvPr id="6" name="Picture 5" descr="Screen Clippi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0883" y="2846294"/>
          <a:ext cx="8583706" cy="4110303"/>
        </a:xfrm>
        <a:prstGeom prst="rect">
          <a:avLst/>
        </a:prstGeom>
        <a:ln w="12700">
          <a:solidFill>
            <a:srgbClr val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12</xdr:col>
      <xdr:colOff>403411</xdr:colOff>
      <xdr:row>11</xdr:row>
      <xdr:rowOff>22411</xdr:rowOff>
    </xdr:from>
    <xdr:to>
      <xdr:col>14</xdr:col>
      <xdr:colOff>537881</xdr:colOff>
      <xdr:row>15</xdr:row>
      <xdr:rowOff>11208</xdr:rowOff>
    </xdr:to>
    <xdr:sp macro="" textlink="">
      <xdr:nvSpPr>
        <xdr:cNvPr id="7" name="DbgShadowBox"/>
        <xdr:cNvSpPr/>
      </xdr:nvSpPr>
      <xdr:spPr bwMode="auto">
        <a:xfrm>
          <a:off x="7171764" y="1647264"/>
          <a:ext cx="1344705" cy="616326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 rtl="0">
            <a:defRPr sz="1000"/>
          </a:pPr>
          <a:r>
            <a:rPr lang="en-GB" sz="1050" b="0" i="0" u="none" strike="noStrike" baseline="0">
              <a:solidFill>
                <a:srgbClr val="477AB7"/>
              </a:solidFill>
              <a:latin typeface="Calibri"/>
              <a:cs typeface="Calibri"/>
            </a:rPr>
            <a:t>Input Fields have a orange background.</a:t>
          </a:r>
        </a:p>
      </xdr:txBody>
    </xdr:sp>
    <xdr:clientData/>
  </xdr:twoCellAnchor>
  <xdr:twoCellAnchor>
    <xdr:from>
      <xdr:col>10</xdr:col>
      <xdr:colOff>515470</xdr:colOff>
      <xdr:row>15</xdr:row>
      <xdr:rowOff>11208</xdr:rowOff>
    </xdr:from>
    <xdr:to>
      <xdr:col>13</xdr:col>
      <xdr:colOff>470646</xdr:colOff>
      <xdr:row>23</xdr:row>
      <xdr:rowOff>112059</xdr:rowOff>
    </xdr:to>
    <xdr:cxnSp macro="">
      <xdr:nvCxnSpPr>
        <xdr:cNvPr id="8" name="DbgGradArrow"/>
        <xdr:cNvCxnSpPr>
          <a:stCxn id="7" idx="2"/>
        </xdr:cNvCxnSpPr>
      </xdr:nvCxnSpPr>
      <xdr:spPr bwMode="auto">
        <a:xfrm flipH="1">
          <a:off x="6073588" y="2263590"/>
          <a:ext cx="1770529" cy="1355910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560294</xdr:colOff>
      <xdr:row>15</xdr:row>
      <xdr:rowOff>11208</xdr:rowOff>
    </xdr:from>
    <xdr:to>
      <xdr:col>13</xdr:col>
      <xdr:colOff>470646</xdr:colOff>
      <xdr:row>23</xdr:row>
      <xdr:rowOff>22412</xdr:rowOff>
    </xdr:to>
    <xdr:cxnSp macro="">
      <xdr:nvCxnSpPr>
        <xdr:cNvPr id="11" name="DbgGradArrow"/>
        <xdr:cNvCxnSpPr>
          <a:stCxn id="7" idx="2"/>
        </xdr:cNvCxnSpPr>
      </xdr:nvCxnSpPr>
      <xdr:spPr bwMode="auto">
        <a:xfrm flipH="1">
          <a:off x="7328647" y="2263590"/>
          <a:ext cx="515470" cy="1266263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470646</xdr:colOff>
      <xdr:row>15</xdr:row>
      <xdr:rowOff>11208</xdr:rowOff>
    </xdr:from>
    <xdr:to>
      <xdr:col>14</xdr:col>
      <xdr:colOff>268941</xdr:colOff>
      <xdr:row>23</xdr:row>
      <xdr:rowOff>78441</xdr:rowOff>
    </xdr:to>
    <xdr:cxnSp macro="">
      <xdr:nvCxnSpPr>
        <xdr:cNvPr id="13" name="DbgGradArrow"/>
        <xdr:cNvCxnSpPr>
          <a:stCxn id="7" idx="2"/>
        </xdr:cNvCxnSpPr>
      </xdr:nvCxnSpPr>
      <xdr:spPr bwMode="auto">
        <a:xfrm>
          <a:off x="7844117" y="2263590"/>
          <a:ext cx="403412" cy="1322292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342899</xdr:colOff>
      <xdr:row>10</xdr:row>
      <xdr:rowOff>152400</xdr:rowOff>
    </xdr:from>
    <xdr:to>
      <xdr:col>7</xdr:col>
      <xdr:colOff>246530</xdr:colOff>
      <xdr:row>16</xdr:row>
      <xdr:rowOff>33618</xdr:rowOff>
    </xdr:to>
    <xdr:sp macro="" textlink="">
      <xdr:nvSpPr>
        <xdr:cNvPr id="17" name="DbgShadowBox"/>
        <xdr:cNvSpPr/>
      </xdr:nvSpPr>
      <xdr:spPr bwMode="auto">
        <a:xfrm>
          <a:off x="1665193" y="1620371"/>
          <a:ext cx="2324102" cy="822512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 rtl="0">
            <a:defRPr sz="1000"/>
          </a:pPr>
          <a:r>
            <a:rPr lang="en-GB" sz="1050" b="0" i="0" u="none" strike="noStrike" baseline="0">
              <a:solidFill>
                <a:srgbClr val="477AB7"/>
              </a:solidFill>
              <a:latin typeface="Calibri"/>
              <a:cs typeface="Calibri"/>
            </a:rPr>
            <a:t>The data should update automatically but you can also re-trigger a full refresh by clicking on this button.</a:t>
          </a:r>
        </a:p>
      </xdr:txBody>
    </xdr:sp>
    <xdr:clientData/>
  </xdr:twoCellAnchor>
  <xdr:twoCellAnchor>
    <xdr:from>
      <xdr:col>5</xdr:col>
      <xdr:colOff>33618</xdr:colOff>
      <xdr:row>16</xdr:row>
      <xdr:rowOff>33618</xdr:rowOff>
    </xdr:from>
    <xdr:to>
      <xdr:col>5</xdr:col>
      <xdr:colOff>294715</xdr:colOff>
      <xdr:row>21</xdr:row>
      <xdr:rowOff>33618</xdr:rowOff>
    </xdr:to>
    <xdr:cxnSp macro="">
      <xdr:nvCxnSpPr>
        <xdr:cNvPr id="18" name="DbgGradArrow"/>
        <xdr:cNvCxnSpPr>
          <a:stCxn id="17" idx="2"/>
        </xdr:cNvCxnSpPr>
      </xdr:nvCxnSpPr>
      <xdr:spPr bwMode="auto">
        <a:xfrm flipH="1">
          <a:off x="2566147" y="2442883"/>
          <a:ext cx="261097" cy="784411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AP98"/>
  <sheetViews>
    <sheetView showGridLines="0" showRowColHeaders="0" tabSelected="1" zoomScale="85" zoomScaleNormal="85" workbookViewId="0">
      <pane ySplit="7" topLeftCell="A8" activePane="bottomLeft" state="frozen"/>
      <selection pane="bottomLeft" activeCell="A8" sqref="A8"/>
    </sheetView>
  </sheetViews>
  <sheetFormatPr defaultRowHeight="12.75" x14ac:dyDescent="0.2"/>
  <cols>
    <col min="1" max="1" width="1.7109375" customWidth="1"/>
    <col min="2" max="2" width="1.85546875" customWidth="1"/>
    <col min="3" max="3" width="11.5703125" customWidth="1"/>
    <col min="11" max="11" width="4.7109375" customWidth="1"/>
    <col min="12" max="12" width="12" customWidth="1"/>
    <col min="13" max="13" width="8.140625" customWidth="1"/>
    <col min="14" max="15" width="7.42578125" customWidth="1"/>
    <col min="16" max="16" width="8.140625" customWidth="1"/>
    <col min="17" max="17" width="8" customWidth="1"/>
    <col min="18" max="18" width="8.7109375" customWidth="1"/>
    <col min="19" max="19" width="8.140625" customWidth="1"/>
    <col min="20" max="20" width="8.7109375" customWidth="1"/>
    <col min="21" max="21" width="8.5703125" customWidth="1"/>
    <col min="22" max="22" width="9.5703125" customWidth="1"/>
    <col min="23" max="23" width="9" customWidth="1"/>
    <col min="24" max="24" width="9.140625" customWidth="1"/>
    <col min="25" max="25" width="7.7109375" customWidth="1"/>
    <col min="26" max="26" width="8.28515625" customWidth="1"/>
    <col min="27" max="27" width="7.7109375" customWidth="1"/>
    <col min="34" max="34" width="7.5703125" customWidth="1"/>
    <col min="35" max="35" width="8.42578125" customWidth="1"/>
    <col min="36" max="36" width="8.5703125" customWidth="1"/>
    <col min="37" max="37" width="7.28515625" customWidth="1"/>
    <col min="40" max="41" width="8.28515625" customWidth="1"/>
    <col min="42" max="42" width="8.42578125" customWidth="1"/>
  </cols>
  <sheetData>
    <row r="1" spans="3:24" ht="5.0999999999999996" customHeight="1" x14ac:dyDescent="0.2"/>
    <row r="2" spans="3:24" ht="15" customHeight="1" x14ac:dyDescent="0.2"/>
    <row r="3" spans="3:24" ht="15" customHeight="1" x14ac:dyDescent="0.2"/>
    <row r="4" spans="3:24" ht="15" customHeight="1" x14ac:dyDescent="0.2"/>
    <row r="5" spans="3:24" ht="5.0999999999999996" customHeight="1" x14ac:dyDescent="0.2"/>
    <row r="7" spans="3:24" ht="15.75" x14ac:dyDescent="0.2">
      <c r="C7" s="36" t="s">
        <v>34</v>
      </c>
      <c r="D7" s="35" t="s">
        <v>0</v>
      </c>
      <c r="F7" s="47" t="s">
        <v>2498</v>
      </c>
    </row>
    <row r="8" spans="3:24" x14ac:dyDescent="0.2">
      <c r="F8" s="48" t="s">
        <v>2499</v>
      </c>
    </row>
    <row r="9" spans="3:24" x14ac:dyDescent="0.2">
      <c r="H9" s="7"/>
    </row>
    <row r="11" spans="3:24" ht="23.25" x14ac:dyDescent="0.35">
      <c r="L11" s="37" t="s">
        <v>2489</v>
      </c>
    </row>
    <row r="12" spans="3:24" ht="16.5" customHeight="1" x14ac:dyDescent="0.2">
      <c r="L12" s="52" t="s">
        <v>2494</v>
      </c>
      <c r="M12" s="53"/>
      <c r="P12" s="28" t="s">
        <v>2048</v>
      </c>
      <c r="Q12" s="54" t="s">
        <v>35</v>
      </c>
      <c r="R12" s="55"/>
      <c r="S12" s="49" t="s">
        <v>2495</v>
      </c>
      <c r="T12" s="30" t="s">
        <v>29</v>
      </c>
    </row>
    <row r="13" spans="3:24" ht="15" x14ac:dyDescent="0.2">
      <c r="L13" s="25" t="s">
        <v>39</v>
      </c>
      <c r="M13" s="26" t="s">
        <v>12</v>
      </c>
      <c r="N13" s="26" t="s">
        <v>13</v>
      </c>
      <c r="O13" s="14" t="s">
        <v>2049</v>
      </c>
      <c r="P13" s="26" t="s">
        <v>2050</v>
      </c>
      <c r="Q13" s="50" t="s">
        <v>14</v>
      </c>
      <c r="R13" s="51" t="s">
        <v>2051</v>
      </c>
      <c r="S13" s="16" t="s">
        <v>16</v>
      </c>
      <c r="T13" s="15" t="s">
        <v>15</v>
      </c>
      <c r="U13" s="16" t="s">
        <v>17</v>
      </c>
      <c r="V13" s="17" t="s">
        <v>18</v>
      </c>
      <c r="W13" s="17" t="s">
        <v>2054</v>
      </c>
      <c r="X13" s="18" t="s">
        <v>19</v>
      </c>
    </row>
    <row r="14" spans="3:24" ht="15" x14ac:dyDescent="0.2">
      <c r="L14" s="12" t="s">
        <v>8</v>
      </c>
      <c r="M14" s="19">
        <f>IF(ISNUMBER(Data!E3)=FALSE,NA(),(Data!E3))</f>
        <v>31.27</v>
      </c>
      <c r="N14" s="19">
        <f>IF(ISNUMBER(Data!F3)=FALSE,NA(),(Data!F3))</f>
        <v>43</v>
      </c>
      <c r="O14" s="19">
        <f>IF(ISNUMBER(Data!G3)=FALSE,NA(),(Data!G3))</f>
        <v>50.07</v>
      </c>
      <c r="P14" s="19">
        <f>IF(ISNUMBER(Data!H3)=FALSE,NA(),(Data!H3))</f>
        <v>54.6</v>
      </c>
      <c r="Q14" s="19">
        <f>IF(ISNUMBER(Data!I3)=FALSE,NA(),(Data!I3))</f>
        <v>58.54</v>
      </c>
      <c r="R14" s="19">
        <f>IF(ISNUMBER(Data!J3)=FALSE,NA(),(Data!J3))</f>
        <v>60.94</v>
      </c>
      <c r="S14" s="19">
        <f>IF(ISNUMBER(Data!K3)=FALSE,NA(),(Data!K3))</f>
        <v>62.88</v>
      </c>
      <c r="T14" s="19">
        <f>IF(ISNUMBER(Data!L3)=FALSE,NA(),(Data!L3))</f>
        <v>64.965000000000003</v>
      </c>
      <c r="U14" s="19">
        <f>IF(ISNUMBER(Data!M3)=FALSE,NA(),(Data!M3))</f>
        <v>67.400000000000006</v>
      </c>
      <c r="V14" s="19">
        <f>IF(ISNUMBER(Data!N3)=FALSE,NA(),(Data!N3))</f>
        <v>68.05</v>
      </c>
      <c r="W14" s="19">
        <f>IF(ISNUMBER(Data!O3)=FALSE,NA(),(Data!O3))</f>
        <v>68.650000000000006</v>
      </c>
      <c r="X14" s="20">
        <f>IF(ISNUMBER(Data!P3)=FALSE,NA(),(Data!P3))</f>
        <v>70</v>
      </c>
    </row>
    <row r="15" spans="3:24" ht="15" x14ac:dyDescent="0.2">
      <c r="L15" s="12" t="s">
        <v>2490</v>
      </c>
      <c r="M15" s="21">
        <f>IF(ISNUMBER(Data!E4)=FALSE,NA(),(Data!E4))</f>
        <v>37.24</v>
      </c>
      <c r="N15" s="21">
        <f>IF(ISNUMBER(Data!F4)=FALSE,NA(),(Data!F4))</f>
        <v>46.77</v>
      </c>
      <c r="O15" s="21">
        <f>IF(ISNUMBER(Data!G4)=FALSE,NA(),(Data!G4))</f>
        <v>54.06</v>
      </c>
      <c r="P15" s="21">
        <f>IF(ISNUMBER(Data!H4)=FALSE,NA(),(Data!H4))</f>
        <v>58.36</v>
      </c>
      <c r="Q15" s="21">
        <f>IF(ISNUMBER(Data!I4)=FALSE,NA(),(Data!I4))</f>
        <v>60.9</v>
      </c>
      <c r="R15" s="21">
        <f>IF(ISNUMBER(Data!J4)=FALSE,NA(),(Data!J4))</f>
        <v>63.37</v>
      </c>
      <c r="S15" s="21">
        <f>IF(ISNUMBER(Data!K4)=FALSE,NA(),(Data!K4))</f>
        <v>65.430000000000007</v>
      </c>
      <c r="T15" s="21">
        <f>IF(ISNUMBER(Data!L4)=FALSE,NA(),(Data!L4))</f>
        <v>68.13</v>
      </c>
      <c r="U15" s="21">
        <f>IF(ISNUMBER(Data!M4)=FALSE,NA(),(Data!M4))</f>
        <v>68.930000000000007</v>
      </c>
      <c r="V15" s="21">
        <f>IF(ISNUMBER(Data!N4)=FALSE,NA(),(Data!N4))</f>
        <v>69.11</v>
      </c>
      <c r="W15" s="21">
        <f>IF(ISNUMBER(Data!O4)=FALSE,NA(),(Data!O4))</f>
        <v>69.11</v>
      </c>
      <c r="X15" s="22">
        <f>IF(ISNUMBER(Data!P4)=FALSE,NA(),(Data!P4))</f>
        <v>70.28</v>
      </c>
    </row>
    <row r="16" spans="3:24" ht="15" x14ac:dyDescent="0.2">
      <c r="L16" s="12" t="s">
        <v>9</v>
      </c>
      <c r="M16" s="19">
        <f>IF(ISNUMBER(Data!E5)=FALSE,NA(),(Data!E5))</f>
        <v>39.08</v>
      </c>
      <c r="N16" s="19">
        <f>IF(ISNUMBER(Data!F5)=FALSE,NA(),(Data!F5))</f>
        <v>49.5</v>
      </c>
      <c r="O16" s="19">
        <f>IF(ISNUMBER(Data!G5)=FALSE,NA(),(Data!G5))</f>
        <v>56.34</v>
      </c>
      <c r="P16" s="19">
        <f>IF(ISNUMBER(Data!H5)=FALSE,NA(),(Data!H5))</f>
        <v>60.79</v>
      </c>
      <c r="Q16" s="19">
        <f>IF(ISNUMBER(Data!I5)=FALSE,NA(),(Data!I5))</f>
        <v>63.8</v>
      </c>
      <c r="R16" s="19">
        <f>IF(ISNUMBER(Data!J5)=FALSE,NA(),(Data!J5))</f>
        <v>65.650000000000006</v>
      </c>
      <c r="S16" s="19">
        <f>IF(ISNUMBER(Data!K5)=FALSE,NA(),(Data!K5))</f>
        <v>67.41</v>
      </c>
      <c r="T16" s="19">
        <f>IF(ISNUMBER(Data!L5)=FALSE,NA(),(Data!L5))</f>
        <v>70</v>
      </c>
      <c r="U16" s="19">
        <f>IF(ISNUMBER(Data!M5)=FALSE,NA(),(Data!M5))</f>
        <v>71.11</v>
      </c>
      <c r="V16" s="19">
        <f>IF(ISNUMBER(Data!N5)=FALSE,NA(),(Data!N5))</f>
        <v>70.8</v>
      </c>
      <c r="W16" s="19">
        <f>IF(ISNUMBER(Data!O5)=FALSE,NA(),(Data!O5))</f>
        <v>71.17</v>
      </c>
      <c r="X16" s="20">
        <f>IF(ISNUMBER(Data!P5)=FALSE,NA(),(Data!P5))</f>
        <v>72.27</v>
      </c>
    </row>
    <row r="17" spans="12:24" ht="15" x14ac:dyDescent="0.2">
      <c r="L17" s="12" t="s">
        <v>10</v>
      </c>
      <c r="M17" s="21">
        <f>IF(ISNUMBER(Data!E6)=FALSE,NA(),(Data!E6))</f>
        <v>43.77</v>
      </c>
      <c r="N17" s="21">
        <f>IF(ISNUMBER(Data!F6)=FALSE,NA(),(Data!F6))</f>
        <v>53.31</v>
      </c>
      <c r="O17" s="21">
        <f>IF(ISNUMBER(Data!G6)=FALSE,NA(),(Data!G6))</f>
        <v>59.84</v>
      </c>
      <c r="P17" s="21">
        <f>IF(ISNUMBER(Data!H6)=FALSE,NA(),(Data!H6))</f>
        <v>64.27</v>
      </c>
      <c r="Q17" s="21">
        <f>IF(ISNUMBER(Data!I6)=FALSE,NA(),(Data!I6))</f>
        <v>66.959999999999994</v>
      </c>
      <c r="R17" s="21">
        <f>IF(ISNUMBER(Data!J6)=FALSE,NA(),(Data!J6))</f>
        <v>68.599999999999994</v>
      </c>
      <c r="S17" s="21">
        <f>IF(ISNUMBER(Data!K6)=FALSE,NA(),(Data!K6))</f>
        <v>70.069999999999993</v>
      </c>
      <c r="T17" s="21">
        <f>IF(ISNUMBER(Data!L6)=FALSE,NA(),(Data!L6))</f>
        <v>72.05</v>
      </c>
      <c r="U17" s="21">
        <f>IF(ISNUMBER(Data!M6)=FALSE,NA(),(Data!M6))</f>
        <v>72.599999999999994</v>
      </c>
      <c r="V17" s="21">
        <f>IF(ISNUMBER(Data!N6)=FALSE,NA(),(Data!N6))</f>
        <v>72.59</v>
      </c>
      <c r="W17" s="21">
        <f>IF(ISNUMBER(Data!O6)=FALSE,NA(),(Data!O6))</f>
        <v>73.2</v>
      </c>
      <c r="X17" s="22">
        <f>IF(ISNUMBER(Data!P6)=FALSE,NA(),(Data!P6))</f>
        <v>73.55</v>
      </c>
    </row>
    <row r="18" spans="12:24" ht="15" x14ac:dyDescent="0.2">
      <c r="L18" s="12" t="s">
        <v>11</v>
      </c>
      <c r="M18" s="19">
        <f>IF(ISNUMBER(Data!E7)=FALSE,NA(),(Data!E7))</f>
        <v>47.88</v>
      </c>
      <c r="N18" s="19">
        <f>IF(ISNUMBER(Data!F7)=FALSE,NA(),(Data!F7))</f>
        <v>57.09</v>
      </c>
      <c r="O18" s="19">
        <f>IF(ISNUMBER(Data!G7)=FALSE,NA(),(Data!G7))</f>
        <v>62.72</v>
      </c>
      <c r="P18" s="19">
        <f>IF(ISNUMBER(Data!H7)=FALSE,NA(),(Data!H7))</f>
        <v>66.11</v>
      </c>
      <c r="Q18" s="19">
        <f>IF(ISNUMBER(Data!I7)=FALSE,NA(),(Data!I7))</f>
        <v>68.81</v>
      </c>
      <c r="R18" s="19">
        <f>IF(ISNUMBER(Data!J7)=FALSE,NA(),(Data!J7))</f>
        <v>70.61</v>
      </c>
      <c r="S18" s="19">
        <f>IF(ISNUMBER(Data!K7)=FALSE,NA(),(Data!K7))</f>
        <v>71.94</v>
      </c>
      <c r="T18" s="19">
        <f>IF(ISNUMBER(Data!L7)=FALSE,NA(),(Data!L7))</f>
        <v>73.77</v>
      </c>
      <c r="U18" s="19">
        <f>IF(ISNUMBER(Data!M7)=FALSE,NA(),(Data!M7))</f>
        <v>74.150000000000006</v>
      </c>
      <c r="V18" s="19">
        <f>IF(ISNUMBER(Data!N7)=FALSE,NA(),(Data!N7))</f>
        <v>73.7</v>
      </c>
      <c r="W18" s="19">
        <f>IF(ISNUMBER(Data!O7)=FALSE,NA(),(Data!O7))</f>
        <v>73.83</v>
      </c>
      <c r="X18" s="20">
        <f>IF(ISNUMBER(Data!P7)=FALSE,NA(),(Data!P7))</f>
        <v>74.36</v>
      </c>
    </row>
    <row r="19" spans="12:24" ht="15" x14ac:dyDescent="0.2">
      <c r="L19" s="12" t="s">
        <v>12</v>
      </c>
      <c r="M19" s="21">
        <f>IF(ISNUMBER(Data!E8)=FALSE,NA(),(Data!E8))</f>
        <v>51.25</v>
      </c>
      <c r="N19" s="21">
        <f>IF(ISNUMBER(Data!F8)=FALSE,NA(),(Data!F8))</f>
        <v>60</v>
      </c>
      <c r="O19" s="21">
        <f>IF(ISNUMBER(Data!G8)=FALSE,NA(),(Data!G8))</f>
        <v>64.88</v>
      </c>
      <c r="P19" s="21">
        <f>IF(ISNUMBER(Data!H8)=FALSE,NA(),(Data!H8))</f>
        <v>68.3</v>
      </c>
      <c r="Q19" s="21">
        <f>IF(ISNUMBER(Data!I8)=FALSE,NA(),(Data!I8))</f>
        <v>70.5</v>
      </c>
      <c r="R19" s="21">
        <f>IF(ISNUMBER(Data!J8)=FALSE,NA(),(Data!J8))</f>
        <v>72.03</v>
      </c>
      <c r="S19" s="21">
        <f>IF(ISNUMBER(Data!K8)=FALSE,NA(),(Data!K8))</f>
        <v>72.88</v>
      </c>
      <c r="T19" s="21">
        <f>IF(ISNUMBER(Data!L8)=FALSE,NA(),(Data!L8))</f>
        <v>75.2</v>
      </c>
      <c r="U19" s="21">
        <f>IF(ISNUMBER(Data!M8)=FALSE,NA(),(Data!M8))</f>
        <v>75.27</v>
      </c>
      <c r="V19" s="21">
        <f>IF(ISNUMBER(Data!N8)=FALSE,NA(),(Data!N8))</f>
        <v>74.19</v>
      </c>
      <c r="W19" s="21">
        <f>IF(ISNUMBER(Data!O8)=FALSE,NA(),(Data!O8))</f>
        <v>74.180000000000007</v>
      </c>
      <c r="X19" s="22">
        <f>IF(ISNUMBER(Data!P8)=FALSE,NA(),(Data!P8))</f>
        <v>74.5</v>
      </c>
    </row>
    <row r="20" spans="12:24" ht="15" x14ac:dyDescent="0.2">
      <c r="L20" s="12" t="s">
        <v>2491</v>
      </c>
      <c r="M20" s="19">
        <f>IF(ISNUMBER(Data!E9)=FALSE,NA(),(Data!E9))</f>
        <v>69.48</v>
      </c>
      <c r="N20" s="19">
        <f>IF(ISNUMBER(Data!F9)=FALSE,NA(),(Data!F9))</f>
        <v>71.52</v>
      </c>
      <c r="O20" s="19">
        <f>IF(ISNUMBER(Data!G9)=FALSE,NA(),(Data!G9))</f>
        <v>73.56</v>
      </c>
      <c r="P20" s="19">
        <f>IF(ISNUMBER(Data!H9)=FALSE,NA(),(Data!H9))</f>
        <v>75.599999999999994</v>
      </c>
      <c r="Q20" s="19">
        <f>IF(ISNUMBER(Data!I9)=FALSE,NA(),(Data!I9))</f>
        <v>77.64</v>
      </c>
      <c r="R20" s="19">
        <f>IF(ISNUMBER(Data!J9)=FALSE,NA(),(Data!J9))</f>
        <v>79.819999999999993</v>
      </c>
      <c r="S20" s="19">
        <f>IF(ISNUMBER(Data!K9)=FALSE,NA(),(Data!K9))</f>
        <v>82.01</v>
      </c>
      <c r="T20" s="19">
        <f>IF(ISNUMBER(Data!L9)=FALSE,NA(),(Data!L9))</f>
        <v>83.24</v>
      </c>
      <c r="U20" s="19">
        <f>IF(ISNUMBER(Data!M9)=FALSE,NA(),(Data!M9))</f>
        <v>80.650000000000006</v>
      </c>
      <c r="V20" s="19">
        <f>IF(ISNUMBER(Data!N9)=FALSE,NA(),(Data!N9))</f>
        <v>78.05</v>
      </c>
      <c r="W20" s="19">
        <f>IF(ISNUMBER(Data!O9)=FALSE,NA(),(Data!O9))</f>
        <v>75.959999999999994</v>
      </c>
      <c r="X20" s="20">
        <f>IF(ISNUMBER(Data!P9)=FALSE,NA(),(Data!P9))</f>
        <v>73.87</v>
      </c>
    </row>
    <row r="21" spans="12:24" ht="15" x14ac:dyDescent="0.2">
      <c r="L21" s="12" t="s">
        <v>13</v>
      </c>
      <c r="M21" s="21">
        <f>IF(ISNUMBER(Data!E10)=FALSE,NA(),(Data!E10))</f>
        <v>63.39</v>
      </c>
      <c r="N21" s="21">
        <f>IF(ISNUMBER(Data!F10)=FALSE,NA(),(Data!F10))</f>
        <v>67.88</v>
      </c>
      <c r="O21" s="21">
        <f>IF(ISNUMBER(Data!G10)=FALSE,NA(),(Data!G10))</f>
        <v>71.010000000000005</v>
      </c>
      <c r="P21" s="21">
        <f>IF(ISNUMBER(Data!H10)=FALSE,NA(),(Data!H10))</f>
        <v>73.52</v>
      </c>
      <c r="Q21" s="21">
        <f>IF(ISNUMBER(Data!I10)=FALSE,NA(),(Data!I10))</f>
        <v>74.25</v>
      </c>
      <c r="R21" s="21">
        <f>IF(ISNUMBER(Data!J10)=FALSE,NA(),(Data!J10))</f>
        <v>75.599999999999994</v>
      </c>
      <c r="S21" s="21">
        <f>IF(ISNUMBER(Data!K10)=FALSE,NA(),(Data!K10))</f>
        <v>76.599999999999994</v>
      </c>
      <c r="T21" s="21">
        <f>IF(ISNUMBER(Data!L10)=FALSE,NA(),(Data!L10))</f>
        <v>77.87</v>
      </c>
      <c r="U21" s="21">
        <f>IF(ISNUMBER(Data!M10)=FALSE,NA(),(Data!M10))</f>
        <v>76.75</v>
      </c>
      <c r="V21" s="21">
        <f>IF(ISNUMBER(Data!N10)=FALSE,NA(),(Data!N10))</f>
        <v>75.08</v>
      </c>
      <c r="W21" s="21">
        <f>IF(ISNUMBER(Data!O10)=FALSE,NA(),(Data!O10))</f>
        <v>74.95</v>
      </c>
      <c r="X21" s="22">
        <f>IF(ISNUMBER(Data!P10)=FALSE,NA(),(Data!P10))</f>
        <v>74.849999999999994</v>
      </c>
    </row>
    <row r="22" spans="12:24" ht="15" x14ac:dyDescent="0.2">
      <c r="L22" s="12" t="s">
        <v>2049</v>
      </c>
      <c r="M22" s="19">
        <f>IF(ISNUMBER(Data!E11)=FALSE,NA(),(Data!E11))</f>
        <v>71.84</v>
      </c>
      <c r="N22" s="19">
        <f>IF(ISNUMBER(Data!F11)=FALSE,NA(),(Data!F11))</f>
        <v>73.25</v>
      </c>
      <c r="O22" s="19">
        <f>IF(ISNUMBER(Data!G11)=FALSE,NA(),(Data!G11))</f>
        <v>74.39</v>
      </c>
      <c r="P22" s="19">
        <f>IF(ISNUMBER(Data!H11)=FALSE,NA(),(Data!H11))</f>
        <v>76.28</v>
      </c>
      <c r="Q22" s="19">
        <f>IF(ISNUMBER(Data!I11)=FALSE,NA(),(Data!I11))</f>
        <v>77.06</v>
      </c>
      <c r="R22" s="19">
        <f>IF(ISNUMBER(Data!J11)=FALSE,NA(),(Data!J11))</f>
        <v>77.930000000000007</v>
      </c>
      <c r="S22" s="19">
        <f>IF(ISNUMBER(Data!K11)=FALSE,NA(),(Data!K11))</f>
        <v>78.66</v>
      </c>
      <c r="T22" s="19">
        <f>IF(ISNUMBER(Data!L11)=FALSE,NA(),(Data!L11))</f>
        <v>79.06</v>
      </c>
      <c r="U22" s="19">
        <f>IF(ISNUMBER(Data!M11)=FALSE,NA(),(Data!M11))</f>
        <v>77.150000000000006</v>
      </c>
      <c r="V22" s="19">
        <f>IF(ISNUMBER(Data!N11)=FALSE,NA(),(Data!N11))</f>
        <v>74.36</v>
      </c>
      <c r="W22" s="19">
        <f>IF(ISNUMBER(Data!O11)=FALSE,NA(),(Data!O11))</f>
        <v>74.290000000000006</v>
      </c>
      <c r="X22" s="20">
        <f>IF(ISNUMBER(Data!P11)=FALSE,NA(),(Data!P11))</f>
        <v>73.87</v>
      </c>
    </row>
    <row r="23" spans="12:24" ht="15" x14ac:dyDescent="0.2">
      <c r="L23" s="12" t="s">
        <v>2050</v>
      </c>
      <c r="M23" s="21">
        <f>IF(ISNUMBER(Data!E12)=FALSE,NA(),(Data!E12))</f>
        <v>77.5</v>
      </c>
      <c r="N23" s="21">
        <f>IF(ISNUMBER(Data!F12)=FALSE,NA(),(Data!F12))</f>
        <v>77.010000000000005</v>
      </c>
      <c r="O23" s="21">
        <f>IF(ISNUMBER(Data!G12)=FALSE,NA(),(Data!G12))</f>
        <v>78.25</v>
      </c>
      <c r="P23" s="21">
        <f>IF(ISNUMBER(Data!H12)=FALSE,NA(),(Data!H12))</f>
        <v>78.55</v>
      </c>
      <c r="Q23" s="21">
        <f>IF(ISNUMBER(Data!I12)=FALSE,NA(),(Data!I12))</f>
        <v>78.77</v>
      </c>
      <c r="R23" s="21">
        <f>IF(ISNUMBER(Data!J12)=FALSE,NA(),(Data!J12))</f>
        <v>79.23</v>
      </c>
      <c r="S23" s="21">
        <f>IF(ISNUMBER(Data!K12)=FALSE,NA(),(Data!K12))</f>
        <v>79.78</v>
      </c>
      <c r="T23" s="21">
        <f>IF(ISNUMBER(Data!L12)=FALSE,NA(),(Data!L12))</f>
        <v>79.540000000000006</v>
      </c>
      <c r="U23" s="21">
        <f>IF(ISNUMBER(Data!M12)=FALSE,NA(),(Data!M12))</f>
        <v>75.87</v>
      </c>
      <c r="V23" s="21">
        <f>IF(ISNUMBER(Data!N12)=FALSE,NA(),(Data!N12))</f>
        <v>73.34</v>
      </c>
      <c r="W23" s="21">
        <f>IF(ISNUMBER(Data!O12)=FALSE,NA(),(Data!O12))</f>
        <v>73.11</v>
      </c>
      <c r="X23" s="22">
        <f>IF(ISNUMBER(Data!P12)=FALSE,NA(),(Data!P12))</f>
        <v>72.39</v>
      </c>
    </row>
    <row r="24" spans="12:24" ht="15" x14ac:dyDescent="0.2">
      <c r="L24" s="12" t="s">
        <v>14</v>
      </c>
      <c r="M24" s="19">
        <f>IF(ISNUMBER(Data!E13)=FALSE,NA(),(Data!E13))</f>
        <v>78.91</v>
      </c>
      <c r="N24" s="19">
        <f>IF(ISNUMBER(Data!F13)=FALSE,NA(),(Data!F13))</f>
        <v>80</v>
      </c>
      <c r="O24" s="19">
        <f>IF(ISNUMBER(Data!G13)=FALSE,NA(),(Data!G13))</f>
        <v>79.45</v>
      </c>
      <c r="P24" s="19">
        <f>IF(ISNUMBER(Data!H13)=FALSE,NA(),(Data!H13))</f>
        <v>80.06</v>
      </c>
      <c r="Q24" s="19">
        <f>IF(ISNUMBER(Data!I13)=FALSE,NA(),(Data!I13))</f>
        <v>80</v>
      </c>
      <c r="R24" s="19">
        <f>IF(ISNUMBER(Data!J13)=FALSE,NA(),(Data!J13))</f>
        <v>80.06</v>
      </c>
      <c r="S24" s="19">
        <f>IF(ISNUMBER(Data!K13)=FALSE,NA(),(Data!K13))</f>
        <v>80.31</v>
      </c>
      <c r="T24" s="19">
        <f>IF(ISNUMBER(Data!L13)=FALSE,NA(),(Data!L13))</f>
        <v>79.8</v>
      </c>
      <c r="U24" s="19">
        <f>IF(ISNUMBER(Data!M13)=FALSE,NA(),(Data!M13))</f>
        <v>75.47</v>
      </c>
      <c r="V24" s="19">
        <f>IF(ISNUMBER(Data!N13)=FALSE,NA(),(Data!N13))</f>
        <v>72.3</v>
      </c>
      <c r="W24" s="19">
        <f>IF(ISNUMBER(Data!O13)=FALSE,NA(),(Data!O13))</f>
        <v>72.069999999999993</v>
      </c>
      <c r="X24" s="20">
        <f>IF(ISNUMBER(Data!P13)=FALSE,NA(),(Data!P13))</f>
        <v>71.39</v>
      </c>
    </row>
    <row r="25" spans="12:24" ht="15" x14ac:dyDescent="0.2">
      <c r="L25" s="12" t="s">
        <v>2051</v>
      </c>
      <c r="M25" s="21">
        <f>IF(ISNUMBER(Data!E14)=FALSE,NA(),(Data!E14))</f>
        <v>79.92</v>
      </c>
      <c r="N25" s="21" t="e">
        <f>IF(ISNUMBER(Data!F14)=FALSE,NA(),(Data!F14))</f>
        <v>#N/A</v>
      </c>
      <c r="O25" s="21" t="e">
        <f>IF(ISNUMBER(Data!G14)=FALSE,NA(),(Data!G14))</f>
        <v>#N/A</v>
      </c>
      <c r="P25" s="21" t="e">
        <f>IF(ISNUMBER(Data!H14)=FALSE,NA(),(Data!H14))</f>
        <v>#N/A</v>
      </c>
      <c r="Q25" s="21" t="e">
        <f>IF(ISNUMBER(Data!I14)=FALSE,NA(),(Data!I14))</f>
        <v>#N/A</v>
      </c>
      <c r="R25" s="21" t="e">
        <f>IF(ISNUMBER(Data!J14)=FALSE,NA(),(Data!J14))</f>
        <v>#N/A</v>
      </c>
      <c r="S25" s="21" t="e">
        <f>IF(ISNUMBER(Data!K14)=FALSE,NA(),(Data!K14))</f>
        <v>#N/A</v>
      </c>
      <c r="T25" s="21" t="e">
        <f>IF(ISNUMBER(Data!L14)=FALSE,NA(),(Data!L14))</f>
        <v>#N/A</v>
      </c>
      <c r="U25" s="21" t="e">
        <f>IF(ISNUMBER(Data!M14)=FALSE,NA(),(Data!M14))</f>
        <v>#N/A</v>
      </c>
      <c r="V25" s="21" t="e">
        <f>IF(ISNUMBER(Data!N14)=FALSE,NA(),(Data!N14))</f>
        <v>#N/A</v>
      </c>
      <c r="W25" s="21" t="e">
        <f>IF(ISNUMBER(Data!O14)=FALSE,NA(),(Data!O14))</f>
        <v>#N/A</v>
      </c>
      <c r="X25" s="22" t="e">
        <f>IF(ISNUMBER(Data!P14)=FALSE,NA(),(Data!P14))</f>
        <v>#N/A</v>
      </c>
    </row>
    <row r="26" spans="12:24" ht="15" x14ac:dyDescent="0.2">
      <c r="L26" s="12" t="s">
        <v>16</v>
      </c>
      <c r="M26" s="19">
        <f>IF(ISNUMBER(Data!E15)=FALSE,NA(),(Data!E15))</f>
        <v>80.48</v>
      </c>
      <c r="N26" s="19">
        <f>IF(ISNUMBER(Data!F15)=FALSE,NA(),(Data!F15))</f>
        <v>80.14</v>
      </c>
      <c r="O26" s="19">
        <f>IF(ISNUMBER(Data!G15)=FALSE,NA(),(Data!G15))</f>
        <v>80.08</v>
      </c>
      <c r="P26" s="19">
        <f>IF(ISNUMBER(Data!H15)=FALSE,NA(),(Data!H15))</f>
        <v>79.73</v>
      </c>
      <c r="Q26" s="19">
        <f>IF(ISNUMBER(Data!I15)=FALSE,NA(),(Data!I15))</f>
        <v>79.569999999999993</v>
      </c>
      <c r="R26" s="19">
        <f>IF(ISNUMBER(Data!J15)=FALSE,NA(),(Data!J15))</f>
        <v>78.91</v>
      </c>
      <c r="S26" s="19">
        <f>IF(ISNUMBER(Data!K15)=FALSE,NA(),(Data!K15))</f>
        <v>78.44</v>
      </c>
      <c r="T26" s="19">
        <f>IF(ISNUMBER(Data!L15)=FALSE,NA(),(Data!L15))</f>
        <v>77.42</v>
      </c>
      <c r="U26" s="19">
        <f>IF(ISNUMBER(Data!M15)=FALSE,NA(),(Data!M15))</f>
        <v>72.81</v>
      </c>
      <c r="V26" s="19">
        <f>IF(ISNUMBER(Data!N15)=FALSE,NA(),(Data!N15))</f>
        <v>69.959999999999994</v>
      </c>
      <c r="W26" s="19">
        <f>IF(ISNUMBER(Data!O15)=FALSE,NA(),(Data!O15))</f>
        <v>68.930000000000007</v>
      </c>
      <c r="X26" s="20">
        <f>IF(ISNUMBER(Data!P15)=FALSE,NA(),(Data!P15))</f>
        <v>68.709999999999994</v>
      </c>
    </row>
    <row r="27" spans="12:24" ht="15" x14ac:dyDescent="0.2">
      <c r="L27" s="12" t="s">
        <v>2052</v>
      </c>
      <c r="M27" s="21">
        <f>IF(ISNUMBER(Data!E16)=FALSE,NA(),(Data!E16))</f>
        <v>78.7</v>
      </c>
      <c r="N27" s="21" t="e">
        <f>IF(ISNUMBER(Data!F16)=FALSE,NA(),(Data!F16))</f>
        <v>#N/A</v>
      </c>
      <c r="O27" s="21" t="e">
        <f>IF(ISNUMBER(Data!G16)=FALSE,NA(),(Data!G16))</f>
        <v>#N/A</v>
      </c>
      <c r="P27" s="21" t="e">
        <f>IF(ISNUMBER(Data!H16)=FALSE,NA(),(Data!H16))</f>
        <v>#N/A</v>
      </c>
      <c r="Q27" s="21" t="e">
        <f>IF(ISNUMBER(Data!I16)=FALSE,NA(),(Data!I16))</f>
        <v>#N/A</v>
      </c>
      <c r="R27" s="21" t="e">
        <f>IF(ISNUMBER(Data!J16)=FALSE,NA(),(Data!J16))</f>
        <v>#N/A</v>
      </c>
      <c r="S27" s="21" t="e">
        <f>IF(ISNUMBER(Data!K16)=FALSE,NA(),(Data!K16))</f>
        <v>#N/A</v>
      </c>
      <c r="T27" s="21" t="e">
        <f>IF(ISNUMBER(Data!L16)=FALSE,NA(),(Data!L16))</f>
        <v>#N/A</v>
      </c>
      <c r="U27" s="21" t="e">
        <f>IF(ISNUMBER(Data!M16)=FALSE,NA(),(Data!M16))</f>
        <v>#N/A</v>
      </c>
      <c r="V27" s="21" t="e">
        <f>IF(ISNUMBER(Data!N16)=FALSE,NA(),(Data!N16))</f>
        <v>#N/A</v>
      </c>
      <c r="W27" s="21" t="e">
        <f>IF(ISNUMBER(Data!O16)=FALSE,NA(),(Data!O16))</f>
        <v>#N/A</v>
      </c>
      <c r="X27" s="22" t="e">
        <f>IF(ISNUMBER(Data!P16)=FALSE,NA(),(Data!P16))</f>
        <v>#N/A</v>
      </c>
    </row>
    <row r="28" spans="12:24" ht="15" x14ac:dyDescent="0.2">
      <c r="L28" s="12" t="s">
        <v>2053</v>
      </c>
      <c r="M28" s="19">
        <f>IF(ISNUMBER(Data!E17)=FALSE,NA(),(Data!E17))</f>
        <v>78.400000000000006</v>
      </c>
      <c r="N28" s="19" t="e">
        <f>IF(ISNUMBER(Data!F17)=FALSE,NA(),(Data!F17))</f>
        <v>#N/A</v>
      </c>
      <c r="O28" s="19" t="e">
        <f>IF(ISNUMBER(Data!G17)=FALSE,NA(),(Data!G17))</f>
        <v>#N/A</v>
      </c>
      <c r="P28" s="19" t="e">
        <f>IF(ISNUMBER(Data!H17)=FALSE,NA(),(Data!H17))</f>
        <v>#N/A</v>
      </c>
      <c r="Q28" s="19" t="e">
        <f>IF(ISNUMBER(Data!I17)=FALSE,NA(),(Data!I17))</f>
        <v>#N/A</v>
      </c>
      <c r="R28" s="19" t="e">
        <f>IF(ISNUMBER(Data!J17)=FALSE,NA(),(Data!J17))</f>
        <v>#N/A</v>
      </c>
      <c r="S28" s="19" t="e">
        <f>IF(ISNUMBER(Data!K17)=FALSE,NA(),(Data!K17))</f>
        <v>#N/A</v>
      </c>
      <c r="T28" s="19" t="e">
        <f>IF(ISNUMBER(Data!L17)=FALSE,NA(),(Data!L17))</f>
        <v>#N/A</v>
      </c>
      <c r="U28" s="19" t="e">
        <f>IF(ISNUMBER(Data!M17)=FALSE,NA(),(Data!M17))</f>
        <v>#N/A</v>
      </c>
      <c r="V28" s="19" t="e">
        <f>IF(ISNUMBER(Data!N17)=FALSE,NA(),(Data!N17))</f>
        <v>#N/A</v>
      </c>
      <c r="W28" s="19" t="e">
        <f>IF(ISNUMBER(Data!O17)=FALSE,NA(),(Data!O17))</f>
        <v>#N/A</v>
      </c>
      <c r="X28" s="20" t="e">
        <f>IF(ISNUMBER(Data!P17)=FALSE,NA(),(Data!P17))</f>
        <v>#N/A</v>
      </c>
    </row>
    <row r="29" spans="12:24" ht="15" x14ac:dyDescent="0.2">
      <c r="L29" s="12" t="s">
        <v>15</v>
      </c>
      <c r="M29" s="21">
        <f>IF(ISNUMBER(Data!E18)=FALSE,NA(),(Data!E18))</f>
        <v>87.46</v>
      </c>
      <c r="N29" s="21">
        <f>IF(ISNUMBER(Data!F18)=FALSE,NA(),(Data!F18))</f>
        <v>84.6</v>
      </c>
      <c r="O29" s="21">
        <f>IF(ISNUMBER(Data!G18)=FALSE,NA(),(Data!G18))</f>
        <v>81.73</v>
      </c>
      <c r="P29" s="21">
        <f>IF(ISNUMBER(Data!H18)=FALSE,NA(),(Data!H18))</f>
        <v>78.87</v>
      </c>
      <c r="Q29" s="21">
        <f>IF(ISNUMBER(Data!I18)=FALSE,NA(),(Data!I18))</f>
        <v>76</v>
      </c>
      <c r="R29" s="21">
        <f>IF(ISNUMBER(Data!J18)=FALSE,NA(),(Data!J18))</f>
        <v>76.75</v>
      </c>
      <c r="S29" s="21">
        <f>IF(ISNUMBER(Data!K18)=FALSE,NA(),(Data!K18))</f>
        <v>77.510000000000005</v>
      </c>
      <c r="T29" s="21">
        <f>IF(ISNUMBER(Data!L18)=FALSE,NA(),(Data!L18))</f>
        <v>73.31</v>
      </c>
      <c r="U29" s="21">
        <f>IF(ISNUMBER(Data!M18)=FALSE,NA(),(Data!M18))</f>
        <v>73.739999999999995</v>
      </c>
      <c r="V29" s="21">
        <f>IF(ISNUMBER(Data!N18)=FALSE,NA(),(Data!N18))</f>
        <v>67.709999999999994</v>
      </c>
      <c r="W29" s="21">
        <f>IF(ISNUMBER(Data!O18)=FALSE,NA(),(Data!O18))</f>
        <v>65.239999999999995</v>
      </c>
      <c r="X29" s="22">
        <f>IF(ISNUMBER(Data!P18)=FALSE,NA(),(Data!P18))</f>
        <v>62.77</v>
      </c>
    </row>
    <row r="30" spans="12:24" ht="15" x14ac:dyDescent="0.2">
      <c r="L30" s="12" t="s">
        <v>17</v>
      </c>
      <c r="M30" s="19">
        <f>IF(ISNUMBER(Data!E19)=FALSE,NA(),(Data!E19))</f>
        <v>75.069999999999993</v>
      </c>
      <c r="N30" s="19">
        <f>IF(ISNUMBER(Data!F19)=FALSE,NA(),(Data!F19))</f>
        <v>73.36</v>
      </c>
      <c r="O30" s="19">
        <f>IF(ISNUMBER(Data!G19)=FALSE,NA(),(Data!G19))</f>
        <v>71.650000000000006</v>
      </c>
      <c r="P30" s="19">
        <f>IF(ISNUMBER(Data!H19)=FALSE,NA(),(Data!H19))</f>
        <v>69.94</v>
      </c>
      <c r="Q30" s="19">
        <f>IF(ISNUMBER(Data!I19)=FALSE,NA(),(Data!I19))</f>
        <v>68.23</v>
      </c>
      <c r="R30" s="19">
        <f>IF(ISNUMBER(Data!J19)=FALSE,NA(),(Data!J19))</f>
        <v>68.39</v>
      </c>
      <c r="S30" s="19">
        <f>IF(ISNUMBER(Data!K19)=FALSE,NA(),(Data!K19))</f>
        <v>68.55</v>
      </c>
      <c r="T30" s="19">
        <f>IF(ISNUMBER(Data!L19)=FALSE,NA(),(Data!L19))</f>
        <v>69.05</v>
      </c>
      <c r="U30" s="19">
        <f>IF(ISNUMBER(Data!M19)=FALSE,NA(),(Data!M19))</f>
        <v>64.040000000000006</v>
      </c>
      <c r="V30" s="19">
        <f>IF(ISNUMBER(Data!N19)=FALSE,NA(),(Data!N19))</f>
        <v>59.03</v>
      </c>
      <c r="W30" s="19">
        <f>IF(ISNUMBER(Data!O19)=FALSE,NA(),(Data!O19))</f>
        <v>56.76</v>
      </c>
      <c r="X30" s="20">
        <f>IF(ISNUMBER(Data!P19)=FALSE,NA(),(Data!P19))</f>
        <v>54.49</v>
      </c>
    </row>
    <row r="31" spans="12:24" ht="15" x14ac:dyDescent="0.2">
      <c r="L31" s="12" t="s">
        <v>18</v>
      </c>
      <c r="M31" s="21">
        <f>IF(ISNUMBER(Data!E20)=FALSE,NA(),(Data!E20))</f>
        <v>68.03</v>
      </c>
      <c r="N31" s="21">
        <f>IF(ISNUMBER(Data!F20)=FALSE,NA(),(Data!F20))</f>
        <v>67.02</v>
      </c>
      <c r="O31" s="21">
        <f>IF(ISNUMBER(Data!G20)=FALSE,NA(),(Data!G20))</f>
        <v>66.010000000000005</v>
      </c>
      <c r="P31" s="21">
        <f>IF(ISNUMBER(Data!H20)=FALSE,NA(),(Data!H20))</f>
        <v>65</v>
      </c>
      <c r="Q31" s="21">
        <f>IF(ISNUMBER(Data!I20)=FALSE,NA(),(Data!I20))</f>
        <v>63.99</v>
      </c>
      <c r="R31" s="21">
        <f>IF(ISNUMBER(Data!J20)=FALSE,NA(),(Data!J20))</f>
        <v>63.79</v>
      </c>
      <c r="S31" s="21">
        <f>IF(ISNUMBER(Data!K20)=FALSE,NA(),(Data!K20))</f>
        <v>63.6</v>
      </c>
      <c r="T31" s="21">
        <f>IF(ISNUMBER(Data!L20)=FALSE,NA(),(Data!L20))</f>
        <v>63.01</v>
      </c>
      <c r="U31" s="21">
        <f>IF(ISNUMBER(Data!M20)=FALSE,NA(),(Data!M20))</f>
        <v>58.59</v>
      </c>
      <c r="V31" s="21">
        <f>IF(ISNUMBER(Data!N20)=FALSE,NA(),(Data!N20))</f>
        <v>54.17</v>
      </c>
      <c r="W31" s="21">
        <f>IF(ISNUMBER(Data!O20)=FALSE,NA(),(Data!O20))</f>
        <v>52</v>
      </c>
      <c r="X31" s="22">
        <f>IF(ISNUMBER(Data!P20)=FALSE,NA(),(Data!P20))</f>
        <v>49.84</v>
      </c>
    </row>
    <row r="32" spans="12:24" ht="15" x14ac:dyDescent="0.2">
      <c r="L32" s="12" t="s">
        <v>2054</v>
      </c>
      <c r="M32" s="19">
        <f>IF(ISNUMBER(Data!E21)=FALSE,NA(),(Data!E21))</f>
        <v>63.44</v>
      </c>
      <c r="N32" s="19">
        <f>IF(ISNUMBER(Data!F21)=FALSE,NA(),(Data!F21))</f>
        <v>62.97</v>
      </c>
      <c r="O32" s="19">
        <f>IF(ISNUMBER(Data!G21)=FALSE,NA(),(Data!G21))</f>
        <v>62.5</v>
      </c>
      <c r="P32" s="19">
        <f>IF(ISNUMBER(Data!H21)=FALSE,NA(),(Data!H21))</f>
        <v>62.04</v>
      </c>
      <c r="Q32" s="19">
        <f>IF(ISNUMBER(Data!I21)=FALSE,NA(),(Data!I21))</f>
        <v>61.57</v>
      </c>
      <c r="R32" s="19">
        <f>IF(ISNUMBER(Data!J21)=FALSE,NA(),(Data!J21))</f>
        <v>61.29</v>
      </c>
      <c r="S32" s="19">
        <f>IF(ISNUMBER(Data!K21)=FALSE,NA(),(Data!K21))</f>
        <v>61.02</v>
      </c>
      <c r="T32" s="19">
        <f>IF(ISNUMBER(Data!L21)=FALSE,NA(),(Data!L21))</f>
        <v>60.19</v>
      </c>
      <c r="U32" s="19">
        <f>IF(ISNUMBER(Data!M21)=FALSE,NA(),(Data!M21))</f>
        <v>56.98</v>
      </c>
      <c r="V32" s="19">
        <f>IF(ISNUMBER(Data!N21)=FALSE,NA(),(Data!N21))</f>
        <v>53.77</v>
      </c>
      <c r="W32" s="19">
        <f>IF(ISNUMBER(Data!O21)=FALSE,NA(),(Data!O21))</f>
        <v>52.15</v>
      </c>
      <c r="X32" s="20">
        <f>IF(ISNUMBER(Data!P21)=FALSE,NA(),(Data!P21))</f>
        <v>50.53</v>
      </c>
    </row>
    <row r="33" spans="12:42" ht="15" x14ac:dyDescent="0.2">
      <c r="L33" s="13" t="s">
        <v>19</v>
      </c>
      <c r="M33" s="23">
        <f>IF(ISNUMBER(Data!E22)=FALSE,NA(),(Data!E22))</f>
        <v>60.18</v>
      </c>
      <c r="N33" s="23">
        <f>IF(ISNUMBER(Data!F22)=FALSE,NA(),(Data!F22))</f>
        <v>60.11</v>
      </c>
      <c r="O33" s="23">
        <f>IF(ISNUMBER(Data!G22)=FALSE,NA(),(Data!G22))</f>
        <v>60.04</v>
      </c>
      <c r="P33" s="23">
        <f>IF(ISNUMBER(Data!H22)=FALSE,NA(),(Data!H22))</f>
        <v>59.97</v>
      </c>
      <c r="Q33" s="23">
        <f>IF(ISNUMBER(Data!I22)=FALSE,NA(),(Data!I22))</f>
        <v>59.91</v>
      </c>
      <c r="R33" s="23">
        <f>IF(ISNUMBER(Data!J22)=FALSE,NA(),(Data!J22))</f>
        <v>59.57</v>
      </c>
      <c r="S33" s="23">
        <f>IF(ISNUMBER(Data!K22)=FALSE,NA(),(Data!K22))</f>
        <v>59.24</v>
      </c>
      <c r="T33" s="23">
        <f>IF(ISNUMBER(Data!L22)=FALSE,NA(),(Data!L22))</f>
        <v>58.23</v>
      </c>
      <c r="U33" s="23">
        <f>IF(ISNUMBER(Data!M22)=FALSE,NA(),(Data!M22))</f>
        <v>55.87</v>
      </c>
      <c r="V33" s="23">
        <f>IF(ISNUMBER(Data!N22)=FALSE,NA(),(Data!N22))</f>
        <v>53.51</v>
      </c>
      <c r="W33" s="23">
        <f>IF(ISNUMBER(Data!O22)=FALSE,NA(),(Data!O22))</f>
        <v>52.25</v>
      </c>
      <c r="X33" s="24">
        <f>IF(ISNUMBER(Data!P22)=FALSE,NA(),(Data!P22))</f>
        <v>50.98</v>
      </c>
    </row>
    <row r="35" spans="12:42" ht="20.25" customHeight="1" x14ac:dyDescent="0.2"/>
    <row r="36" spans="12:42" ht="23.25" x14ac:dyDescent="0.35">
      <c r="L36" s="4" t="s">
        <v>2080</v>
      </c>
    </row>
    <row r="37" spans="12:42" ht="15.75" x14ac:dyDescent="0.2">
      <c r="L37" s="28" t="s">
        <v>2081</v>
      </c>
      <c r="M37" s="29" t="s">
        <v>2078</v>
      </c>
      <c r="O37" s="28" t="s">
        <v>2496</v>
      </c>
      <c r="P37" s="29" t="s">
        <v>28</v>
      </c>
    </row>
    <row r="38" spans="12:42" ht="6" customHeight="1" x14ac:dyDescent="0.2"/>
    <row r="39" spans="12:42" ht="17.25" customHeight="1" x14ac:dyDescent="0.3">
      <c r="L39" s="3" t="s">
        <v>38</v>
      </c>
    </row>
    <row r="40" spans="12:42" ht="15" x14ac:dyDescent="0.2">
      <c r="L40" s="27" t="str">
        <f>Data!D33</f>
        <v>Term</v>
      </c>
      <c r="M40" s="31" t="str">
        <f>IF(Data!E33=0,"",(Data!E33))</f>
        <v>ATM</v>
      </c>
      <c r="N40" s="31">
        <f>IF(Data!F33=0,"",(Data!F33))</f>
        <v>2.5000000000000001E-3</v>
      </c>
      <c r="O40" s="31">
        <f>IF(Data!G33=0,"",(Data!G33))</f>
        <v>5.0000000000000001E-3</v>
      </c>
      <c r="P40" s="31">
        <f>IF(Data!H33=0,"",(Data!H33))</f>
        <v>7.4999999999999997E-3</v>
      </c>
      <c r="Q40" s="31">
        <f>IF(Data!I33=0,"",(Data!I33))</f>
        <v>8.0000000000000002E-3</v>
      </c>
      <c r="R40" s="31">
        <f>IF(Data!J33=0,"",(Data!J33))</f>
        <v>0.01</v>
      </c>
      <c r="S40" s="31">
        <f>IF(Data!K33=0,"",(Data!K33))</f>
        <v>1.4999999999999999E-2</v>
      </c>
      <c r="T40" s="31">
        <f>IF(Data!L33=0,"",(Data!L33))</f>
        <v>0.02</v>
      </c>
      <c r="U40" s="31">
        <f>IF(Data!M33=0,"",(Data!M33))</f>
        <v>2.5000000000000001E-2</v>
      </c>
      <c r="V40" s="31">
        <f>IF(Data!N33=0,"",(Data!N33))</f>
        <v>0.03</v>
      </c>
      <c r="W40" s="31">
        <f>IF(Data!O33=0,"",(Data!O33))</f>
        <v>0.04</v>
      </c>
      <c r="X40" s="31">
        <f>IF(Data!P33=0,"",(Data!P33))</f>
        <v>0.05</v>
      </c>
      <c r="Y40" s="31">
        <f>IF(Data!Q33=0,"",(Data!Q33))</f>
        <v>0.06</v>
      </c>
      <c r="Z40" s="31">
        <f>IF(Data!R33=0,"",(Data!R33))</f>
        <v>7.0000000000000007E-2</v>
      </c>
      <c r="AA40" s="31">
        <f>IF(Data!S33=0,"",(Data!S33))</f>
        <v>0.08</v>
      </c>
      <c r="AB40" s="31">
        <f>IF(Data!T33=0,"",(Data!T33))</f>
        <v>0.09</v>
      </c>
      <c r="AC40" s="31">
        <f>IF(Data!U33=0,"",(Data!U33))</f>
        <v>0.1</v>
      </c>
      <c r="AD40" s="31">
        <f>IF(Data!V33=0,"",(Data!V33))</f>
        <v>0.11</v>
      </c>
      <c r="AE40" s="31">
        <f>IF(Data!W33=0,"",(Data!W33))</f>
        <v>0.12</v>
      </c>
      <c r="AF40" s="31">
        <f>IF(Data!X33=0,"",(Data!X33))</f>
        <v>0.13</v>
      </c>
      <c r="AG40" s="31">
        <f>IF(Data!Y33=0,"",(Data!Y33))</f>
        <v>0.14000000000000001</v>
      </c>
      <c r="AH40" s="31">
        <f>IF(Data!Z33=0,"",(Data!Z33))</f>
        <v>0.15</v>
      </c>
      <c r="AI40" s="31" t="str">
        <f>IF(Data!AA33=0,"",(Data!AA33))</f>
        <v/>
      </c>
      <c r="AJ40" s="31" t="str">
        <f>IF(Data!AB33=0,"",(Data!AB33))</f>
        <v/>
      </c>
      <c r="AK40" s="31" t="str">
        <f>IF(Data!AC33=0,"",(Data!AC33))</f>
        <v/>
      </c>
      <c r="AL40" s="31" t="str">
        <f>IF(Data!AD33=0,"",(Data!AD33))</f>
        <v/>
      </c>
      <c r="AM40" s="31" t="str">
        <f>IF(Data!AE33=0,"",(Data!AE33))</f>
        <v/>
      </c>
      <c r="AN40" s="31" t="str">
        <f>IF(Data!AF33=0,"",(Data!AF33))</f>
        <v/>
      </c>
      <c r="AO40" s="31" t="str">
        <f>IF(Data!AG33=0,"",(Data!AG33))</f>
        <v/>
      </c>
      <c r="AP40" s="32" t="str">
        <f>IF(Data!AH33=0,"",(Data!AH33))</f>
        <v/>
      </c>
    </row>
    <row r="41" spans="12:42" ht="15" x14ac:dyDescent="0.2">
      <c r="L41" s="12" t="str">
        <f>Data!D34</f>
        <v>1 YR</v>
      </c>
      <c r="M41" s="21">
        <f>IF(ISNUMBER(Data!E34)=FALSE,NA(),(Data!E34))</f>
        <v>31.715</v>
      </c>
      <c r="N41" s="21" t="e">
        <f>IF(ISNUMBER(Data!F34)=FALSE,NA(),(Data!F34))</f>
        <v>#N/A</v>
      </c>
      <c r="O41" s="21" t="e">
        <f>IF(ISNUMBER(Data!G34)=FALSE,NA(),(Data!G34))</f>
        <v>#N/A</v>
      </c>
      <c r="P41" s="21" t="e">
        <f>IF(ISNUMBER(Data!H34)=FALSE,NA(),(Data!H34))</f>
        <v>#N/A</v>
      </c>
      <c r="Q41" s="21" t="e">
        <f>IF(ISNUMBER(Data!I34)=FALSE,NA(),(Data!I34))</f>
        <v>#N/A</v>
      </c>
      <c r="R41" s="21">
        <f>IF(ISNUMBER(Data!J34)=FALSE,NA(),(Data!J34))</f>
        <v>31.8</v>
      </c>
      <c r="S41" s="21">
        <f>IF(ISNUMBER(Data!K34)=FALSE,NA(),(Data!K34))</f>
        <v>31.105</v>
      </c>
      <c r="T41" s="21">
        <f>IF(ISNUMBER(Data!L34)=FALSE,NA(),(Data!L34))</f>
        <v>32.020000000000003</v>
      </c>
      <c r="U41" s="21" t="e">
        <f>IF(ISNUMBER(Data!M34)=FALSE,NA(),(Data!M34))</f>
        <v>#N/A</v>
      </c>
      <c r="V41" s="21">
        <f>IF(ISNUMBER(Data!N34)=FALSE,NA(),(Data!N34))</f>
        <v>34.695</v>
      </c>
      <c r="W41" s="21">
        <f>IF(ISNUMBER(Data!O34)=FALSE,NA(),(Data!O34))</f>
        <v>37.07</v>
      </c>
      <c r="X41" s="21">
        <f>IF(ISNUMBER(Data!P34)=FALSE,NA(),(Data!P34))</f>
        <v>39.024999999999999</v>
      </c>
      <c r="Y41" s="21">
        <f>IF(ISNUMBER(Data!Q34)=FALSE,NA(),(Data!Q34))</f>
        <v>40.655000000000001</v>
      </c>
      <c r="Z41" s="21">
        <f>IF(ISNUMBER(Data!R34)=FALSE,NA(),(Data!R34))</f>
        <v>42.04</v>
      </c>
      <c r="AA41" s="21">
        <f>IF(ISNUMBER(Data!S34)=FALSE,NA(),(Data!S34))</f>
        <v>43.25</v>
      </c>
      <c r="AB41" s="21">
        <f>IF(ISNUMBER(Data!T34)=FALSE,NA(),(Data!T34))</f>
        <v>44.314999999999998</v>
      </c>
      <c r="AC41" s="21">
        <f>IF(ISNUMBER(Data!U34)=FALSE,NA(),(Data!U34))</f>
        <v>31.8</v>
      </c>
      <c r="AD41" s="21">
        <f>IF(ISNUMBER(Data!V34)=FALSE,NA(),(Data!V34))</f>
        <v>46.134999999999998</v>
      </c>
      <c r="AE41" s="21">
        <f>IF(ISNUMBER(Data!W34)=FALSE,NA(),(Data!W34))</f>
        <v>46.92</v>
      </c>
      <c r="AF41" s="21">
        <f>IF(ISNUMBER(Data!X34)=FALSE,NA(),(Data!X34))</f>
        <v>47.645000000000003</v>
      </c>
      <c r="AG41" s="21">
        <f>IF(ISNUMBER(Data!Y34)=FALSE,NA(),(Data!Y34))</f>
        <v>48.32</v>
      </c>
      <c r="AH41" s="21" t="e">
        <f>IF(ISNUMBER(Data!Z34)=FALSE,NA(),(Data!Z34))</f>
        <v>#N/A</v>
      </c>
      <c r="AI41" s="21" t="e">
        <f>IF(ISNUMBER(Data!AA34)=FALSE,NA(),(Data!AA34))</f>
        <v>#N/A</v>
      </c>
      <c r="AJ41" s="21" t="e">
        <f>IF(ISNUMBER(Data!AB34)=FALSE,NA(),(Data!AB34))</f>
        <v>#N/A</v>
      </c>
      <c r="AK41" s="21" t="e">
        <f>IF(ISNUMBER(Data!AC34)=FALSE,NA(),(Data!AC34))</f>
        <v>#N/A</v>
      </c>
      <c r="AL41" s="21" t="e">
        <f>IF(ISNUMBER(Data!AD34)=FALSE,NA(),(Data!AD34))</f>
        <v>#N/A</v>
      </c>
      <c r="AM41" s="21" t="e">
        <f>IF(ISNUMBER(Data!AE34)=FALSE,NA(),(Data!AE34))</f>
        <v>#N/A</v>
      </c>
      <c r="AN41" s="21" t="e">
        <f>IF(ISNUMBER(Data!AF34)=FALSE,NA(),(Data!AF34))</f>
        <v>#N/A</v>
      </c>
      <c r="AO41" s="21" t="e">
        <f>IF(ISNUMBER(Data!AG34)=FALSE,NA(),(Data!AG34))</f>
        <v>#N/A</v>
      </c>
      <c r="AP41" s="22" t="e">
        <f>IF(ISNUMBER(Data!AH34)=FALSE,NA(),(Data!AH34))</f>
        <v>#N/A</v>
      </c>
    </row>
    <row r="42" spans="12:42" ht="15" x14ac:dyDescent="0.2">
      <c r="L42" s="12" t="str">
        <f>Data!D35</f>
        <v>2 YR</v>
      </c>
      <c r="M42" s="19">
        <f>IF(ISNUMBER(Data!E35)=FALSE,NA(),(Data!E35))</f>
        <v>49.445</v>
      </c>
      <c r="N42" s="19" t="e">
        <f>IF(ISNUMBER(Data!F35)=FALSE,NA(),(Data!F35))</f>
        <v>#N/A</v>
      </c>
      <c r="O42" s="19" t="e">
        <f>IF(ISNUMBER(Data!G35)=FALSE,NA(),(Data!G35))</f>
        <v>#N/A</v>
      </c>
      <c r="P42" s="19" t="e">
        <f>IF(ISNUMBER(Data!H35)=FALSE,NA(),(Data!H35))</f>
        <v>#N/A</v>
      </c>
      <c r="Q42" s="19" t="e">
        <f>IF(ISNUMBER(Data!I35)=FALSE,NA(),(Data!I35))</f>
        <v>#N/A</v>
      </c>
      <c r="R42" s="19">
        <f>IF(ISNUMBER(Data!J35)=FALSE,NA(),(Data!J35))</f>
        <v>50.454999999999998</v>
      </c>
      <c r="S42" s="19">
        <f>IF(ISNUMBER(Data!K35)=FALSE,NA(),(Data!K35))</f>
        <v>48.585000000000001</v>
      </c>
      <c r="T42" s="19">
        <f>IF(ISNUMBER(Data!L35)=FALSE,NA(),(Data!L35))</f>
        <v>47.215000000000003</v>
      </c>
      <c r="U42" s="19" t="e">
        <f>IF(ISNUMBER(Data!M35)=FALSE,NA(),(Data!M35))</f>
        <v>#N/A</v>
      </c>
      <c r="V42" s="19">
        <f>IF(ISNUMBER(Data!N35)=FALSE,NA(),(Data!N35))</f>
        <v>44.1</v>
      </c>
      <c r="W42" s="19">
        <f>IF(ISNUMBER(Data!O35)=FALSE,NA(),(Data!O35))</f>
        <v>42.18</v>
      </c>
      <c r="X42" s="19">
        <f>IF(ISNUMBER(Data!P35)=FALSE,NA(),(Data!P35))</f>
        <v>41.064999999999998</v>
      </c>
      <c r="Y42" s="19">
        <f>IF(ISNUMBER(Data!Q35)=FALSE,NA(),(Data!Q35))</f>
        <v>40.380000000000003</v>
      </c>
      <c r="Z42" s="19">
        <f>IF(ISNUMBER(Data!R35)=FALSE,NA(),(Data!R35))</f>
        <v>39.914999999999999</v>
      </c>
      <c r="AA42" s="19">
        <f>IF(ISNUMBER(Data!S35)=FALSE,NA(),(Data!S35))</f>
        <v>39.590000000000003</v>
      </c>
      <c r="AB42" s="19">
        <f>IF(ISNUMBER(Data!T35)=FALSE,NA(),(Data!T35))</f>
        <v>39.35</v>
      </c>
      <c r="AC42" s="19">
        <f>IF(ISNUMBER(Data!U35)=FALSE,NA(),(Data!U35))</f>
        <v>39.159999999999997</v>
      </c>
      <c r="AD42" s="19">
        <f>IF(ISNUMBER(Data!V35)=FALSE,NA(),(Data!V35))</f>
        <v>39.01</v>
      </c>
      <c r="AE42" s="19">
        <f>IF(ISNUMBER(Data!W35)=FALSE,NA(),(Data!W35))</f>
        <v>38.89</v>
      </c>
      <c r="AF42" s="19">
        <f>IF(ISNUMBER(Data!X35)=FALSE,NA(),(Data!X35))</f>
        <v>38.79</v>
      </c>
      <c r="AG42" s="19">
        <f>IF(ISNUMBER(Data!Y35)=FALSE,NA(),(Data!Y35))</f>
        <v>38.71</v>
      </c>
      <c r="AH42" s="19" t="e">
        <f>IF(ISNUMBER(Data!Z35)=FALSE,NA(),(Data!Z35))</f>
        <v>#N/A</v>
      </c>
      <c r="AI42" s="19" t="e">
        <f>IF(ISNUMBER(Data!AA35)=FALSE,NA(),(Data!AA35))</f>
        <v>#N/A</v>
      </c>
      <c r="AJ42" s="19" t="e">
        <f>IF(ISNUMBER(Data!AB35)=FALSE,NA(),(Data!AB35))</f>
        <v>#N/A</v>
      </c>
      <c r="AK42" s="19" t="e">
        <f>IF(ISNUMBER(Data!AC35)=FALSE,NA(),(Data!AC35))</f>
        <v>#N/A</v>
      </c>
      <c r="AL42" s="19" t="e">
        <f>IF(ISNUMBER(Data!AD35)=FALSE,NA(),(Data!AD35))</f>
        <v>#N/A</v>
      </c>
      <c r="AM42" s="19" t="e">
        <f>IF(ISNUMBER(Data!AE35)=FALSE,NA(),(Data!AE35))</f>
        <v>#N/A</v>
      </c>
      <c r="AN42" s="19" t="e">
        <f>IF(ISNUMBER(Data!AF35)=FALSE,NA(),(Data!AF35))</f>
        <v>#N/A</v>
      </c>
      <c r="AO42" s="19" t="e">
        <f>IF(ISNUMBER(Data!AG35)=FALSE,NA(),(Data!AG35))</f>
        <v>#N/A</v>
      </c>
      <c r="AP42" s="20" t="e">
        <f>IF(ISNUMBER(Data!AH35)=FALSE,NA(),(Data!AH35))</f>
        <v>#N/A</v>
      </c>
    </row>
    <row r="43" spans="12:42" ht="15" x14ac:dyDescent="0.2">
      <c r="L43" s="12" t="str">
        <f>Data!D36</f>
        <v>3 YR</v>
      </c>
      <c r="M43" s="21">
        <f>IF(ISNUMBER(Data!E36)=FALSE,NA(),(Data!E36))</f>
        <v>47.54</v>
      </c>
      <c r="N43" s="21" t="e">
        <f>IF(ISNUMBER(Data!F36)=FALSE,NA(),(Data!F36))</f>
        <v>#N/A</v>
      </c>
      <c r="O43" s="21" t="e">
        <f>IF(ISNUMBER(Data!G36)=FALSE,NA(),(Data!G36))</f>
        <v>#N/A</v>
      </c>
      <c r="P43" s="21" t="e">
        <f>IF(ISNUMBER(Data!H36)=FALSE,NA(),(Data!H36))</f>
        <v>#N/A</v>
      </c>
      <c r="Q43" s="21" t="e">
        <f>IF(ISNUMBER(Data!I36)=FALSE,NA(),(Data!I36))</f>
        <v>#N/A</v>
      </c>
      <c r="R43" s="21">
        <f>IF(ISNUMBER(Data!J36)=FALSE,NA(),(Data!J36))</f>
        <v>48.634999999999998</v>
      </c>
      <c r="S43" s="21">
        <f>IF(ISNUMBER(Data!K36)=FALSE,NA(),(Data!K36))</f>
        <v>46.68</v>
      </c>
      <c r="T43" s="21">
        <f>IF(ISNUMBER(Data!L36)=FALSE,NA(),(Data!L36))</f>
        <v>45.2</v>
      </c>
      <c r="U43" s="21" t="e">
        <f>IF(ISNUMBER(Data!M36)=FALSE,NA(),(Data!M36))</f>
        <v>#N/A</v>
      </c>
      <c r="V43" s="21">
        <f>IF(ISNUMBER(Data!N36)=FALSE,NA(),(Data!N36))</f>
        <v>42.84</v>
      </c>
      <c r="W43" s="21">
        <f>IF(ISNUMBER(Data!O36)=FALSE,NA(),(Data!O36))</f>
        <v>41.5</v>
      </c>
      <c r="X43" s="21">
        <f>IF(ISNUMBER(Data!P36)=FALSE,NA(),(Data!P36))</f>
        <v>40.615000000000002</v>
      </c>
      <c r="Y43" s="21">
        <f>IF(ISNUMBER(Data!Q36)=FALSE,NA(),(Data!Q36))</f>
        <v>39.935000000000002</v>
      </c>
      <c r="Z43" s="21">
        <f>IF(ISNUMBER(Data!R36)=FALSE,NA(),(Data!R36))</f>
        <v>39.375</v>
      </c>
      <c r="AA43" s="21">
        <f>IF(ISNUMBER(Data!S36)=FALSE,NA(),(Data!S36))</f>
        <v>38.89</v>
      </c>
      <c r="AB43" s="21">
        <f>IF(ISNUMBER(Data!T36)=FALSE,NA(),(Data!T36))</f>
        <v>38.465000000000003</v>
      </c>
      <c r="AC43" s="21">
        <f>IF(ISNUMBER(Data!U36)=FALSE,NA(),(Data!U36))</f>
        <v>38.090000000000003</v>
      </c>
      <c r="AD43" s="21">
        <f>IF(ISNUMBER(Data!V36)=FALSE,NA(),(Data!V36))</f>
        <v>37.744999999999997</v>
      </c>
      <c r="AE43" s="21">
        <f>IF(ISNUMBER(Data!W36)=FALSE,NA(),(Data!W36))</f>
        <v>37.435000000000002</v>
      </c>
      <c r="AF43" s="21">
        <f>IF(ISNUMBER(Data!X36)=FALSE,NA(),(Data!X36))</f>
        <v>37.15</v>
      </c>
      <c r="AG43" s="21">
        <f>IF(ISNUMBER(Data!Y36)=FALSE,NA(),(Data!Y36))</f>
        <v>36.89</v>
      </c>
      <c r="AH43" s="21" t="e">
        <f>IF(ISNUMBER(Data!Z36)=FALSE,NA(),(Data!Z36))</f>
        <v>#N/A</v>
      </c>
      <c r="AI43" s="21" t="e">
        <f>IF(ISNUMBER(Data!AA36)=FALSE,NA(),(Data!AA36))</f>
        <v>#N/A</v>
      </c>
      <c r="AJ43" s="21" t="e">
        <f>IF(ISNUMBER(Data!AB36)=FALSE,NA(),(Data!AB36))</f>
        <v>#N/A</v>
      </c>
      <c r="AK43" s="21" t="e">
        <f>IF(ISNUMBER(Data!AC36)=FALSE,NA(),(Data!AC36))</f>
        <v>#N/A</v>
      </c>
      <c r="AL43" s="21" t="e">
        <f>IF(ISNUMBER(Data!AD36)=FALSE,NA(),(Data!AD36))</f>
        <v>#N/A</v>
      </c>
      <c r="AM43" s="21" t="e">
        <f>IF(ISNUMBER(Data!AE36)=FALSE,NA(),(Data!AE36))</f>
        <v>#N/A</v>
      </c>
      <c r="AN43" s="21" t="e">
        <f>IF(ISNUMBER(Data!AF36)=FALSE,NA(),(Data!AF36))</f>
        <v>#N/A</v>
      </c>
      <c r="AO43" s="21" t="e">
        <f>IF(ISNUMBER(Data!AG36)=FALSE,NA(),(Data!AG36))</f>
        <v>#N/A</v>
      </c>
      <c r="AP43" s="22" t="e">
        <f>IF(ISNUMBER(Data!AH36)=FALSE,NA(),(Data!AH36))</f>
        <v>#N/A</v>
      </c>
    </row>
    <row r="44" spans="12:42" ht="15" x14ac:dyDescent="0.2">
      <c r="L44" s="12" t="str">
        <f>Data!D37</f>
        <v>4 YR</v>
      </c>
      <c r="M44" s="19">
        <f>IF(ISNUMBER(Data!E37)=FALSE,NA(),(Data!E37))</f>
        <v>49.53</v>
      </c>
      <c r="N44" s="19" t="e">
        <f>IF(ISNUMBER(Data!F37)=FALSE,NA(),(Data!F37))</f>
        <v>#N/A</v>
      </c>
      <c r="O44" s="19" t="e">
        <f>IF(ISNUMBER(Data!G37)=FALSE,NA(),(Data!G37))</f>
        <v>#N/A</v>
      </c>
      <c r="P44" s="19" t="e">
        <f>IF(ISNUMBER(Data!H37)=FALSE,NA(),(Data!H37))</f>
        <v>#N/A</v>
      </c>
      <c r="Q44" s="19" t="e">
        <f>IF(ISNUMBER(Data!I37)=FALSE,NA(),(Data!I37))</f>
        <v>#N/A</v>
      </c>
      <c r="R44" s="19">
        <f>IF(ISNUMBER(Data!J37)=FALSE,NA(),(Data!J37))</f>
        <v>51.064999999999998</v>
      </c>
      <c r="S44" s="19">
        <f>IF(ISNUMBER(Data!K37)=FALSE,NA(),(Data!K37))</f>
        <v>48.625</v>
      </c>
      <c r="T44" s="19">
        <f>IF(ISNUMBER(Data!L37)=FALSE,NA(),(Data!L37))</f>
        <v>46.945</v>
      </c>
      <c r="U44" s="19" t="e">
        <f>IF(ISNUMBER(Data!M37)=FALSE,NA(),(Data!M37))</f>
        <v>#N/A</v>
      </c>
      <c r="V44" s="19">
        <f>IF(ISNUMBER(Data!N37)=FALSE,NA(),(Data!N37))</f>
        <v>44.4</v>
      </c>
      <c r="W44" s="19">
        <f>IF(ISNUMBER(Data!O37)=FALSE,NA(),(Data!O37))</f>
        <v>42.655000000000001</v>
      </c>
      <c r="X44" s="19">
        <f>IF(ISNUMBER(Data!P37)=FALSE,NA(),(Data!P37))</f>
        <v>41.265000000000001</v>
      </c>
      <c r="Y44" s="19">
        <f>IF(ISNUMBER(Data!Q37)=FALSE,NA(),(Data!Q37))</f>
        <v>40.090000000000003</v>
      </c>
      <c r="Z44" s="19">
        <f>IF(ISNUMBER(Data!R37)=FALSE,NA(),(Data!R37))</f>
        <v>39.064999999999998</v>
      </c>
      <c r="AA44" s="19">
        <f>IF(ISNUMBER(Data!S37)=FALSE,NA(),(Data!S37))</f>
        <v>38.159999999999997</v>
      </c>
      <c r="AB44" s="19">
        <f>IF(ISNUMBER(Data!T37)=FALSE,NA(),(Data!T37))</f>
        <v>37.354999999999997</v>
      </c>
      <c r="AC44" s="19">
        <f>IF(ISNUMBER(Data!U37)=FALSE,NA(),(Data!U37))</f>
        <v>36.634999999999998</v>
      </c>
      <c r="AD44" s="19">
        <f>IF(ISNUMBER(Data!V37)=FALSE,NA(),(Data!V37))</f>
        <v>35.984999999999999</v>
      </c>
      <c r="AE44" s="19">
        <f>IF(ISNUMBER(Data!W37)=FALSE,NA(),(Data!W37))</f>
        <v>35.39</v>
      </c>
      <c r="AF44" s="19">
        <f>IF(ISNUMBER(Data!X37)=FALSE,NA(),(Data!X37))</f>
        <v>34.85</v>
      </c>
      <c r="AG44" s="19">
        <f>IF(ISNUMBER(Data!Y37)=FALSE,NA(),(Data!Y37))</f>
        <v>34.354999999999997</v>
      </c>
      <c r="AH44" s="19" t="e">
        <f>IF(ISNUMBER(Data!Z37)=FALSE,NA(),(Data!Z37))</f>
        <v>#N/A</v>
      </c>
      <c r="AI44" s="19" t="e">
        <f>IF(ISNUMBER(Data!AA37)=FALSE,NA(),(Data!AA37))</f>
        <v>#N/A</v>
      </c>
      <c r="AJ44" s="19" t="e">
        <f>IF(ISNUMBER(Data!AB37)=FALSE,NA(),(Data!AB37))</f>
        <v>#N/A</v>
      </c>
      <c r="AK44" s="19" t="e">
        <f>IF(ISNUMBER(Data!AC37)=FALSE,NA(),(Data!AC37))</f>
        <v>#N/A</v>
      </c>
      <c r="AL44" s="19" t="e">
        <f>IF(ISNUMBER(Data!AD37)=FALSE,NA(),(Data!AD37))</f>
        <v>#N/A</v>
      </c>
      <c r="AM44" s="19" t="e">
        <f>IF(ISNUMBER(Data!AE37)=FALSE,NA(),(Data!AE37))</f>
        <v>#N/A</v>
      </c>
      <c r="AN44" s="19" t="e">
        <f>IF(ISNUMBER(Data!AF37)=FALSE,NA(),(Data!AF37))</f>
        <v>#N/A</v>
      </c>
      <c r="AO44" s="19" t="e">
        <f>IF(ISNUMBER(Data!AG37)=FALSE,NA(),(Data!AG37))</f>
        <v>#N/A</v>
      </c>
      <c r="AP44" s="20" t="e">
        <f>IF(ISNUMBER(Data!AH37)=FALSE,NA(),(Data!AH37))</f>
        <v>#N/A</v>
      </c>
    </row>
    <row r="45" spans="12:42" ht="15" x14ac:dyDescent="0.2">
      <c r="L45" s="12" t="str">
        <f>Data!D38</f>
        <v>5 YR</v>
      </c>
      <c r="M45" s="21">
        <f>IF(ISNUMBER(Data!E38)=FALSE,NA(),(Data!E38))</f>
        <v>50.395000000000003</v>
      </c>
      <c r="N45" s="21" t="e">
        <f>IF(ISNUMBER(Data!F38)=FALSE,NA(),(Data!F38))</f>
        <v>#N/A</v>
      </c>
      <c r="O45" s="21" t="e">
        <f>IF(ISNUMBER(Data!G38)=FALSE,NA(),(Data!G38))</f>
        <v>#N/A</v>
      </c>
      <c r="P45" s="21" t="e">
        <f>IF(ISNUMBER(Data!H38)=FALSE,NA(),(Data!H38))</f>
        <v>#N/A</v>
      </c>
      <c r="Q45" s="21" t="e">
        <f>IF(ISNUMBER(Data!I38)=FALSE,NA(),(Data!I38))</f>
        <v>#N/A</v>
      </c>
      <c r="R45" s="21">
        <f>IF(ISNUMBER(Data!J38)=FALSE,NA(),(Data!J38))</f>
        <v>52.6</v>
      </c>
      <c r="S45" s="21">
        <f>IF(ISNUMBER(Data!K38)=FALSE,NA(),(Data!K38))</f>
        <v>49.564999999999998</v>
      </c>
      <c r="T45" s="21">
        <f>IF(ISNUMBER(Data!L38)=FALSE,NA(),(Data!L38))</f>
        <v>47.475000000000001</v>
      </c>
      <c r="U45" s="21" t="e">
        <f>IF(ISNUMBER(Data!M38)=FALSE,NA(),(Data!M38))</f>
        <v>#N/A</v>
      </c>
      <c r="V45" s="21">
        <f>IF(ISNUMBER(Data!N38)=FALSE,NA(),(Data!N38))</f>
        <v>44.335000000000001</v>
      </c>
      <c r="W45" s="21">
        <f>IF(ISNUMBER(Data!O38)=FALSE,NA(),(Data!O38))</f>
        <v>42.06</v>
      </c>
      <c r="X45" s="21">
        <f>IF(ISNUMBER(Data!P38)=FALSE,NA(),(Data!P38))</f>
        <v>40.24</v>
      </c>
      <c r="Y45" s="21">
        <f>IF(ISNUMBER(Data!Q38)=FALSE,NA(),(Data!Q38))</f>
        <v>38.72</v>
      </c>
      <c r="Z45" s="21">
        <f>IF(ISNUMBER(Data!R38)=FALSE,NA(),(Data!R38))</f>
        <v>37.435000000000002</v>
      </c>
      <c r="AA45" s="21">
        <f>IF(ISNUMBER(Data!S38)=FALSE,NA(),(Data!S38))</f>
        <v>36.33</v>
      </c>
      <c r="AB45" s="21">
        <f>IF(ISNUMBER(Data!T38)=FALSE,NA(),(Data!T38))</f>
        <v>35.369999999999997</v>
      </c>
      <c r="AC45" s="21">
        <f>IF(ISNUMBER(Data!U38)=FALSE,NA(),(Data!U38))</f>
        <v>34.53</v>
      </c>
      <c r="AD45" s="21">
        <f>IF(ISNUMBER(Data!V38)=FALSE,NA(),(Data!V38))</f>
        <v>33.79</v>
      </c>
      <c r="AE45" s="21">
        <f>IF(ISNUMBER(Data!W38)=FALSE,NA(),(Data!W38))</f>
        <v>33.125</v>
      </c>
      <c r="AF45" s="21">
        <f>IF(ISNUMBER(Data!X38)=FALSE,NA(),(Data!X38))</f>
        <v>32.534999999999997</v>
      </c>
      <c r="AG45" s="21">
        <f>IF(ISNUMBER(Data!Y38)=FALSE,NA(),(Data!Y38))</f>
        <v>32</v>
      </c>
      <c r="AH45" s="21" t="e">
        <f>IF(ISNUMBER(Data!Z38)=FALSE,NA(),(Data!Z38))</f>
        <v>#N/A</v>
      </c>
      <c r="AI45" s="21" t="e">
        <f>IF(ISNUMBER(Data!AA38)=FALSE,NA(),(Data!AA38))</f>
        <v>#N/A</v>
      </c>
      <c r="AJ45" s="21" t="e">
        <f>IF(ISNUMBER(Data!AB38)=FALSE,NA(),(Data!AB38))</f>
        <v>#N/A</v>
      </c>
      <c r="AK45" s="21" t="e">
        <f>IF(ISNUMBER(Data!AC38)=FALSE,NA(),(Data!AC38))</f>
        <v>#N/A</v>
      </c>
      <c r="AL45" s="21" t="e">
        <f>IF(ISNUMBER(Data!AD38)=FALSE,NA(),(Data!AD38))</f>
        <v>#N/A</v>
      </c>
      <c r="AM45" s="21" t="e">
        <f>IF(ISNUMBER(Data!AE38)=FALSE,NA(),(Data!AE38))</f>
        <v>#N/A</v>
      </c>
      <c r="AN45" s="21" t="e">
        <f>IF(ISNUMBER(Data!AF38)=FALSE,NA(),(Data!AF38))</f>
        <v>#N/A</v>
      </c>
      <c r="AO45" s="21" t="e">
        <f>IF(ISNUMBER(Data!AG38)=FALSE,NA(),(Data!AG38))</f>
        <v>#N/A</v>
      </c>
      <c r="AP45" s="22" t="e">
        <f>IF(ISNUMBER(Data!AH38)=FALSE,NA(),(Data!AH38))</f>
        <v>#N/A</v>
      </c>
    </row>
    <row r="46" spans="12:42" ht="15" x14ac:dyDescent="0.2">
      <c r="L46" s="12" t="str">
        <f>Data!D39</f>
        <v>6 YR</v>
      </c>
      <c r="M46" s="19">
        <f>IF(ISNUMBER(Data!E39)=FALSE,NA(),(Data!E39))</f>
        <v>50.57</v>
      </c>
      <c r="N46" s="19" t="e">
        <f>IF(ISNUMBER(Data!F39)=FALSE,NA(),(Data!F39))</f>
        <v>#N/A</v>
      </c>
      <c r="O46" s="19" t="e">
        <f>IF(ISNUMBER(Data!G39)=FALSE,NA(),(Data!G39))</f>
        <v>#N/A</v>
      </c>
      <c r="P46" s="19" t="e">
        <f>IF(ISNUMBER(Data!H39)=FALSE,NA(),(Data!H39))</f>
        <v>#N/A</v>
      </c>
      <c r="Q46" s="19" t="e">
        <f>IF(ISNUMBER(Data!I39)=FALSE,NA(),(Data!I39))</f>
        <v>#N/A</v>
      </c>
      <c r="R46" s="19">
        <f>IF(ISNUMBER(Data!J39)=FALSE,NA(),(Data!J39))</f>
        <v>55</v>
      </c>
      <c r="S46" s="19">
        <f>IF(ISNUMBER(Data!K39)=FALSE,NA(),(Data!K39))</f>
        <v>49.68</v>
      </c>
      <c r="T46" s="19">
        <f>IF(ISNUMBER(Data!L39)=FALSE,NA(),(Data!L39))</f>
        <v>46.305</v>
      </c>
      <c r="U46" s="19" t="e">
        <f>IF(ISNUMBER(Data!M39)=FALSE,NA(),(Data!M39))</f>
        <v>#N/A</v>
      </c>
      <c r="V46" s="19">
        <f>IF(ISNUMBER(Data!N39)=FALSE,NA(),(Data!N39))</f>
        <v>42.1</v>
      </c>
      <c r="W46" s="19">
        <f>IF(ISNUMBER(Data!O39)=FALSE,NA(),(Data!O39))</f>
        <v>39.765000000000001</v>
      </c>
      <c r="X46" s="19">
        <f>IF(ISNUMBER(Data!P39)=FALSE,NA(),(Data!P39))</f>
        <v>38.295000000000002</v>
      </c>
      <c r="Y46" s="19">
        <f>IF(ISNUMBER(Data!Q39)=FALSE,NA(),(Data!Q39))</f>
        <v>37.32</v>
      </c>
      <c r="Z46" s="19">
        <f>IF(ISNUMBER(Data!R39)=FALSE,NA(),(Data!R39))</f>
        <v>36.685000000000002</v>
      </c>
      <c r="AA46" s="19">
        <f>IF(ISNUMBER(Data!S39)=FALSE,NA(),(Data!S39))</f>
        <v>36.295000000000002</v>
      </c>
      <c r="AB46" s="19">
        <f>IF(ISNUMBER(Data!T39)=FALSE,NA(),(Data!T39))</f>
        <v>36.094999999999999</v>
      </c>
      <c r="AC46" s="19">
        <f>IF(ISNUMBER(Data!U39)=FALSE,NA(),(Data!U39))</f>
        <v>36.03</v>
      </c>
      <c r="AD46" s="19">
        <f>IF(ISNUMBER(Data!V39)=FALSE,NA(),(Data!V39))</f>
        <v>36.06</v>
      </c>
      <c r="AE46" s="19">
        <f>IF(ISNUMBER(Data!W39)=FALSE,NA(),(Data!W39))</f>
        <v>36.15</v>
      </c>
      <c r="AF46" s="19">
        <f>IF(ISNUMBER(Data!X39)=FALSE,NA(),(Data!X39))</f>
        <v>36.29</v>
      </c>
      <c r="AG46" s="19">
        <f>IF(ISNUMBER(Data!Y39)=FALSE,NA(),(Data!Y39))</f>
        <v>36.450000000000003</v>
      </c>
      <c r="AH46" s="19" t="e">
        <f>IF(ISNUMBER(Data!Z39)=FALSE,NA(),(Data!Z39))</f>
        <v>#N/A</v>
      </c>
      <c r="AI46" s="19" t="e">
        <f>IF(ISNUMBER(Data!AA39)=FALSE,NA(),(Data!AA39))</f>
        <v>#N/A</v>
      </c>
      <c r="AJ46" s="19" t="e">
        <f>IF(ISNUMBER(Data!AB39)=FALSE,NA(),(Data!AB39))</f>
        <v>#N/A</v>
      </c>
      <c r="AK46" s="19" t="e">
        <f>IF(ISNUMBER(Data!AC39)=FALSE,NA(),(Data!AC39))</f>
        <v>#N/A</v>
      </c>
      <c r="AL46" s="19" t="e">
        <f>IF(ISNUMBER(Data!AD39)=FALSE,NA(),(Data!AD39))</f>
        <v>#N/A</v>
      </c>
      <c r="AM46" s="19" t="e">
        <f>IF(ISNUMBER(Data!AE39)=FALSE,NA(),(Data!AE39))</f>
        <v>#N/A</v>
      </c>
      <c r="AN46" s="19" t="e">
        <f>IF(ISNUMBER(Data!AF39)=FALSE,NA(),(Data!AF39))</f>
        <v>#N/A</v>
      </c>
      <c r="AO46" s="19" t="e">
        <f>IF(ISNUMBER(Data!AG39)=FALSE,NA(),(Data!AG39))</f>
        <v>#N/A</v>
      </c>
      <c r="AP46" s="20" t="e">
        <f>IF(ISNUMBER(Data!AH39)=FALSE,NA(),(Data!AH39))</f>
        <v>#N/A</v>
      </c>
    </row>
    <row r="47" spans="12:42" ht="15" x14ac:dyDescent="0.2">
      <c r="L47" s="12" t="str">
        <f>Data!D40</f>
        <v>7 YR</v>
      </c>
      <c r="M47" s="21">
        <f>IF(ISNUMBER(Data!E40)=FALSE,NA(),(Data!E40))</f>
        <v>50.634999999999998</v>
      </c>
      <c r="N47" s="21" t="e">
        <f>IF(ISNUMBER(Data!F40)=FALSE,NA(),(Data!F40))</f>
        <v>#N/A</v>
      </c>
      <c r="O47" s="21" t="e">
        <f>IF(ISNUMBER(Data!G40)=FALSE,NA(),(Data!G40))</f>
        <v>#N/A</v>
      </c>
      <c r="P47" s="21" t="e">
        <f>IF(ISNUMBER(Data!H40)=FALSE,NA(),(Data!H40))</f>
        <v>#N/A</v>
      </c>
      <c r="Q47" s="21" t="e">
        <f>IF(ISNUMBER(Data!I40)=FALSE,NA(),(Data!I40))</f>
        <v>#N/A</v>
      </c>
      <c r="R47" s="21">
        <f>IF(ISNUMBER(Data!J40)=FALSE,NA(),(Data!J40))</f>
        <v>56.774999999999999</v>
      </c>
      <c r="S47" s="21">
        <f>IF(ISNUMBER(Data!K40)=FALSE,NA(),(Data!K40))</f>
        <v>50.185000000000002</v>
      </c>
      <c r="T47" s="21">
        <f>IF(ISNUMBER(Data!L40)=FALSE,NA(),(Data!L40))</f>
        <v>46.05</v>
      </c>
      <c r="U47" s="21" t="e">
        <f>IF(ISNUMBER(Data!M40)=FALSE,NA(),(Data!M40))</f>
        <v>#N/A</v>
      </c>
      <c r="V47" s="21">
        <f>IF(ISNUMBER(Data!N40)=FALSE,NA(),(Data!N40))</f>
        <v>40.880000000000003</v>
      </c>
      <c r="W47" s="21">
        <f>IF(ISNUMBER(Data!O40)=FALSE,NA(),(Data!O40))</f>
        <v>37.895000000000003</v>
      </c>
      <c r="X47" s="21">
        <f>IF(ISNUMBER(Data!P40)=FALSE,NA(),(Data!P40))</f>
        <v>35.965000000000003</v>
      </c>
      <c r="Y47" s="21">
        <f>IF(ISNUMBER(Data!Q40)=FALSE,NA(),(Data!Q40))</f>
        <v>34.659999999999997</v>
      </c>
      <c r="Z47" s="21">
        <f>IF(ISNUMBER(Data!R40)=FALSE,NA(),(Data!R40))</f>
        <v>33.795000000000002</v>
      </c>
      <c r="AA47" s="21">
        <f>IF(ISNUMBER(Data!S40)=FALSE,NA(),(Data!S40))</f>
        <v>33.265000000000001</v>
      </c>
      <c r="AB47" s="21">
        <f>IF(ISNUMBER(Data!T40)=FALSE,NA(),(Data!T40))</f>
        <v>32.99</v>
      </c>
      <c r="AC47" s="21">
        <f>IF(ISNUMBER(Data!U40)=FALSE,NA(),(Data!U40))</f>
        <v>32.89</v>
      </c>
      <c r="AD47" s="21">
        <f>IF(ISNUMBER(Data!V40)=FALSE,NA(),(Data!V40))</f>
        <v>32.909999999999997</v>
      </c>
      <c r="AE47" s="21">
        <f>IF(ISNUMBER(Data!W40)=FALSE,NA(),(Data!W40))</f>
        <v>33</v>
      </c>
      <c r="AF47" s="21">
        <f>IF(ISNUMBER(Data!X40)=FALSE,NA(),(Data!X40))</f>
        <v>33.119999999999997</v>
      </c>
      <c r="AG47" s="21">
        <f>IF(ISNUMBER(Data!Y40)=FALSE,NA(),(Data!Y40))</f>
        <v>33.265000000000001</v>
      </c>
      <c r="AH47" s="21" t="e">
        <f>IF(ISNUMBER(Data!Z40)=FALSE,NA(),(Data!Z40))</f>
        <v>#N/A</v>
      </c>
      <c r="AI47" s="21" t="e">
        <f>IF(ISNUMBER(Data!AA40)=FALSE,NA(),(Data!AA40))</f>
        <v>#N/A</v>
      </c>
      <c r="AJ47" s="21" t="e">
        <f>IF(ISNUMBER(Data!AB40)=FALSE,NA(),(Data!AB40))</f>
        <v>#N/A</v>
      </c>
      <c r="AK47" s="21" t="e">
        <f>IF(ISNUMBER(Data!AC40)=FALSE,NA(),(Data!AC40))</f>
        <v>#N/A</v>
      </c>
      <c r="AL47" s="21" t="e">
        <f>IF(ISNUMBER(Data!AD40)=FALSE,NA(),(Data!AD40))</f>
        <v>#N/A</v>
      </c>
      <c r="AM47" s="21" t="e">
        <f>IF(ISNUMBER(Data!AE40)=FALSE,NA(),(Data!AE40))</f>
        <v>#N/A</v>
      </c>
      <c r="AN47" s="21" t="e">
        <f>IF(ISNUMBER(Data!AF40)=FALSE,NA(),(Data!AF40))</f>
        <v>#N/A</v>
      </c>
      <c r="AO47" s="21" t="e">
        <f>IF(ISNUMBER(Data!AG40)=FALSE,NA(),(Data!AG40))</f>
        <v>#N/A</v>
      </c>
      <c r="AP47" s="22" t="e">
        <f>IF(ISNUMBER(Data!AH40)=FALSE,NA(),(Data!AH40))</f>
        <v>#N/A</v>
      </c>
    </row>
    <row r="48" spans="12:42" ht="15" x14ac:dyDescent="0.2">
      <c r="L48" s="12" t="str">
        <f>Data!D41</f>
        <v>8 YR</v>
      </c>
      <c r="M48" s="19">
        <f>IF(ISNUMBER(Data!E41)=FALSE,NA(),(Data!E41))</f>
        <v>50.34</v>
      </c>
      <c r="N48" s="19" t="e">
        <f>IF(ISNUMBER(Data!F41)=FALSE,NA(),(Data!F41))</f>
        <v>#N/A</v>
      </c>
      <c r="O48" s="19" t="e">
        <f>IF(ISNUMBER(Data!G41)=FALSE,NA(),(Data!G41))</f>
        <v>#N/A</v>
      </c>
      <c r="P48" s="19" t="e">
        <f>IF(ISNUMBER(Data!H41)=FALSE,NA(),(Data!H41))</f>
        <v>#N/A</v>
      </c>
      <c r="Q48" s="19" t="e">
        <f>IF(ISNUMBER(Data!I41)=FALSE,NA(),(Data!I41))</f>
        <v>#N/A</v>
      </c>
      <c r="R48" s="19">
        <f>IF(ISNUMBER(Data!J41)=FALSE,NA(),(Data!J41))</f>
        <v>58.335000000000001</v>
      </c>
      <c r="S48" s="19">
        <f>IF(ISNUMBER(Data!K41)=FALSE,NA(),(Data!K41))</f>
        <v>50.47</v>
      </c>
      <c r="T48" s="19">
        <f>IF(ISNUMBER(Data!L41)=FALSE,NA(),(Data!L41))</f>
        <v>45.68</v>
      </c>
      <c r="U48" s="19" t="e">
        <f>IF(ISNUMBER(Data!M41)=FALSE,NA(),(Data!M41))</f>
        <v>#N/A</v>
      </c>
      <c r="V48" s="19">
        <f>IF(ISNUMBER(Data!N41)=FALSE,NA(),(Data!N41))</f>
        <v>40.020000000000003</v>
      </c>
      <c r="W48" s="19">
        <f>IF(ISNUMBER(Data!O41)=FALSE,NA(),(Data!O41))</f>
        <v>37.07</v>
      </c>
      <c r="X48" s="19">
        <f>IF(ISNUMBER(Data!P41)=FALSE,NA(),(Data!P41))</f>
        <v>35.39</v>
      </c>
      <c r="Y48" s="19">
        <f>IF(ISNUMBER(Data!Q41)=FALSE,NA(),(Data!Q41))</f>
        <v>34.409999999999997</v>
      </c>
      <c r="Z48" s="19">
        <f>IF(ISNUMBER(Data!R41)=FALSE,NA(),(Data!R41))</f>
        <v>33.869999999999997</v>
      </c>
      <c r="AA48" s="19">
        <f>IF(ISNUMBER(Data!S41)=FALSE,NA(),(Data!S41))</f>
        <v>33.625</v>
      </c>
      <c r="AB48" s="19">
        <f>IF(ISNUMBER(Data!T41)=FALSE,NA(),(Data!T41))</f>
        <v>33.564999999999998</v>
      </c>
      <c r="AC48" s="19">
        <f>IF(ISNUMBER(Data!U41)=FALSE,NA(),(Data!U41))</f>
        <v>33.615000000000002</v>
      </c>
      <c r="AD48" s="19">
        <f>IF(ISNUMBER(Data!V41)=FALSE,NA(),(Data!V41))</f>
        <v>33.729999999999997</v>
      </c>
      <c r="AE48" s="19">
        <f>IF(ISNUMBER(Data!W41)=FALSE,NA(),(Data!W41))</f>
        <v>33.869999999999997</v>
      </c>
      <c r="AF48" s="19">
        <f>IF(ISNUMBER(Data!X41)=FALSE,NA(),(Data!X41))</f>
        <v>34.020000000000003</v>
      </c>
      <c r="AG48" s="19">
        <f>IF(ISNUMBER(Data!Y41)=FALSE,NA(),(Data!Y41))</f>
        <v>34.18</v>
      </c>
      <c r="AH48" s="19" t="e">
        <f>IF(ISNUMBER(Data!Z41)=FALSE,NA(),(Data!Z41))</f>
        <v>#N/A</v>
      </c>
      <c r="AI48" s="19" t="e">
        <f>IF(ISNUMBER(Data!AA41)=FALSE,NA(),(Data!AA41))</f>
        <v>#N/A</v>
      </c>
      <c r="AJ48" s="19" t="e">
        <f>IF(ISNUMBER(Data!AB41)=FALSE,NA(),(Data!AB41))</f>
        <v>#N/A</v>
      </c>
      <c r="AK48" s="19" t="e">
        <f>IF(ISNUMBER(Data!AC41)=FALSE,NA(),(Data!AC41))</f>
        <v>#N/A</v>
      </c>
      <c r="AL48" s="19" t="e">
        <f>IF(ISNUMBER(Data!AD41)=FALSE,NA(),(Data!AD41))</f>
        <v>#N/A</v>
      </c>
      <c r="AM48" s="19" t="e">
        <f>IF(ISNUMBER(Data!AE41)=FALSE,NA(),(Data!AE41))</f>
        <v>#N/A</v>
      </c>
      <c r="AN48" s="19" t="e">
        <f>IF(ISNUMBER(Data!AF41)=FALSE,NA(),(Data!AF41))</f>
        <v>#N/A</v>
      </c>
      <c r="AO48" s="19" t="e">
        <f>IF(ISNUMBER(Data!AG41)=FALSE,NA(),(Data!AG41))</f>
        <v>#N/A</v>
      </c>
      <c r="AP48" s="20" t="e">
        <f>IF(ISNUMBER(Data!AH41)=FALSE,NA(),(Data!AH41))</f>
        <v>#N/A</v>
      </c>
    </row>
    <row r="49" spans="12:42" ht="15" x14ac:dyDescent="0.2">
      <c r="L49" s="12" t="str">
        <f>Data!D42</f>
        <v>9 YR</v>
      </c>
      <c r="M49" s="21">
        <f>IF(ISNUMBER(Data!E42)=FALSE,NA(),(Data!E42))</f>
        <v>49.685000000000002</v>
      </c>
      <c r="N49" s="21" t="e">
        <f>IF(ISNUMBER(Data!F42)=FALSE,NA(),(Data!F42))</f>
        <v>#N/A</v>
      </c>
      <c r="O49" s="21" t="e">
        <f>IF(ISNUMBER(Data!G42)=FALSE,NA(),(Data!G42))</f>
        <v>#N/A</v>
      </c>
      <c r="P49" s="21" t="e">
        <f>IF(ISNUMBER(Data!H42)=FALSE,NA(),(Data!H42))</f>
        <v>#N/A</v>
      </c>
      <c r="Q49" s="21" t="e">
        <f>IF(ISNUMBER(Data!I42)=FALSE,NA(),(Data!I42))</f>
        <v>#N/A</v>
      </c>
      <c r="R49" s="21">
        <f>IF(ISNUMBER(Data!J42)=FALSE,NA(),(Data!J42))</f>
        <v>59.484999999999999</v>
      </c>
      <c r="S49" s="21">
        <f>IF(ISNUMBER(Data!K42)=FALSE,NA(),(Data!K42))</f>
        <v>50.494999999999997</v>
      </c>
      <c r="T49" s="21">
        <f>IF(ISNUMBER(Data!L42)=FALSE,NA(),(Data!L42))</f>
        <v>45.134999999999998</v>
      </c>
      <c r="U49" s="21" t="e">
        <f>IF(ISNUMBER(Data!M42)=FALSE,NA(),(Data!M42))</f>
        <v>#N/A</v>
      </c>
      <c r="V49" s="21">
        <f>IF(ISNUMBER(Data!N42)=FALSE,NA(),(Data!N42))</f>
        <v>39</v>
      </c>
      <c r="W49" s="21">
        <f>IF(ISNUMBER(Data!O42)=FALSE,NA(),(Data!O42))</f>
        <v>35.97</v>
      </c>
      <c r="X49" s="21">
        <f>IF(ISNUMBER(Data!P42)=FALSE,NA(),(Data!P42))</f>
        <v>34.354999999999997</v>
      </c>
      <c r="Y49" s="21">
        <f>IF(ISNUMBER(Data!Q42)=FALSE,NA(),(Data!Q42))</f>
        <v>33.475000000000001</v>
      </c>
      <c r="Z49" s="21">
        <f>IF(ISNUMBER(Data!R42)=FALSE,NA(),(Data!R42))</f>
        <v>33.020000000000003</v>
      </c>
      <c r="AA49" s="21">
        <f>IF(ISNUMBER(Data!S42)=FALSE,NA(),(Data!S42))</f>
        <v>32.82</v>
      </c>
      <c r="AB49" s="21">
        <f>IF(ISNUMBER(Data!T42)=FALSE,NA(),(Data!T42))</f>
        <v>32.78</v>
      </c>
      <c r="AC49" s="21">
        <f>IF(ISNUMBER(Data!U42)=FALSE,NA(),(Data!U42))</f>
        <v>32.82</v>
      </c>
      <c r="AD49" s="21">
        <f>IF(ISNUMBER(Data!V42)=FALSE,NA(),(Data!V42))</f>
        <v>32.92</v>
      </c>
      <c r="AE49" s="21">
        <f>IF(ISNUMBER(Data!W42)=FALSE,NA(),(Data!W42))</f>
        <v>33.03</v>
      </c>
      <c r="AF49" s="21">
        <f>IF(ISNUMBER(Data!X42)=FALSE,NA(),(Data!X42))</f>
        <v>33.159999999999997</v>
      </c>
      <c r="AG49" s="21">
        <f>IF(ISNUMBER(Data!Y42)=FALSE,NA(),(Data!Y42))</f>
        <v>33.28</v>
      </c>
      <c r="AH49" s="21" t="e">
        <f>IF(ISNUMBER(Data!Z42)=FALSE,NA(),(Data!Z42))</f>
        <v>#N/A</v>
      </c>
      <c r="AI49" s="21" t="e">
        <f>IF(ISNUMBER(Data!AA42)=FALSE,NA(),(Data!AA42))</f>
        <v>#N/A</v>
      </c>
      <c r="AJ49" s="21" t="e">
        <f>IF(ISNUMBER(Data!AB42)=FALSE,NA(),(Data!AB42))</f>
        <v>#N/A</v>
      </c>
      <c r="AK49" s="21" t="e">
        <f>IF(ISNUMBER(Data!AC42)=FALSE,NA(),(Data!AC42))</f>
        <v>#N/A</v>
      </c>
      <c r="AL49" s="21" t="e">
        <f>IF(ISNUMBER(Data!AD42)=FALSE,NA(),(Data!AD42))</f>
        <v>#N/A</v>
      </c>
      <c r="AM49" s="21" t="e">
        <f>IF(ISNUMBER(Data!AE42)=FALSE,NA(),(Data!AE42))</f>
        <v>#N/A</v>
      </c>
      <c r="AN49" s="21" t="e">
        <f>IF(ISNUMBER(Data!AF42)=FALSE,NA(),(Data!AF42))</f>
        <v>#N/A</v>
      </c>
      <c r="AO49" s="21" t="e">
        <f>IF(ISNUMBER(Data!AG42)=FALSE,NA(),(Data!AG42))</f>
        <v>#N/A</v>
      </c>
      <c r="AP49" s="22" t="e">
        <f>IF(ISNUMBER(Data!AH42)=FALSE,NA(),(Data!AH42))</f>
        <v>#N/A</v>
      </c>
    </row>
    <row r="50" spans="12:42" ht="15" x14ac:dyDescent="0.2">
      <c r="L50" s="12" t="str">
        <f>Data!D43</f>
        <v>10 YR</v>
      </c>
      <c r="M50" s="19">
        <f>IF(ISNUMBER(Data!E43)=FALSE,NA(),(Data!E43))</f>
        <v>48.26</v>
      </c>
      <c r="N50" s="19" t="e">
        <f>IF(ISNUMBER(Data!F43)=FALSE,NA(),(Data!F43))</f>
        <v>#N/A</v>
      </c>
      <c r="O50" s="19" t="e">
        <f>IF(ISNUMBER(Data!G43)=FALSE,NA(),(Data!G43))</f>
        <v>#N/A</v>
      </c>
      <c r="P50" s="19" t="e">
        <f>IF(ISNUMBER(Data!H43)=FALSE,NA(),(Data!H43))</f>
        <v>#N/A</v>
      </c>
      <c r="Q50" s="19" t="e">
        <f>IF(ISNUMBER(Data!I43)=FALSE,NA(),(Data!I43))</f>
        <v>#N/A</v>
      </c>
      <c r="R50" s="19">
        <f>IF(ISNUMBER(Data!J43)=FALSE,NA(),(Data!J43))</f>
        <v>57.85</v>
      </c>
      <c r="S50" s="19">
        <f>IF(ISNUMBER(Data!K43)=FALSE,NA(),(Data!K43))</f>
        <v>49.55</v>
      </c>
      <c r="T50" s="19">
        <f>IF(ISNUMBER(Data!L43)=FALSE,NA(),(Data!L43))</f>
        <v>44.555</v>
      </c>
      <c r="U50" s="19" t="e">
        <f>IF(ISNUMBER(Data!M43)=FALSE,NA(),(Data!M43))</f>
        <v>#N/A</v>
      </c>
      <c r="V50" s="19">
        <f>IF(ISNUMBER(Data!N43)=FALSE,NA(),(Data!N43))</f>
        <v>38.82</v>
      </c>
      <c r="W50" s="19">
        <f>IF(ISNUMBER(Data!O43)=FALSE,NA(),(Data!O43))</f>
        <v>35.92</v>
      </c>
      <c r="X50" s="19">
        <f>IF(ISNUMBER(Data!P43)=FALSE,NA(),(Data!P43))</f>
        <v>34.284999999999997</v>
      </c>
      <c r="Y50" s="19">
        <f>IF(ISNUMBER(Data!Q43)=FALSE,NA(),(Data!Q43))</f>
        <v>33.28</v>
      </c>
      <c r="Z50" s="19">
        <f>IF(ISNUMBER(Data!R43)=FALSE,NA(),(Data!R43))</f>
        <v>32.630000000000003</v>
      </c>
      <c r="AA50" s="19">
        <f>IF(ISNUMBER(Data!S43)=FALSE,NA(),(Data!S43))</f>
        <v>32.200000000000003</v>
      </c>
      <c r="AB50" s="19">
        <f>IF(ISNUMBER(Data!T43)=FALSE,NA(),(Data!T43))</f>
        <v>31.91</v>
      </c>
      <c r="AC50" s="19">
        <f>IF(ISNUMBER(Data!U43)=FALSE,NA(),(Data!U43))</f>
        <v>31.704999999999998</v>
      </c>
      <c r="AD50" s="19">
        <f>IF(ISNUMBER(Data!V43)=FALSE,NA(),(Data!V43))</f>
        <v>31.57</v>
      </c>
      <c r="AE50" s="19">
        <f>IF(ISNUMBER(Data!W43)=FALSE,NA(),(Data!W43))</f>
        <v>31.48</v>
      </c>
      <c r="AF50" s="19">
        <f>IF(ISNUMBER(Data!X43)=FALSE,NA(),(Data!X43))</f>
        <v>31.43</v>
      </c>
      <c r="AG50" s="19">
        <f>IF(ISNUMBER(Data!Y43)=FALSE,NA(),(Data!Y43))</f>
        <v>31.4</v>
      </c>
      <c r="AH50" s="19" t="e">
        <f>IF(ISNUMBER(Data!Z43)=FALSE,NA(),(Data!Z43))</f>
        <v>#N/A</v>
      </c>
      <c r="AI50" s="19" t="e">
        <f>IF(ISNUMBER(Data!AA43)=FALSE,NA(),(Data!AA43))</f>
        <v>#N/A</v>
      </c>
      <c r="AJ50" s="19" t="e">
        <f>IF(ISNUMBER(Data!AB43)=FALSE,NA(),(Data!AB43))</f>
        <v>#N/A</v>
      </c>
      <c r="AK50" s="19" t="e">
        <f>IF(ISNUMBER(Data!AC43)=FALSE,NA(),(Data!AC43))</f>
        <v>#N/A</v>
      </c>
      <c r="AL50" s="19" t="e">
        <f>IF(ISNUMBER(Data!AD43)=FALSE,NA(),(Data!AD43))</f>
        <v>#N/A</v>
      </c>
      <c r="AM50" s="19" t="e">
        <f>IF(ISNUMBER(Data!AE43)=FALSE,NA(),(Data!AE43))</f>
        <v>#N/A</v>
      </c>
      <c r="AN50" s="19" t="e">
        <f>IF(ISNUMBER(Data!AF43)=FALSE,NA(),(Data!AF43))</f>
        <v>#N/A</v>
      </c>
      <c r="AO50" s="19" t="e">
        <f>IF(ISNUMBER(Data!AG43)=FALSE,NA(),(Data!AG43))</f>
        <v>#N/A</v>
      </c>
      <c r="AP50" s="20" t="e">
        <f>IF(ISNUMBER(Data!AH43)=FALSE,NA(),(Data!AH43))</f>
        <v>#N/A</v>
      </c>
    </row>
    <row r="51" spans="12:42" ht="15" x14ac:dyDescent="0.2">
      <c r="L51" s="12" t="str">
        <f>Data!D44</f>
        <v>12 YR</v>
      </c>
      <c r="M51" s="21">
        <f>IF(ISNUMBER(Data!E44)=FALSE,NA(),(Data!E44))</f>
        <v>46.704999999999998</v>
      </c>
      <c r="N51" s="21" t="e">
        <f>IF(ISNUMBER(Data!F44)=FALSE,NA(),(Data!F44))</f>
        <v>#N/A</v>
      </c>
      <c r="O51" s="21" t="e">
        <f>IF(ISNUMBER(Data!G44)=FALSE,NA(),(Data!G44))</f>
        <v>#N/A</v>
      </c>
      <c r="P51" s="21" t="e">
        <f>IF(ISNUMBER(Data!H44)=FALSE,NA(),(Data!H44))</f>
        <v>#N/A</v>
      </c>
      <c r="Q51" s="21" t="e">
        <f>IF(ISNUMBER(Data!I44)=FALSE,NA(),(Data!I44))</f>
        <v>#N/A</v>
      </c>
      <c r="R51" s="21">
        <f>IF(ISNUMBER(Data!J44)=FALSE,NA(),(Data!J44))</f>
        <v>59.325000000000003</v>
      </c>
      <c r="S51" s="21">
        <f>IF(ISNUMBER(Data!K44)=FALSE,NA(),(Data!K44))</f>
        <v>49.27</v>
      </c>
      <c r="T51" s="21">
        <f>IF(ISNUMBER(Data!L44)=FALSE,NA(),(Data!L44))</f>
        <v>43.44</v>
      </c>
      <c r="U51" s="21">
        <f>IF(ISNUMBER(Data!M44)=FALSE,NA(),(Data!M44))</f>
        <v>37.17</v>
      </c>
      <c r="V51" s="21">
        <f>IF(ISNUMBER(Data!N44)=FALSE,NA(),(Data!N44))</f>
        <v>35.520000000000003</v>
      </c>
      <c r="W51" s="21">
        <f>IF(ISNUMBER(Data!O44)=FALSE,NA(),(Data!O44))</f>
        <v>34.4</v>
      </c>
      <c r="X51" s="21">
        <f>IF(ISNUMBER(Data!P44)=FALSE,NA(),(Data!P44))</f>
        <v>33.08</v>
      </c>
      <c r="Y51" s="21">
        <f>IF(ISNUMBER(Data!Q44)=FALSE,NA(),(Data!Q44))</f>
        <v>32.42</v>
      </c>
      <c r="Z51" s="21">
        <f>IF(ISNUMBER(Data!R44)=FALSE,NA(),(Data!R44))</f>
        <v>32.1</v>
      </c>
      <c r="AA51" s="21">
        <f>IF(ISNUMBER(Data!S44)=FALSE,NA(),(Data!S44))</f>
        <v>31.97</v>
      </c>
      <c r="AB51" s="21">
        <f>IF(ISNUMBER(Data!T44)=FALSE,NA(),(Data!T44))</f>
        <v>31.96</v>
      </c>
      <c r="AC51" s="21">
        <f>IF(ISNUMBER(Data!U44)=FALSE,NA(),(Data!U44))</f>
        <v>32.01</v>
      </c>
      <c r="AD51" s="21">
        <f>IF(ISNUMBER(Data!V44)=FALSE,NA(),(Data!V44))</f>
        <v>32.11</v>
      </c>
      <c r="AE51" s="21">
        <f>IF(ISNUMBER(Data!W44)=FALSE,NA(),(Data!W44))</f>
        <v>32.229999999999997</v>
      </c>
      <c r="AF51" s="21">
        <f>IF(ISNUMBER(Data!X44)=FALSE,NA(),(Data!X44))</f>
        <v>32.369999999999997</v>
      </c>
      <c r="AG51" s="21">
        <f>IF(ISNUMBER(Data!Y44)=FALSE,NA(),(Data!Y44))</f>
        <v>32.520000000000003</v>
      </c>
      <c r="AH51" s="21" t="e">
        <f>IF(ISNUMBER(Data!Z44)=FALSE,NA(),(Data!Z44))</f>
        <v>#N/A</v>
      </c>
      <c r="AI51" s="21" t="e">
        <f>IF(ISNUMBER(Data!AA44)=FALSE,NA(),(Data!AA44))</f>
        <v>#N/A</v>
      </c>
      <c r="AJ51" s="21" t="e">
        <f>IF(ISNUMBER(Data!AB44)=FALSE,NA(),(Data!AB44))</f>
        <v>#N/A</v>
      </c>
      <c r="AK51" s="21" t="e">
        <f>IF(ISNUMBER(Data!AC44)=FALSE,NA(),(Data!AC44))</f>
        <v>#N/A</v>
      </c>
      <c r="AL51" s="21" t="e">
        <f>IF(ISNUMBER(Data!AD44)=FALSE,NA(),(Data!AD44))</f>
        <v>#N/A</v>
      </c>
      <c r="AM51" s="21" t="e">
        <f>IF(ISNUMBER(Data!AE44)=FALSE,NA(),(Data!AE44))</f>
        <v>#N/A</v>
      </c>
      <c r="AN51" s="21" t="e">
        <f>IF(ISNUMBER(Data!AF44)=FALSE,NA(),(Data!AF44))</f>
        <v>#N/A</v>
      </c>
      <c r="AO51" s="21" t="e">
        <f>IF(ISNUMBER(Data!AG44)=FALSE,NA(),(Data!AG44))</f>
        <v>#N/A</v>
      </c>
      <c r="AP51" s="22" t="e">
        <f>IF(ISNUMBER(Data!AH44)=FALSE,NA(),(Data!AH44))</f>
        <v>#N/A</v>
      </c>
    </row>
    <row r="52" spans="12:42" ht="15" x14ac:dyDescent="0.2">
      <c r="L52" s="12" t="str">
        <f>Data!D45</f>
        <v>15 YR</v>
      </c>
      <c r="M52" s="19">
        <f>IF(ISNUMBER(Data!E45)=FALSE,NA(),(Data!E45))</f>
        <v>42.865000000000002</v>
      </c>
      <c r="N52" s="19" t="e">
        <f>IF(ISNUMBER(Data!F45)=FALSE,NA(),(Data!F45))</f>
        <v>#N/A</v>
      </c>
      <c r="O52" s="19" t="e">
        <f>IF(ISNUMBER(Data!G45)=FALSE,NA(),(Data!G45))</f>
        <v>#N/A</v>
      </c>
      <c r="P52" s="19" t="e">
        <f>IF(ISNUMBER(Data!H45)=FALSE,NA(),(Data!H45))</f>
        <v>#N/A</v>
      </c>
      <c r="Q52" s="19" t="e">
        <f>IF(ISNUMBER(Data!I45)=FALSE,NA(),(Data!I45))</f>
        <v>#N/A</v>
      </c>
      <c r="R52" s="19">
        <f>IF(ISNUMBER(Data!J45)=FALSE,NA(),(Data!J45))</f>
        <v>54.88</v>
      </c>
      <c r="S52" s="19">
        <f>IF(ISNUMBER(Data!K45)=FALSE,NA(),(Data!K45))</f>
        <v>46.06</v>
      </c>
      <c r="T52" s="19">
        <f>IF(ISNUMBER(Data!L45)=FALSE,NA(),(Data!L45))</f>
        <v>40.89</v>
      </c>
      <c r="U52" s="19">
        <f>IF(ISNUMBER(Data!M45)=FALSE,NA(),(Data!M45))</f>
        <v>35.32</v>
      </c>
      <c r="V52" s="19">
        <f>IF(ISNUMBER(Data!N45)=FALSE,NA(),(Data!N45))</f>
        <v>33.85</v>
      </c>
      <c r="W52" s="19">
        <f>IF(ISNUMBER(Data!O45)=FALSE,NA(),(Data!O45))</f>
        <v>32.840000000000003</v>
      </c>
      <c r="X52" s="19">
        <f>IF(ISNUMBER(Data!P45)=FALSE,NA(),(Data!P45))</f>
        <v>31.63</v>
      </c>
      <c r="Y52" s="19">
        <f>IF(ISNUMBER(Data!Q45)=FALSE,NA(),(Data!Q45))</f>
        <v>31.01</v>
      </c>
      <c r="Z52" s="19">
        <f>IF(ISNUMBER(Data!R45)=FALSE,NA(),(Data!R45))</f>
        <v>30.7</v>
      </c>
      <c r="AA52" s="19">
        <f>IF(ISNUMBER(Data!S45)=FALSE,NA(),(Data!S45))</f>
        <v>30.55</v>
      </c>
      <c r="AB52" s="19">
        <f>IF(ISNUMBER(Data!T45)=FALSE,NA(),(Data!T45))</f>
        <v>30.51</v>
      </c>
      <c r="AC52" s="19">
        <f>IF(ISNUMBER(Data!U45)=FALSE,NA(),(Data!U45))</f>
        <v>30.52</v>
      </c>
      <c r="AD52" s="19">
        <f>IF(ISNUMBER(Data!V45)=FALSE,NA(),(Data!V45))</f>
        <v>30.58</v>
      </c>
      <c r="AE52" s="19">
        <f>IF(ISNUMBER(Data!W45)=FALSE,NA(),(Data!W45))</f>
        <v>30.65</v>
      </c>
      <c r="AF52" s="19">
        <f>IF(ISNUMBER(Data!X45)=FALSE,NA(),(Data!X45))</f>
        <v>30.74</v>
      </c>
      <c r="AG52" s="19">
        <f>IF(ISNUMBER(Data!Y45)=FALSE,NA(),(Data!Y45))</f>
        <v>30.84</v>
      </c>
      <c r="AH52" s="19" t="e">
        <f>IF(ISNUMBER(Data!Z45)=FALSE,NA(),(Data!Z45))</f>
        <v>#N/A</v>
      </c>
      <c r="AI52" s="19" t="e">
        <f>IF(ISNUMBER(Data!AA45)=FALSE,NA(),(Data!AA45))</f>
        <v>#N/A</v>
      </c>
      <c r="AJ52" s="19" t="e">
        <f>IF(ISNUMBER(Data!AB45)=FALSE,NA(),(Data!AB45))</f>
        <v>#N/A</v>
      </c>
      <c r="AK52" s="19" t="e">
        <f>IF(ISNUMBER(Data!AC45)=FALSE,NA(),(Data!AC45))</f>
        <v>#N/A</v>
      </c>
      <c r="AL52" s="19" t="e">
        <f>IF(ISNUMBER(Data!AD45)=FALSE,NA(),(Data!AD45))</f>
        <v>#N/A</v>
      </c>
      <c r="AM52" s="19" t="e">
        <f>IF(ISNUMBER(Data!AE45)=FALSE,NA(),(Data!AE45))</f>
        <v>#N/A</v>
      </c>
      <c r="AN52" s="19" t="e">
        <f>IF(ISNUMBER(Data!AF45)=FALSE,NA(),(Data!AF45))</f>
        <v>#N/A</v>
      </c>
      <c r="AO52" s="19" t="e">
        <f>IF(ISNUMBER(Data!AG45)=FALSE,NA(),(Data!AG45))</f>
        <v>#N/A</v>
      </c>
      <c r="AP52" s="20" t="e">
        <f>IF(ISNUMBER(Data!AH45)=FALSE,NA(),(Data!AH45))</f>
        <v>#N/A</v>
      </c>
    </row>
    <row r="53" spans="12:42" ht="15" x14ac:dyDescent="0.2">
      <c r="L53" s="12" t="str">
        <f>Data!D46</f>
        <v>20 YR</v>
      </c>
      <c r="M53" s="21">
        <f>IF(ISNUMBER(Data!E46)=FALSE,NA(),(Data!E46))</f>
        <v>39.340000000000003</v>
      </c>
      <c r="N53" s="21" t="e">
        <f>IF(ISNUMBER(Data!F46)=FALSE,NA(),(Data!F46))</f>
        <v>#N/A</v>
      </c>
      <c r="O53" s="21" t="e">
        <f>IF(ISNUMBER(Data!G46)=FALSE,NA(),(Data!G46))</f>
        <v>#N/A</v>
      </c>
      <c r="P53" s="21" t="e">
        <f>IF(ISNUMBER(Data!H46)=FALSE,NA(),(Data!H46))</f>
        <v>#N/A</v>
      </c>
      <c r="Q53" s="21" t="e">
        <f>IF(ISNUMBER(Data!I46)=FALSE,NA(),(Data!I46))</f>
        <v>#N/A</v>
      </c>
      <c r="R53" s="21">
        <f>IF(ISNUMBER(Data!J46)=FALSE,NA(),(Data!J46))</f>
        <v>52.74</v>
      </c>
      <c r="S53" s="21">
        <f>IF(ISNUMBER(Data!K46)=FALSE,NA(),(Data!K46))</f>
        <v>43.494999999999997</v>
      </c>
      <c r="T53" s="21">
        <f>IF(ISNUMBER(Data!L46)=FALSE,NA(),(Data!L46))</f>
        <v>38.21</v>
      </c>
      <c r="U53" s="21">
        <f>IF(ISNUMBER(Data!M46)=FALSE,NA(),(Data!M46))</f>
        <v>32.880000000000003</v>
      </c>
      <c r="V53" s="21">
        <f>IF(ISNUMBER(Data!N46)=FALSE,NA(),(Data!N46))</f>
        <v>31.61</v>
      </c>
      <c r="W53" s="21">
        <f>IF(ISNUMBER(Data!O46)=FALSE,NA(),(Data!O46))</f>
        <v>30.82</v>
      </c>
      <c r="X53" s="21">
        <f>IF(ISNUMBER(Data!P46)=FALSE,NA(),(Data!P46))</f>
        <v>30.03</v>
      </c>
      <c r="Y53" s="21">
        <f>IF(ISNUMBER(Data!Q46)=FALSE,NA(),(Data!Q46))</f>
        <v>29.78</v>
      </c>
      <c r="Z53" s="21">
        <f>IF(ISNUMBER(Data!R46)=FALSE,NA(),(Data!R46))</f>
        <v>29.77</v>
      </c>
      <c r="AA53" s="21">
        <f>IF(ISNUMBER(Data!S46)=FALSE,NA(),(Data!S46))</f>
        <v>29.88</v>
      </c>
      <c r="AB53" s="21">
        <f>IF(ISNUMBER(Data!T46)=FALSE,NA(),(Data!T46))</f>
        <v>30.06</v>
      </c>
      <c r="AC53" s="21">
        <f>IF(ISNUMBER(Data!U46)=FALSE,NA(),(Data!U46))</f>
        <v>30.28</v>
      </c>
      <c r="AD53" s="21">
        <f>IF(ISNUMBER(Data!V46)=FALSE,NA(),(Data!V46))</f>
        <v>30.5</v>
      </c>
      <c r="AE53" s="21">
        <f>IF(ISNUMBER(Data!W46)=FALSE,NA(),(Data!W46))</f>
        <v>30.73</v>
      </c>
      <c r="AF53" s="21">
        <f>IF(ISNUMBER(Data!X46)=FALSE,NA(),(Data!X46))</f>
        <v>30.96</v>
      </c>
      <c r="AG53" s="21">
        <f>IF(ISNUMBER(Data!Y46)=FALSE,NA(),(Data!Y46))</f>
        <v>31.18</v>
      </c>
      <c r="AH53" s="21" t="e">
        <f>IF(ISNUMBER(Data!Z46)=FALSE,NA(),(Data!Z46))</f>
        <v>#N/A</v>
      </c>
      <c r="AI53" s="21" t="e">
        <f>IF(ISNUMBER(Data!AA46)=FALSE,NA(),(Data!AA46))</f>
        <v>#N/A</v>
      </c>
      <c r="AJ53" s="21" t="e">
        <f>IF(ISNUMBER(Data!AB46)=FALSE,NA(),(Data!AB46))</f>
        <v>#N/A</v>
      </c>
      <c r="AK53" s="21" t="e">
        <f>IF(ISNUMBER(Data!AC46)=FALSE,NA(),(Data!AC46))</f>
        <v>#N/A</v>
      </c>
      <c r="AL53" s="21" t="e">
        <f>IF(ISNUMBER(Data!AD46)=FALSE,NA(),(Data!AD46))</f>
        <v>#N/A</v>
      </c>
      <c r="AM53" s="21" t="e">
        <f>IF(ISNUMBER(Data!AE46)=FALSE,NA(),(Data!AE46))</f>
        <v>#N/A</v>
      </c>
      <c r="AN53" s="21" t="e">
        <f>IF(ISNUMBER(Data!AF46)=FALSE,NA(),(Data!AF46))</f>
        <v>#N/A</v>
      </c>
      <c r="AO53" s="21" t="e">
        <f>IF(ISNUMBER(Data!AG46)=FALSE,NA(),(Data!AG46))</f>
        <v>#N/A</v>
      </c>
      <c r="AP53" s="22" t="e">
        <f>IF(ISNUMBER(Data!AH46)=FALSE,NA(),(Data!AH46))</f>
        <v>#N/A</v>
      </c>
    </row>
    <row r="54" spans="12:42" ht="15" x14ac:dyDescent="0.2">
      <c r="L54" s="12" t="str">
        <f>Data!D47</f>
        <v>25 YR</v>
      </c>
      <c r="M54" s="19">
        <f>IF(ISNUMBER(Data!E47)=FALSE,NA(),(Data!E47))</f>
        <v>38.950000000000003</v>
      </c>
      <c r="N54" s="19" t="e">
        <f>IF(ISNUMBER(Data!F47)=FALSE,NA(),(Data!F47))</f>
        <v>#N/A</v>
      </c>
      <c r="O54" s="19" t="e">
        <f>IF(ISNUMBER(Data!G47)=FALSE,NA(),(Data!G47))</f>
        <v>#N/A</v>
      </c>
      <c r="P54" s="19" t="e">
        <f>IF(ISNUMBER(Data!H47)=FALSE,NA(),(Data!H47))</f>
        <v>#N/A</v>
      </c>
      <c r="Q54" s="19" t="e">
        <f>IF(ISNUMBER(Data!I47)=FALSE,NA(),(Data!I47))</f>
        <v>#N/A</v>
      </c>
      <c r="R54" s="19">
        <f>IF(ISNUMBER(Data!J47)=FALSE,NA(),(Data!J47))</f>
        <v>55.305</v>
      </c>
      <c r="S54" s="19">
        <f>IF(ISNUMBER(Data!K47)=FALSE,NA(),(Data!K47))</f>
        <v>44.1</v>
      </c>
      <c r="T54" s="19">
        <f>IF(ISNUMBER(Data!L47)=FALSE,NA(),(Data!L47))</f>
        <v>38.115000000000002</v>
      </c>
      <c r="U54" s="19">
        <f>IF(ISNUMBER(Data!M47)=FALSE,NA(),(Data!M47))</f>
        <v>32.61</v>
      </c>
      <c r="V54" s="19">
        <f>IF(ISNUMBER(Data!N47)=FALSE,NA(),(Data!N47))</f>
        <v>31.47</v>
      </c>
      <c r="W54" s="19">
        <f>IF(ISNUMBER(Data!O47)=FALSE,NA(),(Data!O47))</f>
        <v>30.85</v>
      </c>
      <c r="X54" s="19">
        <f>IF(ISNUMBER(Data!P47)=FALSE,NA(),(Data!P47))</f>
        <v>30.4</v>
      </c>
      <c r="Y54" s="19">
        <f>IF(ISNUMBER(Data!Q47)=FALSE,NA(),(Data!Q47))</f>
        <v>30.45</v>
      </c>
      <c r="Z54" s="19">
        <f>IF(ISNUMBER(Data!R47)=FALSE,NA(),(Data!R47))</f>
        <v>30.71</v>
      </c>
      <c r="AA54" s="19">
        <f>IF(ISNUMBER(Data!S47)=FALSE,NA(),(Data!S47))</f>
        <v>31.05</v>
      </c>
      <c r="AB54" s="19">
        <f>IF(ISNUMBER(Data!T47)=FALSE,NA(),(Data!T47))</f>
        <v>31.42</v>
      </c>
      <c r="AC54" s="19">
        <f>IF(ISNUMBER(Data!U47)=FALSE,NA(),(Data!U47))</f>
        <v>31.8</v>
      </c>
      <c r="AD54" s="19">
        <f>IF(ISNUMBER(Data!V47)=FALSE,NA(),(Data!V47))</f>
        <v>32.18</v>
      </c>
      <c r="AE54" s="19">
        <f>IF(ISNUMBER(Data!W47)=FALSE,NA(),(Data!W47))</f>
        <v>32.54</v>
      </c>
      <c r="AF54" s="19">
        <f>IF(ISNUMBER(Data!X47)=FALSE,NA(),(Data!X47))</f>
        <v>32.880000000000003</v>
      </c>
      <c r="AG54" s="19">
        <f>IF(ISNUMBER(Data!Y47)=FALSE,NA(),(Data!Y47))</f>
        <v>33.21</v>
      </c>
      <c r="AH54" s="19" t="e">
        <f>IF(ISNUMBER(Data!Z47)=FALSE,NA(),(Data!Z47))</f>
        <v>#N/A</v>
      </c>
      <c r="AI54" s="19" t="e">
        <f>IF(ISNUMBER(Data!AA47)=FALSE,NA(),(Data!AA47))</f>
        <v>#N/A</v>
      </c>
      <c r="AJ54" s="19" t="e">
        <f>IF(ISNUMBER(Data!AB47)=FALSE,NA(),(Data!AB47))</f>
        <v>#N/A</v>
      </c>
      <c r="AK54" s="19" t="e">
        <f>IF(ISNUMBER(Data!AC47)=FALSE,NA(),(Data!AC47))</f>
        <v>#N/A</v>
      </c>
      <c r="AL54" s="19" t="e">
        <f>IF(ISNUMBER(Data!AD47)=FALSE,NA(),(Data!AD47))</f>
        <v>#N/A</v>
      </c>
      <c r="AM54" s="19" t="e">
        <f>IF(ISNUMBER(Data!AE47)=FALSE,NA(),(Data!AE47))</f>
        <v>#N/A</v>
      </c>
      <c r="AN54" s="19" t="e">
        <f>IF(ISNUMBER(Data!AF47)=FALSE,NA(),(Data!AF47))</f>
        <v>#N/A</v>
      </c>
      <c r="AO54" s="19" t="e">
        <f>IF(ISNUMBER(Data!AG47)=FALSE,NA(),(Data!AG47))</f>
        <v>#N/A</v>
      </c>
      <c r="AP54" s="20" t="e">
        <f>IF(ISNUMBER(Data!AH47)=FALSE,NA(),(Data!AH47))</f>
        <v>#N/A</v>
      </c>
    </row>
    <row r="55" spans="12:42" ht="15" x14ac:dyDescent="0.2">
      <c r="L55" s="13" t="str">
        <f>Data!D48</f>
        <v>30 YR</v>
      </c>
      <c r="M55" s="23">
        <f>IF(ISNUMBER(Data!E48)=FALSE,NA(),(Data!E48))</f>
        <v>38.67</v>
      </c>
      <c r="N55" s="23" t="e">
        <f>IF(ISNUMBER(Data!F48)=FALSE,NA(),(Data!F48))</f>
        <v>#N/A</v>
      </c>
      <c r="O55" s="23" t="e">
        <f>IF(ISNUMBER(Data!G48)=FALSE,NA(),(Data!G48))</f>
        <v>#N/A</v>
      </c>
      <c r="P55" s="23" t="e">
        <f>IF(ISNUMBER(Data!H48)=FALSE,NA(),(Data!H48))</f>
        <v>#N/A</v>
      </c>
      <c r="Q55" s="23" t="e">
        <f>IF(ISNUMBER(Data!I48)=FALSE,NA(),(Data!I48))</f>
        <v>#N/A</v>
      </c>
      <c r="R55" s="23">
        <f>IF(ISNUMBER(Data!J48)=FALSE,NA(),(Data!J48))</f>
        <v>57.76</v>
      </c>
      <c r="S55" s="23">
        <f>IF(ISNUMBER(Data!K48)=FALSE,NA(),(Data!K48))</f>
        <v>44.564999999999998</v>
      </c>
      <c r="T55" s="23">
        <f>IF(ISNUMBER(Data!L48)=FALSE,NA(),(Data!L48))</f>
        <v>37.984999999999999</v>
      </c>
      <c r="U55" s="23">
        <f>IF(ISNUMBER(Data!M48)=FALSE,NA(),(Data!M48))</f>
        <v>32.36</v>
      </c>
      <c r="V55" s="23">
        <f>IF(ISNUMBER(Data!N48)=FALSE,NA(),(Data!N48))</f>
        <v>31.32</v>
      </c>
      <c r="W55" s="23">
        <f>IF(ISNUMBER(Data!O48)=FALSE,NA(),(Data!O48))</f>
        <v>30.82</v>
      </c>
      <c r="X55" s="23">
        <f>IF(ISNUMBER(Data!P48)=FALSE,NA(),(Data!P48))</f>
        <v>30.6</v>
      </c>
      <c r="Y55" s="23">
        <f>IF(ISNUMBER(Data!Q48)=FALSE,NA(),(Data!Q48))</f>
        <v>30.83</v>
      </c>
      <c r="Z55" s="23">
        <f>IF(ISNUMBER(Data!R48)=FALSE,NA(),(Data!R48))</f>
        <v>31.23</v>
      </c>
      <c r="AA55" s="23">
        <f>IF(ISNUMBER(Data!S48)=FALSE,NA(),(Data!S48))</f>
        <v>31.69</v>
      </c>
      <c r="AB55" s="23">
        <f>IF(ISNUMBER(Data!T48)=FALSE,NA(),(Data!T48))</f>
        <v>32.159999999999997</v>
      </c>
      <c r="AC55" s="23">
        <f>IF(ISNUMBER(Data!U48)=FALSE,NA(),(Data!U48))</f>
        <v>32.619999999999997</v>
      </c>
      <c r="AD55" s="23">
        <f>IF(ISNUMBER(Data!V48)=FALSE,NA(),(Data!V48))</f>
        <v>33.06</v>
      </c>
      <c r="AE55" s="23">
        <f>IF(ISNUMBER(Data!W48)=FALSE,NA(),(Data!W48))</f>
        <v>33.479999999999997</v>
      </c>
      <c r="AF55" s="23">
        <f>IF(ISNUMBER(Data!X48)=FALSE,NA(),(Data!X48))</f>
        <v>33.880000000000003</v>
      </c>
      <c r="AG55" s="23">
        <f>IF(ISNUMBER(Data!Y48)=FALSE,NA(),(Data!Y48))</f>
        <v>34.25</v>
      </c>
      <c r="AH55" s="23" t="e">
        <f>IF(ISNUMBER(Data!Z48)=FALSE,NA(),(Data!Z48))</f>
        <v>#N/A</v>
      </c>
      <c r="AI55" s="23" t="e">
        <f>IF(ISNUMBER(Data!AA48)=FALSE,NA(),(Data!AA48))</f>
        <v>#N/A</v>
      </c>
      <c r="AJ55" s="23" t="e">
        <f>IF(ISNUMBER(Data!AB48)=FALSE,NA(),(Data!AB48))</f>
        <v>#N/A</v>
      </c>
      <c r="AK55" s="23" t="e">
        <f>IF(ISNUMBER(Data!AC48)=FALSE,NA(),(Data!AC48))</f>
        <v>#N/A</v>
      </c>
      <c r="AL55" s="23" t="e">
        <f>IF(ISNUMBER(Data!AD48)=FALSE,NA(),(Data!AD48))</f>
        <v>#N/A</v>
      </c>
      <c r="AM55" s="23" t="e">
        <f>IF(ISNUMBER(Data!AE48)=FALSE,NA(),(Data!AE48))</f>
        <v>#N/A</v>
      </c>
      <c r="AN55" s="23" t="e">
        <f>IF(ISNUMBER(Data!AF48)=FALSE,NA(),(Data!AF48))</f>
        <v>#N/A</v>
      </c>
      <c r="AO55" s="23" t="e">
        <f>IF(ISNUMBER(Data!AG48)=FALSE,NA(),(Data!AG48))</f>
        <v>#N/A</v>
      </c>
      <c r="AP55" s="24" t="e">
        <f>IF(ISNUMBER(Data!AH48)=FALSE,NA(),(Data!AH48))</f>
        <v>#N/A</v>
      </c>
    </row>
    <row r="57" spans="12:42" ht="18.75" x14ac:dyDescent="0.3">
      <c r="L57" s="3" t="s">
        <v>51</v>
      </c>
    </row>
    <row r="58" spans="12:42" ht="15" x14ac:dyDescent="0.2">
      <c r="L58" s="38" t="str">
        <f>Data!D51</f>
        <v>Term</v>
      </c>
      <c r="M58" s="39" t="str">
        <f>IF(Data!E51=0,"",(Data!E51))</f>
        <v>1 YR</v>
      </c>
      <c r="N58" s="39" t="str">
        <f>IF(Data!F51=0,"",(Data!F51))</f>
        <v>2 YR</v>
      </c>
      <c r="O58" s="39" t="str">
        <f>IF(Data!G51=0,"",(Data!G51))</f>
        <v>3 YR</v>
      </c>
      <c r="P58" s="39" t="str">
        <f>IF(Data!H51=0,"",(Data!H51))</f>
        <v>4 YR</v>
      </c>
      <c r="Q58" s="39" t="str">
        <f>IF(Data!I51=0,"",(Data!I51))</f>
        <v>5 YR</v>
      </c>
      <c r="R58" s="39" t="str">
        <f>IF(Data!J51=0,"",(Data!J51))</f>
        <v>6 YR</v>
      </c>
      <c r="S58" s="39" t="str">
        <f>IF(Data!K51=0,"",(Data!K51))</f>
        <v>7 YR</v>
      </c>
      <c r="T58" s="39" t="str">
        <f>IF(Data!L51=0,"",(Data!L51))</f>
        <v>8 YR</v>
      </c>
      <c r="U58" s="39" t="str">
        <f>IF(Data!M51=0,"",(Data!M51))</f>
        <v>9 YR</v>
      </c>
      <c r="V58" s="39" t="str">
        <f>IF(Data!N51=0,"",(Data!N51))</f>
        <v>10 YR</v>
      </c>
      <c r="W58" s="39" t="str">
        <f>IF(Data!O51=0,"",(Data!O51))</f>
        <v>15 YR</v>
      </c>
      <c r="X58" s="39" t="str">
        <f>IF(Data!P51=0,"",(Data!P51))</f>
        <v>20 YR</v>
      </c>
      <c r="Y58" s="39" t="str">
        <f>IF(Data!Q51=0,"",(Data!Q51))</f>
        <v>25 YR</v>
      </c>
      <c r="Z58" s="39" t="str">
        <f>IF(Data!R51=0,"",(Data!R51))</f>
        <v>30 YR</v>
      </c>
      <c r="AA58" s="40" t="str">
        <f>IF(Data!S51=0,"",(Data!S51))</f>
        <v/>
      </c>
    </row>
    <row r="59" spans="12:42" ht="15" x14ac:dyDescent="0.2">
      <c r="L59" s="41" t="str">
        <f>IF(Data!D52=0, "", Data!D52)</f>
        <v>1 MO</v>
      </c>
      <c r="M59" s="21">
        <f>IF(ISNUMBER(Data!E52)=FALSE,NA(),(Data!E52))</f>
        <v>30.64</v>
      </c>
      <c r="N59" s="21">
        <f>IF(ISNUMBER(Data!F52)=FALSE,NA(),(Data!F52))</f>
        <v>38.21</v>
      </c>
      <c r="O59" s="21">
        <f>IF(ISNUMBER(Data!G52)=FALSE,NA(),(Data!G52))</f>
        <v>35.08</v>
      </c>
      <c r="P59" s="21">
        <f>IF(ISNUMBER(Data!H52)=FALSE,NA(),(Data!H52))</f>
        <v>44.03</v>
      </c>
      <c r="Q59" s="21">
        <f>IF(ISNUMBER(Data!I52)=FALSE,NA(),(Data!I52))</f>
        <v>52.53</v>
      </c>
      <c r="R59" s="21">
        <f>IF(ISNUMBER(Data!J52)=FALSE,NA(),(Data!J52))</f>
        <v>51.98</v>
      </c>
      <c r="S59" s="21">
        <f>IF(ISNUMBER(Data!K52)=FALSE,NA(),(Data!K52))</f>
        <v>51.63</v>
      </c>
      <c r="T59" s="21">
        <f>IF(ISNUMBER(Data!L52)=FALSE,NA(),(Data!L52))</f>
        <v>48.8</v>
      </c>
      <c r="U59" s="21">
        <f>IF(ISNUMBER(Data!M52)=FALSE,NA(),(Data!M52))</f>
        <v>42.075000000000003</v>
      </c>
      <c r="V59" s="21">
        <f>IF(ISNUMBER(Data!N52)=FALSE,NA(),(Data!N52))</f>
        <v>41.42</v>
      </c>
      <c r="W59" s="21">
        <f>IF(ISNUMBER(Data!O52)=FALSE,NA(),(Data!O52))</f>
        <v>40.32</v>
      </c>
      <c r="X59" s="21">
        <f>IF(ISNUMBER(Data!P52)=FALSE,NA(),(Data!P52))</f>
        <v>38.82</v>
      </c>
      <c r="Y59" s="21">
        <f>IF(ISNUMBER(Data!Q52)=FALSE,NA(),(Data!Q52))</f>
        <v>37.255000000000003</v>
      </c>
      <c r="Z59" s="21">
        <f>IF(ISNUMBER(Data!R52)=FALSE,NA(),(Data!R52))</f>
        <v>36.225000000000001</v>
      </c>
      <c r="AA59" s="42" t="e">
        <f>IF(ISNUMBER(Data!S52)=FALSE,NA(),(Data!S52))</f>
        <v>#N/A</v>
      </c>
    </row>
    <row r="60" spans="12:42" ht="15" x14ac:dyDescent="0.2">
      <c r="L60" s="41" t="str">
        <f>IF(Data!D53=0, "", Data!D53)</f>
        <v>3 MO</v>
      </c>
      <c r="M60" s="19">
        <f>IF(ISNUMBER(Data!E53)=FALSE,NA(),(Data!E53))</f>
        <v>40.869999999999997</v>
      </c>
      <c r="N60" s="19">
        <f>IF(ISNUMBER(Data!F53)=FALSE,NA(),(Data!F53))</f>
        <v>48.11</v>
      </c>
      <c r="O60" s="19">
        <f>IF(ISNUMBER(Data!G53)=FALSE,NA(),(Data!G53))</f>
        <v>50.87</v>
      </c>
      <c r="P60" s="19">
        <f>IF(ISNUMBER(Data!H53)=FALSE,NA(),(Data!H53))</f>
        <v>50.765000000000001</v>
      </c>
      <c r="Q60" s="19">
        <f>IF(ISNUMBER(Data!I53)=FALSE,NA(),(Data!I53))</f>
        <v>50.48</v>
      </c>
      <c r="R60" s="19">
        <f>IF(ISNUMBER(Data!J53)=FALSE,NA(),(Data!J53))</f>
        <v>50.93</v>
      </c>
      <c r="S60" s="19">
        <f>IF(ISNUMBER(Data!K53)=FALSE,NA(),(Data!K53))</f>
        <v>51.5</v>
      </c>
      <c r="T60" s="19">
        <f>IF(ISNUMBER(Data!L53)=FALSE,NA(),(Data!L53))</f>
        <v>49.87</v>
      </c>
      <c r="U60" s="19">
        <f>IF(ISNUMBER(Data!M53)=FALSE,NA(),(Data!M53))</f>
        <v>48.475000000000001</v>
      </c>
      <c r="V60" s="19">
        <f>IF(ISNUMBER(Data!N53)=FALSE,NA(),(Data!N53))</f>
        <v>47.34</v>
      </c>
      <c r="W60" s="19">
        <f>IF(ISNUMBER(Data!O53)=FALSE,NA(),(Data!O53))</f>
        <v>42.795000000000002</v>
      </c>
      <c r="X60" s="19">
        <f>IF(ISNUMBER(Data!P53)=FALSE,NA(),(Data!P53))</f>
        <v>40.630000000000003</v>
      </c>
      <c r="Y60" s="19">
        <f>IF(ISNUMBER(Data!Q53)=FALSE,NA(),(Data!Q53))</f>
        <v>39.604999999999997</v>
      </c>
      <c r="Z60" s="19">
        <f>IF(ISNUMBER(Data!R53)=FALSE,NA(),(Data!R53))</f>
        <v>39.020000000000003</v>
      </c>
      <c r="AA60" s="43" t="e">
        <f>IF(ISNUMBER(Data!S53)=FALSE,NA(),(Data!S53))</f>
        <v>#N/A</v>
      </c>
    </row>
    <row r="61" spans="12:42" ht="15" x14ac:dyDescent="0.2">
      <c r="L61" s="41" t="str">
        <f>IF(Data!D54=0, "", Data!D54)</f>
        <v>6 MO</v>
      </c>
      <c r="M61" s="21">
        <f>IF(ISNUMBER(Data!E54)=FALSE,NA(),(Data!E54))</f>
        <v>39.56</v>
      </c>
      <c r="N61" s="21">
        <f>IF(ISNUMBER(Data!F54)=FALSE,NA(),(Data!F54))</f>
        <v>48.805</v>
      </c>
      <c r="O61" s="21">
        <f>IF(ISNUMBER(Data!G54)=FALSE,NA(),(Data!G54))</f>
        <v>48.24</v>
      </c>
      <c r="P61" s="21">
        <f>IF(ISNUMBER(Data!H54)=FALSE,NA(),(Data!H54))</f>
        <v>48.98</v>
      </c>
      <c r="Q61" s="21">
        <f>IF(ISNUMBER(Data!I54)=FALSE,NA(),(Data!I54))</f>
        <v>56.42</v>
      </c>
      <c r="R61" s="21">
        <f>IF(ISNUMBER(Data!J54)=FALSE,NA(),(Data!J54))</f>
        <v>55.8</v>
      </c>
      <c r="S61" s="21">
        <f>IF(ISNUMBER(Data!K54)=FALSE,NA(),(Data!K54))</f>
        <v>55.43</v>
      </c>
      <c r="T61" s="21">
        <f>IF(ISNUMBER(Data!L54)=FALSE,NA(),(Data!L54))</f>
        <v>52.715000000000003</v>
      </c>
      <c r="U61" s="21">
        <f>IF(ISNUMBER(Data!M54)=FALSE,NA(),(Data!M54))</f>
        <v>50.314999999999998</v>
      </c>
      <c r="V61" s="21">
        <f>IF(ISNUMBER(Data!N54)=FALSE,NA(),(Data!N54))</f>
        <v>47.59</v>
      </c>
      <c r="W61" s="21">
        <f>IF(ISNUMBER(Data!O54)=FALSE,NA(),(Data!O54))</f>
        <v>44.325000000000003</v>
      </c>
      <c r="X61" s="21">
        <f>IF(ISNUMBER(Data!P54)=FALSE,NA(),(Data!P54))</f>
        <v>42.625</v>
      </c>
      <c r="Y61" s="21">
        <f>IF(ISNUMBER(Data!Q54)=FALSE,NA(),(Data!Q54))</f>
        <v>41.604999999999997</v>
      </c>
      <c r="Z61" s="21">
        <f>IF(ISNUMBER(Data!R54)=FALSE,NA(),(Data!R54))</f>
        <v>41.034999999999997</v>
      </c>
      <c r="AA61" s="42" t="e">
        <f>IF(ISNUMBER(Data!S54)=FALSE,NA(),(Data!S54))</f>
        <v>#N/A</v>
      </c>
    </row>
    <row r="62" spans="12:42" ht="15" x14ac:dyDescent="0.2">
      <c r="L62" s="41" t="str">
        <f>IF(Data!D55=0, "", Data!D55)</f>
        <v>1 YR</v>
      </c>
      <c r="M62" s="19">
        <f>IF(ISNUMBER(Data!E55)=FALSE,NA(),(Data!E55))</f>
        <v>46.945</v>
      </c>
      <c r="N62" s="19">
        <f>IF(ISNUMBER(Data!F55)=FALSE,NA(),(Data!F55))</f>
        <v>48.34</v>
      </c>
      <c r="O62" s="19">
        <f>IF(ISNUMBER(Data!G55)=FALSE,NA(),(Data!G55))</f>
        <v>51.82</v>
      </c>
      <c r="P62" s="19">
        <f>IF(ISNUMBER(Data!H55)=FALSE,NA(),(Data!H55))</f>
        <v>53.46</v>
      </c>
      <c r="Q62" s="19">
        <f>IF(ISNUMBER(Data!I55)=FALSE,NA(),(Data!I55))</f>
        <v>56.24</v>
      </c>
      <c r="R62" s="19">
        <f>IF(ISNUMBER(Data!J55)=FALSE,NA(),(Data!J55))</f>
        <v>55.19</v>
      </c>
      <c r="S62" s="19">
        <f>IF(ISNUMBER(Data!K55)=FALSE,NA(),(Data!K55))</f>
        <v>54.45</v>
      </c>
      <c r="T62" s="19">
        <f>IF(ISNUMBER(Data!L55)=FALSE,NA(),(Data!L55))</f>
        <v>52.2</v>
      </c>
      <c r="U62" s="19">
        <f>IF(ISNUMBER(Data!M55)=FALSE,NA(),(Data!M55))</f>
        <v>51.45</v>
      </c>
      <c r="V62" s="19">
        <f>IF(ISNUMBER(Data!N55)=FALSE,NA(),(Data!N55))</f>
        <v>48.57</v>
      </c>
      <c r="W62" s="19">
        <f>IF(ISNUMBER(Data!O55)=FALSE,NA(),(Data!O55))</f>
        <v>44.414999999999999</v>
      </c>
      <c r="X62" s="19">
        <f>IF(ISNUMBER(Data!P55)=FALSE,NA(),(Data!P55))</f>
        <v>42.215000000000003</v>
      </c>
      <c r="Y62" s="19">
        <f>IF(ISNUMBER(Data!Q55)=FALSE,NA(),(Data!Q55))</f>
        <v>40.994999999999997</v>
      </c>
      <c r="Z62" s="19">
        <f>IF(ISNUMBER(Data!R55)=FALSE,NA(),(Data!R55))</f>
        <v>39.844999999999999</v>
      </c>
      <c r="AA62" s="43" t="e">
        <f>IF(ISNUMBER(Data!S55)=FALSE,NA(),(Data!S55))</f>
        <v>#N/A</v>
      </c>
    </row>
    <row r="63" spans="12:42" ht="15" x14ac:dyDescent="0.2">
      <c r="L63" s="41" t="str">
        <f>IF(Data!D56=0, "", Data!D56)</f>
        <v>2 YR</v>
      </c>
      <c r="M63" s="21">
        <f>IF(ISNUMBER(Data!E56)=FALSE,NA(),(Data!E56))</f>
        <v>56.35</v>
      </c>
      <c r="N63" s="21">
        <f>IF(ISNUMBER(Data!F56)=FALSE,NA(),(Data!F56))</f>
        <v>59.63</v>
      </c>
      <c r="O63" s="21">
        <f>IF(ISNUMBER(Data!G56)=FALSE,NA(),(Data!G56))</f>
        <v>55.56</v>
      </c>
      <c r="P63" s="21">
        <f>IF(ISNUMBER(Data!H56)=FALSE,NA(),(Data!H56))</f>
        <v>52.08</v>
      </c>
      <c r="Q63" s="21">
        <f>IF(ISNUMBER(Data!I56)=FALSE,NA(),(Data!I56))</f>
        <v>55.95</v>
      </c>
      <c r="R63" s="21">
        <f>IF(ISNUMBER(Data!J56)=FALSE,NA(),(Data!J56))</f>
        <v>48.98</v>
      </c>
      <c r="S63" s="21">
        <f>IF(ISNUMBER(Data!K56)=FALSE,NA(),(Data!K56))</f>
        <v>49.085000000000001</v>
      </c>
      <c r="T63" s="21">
        <f>IF(ISNUMBER(Data!L56)=FALSE,NA(),(Data!L56))</f>
        <v>48.55</v>
      </c>
      <c r="U63" s="21">
        <f>IF(ISNUMBER(Data!M56)=FALSE,NA(),(Data!M56))</f>
        <v>48.22</v>
      </c>
      <c r="V63" s="21">
        <f>IF(ISNUMBER(Data!N56)=FALSE,NA(),(Data!N56))</f>
        <v>47.89</v>
      </c>
      <c r="W63" s="21">
        <f>IF(ISNUMBER(Data!O56)=FALSE,NA(),(Data!O56))</f>
        <v>44.024999999999999</v>
      </c>
      <c r="X63" s="21">
        <f>IF(ISNUMBER(Data!P56)=FALSE,NA(),(Data!P56))</f>
        <v>41.53</v>
      </c>
      <c r="Y63" s="21">
        <f>IF(ISNUMBER(Data!Q56)=FALSE,NA(),(Data!Q56))</f>
        <v>39.67</v>
      </c>
      <c r="Z63" s="21">
        <f>IF(ISNUMBER(Data!R56)=FALSE,NA(),(Data!R56))</f>
        <v>39.68</v>
      </c>
      <c r="AA63" s="42" t="e">
        <f>IF(ISNUMBER(Data!S56)=FALSE,NA(),(Data!S56))</f>
        <v>#N/A</v>
      </c>
    </row>
    <row r="64" spans="12:42" ht="15" x14ac:dyDescent="0.2">
      <c r="L64" s="41" t="str">
        <f>IF(Data!D57=0, "", Data!D57)</f>
        <v>3 YR</v>
      </c>
      <c r="M64" s="19">
        <f>IF(ISNUMBER(Data!E57)=FALSE,NA(),(Data!E57))</f>
        <v>60.37</v>
      </c>
      <c r="N64" s="19">
        <f>IF(ISNUMBER(Data!F57)=FALSE,NA(),(Data!F57))</f>
        <v>57.34</v>
      </c>
      <c r="O64" s="19">
        <f>IF(ISNUMBER(Data!G57)=FALSE,NA(),(Data!G57))</f>
        <v>54.89</v>
      </c>
      <c r="P64" s="19">
        <f>IF(ISNUMBER(Data!H57)=FALSE,NA(),(Data!H57))</f>
        <v>52.77</v>
      </c>
      <c r="Q64" s="19">
        <f>IF(ISNUMBER(Data!I57)=FALSE,NA(),(Data!I57))</f>
        <v>51.055</v>
      </c>
      <c r="R64" s="19">
        <f>IF(ISNUMBER(Data!J57)=FALSE,NA(),(Data!J57))</f>
        <v>50.04</v>
      </c>
      <c r="S64" s="19">
        <f>IF(ISNUMBER(Data!K57)=FALSE,NA(),(Data!K57))</f>
        <v>49.234999999999999</v>
      </c>
      <c r="T64" s="19">
        <f>IF(ISNUMBER(Data!L57)=FALSE,NA(),(Data!L57))</f>
        <v>48.7</v>
      </c>
      <c r="U64" s="19">
        <f>IF(ISNUMBER(Data!M57)=FALSE,NA(),(Data!M57))</f>
        <v>47.48</v>
      </c>
      <c r="V64" s="19">
        <f>IF(ISNUMBER(Data!N57)=FALSE,NA(),(Data!N57))</f>
        <v>47.055</v>
      </c>
      <c r="W64" s="19">
        <f>IF(ISNUMBER(Data!O57)=FALSE,NA(),(Data!O57))</f>
        <v>43.375</v>
      </c>
      <c r="X64" s="19">
        <f>IF(ISNUMBER(Data!P57)=FALSE,NA(),(Data!P57))</f>
        <v>40.905000000000001</v>
      </c>
      <c r="Y64" s="19">
        <f>IF(ISNUMBER(Data!Q57)=FALSE,NA(),(Data!Q57))</f>
        <v>38.97</v>
      </c>
      <c r="Z64" s="19">
        <f>IF(ISNUMBER(Data!R57)=FALSE,NA(),(Data!R57))</f>
        <v>38.93</v>
      </c>
      <c r="AA64" s="43" t="e">
        <f>IF(ISNUMBER(Data!S57)=FALSE,NA(),(Data!S57))</f>
        <v>#N/A</v>
      </c>
    </row>
    <row r="65" spans="12:40" ht="15" x14ac:dyDescent="0.2">
      <c r="L65" s="41" t="str">
        <f>IF(Data!D58=0, "", Data!D58)</f>
        <v>4 YR</v>
      </c>
      <c r="M65" s="21">
        <f>IF(ISNUMBER(Data!E58)=FALSE,NA(),(Data!E58))</f>
        <v>59.15</v>
      </c>
      <c r="N65" s="21">
        <f>IF(ISNUMBER(Data!F58)=FALSE,NA(),(Data!F58))</f>
        <v>56.24</v>
      </c>
      <c r="O65" s="21">
        <f>IF(ISNUMBER(Data!G58)=FALSE,NA(),(Data!G58))</f>
        <v>53.99</v>
      </c>
      <c r="P65" s="21">
        <f>IF(ISNUMBER(Data!H58)=FALSE,NA(),(Data!H58))</f>
        <v>52.145000000000003</v>
      </c>
      <c r="Q65" s="21">
        <f>IF(ISNUMBER(Data!I58)=FALSE,NA(),(Data!I58))</f>
        <v>50.454999999999998</v>
      </c>
      <c r="R65" s="21">
        <f>IF(ISNUMBER(Data!J58)=FALSE,NA(),(Data!J58))</f>
        <v>49.27</v>
      </c>
      <c r="S65" s="21">
        <f>IF(ISNUMBER(Data!K58)=FALSE,NA(),(Data!K58))</f>
        <v>48.325000000000003</v>
      </c>
      <c r="T65" s="21">
        <f>IF(ISNUMBER(Data!L58)=FALSE,NA(),(Data!L58))</f>
        <v>47.234999999999999</v>
      </c>
      <c r="U65" s="21">
        <f>IF(ISNUMBER(Data!M58)=FALSE,NA(),(Data!M58))</f>
        <v>46.63</v>
      </c>
      <c r="V65" s="21">
        <f>IF(ISNUMBER(Data!N58)=FALSE,NA(),(Data!N58))</f>
        <v>45.924999999999997</v>
      </c>
      <c r="W65" s="21">
        <f>IF(ISNUMBER(Data!O58)=FALSE,NA(),(Data!O58))</f>
        <v>42.645000000000003</v>
      </c>
      <c r="X65" s="21">
        <f>IF(ISNUMBER(Data!P58)=FALSE,NA(),(Data!P58))</f>
        <v>40.365000000000002</v>
      </c>
      <c r="Y65" s="21">
        <f>IF(ISNUMBER(Data!Q58)=FALSE,NA(),(Data!Q58))</f>
        <v>39.555</v>
      </c>
      <c r="Z65" s="21">
        <f>IF(ISNUMBER(Data!R58)=FALSE,NA(),(Data!R58))</f>
        <v>39.134999999999998</v>
      </c>
      <c r="AA65" s="42" t="e">
        <f>IF(ISNUMBER(Data!S58)=FALSE,NA(),(Data!S58))</f>
        <v>#N/A</v>
      </c>
    </row>
    <row r="66" spans="12:40" ht="15" x14ac:dyDescent="0.2">
      <c r="L66" s="41" t="str">
        <f>IF(Data!D59=0, "", Data!D59)</f>
        <v>5 YR</v>
      </c>
      <c r="M66" s="19">
        <f>IF(ISNUMBER(Data!E59)=FALSE,NA(),(Data!E59))</f>
        <v>67.97</v>
      </c>
      <c r="N66" s="19">
        <f>IF(ISNUMBER(Data!F59)=FALSE,NA(),(Data!F59))</f>
        <v>54.534999999999997</v>
      </c>
      <c r="O66" s="19">
        <f>IF(ISNUMBER(Data!G59)=FALSE,NA(),(Data!G59))</f>
        <v>52.69</v>
      </c>
      <c r="P66" s="19">
        <f>IF(ISNUMBER(Data!H59)=FALSE,NA(),(Data!H59))</f>
        <v>50.954999999999998</v>
      </c>
      <c r="Q66" s="19">
        <f>IF(ISNUMBER(Data!I59)=FALSE,NA(),(Data!I59))</f>
        <v>49.49</v>
      </c>
      <c r="R66" s="19">
        <f>IF(ISNUMBER(Data!J59)=FALSE,NA(),(Data!J59))</f>
        <v>48.365000000000002</v>
      </c>
      <c r="S66" s="19">
        <f>IF(ISNUMBER(Data!K59)=FALSE,NA(),(Data!K59))</f>
        <v>47.18</v>
      </c>
      <c r="T66" s="19">
        <f>IF(ISNUMBER(Data!L59)=FALSE,NA(),(Data!L59))</f>
        <v>46.95</v>
      </c>
      <c r="U66" s="19">
        <f>IF(ISNUMBER(Data!M59)=FALSE,NA(),(Data!M59))</f>
        <v>45.73</v>
      </c>
      <c r="V66" s="19">
        <f>IF(ISNUMBER(Data!N59)=FALSE,NA(),(Data!N59))</f>
        <v>44.85</v>
      </c>
      <c r="W66" s="19">
        <f>IF(ISNUMBER(Data!O59)=FALSE,NA(),(Data!O59))</f>
        <v>41.935000000000002</v>
      </c>
      <c r="X66" s="19">
        <f>IF(ISNUMBER(Data!P59)=FALSE,NA(),(Data!P59))</f>
        <v>39.875</v>
      </c>
      <c r="Y66" s="19">
        <f>IF(ISNUMBER(Data!Q59)=FALSE,NA(),(Data!Q59))</f>
        <v>39.26</v>
      </c>
      <c r="Z66" s="19">
        <f>IF(ISNUMBER(Data!R59)=FALSE,NA(),(Data!R59))</f>
        <v>39.075000000000003</v>
      </c>
      <c r="AA66" s="43" t="e">
        <f>IF(ISNUMBER(Data!S59)=FALSE,NA(),(Data!S59))</f>
        <v>#N/A</v>
      </c>
    </row>
    <row r="67" spans="12:40" ht="15" x14ac:dyDescent="0.2">
      <c r="L67" s="41" t="str">
        <f>IF(Data!D60=0, "", Data!D60)</f>
        <v>7 YR</v>
      </c>
      <c r="M67" s="21">
        <f>IF(ISNUMBER(Data!E60)=FALSE,NA(),(Data!E60))</f>
        <v>50.954999999999998</v>
      </c>
      <c r="N67" s="21">
        <f>IF(ISNUMBER(Data!F60)=FALSE,NA(),(Data!F60))</f>
        <v>49.305</v>
      </c>
      <c r="O67" s="21">
        <f>IF(ISNUMBER(Data!G60)=FALSE,NA(),(Data!G60))</f>
        <v>47.954999999999998</v>
      </c>
      <c r="P67" s="21">
        <f>IF(ISNUMBER(Data!H60)=FALSE,NA(),(Data!H60))</f>
        <v>46.84</v>
      </c>
      <c r="Q67" s="21">
        <f>IF(ISNUMBER(Data!I60)=FALSE,NA(),(Data!I60))</f>
        <v>45.57</v>
      </c>
      <c r="R67" s="21">
        <f>IF(ISNUMBER(Data!J60)=FALSE,NA(),(Data!J60))</f>
        <v>44.994999999999997</v>
      </c>
      <c r="S67" s="21">
        <f>IF(ISNUMBER(Data!K60)=FALSE,NA(),(Data!K60))</f>
        <v>44.215000000000003</v>
      </c>
      <c r="T67" s="21">
        <f>IF(ISNUMBER(Data!L60)=FALSE,NA(),(Data!L60))</f>
        <v>43.284999999999997</v>
      </c>
      <c r="U67" s="21">
        <f>IF(ISNUMBER(Data!M60)=FALSE,NA(),(Data!M60))</f>
        <v>42.92</v>
      </c>
      <c r="V67" s="21">
        <f>IF(ISNUMBER(Data!N60)=FALSE,NA(),(Data!N60))</f>
        <v>42.384999999999998</v>
      </c>
      <c r="W67" s="21">
        <f>IF(ISNUMBER(Data!O60)=FALSE,NA(),(Data!O60))</f>
        <v>39.659999999999997</v>
      </c>
      <c r="X67" s="21">
        <f>IF(ISNUMBER(Data!P60)=FALSE,NA(),(Data!P60))</f>
        <v>37.36</v>
      </c>
      <c r="Y67" s="21">
        <f>IF(ISNUMBER(Data!Q60)=FALSE,NA(),(Data!Q60))</f>
        <v>35.840000000000003</v>
      </c>
      <c r="Z67" s="21">
        <f>IF(ISNUMBER(Data!R60)=FALSE,NA(),(Data!R60))</f>
        <v>36.340000000000003</v>
      </c>
      <c r="AA67" s="42" t="e">
        <f>IF(ISNUMBER(Data!S60)=FALSE,NA(),(Data!S60))</f>
        <v>#N/A</v>
      </c>
    </row>
    <row r="68" spans="12:40" ht="15" x14ac:dyDescent="0.2">
      <c r="L68" s="41" t="str">
        <f>IF(Data!D61=0, "", Data!D61)</f>
        <v>10 YR</v>
      </c>
      <c r="M68" s="19">
        <f>IF(ISNUMBER(Data!E61)=FALSE,NA(),(Data!E61))</f>
        <v>43.494999999999997</v>
      </c>
      <c r="N68" s="19">
        <f>IF(ISNUMBER(Data!F61)=FALSE,NA(),(Data!F61))</f>
        <v>41.225000000000001</v>
      </c>
      <c r="O68" s="19">
        <f>IF(ISNUMBER(Data!G61)=FALSE,NA(),(Data!G61))</f>
        <v>40.244999999999997</v>
      </c>
      <c r="P68" s="19">
        <f>IF(ISNUMBER(Data!H61)=FALSE,NA(),(Data!H61))</f>
        <v>38.784999999999997</v>
      </c>
      <c r="Q68" s="19">
        <f>IF(ISNUMBER(Data!I61)=FALSE,NA(),(Data!I61))</f>
        <v>36.884999999999998</v>
      </c>
      <c r="R68" s="19">
        <f>IF(ISNUMBER(Data!J61)=FALSE,NA(),(Data!J61))</f>
        <v>38.729999999999997</v>
      </c>
      <c r="S68" s="19">
        <f>IF(ISNUMBER(Data!K61)=FALSE,NA(),(Data!K61))</f>
        <v>36.234999999999999</v>
      </c>
      <c r="T68" s="19">
        <f>IF(ISNUMBER(Data!L61)=FALSE,NA(),(Data!L61))</f>
        <v>38.435000000000002</v>
      </c>
      <c r="U68" s="19">
        <f>IF(ISNUMBER(Data!M61)=FALSE,NA(),(Data!M61))</f>
        <v>38.755000000000003</v>
      </c>
      <c r="V68" s="19">
        <f>IF(ISNUMBER(Data!N61)=FALSE,NA(),(Data!N61))</f>
        <v>38.895000000000003</v>
      </c>
      <c r="W68" s="19">
        <f>IF(ISNUMBER(Data!O61)=FALSE,NA(),(Data!O61))</f>
        <v>36.604999999999997</v>
      </c>
      <c r="X68" s="19">
        <f>IF(ISNUMBER(Data!P61)=FALSE,NA(),(Data!P61))</f>
        <v>34.234999999999999</v>
      </c>
      <c r="Y68" s="19">
        <f>IF(ISNUMBER(Data!Q61)=FALSE,NA(),(Data!Q61))</f>
        <v>34.204999999999998</v>
      </c>
      <c r="Z68" s="19">
        <f>IF(ISNUMBER(Data!R61)=FALSE,NA(),(Data!R61))</f>
        <v>32.975000000000001</v>
      </c>
      <c r="AA68" s="43" t="e">
        <f>IF(ISNUMBER(Data!S61)=FALSE,NA(),(Data!S61))</f>
        <v>#N/A</v>
      </c>
    </row>
    <row r="69" spans="12:40" ht="15" x14ac:dyDescent="0.2">
      <c r="L69" s="41" t="str">
        <f>IF(Data!D62=0, "", Data!D62)</f>
        <v>15 YR</v>
      </c>
      <c r="M69" s="21">
        <f>IF(ISNUMBER(Data!E62)=FALSE,NA(),(Data!E62))</f>
        <v>38.880000000000003</v>
      </c>
      <c r="N69" s="21">
        <f>IF(ISNUMBER(Data!F62)=FALSE,NA(),(Data!F62))</f>
        <v>37.33</v>
      </c>
      <c r="O69" s="21">
        <f>IF(ISNUMBER(Data!G62)=FALSE,NA(),(Data!G62))</f>
        <v>36.015000000000001</v>
      </c>
      <c r="P69" s="21">
        <f>IF(ISNUMBER(Data!H62)=FALSE,NA(),(Data!H62))</f>
        <v>34.685000000000002</v>
      </c>
      <c r="Q69" s="21">
        <f>IF(ISNUMBER(Data!I62)=FALSE,NA(),(Data!I62))</f>
        <v>33.454999999999998</v>
      </c>
      <c r="R69" s="21">
        <f>IF(ISNUMBER(Data!J62)=FALSE,NA(),(Data!J62))</f>
        <v>34.56</v>
      </c>
      <c r="S69" s="21">
        <f>IF(ISNUMBER(Data!K62)=FALSE,NA(),(Data!K62))</f>
        <v>34.56</v>
      </c>
      <c r="T69" s="21">
        <f>IF(ISNUMBER(Data!L62)=FALSE,NA(),(Data!L62))</f>
        <v>34.695</v>
      </c>
      <c r="U69" s="21">
        <f>IF(ISNUMBER(Data!M62)=FALSE,NA(),(Data!M62))</f>
        <v>34.85</v>
      </c>
      <c r="V69" s="21">
        <f>IF(ISNUMBER(Data!N62)=FALSE,NA(),(Data!N62))</f>
        <v>34.965000000000003</v>
      </c>
      <c r="W69" s="21">
        <f>IF(ISNUMBER(Data!O62)=FALSE,NA(),(Data!O62))</f>
        <v>34.164999999999999</v>
      </c>
      <c r="X69" s="21">
        <f>IF(ISNUMBER(Data!P62)=FALSE,NA(),(Data!P62))</f>
        <v>32.92</v>
      </c>
      <c r="Y69" s="21">
        <f>IF(ISNUMBER(Data!Q62)=FALSE,NA(),(Data!Q62))</f>
        <v>32.085000000000001</v>
      </c>
      <c r="Z69" s="21">
        <f>IF(ISNUMBER(Data!R62)=FALSE,NA(),(Data!R62))</f>
        <v>30.55</v>
      </c>
      <c r="AA69" s="42" t="e">
        <f>IF(ISNUMBER(Data!S62)=FALSE,NA(),(Data!S62))</f>
        <v>#N/A</v>
      </c>
    </row>
    <row r="70" spans="12:40" ht="15" x14ac:dyDescent="0.2">
      <c r="L70" s="41" t="str">
        <f>IF(Data!D63=0, "", Data!D63)</f>
        <v>20 YR</v>
      </c>
      <c r="M70" s="19">
        <f>IF(ISNUMBER(Data!E63)=FALSE,NA(),(Data!E63))</f>
        <v>37.58</v>
      </c>
      <c r="N70" s="19">
        <f>IF(ISNUMBER(Data!F63)=FALSE,NA(),(Data!F63))</f>
        <v>36.33</v>
      </c>
      <c r="O70" s="19">
        <f>IF(ISNUMBER(Data!G63)=FALSE,NA(),(Data!G63))</f>
        <v>35.335000000000001</v>
      </c>
      <c r="P70" s="19">
        <f>IF(ISNUMBER(Data!H63)=FALSE,NA(),(Data!H63))</f>
        <v>34.49</v>
      </c>
      <c r="Q70" s="19">
        <f>IF(ISNUMBER(Data!I63)=FALSE,NA(),(Data!I63))</f>
        <v>32.884999999999998</v>
      </c>
      <c r="R70" s="19">
        <f>IF(ISNUMBER(Data!J63)=FALSE,NA(),(Data!J63))</f>
        <v>33.26</v>
      </c>
      <c r="S70" s="19">
        <f>IF(ISNUMBER(Data!K63)=FALSE,NA(),(Data!K63))</f>
        <v>33.35</v>
      </c>
      <c r="T70" s="19">
        <f>IF(ISNUMBER(Data!L63)=FALSE,NA(),(Data!L63))</f>
        <v>33.35</v>
      </c>
      <c r="U70" s="19">
        <f>IF(ISNUMBER(Data!M63)=FALSE,NA(),(Data!M63))</f>
        <v>33.314999999999998</v>
      </c>
      <c r="V70" s="19">
        <f>IF(ISNUMBER(Data!N63)=FALSE,NA(),(Data!N63))</f>
        <v>33.659999999999997</v>
      </c>
      <c r="W70" s="19">
        <f>IF(ISNUMBER(Data!O63)=FALSE,NA(),(Data!O63))</f>
        <v>32.799999999999997</v>
      </c>
      <c r="X70" s="19">
        <f>IF(ISNUMBER(Data!P63)=FALSE,NA(),(Data!P63))</f>
        <v>31.43</v>
      </c>
      <c r="Y70" s="19">
        <f>IF(ISNUMBER(Data!Q63)=FALSE,NA(),(Data!Q63))</f>
        <v>30.65</v>
      </c>
      <c r="Z70" s="19">
        <f>IF(ISNUMBER(Data!R63)=FALSE,NA(),(Data!R63))</f>
        <v>30.63</v>
      </c>
      <c r="AA70" s="43" t="e">
        <f>IF(ISNUMBER(Data!S63)=FALSE,NA(),(Data!S63))</f>
        <v>#N/A</v>
      </c>
    </row>
    <row r="71" spans="12:40" ht="15" x14ac:dyDescent="0.2">
      <c r="L71" s="41" t="str">
        <f>IF(Data!D64=0, "", Data!D64)</f>
        <v>25 YR</v>
      </c>
      <c r="M71" s="21">
        <f>IF(ISNUMBER(Data!E64)=FALSE,NA(),(Data!E64))</f>
        <v>37.15</v>
      </c>
      <c r="N71" s="21">
        <f>IF(ISNUMBER(Data!F64)=FALSE,NA(),(Data!F64))</f>
        <v>36.055</v>
      </c>
      <c r="O71" s="21">
        <f>IF(ISNUMBER(Data!G64)=FALSE,NA(),(Data!G64))</f>
        <v>35.375</v>
      </c>
      <c r="P71" s="21">
        <f>IF(ISNUMBER(Data!H64)=FALSE,NA(),(Data!H64))</f>
        <v>34.74</v>
      </c>
      <c r="Q71" s="21">
        <f>IF(ISNUMBER(Data!I64)=FALSE,NA(),(Data!I64))</f>
        <v>33.94</v>
      </c>
      <c r="R71" s="21">
        <f>IF(ISNUMBER(Data!J64)=FALSE,NA(),(Data!J64))</f>
        <v>34.74</v>
      </c>
      <c r="S71" s="21">
        <f>IF(ISNUMBER(Data!K64)=FALSE,NA(),(Data!K64))</f>
        <v>35.08</v>
      </c>
      <c r="T71" s="21">
        <f>IF(ISNUMBER(Data!L64)=FALSE,NA(),(Data!L64))</f>
        <v>35.25</v>
      </c>
      <c r="U71" s="21">
        <f>IF(ISNUMBER(Data!M64)=FALSE,NA(),(Data!M64))</f>
        <v>35.295000000000002</v>
      </c>
      <c r="V71" s="21">
        <f>IF(ISNUMBER(Data!N64)=FALSE,NA(),(Data!N64))</f>
        <v>35.24</v>
      </c>
      <c r="W71" s="21">
        <f>IF(ISNUMBER(Data!O64)=FALSE,NA(),(Data!O64))</f>
        <v>34.354999999999997</v>
      </c>
      <c r="X71" s="21">
        <f>IF(ISNUMBER(Data!P64)=FALSE,NA(),(Data!P64))</f>
        <v>32.99</v>
      </c>
      <c r="Y71" s="21">
        <f>IF(ISNUMBER(Data!Q64)=FALSE,NA(),(Data!Q64))</f>
        <v>32.265000000000001</v>
      </c>
      <c r="Z71" s="21">
        <f>IF(ISNUMBER(Data!R64)=FALSE,NA(),(Data!R64))</f>
        <v>31.524999999999999</v>
      </c>
      <c r="AA71" s="42" t="e">
        <f>IF(ISNUMBER(Data!S64)=FALSE,NA(),(Data!S64))</f>
        <v>#N/A</v>
      </c>
    </row>
    <row r="72" spans="12:40" ht="15" x14ac:dyDescent="0.2">
      <c r="L72" s="41" t="str">
        <f>IF(Data!D65=0, "", Data!D65)</f>
        <v>30 YR</v>
      </c>
      <c r="M72" s="19">
        <f>IF(ISNUMBER(Data!E65)=FALSE,NA(),(Data!E65))</f>
        <v>40.46</v>
      </c>
      <c r="N72" s="19">
        <f>IF(ISNUMBER(Data!F65)=FALSE,NA(),(Data!F65))</f>
        <v>39.42</v>
      </c>
      <c r="O72" s="19">
        <f>IF(ISNUMBER(Data!G65)=FALSE,NA(),(Data!G65))</f>
        <v>38.89</v>
      </c>
      <c r="P72" s="19">
        <f>IF(ISNUMBER(Data!H65)=FALSE,NA(),(Data!H65))</f>
        <v>38.44</v>
      </c>
      <c r="Q72" s="19">
        <f>IF(ISNUMBER(Data!I65)=FALSE,NA(),(Data!I65))</f>
        <v>38.04</v>
      </c>
      <c r="R72" s="19">
        <f>IF(ISNUMBER(Data!J65)=FALSE,NA(),(Data!J65))</f>
        <v>37.515000000000001</v>
      </c>
      <c r="S72" s="19">
        <f>IF(ISNUMBER(Data!K65)=FALSE,NA(),(Data!K65))</f>
        <v>36.935000000000002</v>
      </c>
      <c r="T72" s="19">
        <f>IF(ISNUMBER(Data!L65)=FALSE,NA(),(Data!L65))</f>
        <v>36.354999999999997</v>
      </c>
      <c r="U72" s="19">
        <f>IF(ISNUMBER(Data!M65)=FALSE,NA(),(Data!M65))</f>
        <v>35.795000000000002</v>
      </c>
      <c r="V72" s="19">
        <f>IF(ISNUMBER(Data!N65)=FALSE,NA(),(Data!N65))</f>
        <v>35.134999999999998</v>
      </c>
      <c r="W72" s="19">
        <f>IF(ISNUMBER(Data!O65)=FALSE,NA(),(Data!O65))</f>
        <v>35.225000000000001</v>
      </c>
      <c r="X72" s="19">
        <f>IF(ISNUMBER(Data!P65)=FALSE,NA(),(Data!P65))</f>
        <v>35.25</v>
      </c>
      <c r="Y72" s="19">
        <f>IF(ISNUMBER(Data!Q65)=FALSE,NA(),(Data!Q65))</f>
        <v>33.770000000000003</v>
      </c>
      <c r="Z72" s="19">
        <f>IF(ISNUMBER(Data!R65)=FALSE,NA(),(Data!R65))</f>
        <v>32.659999999999997</v>
      </c>
      <c r="AA72" s="43" t="e">
        <f>IF(ISNUMBER(Data!S65)=FALSE,NA(),(Data!S65))</f>
        <v>#N/A</v>
      </c>
    </row>
    <row r="73" spans="12:40" ht="15" x14ac:dyDescent="0.2">
      <c r="L73" s="41" t="str">
        <f>IF(Data!D66=0, "", Data!D66)</f>
        <v/>
      </c>
      <c r="M73" s="21" t="e">
        <f>IF(ISNUMBER(Data!E66)=FALSE,NA(),(Data!E66))</f>
        <v>#N/A</v>
      </c>
      <c r="N73" s="21" t="e">
        <f>IF(ISNUMBER(Data!F66)=FALSE,NA(),(Data!F66))</f>
        <v>#N/A</v>
      </c>
      <c r="O73" s="21" t="e">
        <f>IF(ISNUMBER(Data!G66)=FALSE,NA(),(Data!G66))</f>
        <v>#N/A</v>
      </c>
      <c r="P73" s="21" t="e">
        <f>IF(ISNUMBER(Data!H66)=FALSE,NA(),(Data!H66))</f>
        <v>#N/A</v>
      </c>
      <c r="Q73" s="21" t="e">
        <f>IF(ISNUMBER(Data!I66)=FALSE,NA(),(Data!I66))</f>
        <v>#N/A</v>
      </c>
      <c r="R73" s="21" t="e">
        <f>IF(ISNUMBER(Data!J66)=FALSE,NA(),(Data!J66))</f>
        <v>#N/A</v>
      </c>
      <c r="S73" s="21" t="e">
        <f>IF(ISNUMBER(Data!K66)=FALSE,NA(),(Data!K66))</f>
        <v>#N/A</v>
      </c>
      <c r="T73" s="21" t="e">
        <f>IF(ISNUMBER(Data!L66)=FALSE,NA(),(Data!L66))</f>
        <v>#N/A</v>
      </c>
      <c r="U73" s="21" t="e">
        <f>IF(ISNUMBER(Data!M66)=FALSE,NA(),(Data!M66))</f>
        <v>#N/A</v>
      </c>
      <c r="V73" s="21" t="e">
        <f>IF(ISNUMBER(Data!N66)=FALSE,NA(),(Data!N66))</f>
        <v>#N/A</v>
      </c>
      <c r="W73" s="21" t="e">
        <f>IF(ISNUMBER(Data!O66)=FALSE,NA(),(Data!O66))</f>
        <v>#N/A</v>
      </c>
      <c r="X73" s="21" t="e">
        <f>IF(ISNUMBER(Data!P66)=FALSE,NA(),(Data!P66))</f>
        <v>#N/A</v>
      </c>
      <c r="Y73" s="21" t="e">
        <f>IF(ISNUMBER(Data!Q66)=FALSE,NA(),(Data!Q66))</f>
        <v>#N/A</v>
      </c>
      <c r="Z73" s="21" t="e">
        <f>IF(ISNUMBER(Data!R66)=FALSE,NA(),(Data!R66))</f>
        <v>#N/A</v>
      </c>
      <c r="AA73" s="42" t="e">
        <f>IF(ISNUMBER(Data!S66)=FALSE,NA(),(Data!S66))</f>
        <v>#N/A</v>
      </c>
    </row>
    <row r="74" spans="12:40" ht="15" x14ac:dyDescent="0.2">
      <c r="L74" s="41" t="str">
        <f>IF(Data!D67=0, "", Data!D67)</f>
        <v/>
      </c>
      <c r="M74" s="19" t="e">
        <f>IF(ISNUMBER(Data!E67)=FALSE,NA(),(Data!E67))</f>
        <v>#N/A</v>
      </c>
      <c r="N74" s="19" t="e">
        <f>IF(ISNUMBER(Data!F67)=FALSE,NA(),(Data!F67))</f>
        <v>#N/A</v>
      </c>
      <c r="O74" s="19" t="e">
        <f>IF(ISNUMBER(Data!G67)=FALSE,NA(),(Data!G67))</f>
        <v>#N/A</v>
      </c>
      <c r="P74" s="19" t="e">
        <f>IF(ISNUMBER(Data!H67)=FALSE,NA(),(Data!H67))</f>
        <v>#N/A</v>
      </c>
      <c r="Q74" s="19" t="e">
        <f>IF(ISNUMBER(Data!I67)=FALSE,NA(),(Data!I67))</f>
        <v>#N/A</v>
      </c>
      <c r="R74" s="19" t="e">
        <f>IF(ISNUMBER(Data!J67)=FALSE,NA(),(Data!J67))</f>
        <v>#N/A</v>
      </c>
      <c r="S74" s="19" t="e">
        <f>IF(ISNUMBER(Data!K67)=FALSE,NA(),(Data!K67))</f>
        <v>#N/A</v>
      </c>
      <c r="T74" s="19" t="e">
        <f>IF(ISNUMBER(Data!L67)=FALSE,NA(),(Data!L67))</f>
        <v>#N/A</v>
      </c>
      <c r="U74" s="19" t="e">
        <f>IF(ISNUMBER(Data!M67)=FALSE,NA(),(Data!M67))</f>
        <v>#N/A</v>
      </c>
      <c r="V74" s="19" t="e">
        <f>IF(ISNUMBER(Data!N67)=FALSE,NA(),(Data!N67))</f>
        <v>#N/A</v>
      </c>
      <c r="W74" s="19" t="e">
        <f>IF(ISNUMBER(Data!O67)=FALSE,NA(),(Data!O67))</f>
        <v>#N/A</v>
      </c>
      <c r="X74" s="19" t="e">
        <f>IF(ISNUMBER(Data!P67)=FALSE,NA(),(Data!P67))</f>
        <v>#N/A</v>
      </c>
      <c r="Y74" s="19" t="e">
        <f>IF(ISNUMBER(Data!Q67)=FALSE,NA(),(Data!Q67))</f>
        <v>#N/A</v>
      </c>
      <c r="Z74" s="19" t="e">
        <f>IF(ISNUMBER(Data!R67)=FALSE,NA(),(Data!R67))</f>
        <v>#N/A</v>
      </c>
      <c r="AA74" s="43" t="e">
        <f>IF(ISNUMBER(Data!S67)=FALSE,NA(),(Data!S67))</f>
        <v>#N/A</v>
      </c>
    </row>
    <row r="75" spans="12:40" ht="15" x14ac:dyDescent="0.2">
      <c r="L75" s="41" t="str">
        <f>IF(Data!D68=0, "", Data!D68)</f>
        <v/>
      </c>
      <c r="M75" s="21" t="e">
        <f>IF(ISNUMBER(Data!E68)=FALSE,NA(),(Data!E68))</f>
        <v>#N/A</v>
      </c>
      <c r="N75" s="21" t="e">
        <f>IF(ISNUMBER(Data!F68)=FALSE,NA(),(Data!F68))</f>
        <v>#N/A</v>
      </c>
      <c r="O75" s="21" t="e">
        <f>IF(ISNUMBER(Data!G68)=FALSE,NA(),(Data!G68))</f>
        <v>#N/A</v>
      </c>
      <c r="P75" s="21" t="e">
        <f>IF(ISNUMBER(Data!H68)=FALSE,NA(),(Data!H68))</f>
        <v>#N/A</v>
      </c>
      <c r="Q75" s="21" t="e">
        <f>IF(ISNUMBER(Data!I68)=FALSE,NA(),(Data!I68))</f>
        <v>#N/A</v>
      </c>
      <c r="R75" s="21" t="e">
        <f>IF(ISNUMBER(Data!J68)=FALSE,NA(),(Data!J68))</f>
        <v>#N/A</v>
      </c>
      <c r="S75" s="21" t="e">
        <f>IF(ISNUMBER(Data!K68)=FALSE,NA(),(Data!K68))</f>
        <v>#N/A</v>
      </c>
      <c r="T75" s="21" t="e">
        <f>IF(ISNUMBER(Data!L68)=FALSE,NA(),(Data!L68))</f>
        <v>#N/A</v>
      </c>
      <c r="U75" s="21" t="e">
        <f>IF(ISNUMBER(Data!M68)=FALSE,NA(),(Data!M68))</f>
        <v>#N/A</v>
      </c>
      <c r="V75" s="21" t="e">
        <f>IF(ISNUMBER(Data!N68)=FALSE,NA(),(Data!N68))</f>
        <v>#N/A</v>
      </c>
      <c r="W75" s="21" t="e">
        <f>IF(ISNUMBER(Data!O68)=FALSE,NA(),(Data!O68))</f>
        <v>#N/A</v>
      </c>
      <c r="X75" s="21" t="e">
        <f>IF(ISNUMBER(Data!P68)=FALSE,NA(),(Data!P68))</f>
        <v>#N/A</v>
      </c>
      <c r="Y75" s="21" t="e">
        <f>IF(ISNUMBER(Data!Q68)=FALSE,NA(),(Data!Q68))</f>
        <v>#N/A</v>
      </c>
      <c r="Z75" s="21" t="e">
        <f>IF(ISNUMBER(Data!R68)=FALSE,NA(),(Data!R68))</f>
        <v>#N/A</v>
      </c>
      <c r="AA75" s="42" t="e">
        <f>IF(ISNUMBER(Data!S68)=FALSE,NA(),(Data!S68))</f>
        <v>#N/A</v>
      </c>
    </row>
    <row r="76" spans="12:40" ht="15" x14ac:dyDescent="0.2">
      <c r="L76" s="41" t="str">
        <f>IF(Data!D69=0, "", Data!D69)</f>
        <v/>
      </c>
      <c r="M76" s="19" t="e">
        <f>IF(ISNUMBER(Data!E69)=FALSE,NA(),(Data!E69))</f>
        <v>#N/A</v>
      </c>
      <c r="N76" s="19" t="e">
        <f>IF(ISNUMBER(Data!F69)=FALSE,NA(),(Data!F69))</f>
        <v>#N/A</v>
      </c>
      <c r="O76" s="19" t="e">
        <f>IF(ISNUMBER(Data!G69)=FALSE,NA(),(Data!G69))</f>
        <v>#N/A</v>
      </c>
      <c r="P76" s="19" t="e">
        <f>IF(ISNUMBER(Data!H69)=FALSE,NA(),(Data!H69))</f>
        <v>#N/A</v>
      </c>
      <c r="Q76" s="19" t="e">
        <f>IF(ISNUMBER(Data!I69)=FALSE,NA(),(Data!I69))</f>
        <v>#N/A</v>
      </c>
      <c r="R76" s="19" t="e">
        <f>IF(ISNUMBER(Data!J69)=FALSE,NA(),(Data!J69))</f>
        <v>#N/A</v>
      </c>
      <c r="S76" s="19" t="e">
        <f>IF(ISNUMBER(Data!K69)=FALSE,NA(),(Data!K69))</f>
        <v>#N/A</v>
      </c>
      <c r="T76" s="19" t="e">
        <f>IF(ISNUMBER(Data!L69)=FALSE,NA(),(Data!L69))</f>
        <v>#N/A</v>
      </c>
      <c r="U76" s="19" t="e">
        <f>IF(ISNUMBER(Data!M69)=FALSE,NA(),(Data!M69))</f>
        <v>#N/A</v>
      </c>
      <c r="V76" s="19" t="e">
        <f>IF(ISNUMBER(Data!N69)=FALSE,NA(),(Data!N69))</f>
        <v>#N/A</v>
      </c>
      <c r="W76" s="19" t="e">
        <f>IF(ISNUMBER(Data!O69)=FALSE,NA(),(Data!O69))</f>
        <v>#N/A</v>
      </c>
      <c r="X76" s="19" t="e">
        <f>IF(ISNUMBER(Data!P69)=FALSE,NA(),(Data!P69))</f>
        <v>#N/A</v>
      </c>
      <c r="Y76" s="19" t="e">
        <f>IF(ISNUMBER(Data!Q69)=FALSE,NA(),(Data!Q69))</f>
        <v>#N/A</v>
      </c>
      <c r="Z76" s="19" t="e">
        <f>IF(ISNUMBER(Data!R69)=FALSE,NA(),(Data!R69))</f>
        <v>#N/A</v>
      </c>
      <c r="AA76" s="43" t="e">
        <f>IF(ISNUMBER(Data!S69)=FALSE,NA(),(Data!S69))</f>
        <v>#N/A</v>
      </c>
    </row>
    <row r="77" spans="12:40" ht="15" x14ac:dyDescent="0.2">
      <c r="L77" s="44" t="str">
        <f>IF(Data!D70=0, "", Data!D70)</f>
        <v/>
      </c>
      <c r="M77" s="45" t="e">
        <f>IF(ISNUMBER(Data!E70)=FALSE,NA(),(Data!E70))</f>
        <v>#N/A</v>
      </c>
      <c r="N77" s="45" t="e">
        <f>IF(ISNUMBER(Data!F70)=FALSE,NA(),(Data!F70))</f>
        <v>#N/A</v>
      </c>
      <c r="O77" s="45" t="e">
        <f>IF(ISNUMBER(Data!G70)=FALSE,NA(),(Data!G70))</f>
        <v>#N/A</v>
      </c>
      <c r="P77" s="45" t="e">
        <f>IF(ISNUMBER(Data!H70)=FALSE,NA(),(Data!H70))</f>
        <v>#N/A</v>
      </c>
      <c r="Q77" s="45" t="e">
        <f>IF(ISNUMBER(Data!I70)=FALSE,NA(),(Data!I70))</f>
        <v>#N/A</v>
      </c>
      <c r="R77" s="45" t="e">
        <f>IF(ISNUMBER(Data!J70)=FALSE,NA(),(Data!J70))</f>
        <v>#N/A</v>
      </c>
      <c r="S77" s="45" t="e">
        <f>IF(ISNUMBER(Data!K70)=FALSE,NA(),(Data!K70))</f>
        <v>#N/A</v>
      </c>
      <c r="T77" s="45" t="e">
        <f>IF(ISNUMBER(Data!L70)=FALSE,NA(),(Data!L70))</f>
        <v>#N/A</v>
      </c>
      <c r="U77" s="45" t="e">
        <f>IF(ISNUMBER(Data!M70)=FALSE,NA(),(Data!M70))</f>
        <v>#N/A</v>
      </c>
      <c r="V77" s="45" t="e">
        <f>IF(ISNUMBER(Data!N70)=FALSE,NA(),(Data!N70))</f>
        <v>#N/A</v>
      </c>
      <c r="W77" s="45" t="e">
        <f>IF(ISNUMBER(Data!O70)=FALSE,NA(),(Data!O70))</f>
        <v>#N/A</v>
      </c>
      <c r="X77" s="45" t="e">
        <f>IF(ISNUMBER(Data!P70)=FALSE,NA(),(Data!P70))</f>
        <v>#N/A</v>
      </c>
      <c r="Y77" s="45" t="e">
        <f>IF(ISNUMBER(Data!Q70)=FALSE,NA(),(Data!Q70))</f>
        <v>#N/A</v>
      </c>
      <c r="Z77" s="45" t="e">
        <f>IF(ISNUMBER(Data!R70)=FALSE,NA(),(Data!R70))</f>
        <v>#N/A</v>
      </c>
      <c r="AA77" s="46" t="e">
        <f>IF(ISNUMBER(Data!S70)=FALSE,NA(),(Data!S70))</f>
        <v>#N/A</v>
      </c>
    </row>
    <row r="79" spans="12:40" ht="18.75" x14ac:dyDescent="0.3">
      <c r="L79" s="3" t="s">
        <v>2082</v>
      </c>
      <c r="P79" s="28" t="s">
        <v>2496</v>
      </c>
      <c r="Q79" s="29" t="s">
        <v>33</v>
      </c>
      <c r="S79" s="28" t="s">
        <v>2497</v>
      </c>
      <c r="T79" s="29" t="s">
        <v>2326</v>
      </c>
    </row>
    <row r="80" spans="12:40" ht="15" x14ac:dyDescent="0.2">
      <c r="L80" s="27" t="s">
        <v>39</v>
      </c>
      <c r="M80" s="33" t="str">
        <f>IF(Data!E75=0,"",Data!E75)</f>
        <v>1 YR</v>
      </c>
      <c r="N80" s="33" t="str">
        <f>IF(Data!F75=0,"",Data!F75)</f>
        <v>2 YR</v>
      </c>
      <c r="O80" s="33" t="str">
        <f>IF(Data!G75=0,"",Data!G75)</f>
        <v>3 YR</v>
      </c>
      <c r="P80" s="33" t="str">
        <f>IF(Data!H75=0,"",Data!H75)</f>
        <v>4 YR</v>
      </c>
      <c r="Q80" s="33" t="str">
        <f>IF(Data!I75=0,"",Data!I75)</f>
        <v>5 YR</v>
      </c>
      <c r="R80" s="33" t="str">
        <f>IF(Data!J75=0,"",Data!J75)</f>
        <v>6 YR</v>
      </c>
      <c r="S80" s="33" t="str">
        <f>IF(Data!K75=0,"",Data!K75)</f>
        <v>7 YR</v>
      </c>
      <c r="T80" s="33" t="str">
        <f>IF(Data!L75=0,"",Data!L75)</f>
        <v>8 YR</v>
      </c>
      <c r="U80" s="33" t="str">
        <f>IF(Data!M75=0,"",Data!M75)</f>
        <v>9 YR</v>
      </c>
      <c r="V80" s="33" t="str">
        <f>IF(Data!N75=0,"",Data!N75)</f>
        <v>10 YR</v>
      </c>
      <c r="W80" s="33" t="str">
        <f>IF(Data!O75=0,"",Data!O75)</f>
        <v>15 YR</v>
      </c>
      <c r="X80" s="33" t="str">
        <f>IF(Data!P75=0,"",Data!P75)</f>
        <v>20 YR</v>
      </c>
      <c r="Y80" s="33" t="str">
        <f>IF(Data!Q75=0,"",Data!Q75)</f>
        <v>25 YR</v>
      </c>
      <c r="Z80" s="34" t="str">
        <f>IF(Data!R75=0,"",Data!R75)</f>
        <v>30 YR</v>
      </c>
      <c r="AH80" s="6"/>
      <c r="AK80" s="6"/>
      <c r="AN80" s="6"/>
    </row>
    <row r="81" spans="12:40" ht="15" x14ac:dyDescent="0.2">
      <c r="L81" s="12" t="str">
        <f>IF(Data!D76=0,"",Data!D76)</f>
        <v>1 MO</v>
      </c>
      <c r="M81" s="21">
        <f>IF(ISNUMBER(Data!E76)=FALSE,NA(),(Data!E76))</f>
        <v>8</v>
      </c>
      <c r="N81" s="21">
        <f>IF(ISNUMBER(Data!F76)=FALSE,NA(),(Data!F76))</f>
        <v>20.399999999999999</v>
      </c>
      <c r="O81" s="21">
        <f>IF(ISNUMBER(Data!G76)=FALSE,NA(),(Data!G76))</f>
        <v>34.5</v>
      </c>
      <c r="P81" s="21">
        <f>IF(ISNUMBER(Data!H76)=FALSE,NA(),(Data!H76))</f>
        <v>49.6</v>
      </c>
      <c r="Q81" s="21">
        <f>IF(ISNUMBER(Data!I76)=FALSE,NA(),(Data!I76))</f>
        <v>66</v>
      </c>
      <c r="R81" s="21">
        <f>IF(ISNUMBER(Data!J76)=FALSE,NA(),(Data!J76))</f>
        <v>80.400000000000006</v>
      </c>
      <c r="S81" s="21">
        <f>IF(ISNUMBER(Data!K76)=FALSE,NA(),(Data!K76))</f>
        <v>96.5</v>
      </c>
      <c r="T81" s="21">
        <f>IF(ISNUMBER(Data!L76)=FALSE,NA(),(Data!L76))</f>
        <v>110</v>
      </c>
      <c r="U81" s="21">
        <f>IF(ISNUMBER(Data!M76)=FALSE,NA(),(Data!M76))</f>
        <v>125</v>
      </c>
      <c r="V81" s="21">
        <f>IF(ISNUMBER(Data!N76)=FALSE,NA(),(Data!N76))</f>
        <v>141</v>
      </c>
      <c r="W81" s="21">
        <f>IF(ISNUMBER(Data!O76)=FALSE,NA(),(Data!O76))</f>
        <v>207</v>
      </c>
      <c r="X81" s="21">
        <f>IF(ISNUMBER(Data!P76)=FALSE,NA(),(Data!P76))</f>
        <v>270</v>
      </c>
      <c r="Y81" s="21">
        <f>IF(ISNUMBER(Data!Q76)=FALSE,NA(),(Data!Q76))</f>
        <v>328</v>
      </c>
      <c r="Z81" s="22">
        <f>IF(ISNUMBER(Data!R76)=FALSE,NA(),(Data!R76))</f>
        <v>382</v>
      </c>
      <c r="AH81" s="6"/>
      <c r="AK81" s="6"/>
      <c r="AN81" s="6"/>
    </row>
    <row r="82" spans="12:40" ht="15" x14ac:dyDescent="0.2">
      <c r="L82" s="12" t="str">
        <f>IF(Data!D77=0,"",Data!D77)</f>
        <v>2 MO</v>
      </c>
      <c r="M82" s="19" t="e">
        <f>IF(ISNUMBER(Data!E77)=FALSE,NA(),(Data!E77))</f>
        <v>#N/A</v>
      </c>
      <c r="N82" s="19" t="e">
        <f>IF(ISNUMBER(Data!F77)=FALSE,NA(),(Data!F77))</f>
        <v>#N/A</v>
      </c>
      <c r="O82" s="19" t="e">
        <f>IF(ISNUMBER(Data!G77)=FALSE,NA(),(Data!G77))</f>
        <v>#N/A</v>
      </c>
      <c r="P82" s="19" t="e">
        <f>IF(ISNUMBER(Data!H77)=FALSE,NA(),(Data!H77))</f>
        <v>#N/A</v>
      </c>
      <c r="Q82" s="19" t="e">
        <f>IF(ISNUMBER(Data!I77)=FALSE,NA(),(Data!I77))</f>
        <v>#N/A</v>
      </c>
      <c r="R82" s="19" t="e">
        <f>IF(ISNUMBER(Data!J77)=FALSE,NA(),(Data!J77))</f>
        <v>#N/A</v>
      </c>
      <c r="S82" s="19" t="e">
        <f>IF(ISNUMBER(Data!K77)=FALSE,NA(),(Data!K77))</f>
        <v>#N/A</v>
      </c>
      <c r="T82" s="19" t="e">
        <f>IF(ISNUMBER(Data!L77)=FALSE,NA(),(Data!L77))</f>
        <v>#N/A</v>
      </c>
      <c r="U82" s="19" t="e">
        <f>IF(ISNUMBER(Data!M77)=FALSE,NA(),(Data!M77))</f>
        <v>#N/A</v>
      </c>
      <c r="V82" s="19" t="e">
        <f>IF(ISNUMBER(Data!N77)=FALSE,NA(),(Data!N77))</f>
        <v>#N/A</v>
      </c>
      <c r="W82" s="19" t="e">
        <f>IF(ISNUMBER(Data!O77)=FALSE,NA(),(Data!O77))</f>
        <v>#N/A</v>
      </c>
      <c r="X82" s="19" t="e">
        <f>IF(ISNUMBER(Data!P77)=FALSE,NA(),(Data!P77))</f>
        <v>#N/A</v>
      </c>
      <c r="Y82" s="19" t="e">
        <f>IF(ISNUMBER(Data!Q77)=FALSE,NA(),(Data!Q77))</f>
        <v>#N/A</v>
      </c>
      <c r="Z82" s="20" t="e">
        <f>IF(ISNUMBER(Data!R77)=FALSE,NA(),(Data!R77))</f>
        <v>#N/A</v>
      </c>
      <c r="AH82" s="6"/>
      <c r="AK82" s="6"/>
      <c r="AN82" s="6"/>
    </row>
    <row r="83" spans="12:40" ht="15" x14ac:dyDescent="0.2">
      <c r="L83" s="12" t="str">
        <f>IF(Data!D78=0,"",Data!D78)</f>
        <v>3 MO</v>
      </c>
      <c r="M83" s="21">
        <f>IF(ISNUMBER(Data!E78)=FALSE,NA(),(Data!E78))</f>
        <v>15.3</v>
      </c>
      <c r="N83" s="21">
        <f>IF(ISNUMBER(Data!F78)=FALSE,NA(),(Data!F78))</f>
        <v>38.9</v>
      </c>
      <c r="O83" s="21">
        <f>IF(ISNUMBER(Data!G78)=FALSE,NA(),(Data!G78))</f>
        <v>67.900000000000006</v>
      </c>
      <c r="P83" s="21">
        <f>IF(ISNUMBER(Data!H78)=FALSE,NA(),(Data!H78))</f>
        <v>96</v>
      </c>
      <c r="Q83" s="21">
        <f>IF(ISNUMBER(Data!I78)=FALSE,NA(),(Data!I78))</f>
        <v>126</v>
      </c>
      <c r="R83" s="21">
        <f>IF(ISNUMBER(Data!J78)=FALSE,NA(),(Data!J78))</f>
        <v>153</v>
      </c>
      <c r="S83" s="21">
        <f>IF(ISNUMBER(Data!K78)=FALSE,NA(),(Data!K78))</f>
        <v>182</v>
      </c>
      <c r="T83" s="21">
        <f>IF(ISNUMBER(Data!L78)=FALSE,NA(),(Data!L78))</f>
        <v>209</v>
      </c>
      <c r="U83" s="21">
        <f>IF(ISNUMBER(Data!M78)=FALSE,NA(),(Data!M78))</f>
        <v>237</v>
      </c>
      <c r="V83" s="21">
        <f>IF(ISNUMBER(Data!N78)=FALSE,NA(),(Data!N78))</f>
        <v>264</v>
      </c>
      <c r="W83" s="21">
        <f>IF(ISNUMBER(Data!O78)=FALSE,NA(),(Data!O78))</f>
        <v>384</v>
      </c>
      <c r="X83" s="21">
        <f>IF(ISNUMBER(Data!P78)=FALSE,NA(),(Data!P78))</f>
        <v>496</v>
      </c>
      <c r="Y83" s="21">
        <f>IF(ISNUMBER(Data!Q78)=FALSE,NA(),(Data!Q78))</f>
        <v>602</v>
      </c>
      <c r="Z83" s="22">
        <f>IF(ISNUMBER(Data!R78)=FALSE,NA(),(Data!R78))</f>
        <v>698</v>
      </c>
      <c r="AH83" s="6"/>
      <c r="AK83" s="6"/>
      <c r="AN83" s="6"/>
    </row>
    <row r="84" spans="12:40" ht="15" x14ac:dyDescent="0.2">
      <c r="L84" s="12" t="str">
        <f>IF(Data!D79=0,"",Data!D79)</f>
        <v>6 MO</v>
      </c>
      <c r="M84" s="19">
        <f>IF(ISNUMBER(Data!E79)=FALSE,NA(),(Data!E79))</f>
        <v>24.5</v>
      </c>
      <c r="N84" s="19">
        <f>IF(ISNUMBER(Data!F79)=FALSE,NA(),(Data!F79))</f>
        <v>58.5</v>
      </c>
      <c r="O84" s="19">
        <f>IF(ISNUMBER(Data!G79)=FALSE,NA(),(Data!G79))</f>
        <v>101</v>
      </c>
      <c r="P84" s="19">
        <f>IF(ISNUMBER(Data!H79)=FALSE,NA(),(Data!H79))</f>
        <v>143</v>
      </c>
      <c r="Q84" s="19">
        <f>IF(ISNUMBER(Data!I79)=FALSE,NA(),(Data!I79))</f>
        <v>185</v>
      </c>
      <c r="R84" s="19">
        <f>IF(ISNUMBER(Data!J79)=FALSE,NA(),(Data!J79))</f>
        <v>225</v>
      </c>
      <c r="S84" s="19">
        <f>IF(ISNUMBER(Data!K79)=FALSE,NA(),(Data!K79))</f>
        <v>266</v>
      </c>
      <c r="T84" s="19">
        <f>IF(ISNUMBER(Data!L79)=FALSE,NA(),(Data!L79))</f>
        <v>305</v>
      </c>
      <c r="U84" s="19">
        <f>IF(ISNUMBER(Data!M79)=FALSE,NA(),(Data!M79))</f>
        <v>345</v>
      </c>
      <c r="V84" s="19">
        <f>IF(ISNUMBER(Data!N79)=FALSE,NA(),(Data!N79))</f>
        <v>384</v>
      </c>
      <c r="W84" s="19">
        <f>IF(ISNUMBER(Data!O79)=FALSE,NA(),(Data!O79))</f>
        <v>557</v>
      </c>
      <c r="X84" s="19">
        <f>IF(ISNUMBER(Data!P79)=FALSE,NA(),(Data!P79))</f>
        <v>718</v>
      </c>
      <c r="Y84" s="19">
        <f>IF(ISNUMBER(Data!Q79)=FALSE,NA(),(Data!Q79))</f>
        <v>865</v>
      </c>
      <c r="Z84" s="20">
        <f>IF(ISNUMBER(Data!R79)=FALSE,NA(),(Data!R79))</f>
        <v>1000</v>
      </c>
      <c r="AH84" s="6"/>
      <c r="AK84" s="6"/>
      <c r="AN84" s="6"/>
    </row>
    <row r="85" spans="12:40" ht="15" x14ac:dyDescent="0.2">
      <c r="L85" s="12" t="str">
        <f>IF(Data!D80=0,"",Data!D80)</f>
        <v>9 MO</v>
      </c>
      <c r="M85" s="21" t="e">
        <f>IF(ISNUMBER(Data!E80)=FALSE,NA(),(Data!E80))</f>
        <v>#N/A</v>
      </c>
      <c r="N85" s="21" t="e">
        <f>IF(ISNUMBER(Data!F80)=FALSE,NA(),(Data!F80))</f>
        <v>#N/A</v>
      </c>
      <c r="O85" s="21" t="e">
        <f>IF(ISNUMBER(Data!G80)=FALSE,NA(),(Data!G80))</f>
        <v>#N/A</v>
      </c>
      <c r="P85" s="21" t="e">
        <f>IF(ISNUMBER(Data!H80)=FALSE,NA(),(Data!H80))</f>
        <v>#N/A</v>
      </c>
      <c r="Q85" s="21" t="e">
        <f>IF(ISNUMBER(Data!I80)=FALSE,NA(),(Data!I80))</f>
        <v>#N/A</v>
      </c>
      <c r="R85" s="21" t="e">
        <f>IF(ISNUMBER(Data!J80)=FALSE,NA(),(Data!J80))</f>
        <v>#N/A</v>
      </c>
      <c r="S85" s="21" t="e">
        <f>IF(ISNUMBER(Data!K80)=FALSE,NA(),(Data!K80))</f>
        <v>#N/A</v>
      </c>
      <c r="T85" s="21" t="e">
        <f>IF(ISNUMBER(Data!L80)=FALSE,NA(),(Data!L80))</f>
        <v>#N/A</v>
      </c>
      <c r="U85" s="21" t="e">
        <f>IF(ISNUMBER(Data!M80)=FALSE,NA(),(Data!M80))</f>
        <v>#N/A</v>
      </c>
      <c r="V85" s="21" t="e">
        <f>IF(ISNUMBER(Data!N80)=FALSE,NA(),(Data!N80))</f>
        <v>#N/A</v>
      </c>
      <c r="W85" s="21" t="e">
        <f>IF(ISNUMBER(Data!O80)=FALSE,NA(),(Data!O80))</f>
        <v>#N/A</v>
      </c>
      <c r="X85" s="21" t="e">
        <f>IF(ISNUMBER(Data!P80)=FALSE,NA(),(Data!P80))</f>
        <v>#N/A</v>
      </c>
      <c r="Y85" s="21" t="e">
        <f>IF(ISNUMBER(Data!Q80)=FALSE,NA(),(Data!Q80))</f>
        <v>#N/A</v>
      </c>
      <c r="Z85" s="22" t="e">
        <f>IF(ISNUMBER(Data!R80)=FALSE,NA(),(Data!R80))</f>
        <v>#N/A</v>
      </c>
      <c r="AH85" s="6"/>
      <c r="AK85" s="6"/>
      <c r="AN85" s="6"/>
    </row>
    <row r="86" spans="12:40" ht="15" x14ac:dyDescent="0.2">
      <c r="L86" s="12" t="str">
        <f>IF(Data!D81=0,"",Data!D81)</f>
        <v>1 YR</v>
      </c>
      <c r="M86" s="19">
        <f>IF(ISNUMBER(Data!E81)=FALSE,NA(),(Data!E81))</f>
        <v>40.6</v>
      </c>
      <c r="N86" s="19">
        <f>IF(ISNUMBER(Data!F81)=FALSE,NA(),(Data!F81))</f>
        <v>93.4</v>
      </c>
      <c r="O86" s="19">
        <f>IF(ISNUMBER(Data!G81)=FALSE,NA(),(Data!G81))</f>
        <v>153</v>
      </c>
      <c r="P86" s="19">
        <f>IF(ISNUMBER(Data!H81)=FALSE,NA(),(Data!H81))</f>
        <v>213</v>
      </c>
      <c r="Q86" s="19">
        <f>IF(ISNUMBER(Data!I81)=FALSE,NA(),(Data!I81))</f>
        <v>274</v>
      </c>
      <c r="R86" s="19">
        <f>IF(ISNUMBER(Data!J81)=FALSE,NA(),(Data!J81))</f>
        <v>333</v>
      </c>
      <c r="S86" s="19">
        <f>IF(ISNUMBER(Data!K81)=FALSE,NA(),(Data!K81))</f>
        <v>393</v>
      </c>
      <c r="T86" s="19">
        <f>IF(ISNUMBER(Data!L81)=FALSE,NA(),(Data!L81))</f>
        <v>450</v>
      </c>
      <c r="U86" s="19">
        <f>IF(ISNUMBER(Data!M81)=FALSE,NA(),(Data!M81))</f>
        <v>508</v>
      </c>
      <c r="V86" s="19">
        <f>IF(ISNUMBER(Data!N81)=FALSE,NA(),(Data!N81))</f>
        <v>565</v>
      </c>
      <c r="W86" s="19">
        <f>IF(ISNUMBER(Data!O81)=FALSE,NA(),(Data!O81))</f>
        <v>814</v>
      </c>
      <c r="X86" s="19">
        <f>IF(ISNUMBER(Data!P81)=FALSE,NA(),(Data!P81))</f>
        <v>1039</v>
      </c>
      <c r="Y86" s="19">
        <f>IF(ISNUMBER(Data!Q81)=FALSE,NA(),(Data!Q81))</f>
        <v>1247</v>
      </c>
      <c r="Z86" s="20">
        <f>IF(ISNUMBER(Data!R81)=FALSE,NA(),(Data!R81))</f>
        <v>1438</v>
      </c>
      <c r="AH86" s="6"/>
      <c r="AK86" s="6"/>
      <c r="AN86" s="6"/>
    </row>
    <row r="87" spans="12:40" ht="15" x14ac:dyDescent="0.2">
      <c r="L87" s="12" t="str">
        <f>IF(Data!D82=0,"",Data!D82)</f>
        <v>18MO</v>
      </c>
      <c r="M87" s="21" t="e">
        <f>IF(ISNUMBER(Data!E82)=FALSE,NA(),(Data!E82))</f>
        <v>#N/A</v>
      </c>
      <c r="N87" s="21" t="e">
        <f>IF(ISNUMBER(Data!F82)=FALSE,NA(),(Data!F82))</f>
        <v>#N/A</v>
      </c>
      <c r="O87" s="21" t="e">
        <f>IF(ISNUMBER(Data!G82)=FALSE,NA(),(Data!G82))</f>
        <v>#N/A</v>
      </c>
      <c r="P87" s="21" t="e">
        <f>IF(ISNUMBER(Data!H82)=FALSE,NA(),(Data!H82))</f>
        <v>#N/A</v>
      </c>
      <c r="Q87" s="21" t="e">
        <f>IF(ISNUMBER(Data!I82)=FALSE,NA(),(Data!I82))</f>
        <v>#N/A</v>
      </c>
      <c r="R87" s="21" t="e">
        <f>IF(ISNUMBER(Data!J82)=FALSE,NA(),(Data!J82))</f>
        <v>#N/A</v>
      </c>
      <c r="S87" s="21" t="e">
        <f>IF(ISNUMBER(Data!K82)=FALSE,NA(),(Data!K82))</f>
        <v>#N/A</v>
      </c>
      <c r="T87" s="21" t="e">
        <f>IF(ISNUMBER(Data!L82)=FALSE,NA(),(Data!L82))</f>
        <v>#N/A</v>
      </c>
      <c r="U87" s="21" t="e">
        <f>IF(ISNUMBER(Data!M82)=FALSE,NA(),(Data!M82))</f>
        <v>#N/A</v>
      </c>
      <c r="V87" s="21" t="e">
        <f>IF(ISNUMBER(Data!N82)=FALSE,NA(),(Data!N82))</f>
        <v>#N/A</v>
      </c>
      <c r="W87" s="21" t="e">
        <f>IF(ISNUMBER(Data!O82)=FALSE,NA(),(Data!O82))</f>
        <v>#N/A</v>
      </c>
      <c r="X87" s="21" t="e">
        <f>IF(ISNUMBER(Data!P82)=FALSE,NA(),(Data!P82))</f>
        <v>#N/A</v>
      </c>
      <c r="Y87" s="21" t="e">
        <f>IF(ISNUMBER(Data!Q82)=FALSE,NA(),(Data!Q82))</f>
        <v>#N/A</v>
      </c>
      <c r="Z87" s="22" t="e">
        <f>IF(ISNUMBER(Data!R82)=FALSE,NA(),(Data!R82))</f>
        <v>#N/A</v>
      </c>
      <c r="AH87" s="6"/>
      <c r="AK87" s="6"/>
      <c r="AN87" s="6"/>
    </row>
    <row r="88" spans="12:40" ht="15" x14ac:dyDescent="0.2">
      <c r="L88" s="12" t="str">
        <f>IF(Data!D83=0,"",Data!D83)</f>
        <v>2 YR</v>
      </c>
      <c r="M88" s="19">
        <f>IF(ISNUMBER(Data!E83)=FALSE,NA(),(Data!E83))</f>
        <v>70.599999999999994</v>
      </c>
      <c r="N88" s="19">
        <f>IF(ISNUMBER(Data!F83)=FALSE,NA(),(Data!F83))</f>
        <v>151</v>
      </c>
      <c r="O88" s="19">
        <f>IF(ISNUMBER(Data!G83)=FALSE,NA(),(Data!G83))</f>
        <v>234</v>
      </c>
      <c r="P88" s="19">
        <f>IF(ISNUMBER(Data!H83)=FALSE,NA(),(Data!H83))</f>
        <v>320</v>
      </c>
      <c r="Q88" s="19">
        <f>IF(ISNUMBER(Data!I83)=FALSE,NA(),(Data!I83))</f>
        <v>405</v>
      </c>
      <c r="R88" s="19">
        <f>IF(ISNUMBER(Data!J83)=FALSE,NA(),(Data!J83))</f>
        <v>489</v>
      </c>
      <c r="S88" s="19">
        <f>IF(ISNUMBER(Data!K83)=FALSE,NA(),(Data!K83))</f>
        <v>575</v>
      </c>
      <c r="T88" s="19">
        <f>IF(ISNUMBER(Data!L83)=FALSE,NA(),(Data!L83))</f>
        <v>658</v>
      </c>
      <c r="U88" s="19">
        <f>IF(ISNUMBER(Data!M83)=FALSE,NA(),(Data!M83))</f>
        <v>740</v>
      </c>
      <c r="V88" s="19">
        <f>IF(ISNUMBER(Data!N83)=FALSE,NA(),(Data!N83))</f>
        <v>822</v>
      </c>
      <c r="W88" s="19">
        <f>IF(ISNUMBER(Data!O83)=FALSE,NA(),(Data!O83))</f>
        <v>1171</v>
      </c>
      <c r="X88" s="19">
        <f>IF(ISNUMBER(Data!P83)=FALSE,NA(),(Data!P83))</f>
        <v>1478</v>
      </c>
      <c r="Y88" s="19">
        <f>IF(ISNUMBER(Data!Q83)=FALSE,NA(),(Data!Q83))</f>
        <v>1766</v>
      </c>
      <c r="Z88" s="20">
        <f>IF(ISNUMBER(Data!R83)=FALSE,NA(),(Data!R83))</f>
        <v>2031</v>
      </c>
      <c r="AH88" s="6"/>
      <c r="AK88" s="6"/>
      <c r="AN88" s="6"/>
    </row>
    <row r="89" spans="12:40" ht="15" x14ac:dyDescent="0.2">
      <c r="L89" s="12" t="str">
        <f>IF(Data!D84=0,"",Data!D84)</f>
        <v>3 YR</v>
      </c>
      <c r="M89" s="21">
        <f>IF(ISNUMBER(Data!E84)=FALSE,NA(),(Data!E84))</f>
        <v>98.5</v>
      </c>
      <c r="N89" s="21">
        <f>IF(ISNUMBER(Data!F84)=FALSE,NA(),(Data!F84))</f>
        <v>200</v>
      </c>
      <c r="O89" s="21">
        <f>IF(ISNUMBER(Data!G84)=FALSE,NA(),(Data!G84))</f>
        <v>303</v>
      </c>
      <c r="P89" s="21">
        <f>IF(ISNUMBER(Data!H84)=FALSE,NA(),(Data!H84))</f>
        <v>406</v>
      </c>
      <c r="Q89" s="21">
        <f>IF(ISNUMBER(Data!I84)=FALSE,NA(),(Data!I84))</f>
        <v>511</v>
      </c>
      <c r="R89" s="21">
        <f>IF(ISNUMBER(Data!J84)=FALSE,NA(),(Data!J84))</f>
        <v>612</v>
      </c>
      <c r="S89" s="21">
        <f>IF(ISNUMBER(Data!K84)=FALSE,NA(),(Data!K84))</f>
        <v>713</v>
      </c>
      <c r="T89" s="21">
        <f>IF(ISNUMBER(Data!L84)=FALSE,NA(),(Data!L84))</f>
        <v>814</v>
      </c>
      <c r="U89" s="21">
        <f>IF(ISNUMBER(Data!M84)=FALSE,NA(),(Data!M84))</f>
        <v>914</v>
      </c>
      <c r="V89" s="21">
        <f>IF(ISNUMBER(Data!N84)=FALSE,NA(),(Data!N84))</f>
        <v>1013</v>
      </c>
      <c r="W89" s="21">
        <f>IF(ISNUMBER(Data!O84)=FALSE,NA(),(Data!O84))</f>
        <v>1424</v>
      </c>
      <c r="X89" s="21">
        <f>IF(ISNUMBER(Data!P84)=FALSE,NA(),(Data!P84))</f>
        <v>1783</v>
      </c>
      <c r="Y89" s="21">
        <f>IF(ISNUMBER(Data!Q84)=FALSE,NA(),(Data!Q84))</f>
        <v>2122</v>
      </c>
      <c r="Z89" s="22">
        <f>IF(ISNUMBER(Data!R84)=FALSE,NA(),(Data!R84))</f>
        <v>2436</v>
      </c>
      <c r="AH89" s="6"/>
      <c r="AK89" s="6"/>
      <c r="AN89" s="6"/>
    </row>
    <row r="90" spans="12:40" ht="15" x14ac:dyDescent="0.2">
      <c r="L90" s="12" t="str">
        <f>IF(Data!D85=0,"",Data!D85)</f>
        <v>4 YR</v>
      </c>
      <c r="M90" s="19">
        <f>IF(ISNUMBER(Data!E85)=FALSE,NA(),(Data!E85))</f>
        <v>122</v>
      </c>
      <c r="N90" s="19">
        <f>IF(ISNUMBER(Data!F85)=FALSE,NA(),(Data!F85))</f>
        <v>244</v>
      </c>
      <c r="O90" s="19">
        <f>IF(ISNUMBER(Data!G85)=FALSE,NA(),(Data!G85))</f>
        <v>364</v>
      </c>
      <c r="P90" s="19">
        <f>IF(ISNUMBER(Data!H85)=FALSE,NA(),(Data!H85))</f>
        <v>483</v>
      </c>
      <c r="Q90" s="19">
        <f>IF(ISNUMBER(Data!I85)=FALSE,NA(),(Data!I85))</f>
        <v>601</v>
      </c>
      <c r="R90" s="19">
        <f>IF(ISNUMBER(Data!J85)=FALSE,NA(),(Data!J85))</f>
        <v>718</v>
      </c>
      <c r="S90" s="19">
        <f>IF(ISNUMBER(Data!K85)=FALSE,NA(),(Data!K85))</f>
        <v>834</v>
      </c>
      <c r="T90" s="19">
        <f>IF(ISNUMBER(Data!L85)=FALSE,NA(),(Data!L85))</f>
        <v>947</v>
      </c>
      <c r="U90" s="19">
        <f>IF(ISNUMBER(Data!M85)=FALSE,NA(),(Data!M85))</f>
        <v>1059</v>
      </c>
      <c r="V90" s="19">
        <f>IF(ISNUMBER(Data!N85)=FALSE,NA(),(Data!N85))</f>
        <v>1170</v>
      </c>
      <c r="W90" s="19">
        <f>IF(ISNUMBER(Data!O85)=FALSE,NA(),(Data!O85))</f>
        <v>1619</v>
      </c>
      <c r="X90" s="19">
        <f>IF(ISNUMBER(Data!P85)=FALSE,NA(),(Data!P85))</f>
        <v>2016</v>
      </c>
      <c r="Y90" s="19">
        <f>IF(ISNUMBER(Data!Q85)=FALSE,NA(),(Data!Q85))</f>
        <v>2392</v>
      </c>
      <c r="Z90" s="20">
        <f>IF(ISNUMBER(Data!R85)=FALSE,NA(),(Data!R85))</f>
        <v>2740</v>
      </c>
      <c r="AH90" s="6"/>
      <c r="AK90" s="6"/>
      <c r="AN90" s="6"/>
    </row>
    <row r="91" spans="12:40" ht="15" x14ac:dyDescent="0.2">
      <c r="L91" s="12" t="str">
        <f>IF(Data!D86=0,"",Data!D86)</f>
        <v>5 YR</v>
      </c>
      <c r="M91" s="21">
        <f>IF(ISNUMBER(Data!E86)=FALSE,NA(),(Data!E86))</f>
        <v>139</v>
      </c>
      <c r="N91" s="21">
        <f>IF(ISNUMBER(Data!F86)=FALSE,NA(),(Data!F86))</f>
        <v>278</v>
      </c>
      <c r="O91" s="21">
        <f>IF(ISNUMBER(Data!G86)=FALSE,NA(),(Data!G86))</f>
        <v>415</v>
      </c>
      <c r="P91" s="21">
        <f>IF(ISNUMBER(Data!H86)=FALSE,NA(),(Data!H86))</f>
        <v>549</v>
      </c>
      <c r="Q91" s="21">
        <f>IF(ISNUMBER(Data!I86)=FALSE,NA(),(Data!I86))</f>
        <v>681</v>
      </c>
      <c r="R91" s="21">
        <f>IF(ISNUMBER(Data!J86)=FALSE,NA(),(Data!J86))</f>
        <v>809</v>
      </c>
      <c r="S91" s="21">
        <f>IF(ISNUMBER(Data!K86)=FALSE,NA(),(Data!K86))</f>
        <v>936</v>
      </c>
      <c r="T91" s="21">
        <f>IF(ISNUMBER(Data!L86)=FALSE,NA(),(Data!L86))</f>
        <v>1060</v>
      </c>
      <c r="U91" s="21">
        <f>IF(ISNUMBER(Data!M86)=FALSE,NA(),(Data!M86))</f>
        <v>1183</v>
      </c>
      <c r="V91" s="21">
        <f>IF(ISNUMBER(Data!N86)=FALSE,NA(),(Data!N86))</f>
        <v>1303</v>
      </c>
      <c r="W91" s="21">
        <f>IF(ISNUMBER(Data!O86)=FALSE,NA(),(Data!O86))</f>
        <v>1781</v>
      </c>
      <c r="X91" s="21">
        <f>IF(ISNUMBER(Data!P86)=FALSE,NA(),(Data!P86))</f>
        <v>2202</v>
      </c>
      <c r="Y91" s="21">
        <f>IF(ISNUMBER(Data!Q86)=FALSE,NA(),(Data!Q86))</f>
        <v>2610</v>
      </c>
      <c r="Z91" s="22">
        <f>IF(ISNUMBER(Data!R86)=FALSE,NA(),(Data!R86))</f>
        <v>2985</v>
      </c>
      <c r="AH91" s="6"/>
      <c r="AK91" s="6"/>
      <c r="AN91" s="6"/>
    </row>
    <row r="92" spans="12:40" ht="15" x14ac:dyDescent="0.2">
      <c r="L92" s="12" t="str">
        <f>IF(Data!D87=0,"",Data!D87)</f>
        <v>7 YR</v>
      </c>
      <c r="M92" s="19">
        <f>IF(ISNUMBER(Data!E87)=FALSE,NA(),(Data!E87))</f>
        <v>168</v>
      </c>
      <c r="N92" s="19">
        <f>IF(ISNUMBER(Data!F87)=FALSE,NA(),(Data!F87))</f>
        <v>331</v>
      </c>
      <c r="O92" s="19">
        <f>IF(ISNUMBER(Data!G87)=FALSE,NA(),(Data!G87))</f>
        <v>490</v>
      </c>
      <c r="P92" s="19">
        <f>IF(ISNUMBER(Data!H87)=FALSE,NA(),(Data!H87))</f>
        <v>647</v>
      </c>
      <c r="Q92" s="19">
        <f>IF(ISNUMBER(Data!I87)=FALSE,NA(),(Data!I87))</f>
        <v>800</v>
      </c>
      <c r="R92" s="19">
        <f>IF(ISNUMBER(Data!J87)=FALSE,NA(),(Data!J87))</f>
        <v>947</v>
      </c>
      <c r="S92" s="19">
        <f>IF(ISNUMBER(Data!K87)=FALSE,NA(),(Data!K87))</f>
        <v>1092</v>
      </c>
      <c r="T92" s="19">
        <f>IF(ISNUMBER(Data!L87)=FALSE,NA(),(Data!L87))</f>
        <v>1231</v>
      </c>
      <c r="U92" s="19">
        <f>IF(ISNUMBER(Data!M87)=FALSE,NA(),(Data!M87))</f>
        <v>1365</v>
      </c>
      <c r="V92" s="19">
        <f>IF(ISNUMBER(Data!N87)=FALSE,NA(),(Data!N87))</f>
        <v>1497</v>
      </c>
      <c r="W92" s="19">
        <f>IF(ISNUMBER(Data!O87)=FALSE,NA(),(Data!O87))</f>
        <v>2022</v>
      </c>
      <c r="X92" s="19">
        <f>IF(ISNUMBER(Data!P87)=FALSE,NA(),(Data!P87))</f>
        <v>2488</v>
      </c>
      <c r="Y92" s="19">
        <f>IF(ISNUMBER(Data!Q87)=FALSE,NA(),(Data!Q87))</f>
        <v>2948</v>
      </c>
      <c r="Z92" s="20">
        <f>IF(ISNUMBER(Data!R87)=FALSE,NA(),(Data!R87))</f>
        <v>3367</v>
      </c>
      <c r="AH92" s="6"/>
      <c r="AK92" s="6"/>
      <c r="AN92" s="6"/>
    </row>
    <row r="93" spans="12:40" ht="15" x14ac:dyDescent="0.2">
      <c r="L93" s="12" t="str">
        <f>IF(Data!D88=0,"",Data!D88)</f>
        <v>10 YR</v>
      </c>
      <c r="M93" s="21">
        <f>IF(ISNUMBER(Data!E88)=FALSE,NA(),(Data!E88))</f>
        <v>193</v>
      </c>
      <c r="N93" s="21">
        <f>IF(ISNUMBER(Data!F88)=FALSE,NA(),(Data!F88))</f>
        <v>379</v>
      </c>
      <c r="O93" s="21">
        <f>IF(ISNUMBER(Data!G88)=FALSE,NA(),(Data!G88))</f>
        <v>562</v>
      </c>
      <c r="P93" s="21">
        <f>IF(ISNUMBER(Data!H88)=FALSE,NA(),(Data!H88))</f>
        <v>740</v>
      </c>
      <c r="Q93" s="21">
        <f>IF(ISNUMBER(Data!I88)=FALSE,NA(),(Data!I88))</f>
        <v>914</v>
      </c>
      <c r="R93" s="21">
        <f>IF(ISNUMBER(Data!J88)=FALSE,NA(),(Data!J88))</f>
        <v>1082</v>
      </c>
      <c r="S93" s="21">
        <f>IF(ISNUMBER(Data!K88)=FALSE,NA(),(Data!K88))</f>
        <v>1242</v>
      </c>
      <c r="T93" s="21">
        <f>IF(ISNUMBER(Data!L88)=FALSE,NA(),(Data!L88))</f>
        <v>1396</v>
      </c>
      <c r="U93" s="21">
        <f>IF(ISNUMBER(Data!M88)=FALSE,NA(),(Data!M88))</f>
        <v>1544</v>
      </c>
      <c r="V93" s="21">
        <f>IF(ISNUMBER(Data!N88)=FALSE,NA(),(Data!N88))</f>
        <v>1688</v>
      </c>
      <c r="W93" s="21" t="e">
        <f>IF(ISNUMBER(Data!O88)=FALSE,NA(),(Data!O88))</f>
        <v>#N/A</v>
      </c>
      <c r="X93" s="21" t="e">
        <f>IF(ISNUMBER(Data!P88)=FALSE,NA(),(Data!P88))</f>
        <v>#N/A</v>
      </c>
      <c r="Y93" s="21" t="e">
        <f>IF(ISNUMBER(Data!Q88)=FALSE,NA(),(Data!Q88))</f>
        <v>#N/A</v>
      </c>
      <c r="Z93" s="22" t="e">
        <f>IF(ISNUMBER(Data!R88)=FALSE,NA(),(Data!R88))</f>
        <v>#N/A</v>
      </c>
      <c r="AH93" s="6"/>
      <c r="AK93" s="6"/>
      <c r="AN93" s="6"/>
    </row>
    <row r="94" spans="12:40" ht="15" x14ac:dyDescent="0.2">
      <c r="L94" s="12" t="str">
        <f>IF(Data!D89=0,"",Data!D89)</f>
        <v>15 YR</v>
      </c>
      <c r="M94" s="19">
        <f>IF(ISNUMBER(Data!E89)=FALSE,NA(),(Data!E89))</f>
        <v>207</v>
      </c>
      <c r="N94" s="19">
        <f>IF(ISNUMBER(Data!F89)=FALSE,NA(),(Data!F89))</f>
        <v>409</v>
      </c>
      <c r="O94" s="19">
        <f>IF(ISNUMBER(Data!G89)=FALSE,NA(),(Data!G89))</f>
        <v>607</v>
      </c>
      <c r="P94" s="19">
        <f>IF(ISNUMBER(Data!H89)=FALSE,NA(),(Data!H89))</f>
        <v>800</v>
      </c>
      <c r="Q94" s="19">
        <f>IF(ISNUMBER(Data!I89)=FALSE,NA(),(Data!I89))</f>
        <v>989</v>
      </c>
      <c r="R94" s="19">
        <f>IF(ISNUMBER(Data!J89)=FALSE,NA(),(Data!J89))</f>
        <v>1170</v>
      </c>
      <c r="S94" s="19">
        <f>IF(ISNUMBER(Data!K89)=FALSE,NA(),(Data!K89))</f>
        <v>1347</v>
      </c>
      <c r="T94" s="19">
        <f>IF(ISNUMBER(Data!L89)=FALSE,NA(),(Data!L89))</f>
        <v>1516</v>
      </c>
      <c r="U94" s="19">
        <f>IF(ISNUMBER(Data!M89)=FALSE,NA(),(Data!M89))</f>
        <v>1679</v>
      </c>
      <c r="V94" s="19" t="e">
        <f>IF(ISNUMBER(Data!N89)=FALSE,NA(),(Data!N89))</f>
        <v>#N/A</v>
      </c>
      <c r="W94" s="19" t="e">
        <f>IF(ISNUMBER(Data!O89)=FALSE,NA(),(Data!O89))</f>
        <v>#N/A</v>
      </c>
      <c r="X94" s="19" t="e">
        <f>IF(ISNUMBER(Data!P89)=FALSE,NA(),(Data!P89))</f>
        <v>#N/A</v>
      </c>
      <c r="Y94" s="19" t="e">
        <f>IF(ISNUMBER(Data!Q89)=FALSE,NA(),(Data!Q89))</f>
        <v>#N/A</v>
      </c>
      <c r="Z94" s="20" t="e">
        <f>IF(ISNUMBER(Data!R89)=FALSE,NA(),(Data!R89))</f>
        <v>#N/A</v>
      </c>
      <c r="AH94" s="6"/>
      <c r="AK94" s="6"/>
      <c r="AN94" s="6"/>
    </row>
    <row r="95" spans="12:40" ht="15" x14ac:dyDescent="0.2">
      <c r="L95" s="12" t="str">
        <f>IF(Data!D90=0,"",Data!D90)</f>
        <v>20 YR</v>
      </c>
      <c r="M95" s="21">
        <f>IF(ISNUMBER(Data!E90)=FALSE,NA(),(Data!E90))</f>
        <v>212</v>
      </c>
      <c r="N95" s="21">
        <f>IF(ISNUMBER(Data!F90)=FALSE,NA(),(Data!F90))</f>
        <v>417</v>
      </c>
      <c r="O95" s="21">
        <f>IF(ISNUMBER(Data!G90)=FALSE,NA(),(Data!G90))</f>
        <v>619</v>
      </c>
      <c r="P95" s="21">
        <f>IF(ISNUMBER(Data!H90)=FALSE,NA(),(Data!H90))</f>
        <v>817</v>
      </c>
      <c r="Q95" s="21">
        <f>IF(ISNUMBER(Data!I90)=FALSE,NA(),(Data!I90))</f>
        <v>1013</v>
      </c>
      <c r="R95" s="21">
        <f>IF(ISNUMBER(Data!J90)=FALSE,NA(),(Data!J90))</f>
        <v>1199</v>
      </c>
      <c r="S95" s="21">
        <f>IF(ISNUMBER(Data!K90)=FALSE,NA(),(Data!K90))</f>
        <v>1381</v>
      </c>
      <c r="T95" s="21">
        <f>IF(ISNUMBER(Data!L90)=FALSE,NA(),(Data!L90))</f>
        <v>1558</v>
      </c>
      <c r="U95" s="21">
        <f>IF(ISNUMBER(Data!M90)=FALSE,NA(),(Data!M90))</f>
        <v>1728</v>
      </c>
      <c r="V95" s="21">
        <f>IF(ISNUMBER(Data!N90)=FALSE,NA(),(Data!N90))</f>
        <v>1894</v>
      </c>
      <c r="W95" s="21" t="e">
        <f>IF(ISNUMBER(Data!O90)=FALSE,NA(),(Data!O90))</f>
        <v>#N/A</v>
      </c>
      <c r="X95" s="21" t="e">
        <f>IF(ISNUMBER(Data!P90)=FALSE,NA(),(Data!P90))</f>
        <v>#N/A</v>
      </c>
      <c r="Y95" s="21" t="e">
        <f>IF(ISNUMBER(Data!Q90)=FALSE,NA(),(Data!Q90))</f>
        <v>#N/A</v>
      </c>
      <c r="Z95" s="22" t="e">
        <f>IF(ISNUMBER(Data!R90)=FALSE,NA(),(Data!R90))</f>
        <v>#N/A</v>
      </c>
      <c r="AH95" s="6"/>
      <c r="AK95" s="6"/>
      <c r="AN95" s="6"/>
    </row>
    <row r="96" spans="12:40" ht="15" x14ac:dyDescent="0.2">
      <c r="L96" s="12" t="str">
        <f>IF(Data!D91=0,"",Data!D91)</f>
        <v>25 YR</v>
      </c>
      <c r="M96" s="19">
        <f>IF(ISNUMBER(Data!E91)=FALSE,NA(),(Data!E91))</f>
        <v>219</v>
      </c>
      <c r="N96" s="19">
        <f>IF(ISNUMBER(Data!F91)=FALSE,NA(),(Data!F91))</f>
        <v>432</v>
      </c>
      <c r="O96" s="19">
        <f>IF(ISNUMBER(Data!G91)=FALSE,NA(),(Data!G91))</f>
        <v>644</v>
      </c>
      <c r="P96" s="19">
        <f>IF(ISNUMBER(Data!H91)=FALSE,NA(),(Data!H91))</f>
        <v>848</v>
      </c>
      <c r="Q96" s="19">
        <f>IF(ISNUMBER(Data!I91)=FALSE,NA(),(Data!I91))</f>
        <v>1049</v>
      </c>
      <c r="R96" s="19">
        <f>IF(ISNUMBER(Data!J91)=FALSE,NA(),(Data!J91))</f>
        <v>1247</v>
      </c>
      <c r="S96" s="19">
        <f>IF(ISNUMBER(Data!K91)=FALSE,NA(),(Data!K91))</f>
        <v>1441</v>
      </c>
      <c r="T96" s="19">
        <f>IF(ISNUMBER(Data!L91)=FALSE,NA(),(Data!L91))</f>
        <v>1633</v>
      </c>
      <c r="U96" s="19">
        <f>IF(ISNUMBER(Data!M91)=FALSE,NA(),(Data!M91))</f>
        <v>1820</v>
      </c>
      <c r="V96" s="19">
        <f>IF(ISNUMBER(Data!N91)=FALSE,NA(),(Data!N91))</f>
        <v>2003</v>
      </c>
      <c r="W96" s="19">
        <f>IF(ISNUMBER(Data!O91)=FALSE,NA(),(Data!O91))</f>
        <v>2763</v>
      </c>
      <c r="X96" s="19">
        <f>IF(ISNUMBER(Data!P91)=FALSE,NA(),(Data!P91))</f>
        <v>3460</v>
      </c>
      <c r="Y96" s="19">
        <f>IF(ISNUMBER(Data!Q91)=FALSE,NA(),(Data!Q91))</f>
        <v>4140</v>
      </c>
      <c r="Z96" s="20">
        <f>IF(ISNUMBER(Data!R91)=FALSE,NA(),(Data!R91))</f>
        <v>4770</v>
      </c>
      <c r="AH96" s="6"/>
      <c r="AK96" s="6"/>
      <c r="AN96" s="6"/>
    </row>
    <row r="97" spans="12:40" ht="15" x14ac:dyDescent="0.2">
      <c r="L97" s="13" t="str">
        <f>IF(Data!D92=0,"",Data!D92)</f>
        <v>30 YR</v>
      </c>
      <c r="M97" s="23">
        <f>IF(ISNUMBER(Data!E92)=FALSE,NA(),(Data!E92))</f>
        <v>227</v>
      </c>
      <c r="N97" s="23">
        <f>IF(ISNUMBER(Data!F92)=FALSE,NA(),(Data!F92))</f>
        <v>451</v>
      </c>
      <c r="O97" s="23">
        <f>IF(ISNUMBER(Data!G92)=FALSE,NA(),(Data!G92))</f>
        <v>670</v>
      </c>
      <c r="P97" s="23">
        <f>IF(ISNUMBER(Data!H92)=FALSE,NA(),(Data!H92))</f>
        <v>884</v>
      </c>
      <c r="Q97" s="23">
        <f>IF(ISNUMBER(Data!I92)=FALSE,NA(),(Data!I92))</f>
        <v>1095</v>
      </c>
      <c r="R97" s="23">
        <f>IF(ISNUMBER(Data!J92)=FALSE,NA(),(Data!J92))</f>
        <v>1306</v>
      </c>
      <c r="S97" s="23">
        <f>IF(ISNUMBER(Data!K92)=FALSE,NA(),(Data!K92))</f>
        <v>1514</v>
      </c>
      <c r="T97" s="23">
        <f>IF(ISNUMBER(Data!L92)=FALSE,NA(),(Data!L92))</f>
        <v>1720</v>
      </c>
      <c r="U97" s="23">
        <f>IF(ISNUMBER(Data!M92)=FALSE,NA(),(Data!M92))</f>
        <v>1922</v>
      </c>
      <c r="V97" s="23">
        <f>IF(ISNUMBER(Data!N92)=FALSE,NA(),(Data!N92))</f>
        <v>2122</v>
      </c>
      <c r="W97" s="23">
        <f>IF(ISNUMBER(Data!O92)=FALSE,NA(),(Data!O92))</f>
        <v>2965</v>
      </c>
      <c r="X97" s="23">
        <f>IF(ISNUMBER(Data!P92)=FALSE,NA(),(Data!P92))</f>
        <v>3741</v>
      </c>
      <c r="Y97" s="23">
        <f>IF(ISNUMBER(Data!Q92)=FALSE,NA(),(Data!Q92))</f>
        <v>4486</v>
      </c>
      <c r="Z97" s="24">
        <f>IF(ISNUMBER(Data!R92)=FALSE,NA(),(Data!R92))</f>
        <v>5182</v>
      </c>
      <c r="AH97" s="6"/>
      <c r="AK97" s="6"/>
      <c r="AN97" s="6"/>
    </row>
    <row r="98" spans="12:40" x14ac:dyDescent="0.2">
      <c r="AH98" s="6"/>
      <c r="AK98" s="6"/>
      <c r="AN98" s="6"/>
    </row>
  </sheetData>
  <mergeCells count="2">
    <mergeCell ref="L12:M12"/>
    <mergeCell ref="Q12:R12"/>
  </mergeCells>
  <phoneticPr fontId="1" type="noConversion"/>
  <conditionalFormatting sqref="M41:AP55 M59:AA77 M81:Z97 M14:X33">
    <cfRule type="expression" dxfId="0" priority="3" stopIfTrue="1">
      <formula>ISNA(M14)</formula>
    </cfRule>
  </conditionalFormatting>
  <dataValidations count="7">
    <dataValidation type="list" errorStyle="warning" allowBlank="1" showInputMessage="1" showErrorMessage="1" error="Contributor codes could be found on {ALLQ&lt;GO&gt;}." sqref="T12">
      <formula1>DataSource</formula1>
    </dataValidation>
    <dataValidation type="list" allowBlank="1" showInputMessage="1" showErrorMessage="1" sqref="Q12">
      <formula1>Term</formula1>
    </dataValidation>
    <dataValidation type="list" allowBlank="1" showInputMessage="1" showErrorMessage="1" sqref="P37">
      <formula1>ALLQ</formula1>
    </dataValidation>
    <dataValidation type="list" allowBlank="1" showInputMessage="1" showErrorMessage="1" sqref="D7">
      <formula1>Curncy</formula1>
    </dataValidation>
    <dataValidation type="list" allowBlank="1" showInputMessage="1" showErrorMessage="1" sqref="L12">
      <formula1>"Norm., Log Norm., OIS Log Norm., OIS Norm."</formula1>
    </dataValidation>
    <dataValidation type="list" allowBlank="1" showInputMessage="1" showErrorMessage="1" sqref="M37">
      <formula1>MarketSide</formula1>
    </dataValidation>
    <dataValidation type="list" allowBlank="1" showInputMessage="1" showErrorMessage="1" sqref="T79">
      <formula1>"BID,MID,ASK"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51" r:id="rId4" name="CmdRefresh">
          <controlPr defaultSize="0" autoLine="0" r:id="rId5">
            <anchor moveWithCells="1">
              <from>
                <xdr:col>1</xdr:col>
                <xdr:colOff>104775</xdr:colOff>
                <xdr:row>7</xdr:row>
                <xdr:rowOff>76200</xdr:rowOff>
              </from>
              <to>
                <xdr:col>4</xdr:col>
                <xdr:colOff>19050</xdr:colOff>
                <xdr:row>9</xdr:row>
                <xdr:rowOff>114300</xdr:rowOff>
              </to>
            </anchor>
          </controlPr>
        </control>
      </mc:Choice>
      <mc:Fallback>
        <control shapeId="1451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BN153"/>
  <sheetViews>
    <sheetView zoomScale="85" workbookViewId="0"/>
  </sheetViews>
  <sheetFormatPr defaultRowHeight="12.75" x14ac:dyDescent="0.2"/>
  <sheetData>
    <row r="1" spans="2:51" x14ac:dyDescent="0.2">
      <c r="E1" t="str">
        <f>VLOOKUP(Main!D7,Data!B2:C17,2,FALSE)</f>
        <v>US</v>
      </c>
    </row>
    <row r="2" spans="2:51" x14ac:dyDescent="0.2">
      <c r="B2" t="s">
        <v>0</v>
      </c>
      <c r="C2" t="s">
        <v>1</v>
      </c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10</v>
      </c>
      <c r="M2">
        <v>15</v>
      </c>
      <c r="N2">
        <v>20</v>
      </c>
      <c r="O2">
        <v>25</v>
      </c>
      <c r="P2">
        <v>30</v>
      </c>
      <c r="AN2">
        <v>1</v>
      </c>
      <c r="AO2">
        <v>2</v>
      </c>
      <c r="AP2">
        <v>3</v>
      </c>
      <c r="AQ2">
        <v>4</v>
      </c>
      <c r="AR2">
        <v>5</v>
      </c>
      <c r="AS2">
        <v>6</v>
      </c>
      <c r="AT2">
        <v>7</v>
      </c>
      <c r="AU2">
        <v>10</v>
      </c>
      <c r="AV2">
        <v>15</v>
      </c>
      <c r="AW2">
        <v>20</v>
      </c>
      <c r="AX2">
        <v>25</v>
      </c>
      <c r="AY2">
        <v>30</v>
      </c>
    </row>
    <row r="3" spans="2:51" ht="14.25" customHeight="1" x14ac:dyDescent="0.2">
      <c r="B3" t="s">
        <v>2</v>
      </c>
      <c r="C3" t="s">
        <v>3</v>
      </c>
      <c r="D3" t="s">
        <v>2059</v>
      </c>
      <c r="E3" s="11">
        <f>_xll.BDP($E$1&amp;AN3&amp;" "&amp;Main!$T$12&amp;" Curncy","ASK")/IF(Main!$Q$12="Annual",1,IF(Main!$Q$12="Daily",$C$29,$C$29/$C$30))</f>
        <v>31.27</v>
      </c>
      <c r="F3" s="11">
        <f>_xll.BDP($E$1&amp;AO3&amp;" "&amp;Main!$T$12&amp;" Curncy","ASK")/IF(Main!$Q$12="Annual",1,IF(Main!$Q$12="Daily",$C$29,$C$29/$C$30))</f>
        <v>43</v>
      </c>
      <c r="G3" s="11">
        <f>_xll.BDP($E$1&amp;AP3&amp;" "&amp;Main!$T$12&amp;" Curncy","ASK")/IF(Main!$Q$12="Annual",1,IF(Main!$Q$12="Daily",$C$29,$C$29/$C$30))</f>
        <v>50.07</v>
      </c>
      <c r="H3" s="11">
        <f>_xll.BDP($E$1&amp;AQ3&amp;" "&amp;Main!$T$12&amp;" Curncy","ASK")/IF(Main!$Q$12="Annual",1,IF(Main!$Q$12="Daily",$C$29,$C$29/$C$30))</f>
        <v>54.6</v>
      </c>
      <c r="I3" s="11">
        <f>_xll.BDP($E$1&amp;AR3&amp;" "&amp;Main!$T$12&amp;" Curncy","ASK")/IF(Main!$Q$12="Annual",1,IF(Main!$Q$12="Daily",$C$29,$C$29/$C$30))</f>
        <v>58.54</v>
      </c>
      <c r="J3" s="11">
        <f>_xll.BDP($E$1&amp;AS3&amp;" "&amp;Main!$T$12&amp;" Curncy","ASK")/IF(Main!$Q$12="Annual",1,IF(Main!$Q$12="Daily",$C$29,$C$29/$C$30))</f>
        <v>60.94</v>
      </c>
      <c r="K3" s="11">
        <f>_xll.BDP($E$1&amp;AT3&amp;" "&amp;Main!$T$12&amp;" Curncy","ASK")/IF(Main!$Q$12="Annual",1,IF(Main!$Q$12="Daily",$C$29,$C$29/$C$30))</f>
        <v>62.88</v>
      </c>
      <c r="L3" s="11">
        <f>_xll.BDP($E$1&amp;AU3&amp;" "&amp;Main!$T$12&amp;" Curncy","ASK")/IF(Main!$Q$12="Annual",1,IF(Main!$Q$12="Daily",$C$29,$C$29/$C$30))</f>
        <v>64.965000000000003</v>
      </c>
      <c r="M3" s="11">
        <f>_xll.BDP($E$1&amp;AV3&amp;" "&amp;Main!$T$12&amp;" Curncy","ASK")/IF(Main!$Q$12="Annual",1,IF(Main!$Q$12="Daily",$C$29,$C$29/$C$30))</f>
        <v>67.400000000000006</v>
      </c>
      <c r="N3" s="11">
        <f>_xll.BDP($E$1&amp;AW3&amp;" "&amp;Main!$T$12&amp;" Curncy","ASK")/IF(Main!$Q$12="Annual",1,IF(Main!$Q$12="Daily",$C$29,$C$29/$C$30))</f>
        <v>68.05</v>
      </c>
      <c r="O3" s="11">
        <f>_xll.BDP($E$1&amp;AX3&amp;" "&amp;Main!$T$12&amp;" Curncy","ASK")/IF(Main!$Q$12="Annual",1,IF(Main!$Q$12="Daily",$C$29,$C$29/$C$30))</f>
        <v>68.650000000000006</v>
      </c>
      <c r="P3" s="11">
        <f>_xll.BDP($E$1&amp;AY3&amp;" "&amp;Main!$T$12&amp;" Curncy","ASK")/IF(Main!$Q$12="Annual",1,IF(Main!$Q$12="Daily",$C$29,$C$29/$C$30))</f>
        <v>70</v>
      </c>
      <c r="AM3" t="s">
        <v>2055</v>
      </c>
      <c r="AN3" t="str">
        <f t="shared" ref="AN3:AY3" si="0">IF(TYPE="Norm.","SN0",IF(TYPE="Log Norm.","SV0",IF(TYPE="OIS Log Norm.","VE","NE")))&amp;"A"&amp;AN$2</f>
        <v>SN0A1</v>
      </c>
      <c r="AO3" t="str">
        <f t="shared" si="0"/>
        <v>SN0A2</v>
      </c>
      <c r="AP3" t="str">
        <f t="shared" si="0"/>
        <v>SN0A3</v>
      </c>
      <c r="AQ3" t="str">
        <f t="shared" si="0"/>
        <v>SN0A4</v>
      </c>
      <c r="AR3" t="str">
        <f t="shared" si="0"/>
        <v>SN0A5</v>
      </c>
      <c r="AS3" t="str">
        <f t="shared" si="0"/>
        <v>SN0A6</v>
      </c>
      <c r="AT3" t="str">
        <f t="shared" si="0"/>
        <v>SN0A7</v>
      </c>
      <c r="AU3" t="str">
        <f t="shared" si="0"/>
        <v>SN0A10</v>
      </c>
      <c r="AV3" t="str">
        <f t="shared" si="0"/>
        <v>SN0A15</v>
      </c>
      <c r="AW3" t="str">
        <f t="shared" si="0"/>
        <v>SN0A20</v>
      </c>
      <c r="AX3" t="str">
        <f t="shared" si="0"/>
        <v>SN0A25</v>
      </c>
      <c r="AY3" t="str">
        <f t="shared" si="0"/>
        <v>SN0A30</v>
      </c>
    </row>
    <row r="4" spans="2:51" x14ac:dyDescent="0.2">
      <c r="B4" t="s">
        <v>4</v>
      </c>
      <c r="C4" t="s">
        <v>5</v>
      </c>
      <c r="D4" s="7" t="s">
        <v>2487</v>
      </c>
      <c r="E4" s="11">
        <f>_xll.BDP($E$1&amp;AN4&amp;" "&amp;Main!$T$12&amp;" Curncy","ASK")/IF(Main!$Q$12="Annual",1,IF(Main!$Q$12="Daily",$C$29,$C$29/$C$30))</f>
        <v>37.24</v>
      </c>
      <c r="F4" s="11">
        <f>_xll.BDP($E$1&amp;AO4&amp;" "&amp;Main!$T$12&amp;" Curncy","ASK")/IF(Main!$Q$12="Annual",1,IF(Main!$Q$12="Daily",$C$29,$C$29/$C$30))</f>
        <v>46.77</v>
      </c>
      <c r="G4" s="11">
        <f>_xll.BDP($E$1&amp;AP4&amp;" "&amp;Main!$T$12&amp;" Curncy","ASK")/IF(Main!$Q$12="Annual",1,IF(Main!$Q$12="Daily",$C$29,$C$29/$C$30))</f>
        <v>54.06</v>
      </c>
      <c r="H4" s="11">
        <f>_xll.BDP($E$1&amp;AQ4&amp;" "&amp;Main!$T$12&amp;" Curncy","ASK")/IF(Main!$Q$12="Annual",1,IF(Main!$Q$12="Daily",$C$29,$C$29/$C$30))</f>
        <v>58.36</v>
      </c>
      <c r="I4" s="11">
        <f>_xll.BDP($E$1&amp;AR4&amp;" "&amp;Main!$T$12&amp;" Curncy","ASK")/IF(Main!$Q$12="Annual",1,IF(Main!$Q$12="Daily",$C$29,$C$29/$C$30))</f>
        <v>60.9</v>
      </c>
      <c r="J4" s="11">
        <f>_xll.BDP($E$1&amp;AS4&amp;" "&amp;Main!$T$12&amp;" Curncy","ASK")/IF(Main!$Q$12="Annual",1,IF(Main!$Q$12="Daily",$C$29,$C$29/$C$30))</f>
        <v>63.37</v>
      </c>
      <c r="K4" s="11">
        <f>_xll.BDP($E$1&amp;AT4&amp;" "&amp;Main!$T$12&amp;" Curncy","ASK")/IF(Main!$Q$12="Annual",1,IF(Main!$Q$12="Daily",$C$29,$C$29/$C$30))</f>
        <v>65.430000000000007</v>
      </c>
      <c r="L4" s="11">
        <f>_xll.BDP($E$1&amp;AU4&amp;" "&amp;Main!$T$12&amp;" Curncy","ASK")/IF(Main!$Q$12="Annual",1,IF(Main!$Q$12="Daily",$C$29,$C$29/$C$30))</f>
        <v>68.13</v>
      </c>
      <c r="M4" s="11">
        <f>_xll.BDP($E$1&amp;AV4&amp;" "&amp;Main!$T$12&amp;" Curncy","ASK")/IF(Main!$Q$12="Annual",1,IF(Main!$Q$12="Daily",$C$29,$C$29/$C$30))</f>
        <v>68.930000000000007</v>
      </c>
      <c r="N4" s="11">
        <f>_xll.BDP($E$1&amp;AW4&amp;" "&amp;Main!$T$12&amp;" Curncy","ASK")/IF(Main!$Q$12="Annual",1,IF(Main!$Q$12="Daily",$C$29,$C$29/$C$30))</f>
        <v>69.11</v>
      </c>
      <c r="O4" s="11">
        <f>_xll.BDP($E$1&amp;AX4&amp;" "&amp;Main!$T$12&amp;" Curncy","ASK")/IF(Main!$Q$12="Annual",1,IF(Main!$Q$12="Daily",$C$29,$C$29/$C$30))</f>
        <v>69.11</v>
      </c>
      <c r="P4" s="11">
        <f>_xll.BDP($E$1&amp;AY4&amp;" "&amp;Main!$T$12&amp;" Curncy","ASK")/IF(Main!$Q$12="Annual",1,IF(Main!$Q$12="Daily",$C$29,$C$29/$C$30))</f>
        <v>70.28</v>
      </c>
      <c r="AM4" s="7" t="s">
        <v>2488</v>
      </c>
      <c r="AN4" t="str">
        <f t="shared" ref="AN4:AY4" si="1">IF(TYPE="Norm.","SN0",IF(TYPE="Log Norm.","SV0",IF(TYPE="OIS Log Norm.","VE","NE")))&amp;"B"&amp;AN$2</f>
        <v>SN0B1</v>
      </c>
      <c r="AO4" t="str">
        <f t="shared" si="1"/>
        <v>SN0B2</v>
      </c>
      <c r="AP4" t="str">
        <f t="shared" si="1"/>
        <v>SN0B3</v>
      </c>
      <c r="AQ4" t="str">
        <f t="shared" si="1"/>
        <v>SN0B4</v>
      </c>
      <c r="AR4" t="str">
        <f t="shared" si="1"/>
        <v>SN0B5</v>
      </c>
      <c r="AS4" t="str">
        <f t="shared" si="1"/>
        <v>SN0B6</v>
      </c>
      <c r="AT4" t="str">
        <f t="shared" si="1"/>
        <v>SN0B7</v>
      </c>
      <c r="AU4" t="str">
        <f t="shared" si="1"/>
        <v>SN0B10</v>
      </c>
      <c r="AV4" t="str">
        <f t="shared" si="1"/>
        <v>SN0B15</v>
      </c>
      <c r="AW4" t="str">
        <f t="shared" si="1"/>
        <v>SN0B20</v>
      </c>
      <c r="AX4" t="str">
        <f t="shared" si="1"/>
        <v>SN0B25</v>
      </c>
      <c r="AY4" t="str">
        <f t="shared" si="1"/>
        <v>SN0B30</v>
      </c>
    </row>
    <row r="5" spans="2:51" x14ac:dyDescent="0.2">
      <c r="B5" t="s">
        <v>6</v>
      </c>
      <c r="C5" t="s">
        <v>7</v>
      </c>
      <c r="D5" t="s">
        <v>2060</v>
      </c>
      <c r="E5" s="11">
        <f>_xll.BDP($E$1&amp;AN5&amp;" "&amp;Main!$T$12&amp;" Curncy","ASK")/IF(Main!$Q$12="Annual",1,IF(Main!$Q$12="Daily",$C$29,$C$29/$C$30))</f>
        <v>39.08</v>
      </c>
      <c r="F5" s="11">
        <f>_xll.BDP($E$1&amp;AO5&amp;" "&amp;Main!$T$12&amp;" Curncy","ASK")/IF(Main!$Q$12="Annual",1,IF(Main!$Q$12="Daily",$C$29,$C$29/$C$30))</f>
        <v>49.5</v>
      </c>
      <c r="G5" s="11">
        <f>_xll.BDP($E$1&amp;AP5&amp;" "&amp;Main!$T$12&amp;" Curncy","ASK")/IF(Main!$Q$12="Annual",1,IF(Main!$Q$12="Daily",$C$29,$C$29/$C$30))</f>
        <v>56.34</v>
      </c>
      <c r="H5" s="11">
        <f>_xll.BDP($E$1&amp;AQ5&amp;" "&amp;Main!$T$12&amp;" Curncy","ASK")/IF(Main!$Q$12="Annual",1,IF(Main!$Q$12="Daily",$C$29,$C$29/$C$30))</f>
        <v>60.79</v>
      </c>
      <c r="I5" s="11">
        <f>_xll.BDP($E$1&amp;AR5&amp;" "&amp;Main!$T$12&amp;" Curncy","ASK")/IF(Main!$Q$12="Annual",1,IF(Main!$Q$12="Daily",$C$29,$C$29/$C$30))</f>
        <v>63.8</v>
      </c>
      <c r="J5" s="11">
        <f>_xll.BDP($E$1&amp;AS5&amp;" "&amp;Main!$T$12&amp;" Curncy","ASK")/IF(Main!$Q$12="Annual",1,IF(Main!$Q$12="Daily",$C$29,$C$29/$C$30))</f>
        <v>65.650000000000006</v>
      </c>
      <c r="K5" s="11">
        <f>_xll.BDP($E$1&amp;AT5&amp;" "&amp;Main!$T$12&amp;" Curncy","ASK")/IF(Main!$Q$12="Annual",1,IF(Main!$Q$12="Daily",$C$29,$C$29/$C$30))</f>
        <v>67.41</v>
      </c>
      <c r="L5" s="11">
        <f>_xll.BDP($E$1&amp;AU5&amp;" "&amp;Main!$T$12&amp;" Curncy","ASK")/IF(Main!$Q$12="Annual",1,IF(Main!$Q$12="Daily",$C$29,$C$29/$C$30))</f>
        <v>70</v>
      </c>
      <c r="M5" s="11">
        <f>_xll.BDP($E$1&amp;AV5&amp;" "&amp;Main!$T$12&amp;" Curncy","ASK")/IF(Main!$Q$12="Annual",1,IF(Main!$Q$12="Daily",$C$29,$C$29/$C$30))</f>
        <v>71.11</v>
      </c>
      <c r="N5" s="11">
        <f>_xll.BDP($E$1&amp;AW5&amp;" "&amp;Main!$T$12&amp;" Curncy","ASK")/IF(Main!$Q$12="Annual",1,IF(Main!$Q$12="Daily",$C$29,$C$29/$C$30))</f>
        <v>70.8</v>
      </c>
      <c r="O5" s="11">
        <f>_xll.BDP($E$1&amp;AX5&amp;" "&amp;Main!$T$12&amp;" Curncy","ASK")/IF(Main!$Q$12="Annual",1,IF(Main!$Q$12="Daily",$C$29,$C$29/$C$30))</f>
        <v>71.17</v>
      </c>
      <c r="P5" s="11">
        <f>_xll.BDP($E$1&amp;AY5&amp;" "&amp;Main!$T$12&amp;" Curncy","ASK")/IF(Main!$Q$12="Annual",1,IF(Main!$Q$12="Daily",$C$29,$C$29/$C$30))</f>
        <v>72.27</v>
      </c>
      <c r="AM5" t="s">
        <v>2056</v>
      </c>
      <c r="AN5" t="str">
        <f t="shared" ref="AN5:AY5" si="2">IF(TYPE="Norm.","SN0",IF(TYPE="Log Norm.","SV0",IF(TYPE="OIS Log Norm.","VE","NE")))&amp;"C"&amp;AN$2</f>
        <v>SN0C1</v>
      </c>
      <c r="AO5" t="str">
        <f t="shared" si="2"/>
        <v>SN0C2</v>
      </c>
      <c r="AP5" t="str">
        <f t="shared" si="2"/>
        <v>SN0C3</v>
      </c>
      <c r="AQ5" t="str">
        <f t="shared" si="2"/>
        <v>SN0C4</v>
      </c>
      <c r="AR5" t="str">
        <f t="shared" si="2"/>
        <v>SN0C5</v>
      </c>
      <c r="AS5" t="str">
        <f t="shared" si="2"/>
        <v>SN0C6</v>
      </c>
      <c r="AT5" t="str">
        <f t="shared" si="2"/>
        <v>SN0C7</v>
      </c>
      <c r="AU5" t="str">
        <f t="shared" si="2"/>
        <v>SN0C10</v>
      </c>
      <c r="AV5" t="str">
        <f t="shared" si="2"/>
        <v>SN0C15</v>
      </c>
      <c r="AW5" t="str">
        <f t="shared" si="2"/>
        <v>SN0C20</v>
      </c>
      <c r="AX5" t="str">
        <f t="shared" si="2"/>
        <v>SN0C25</v>
      </c>
      <c r="AY5" t="str">
        <f t="shared" si="2"/>
        <v>SN0C30</v>
      </c>
    </row>
    <row r="6" spans="2:51" x14ac:dyDescent="0.2">
      <c r="B6" t="s">
        <v>24</v>
      </c>
      <c r="C6" t="s">
        <v>26</v>
      </c>
      <c r="D6" t="s">
        <v>2061</v>
      </c>
      <c r="E6" s="11">
        <f>_xll.BDP($E$1&amp;AN6&amp;" "&amp;Main!$T$12&amp;" Curncy","ASK")/IF(Main!$Q$12="Annual",1,IF(Main!$Q$12="Daily",$C$29,$C$29/$C$30))</f>
        <v>43.77</v>
      </c>
      <c r="F6" s="11">
        <f>_xll.BDP($E$1&amp;AO6&amp;" "&amp;Main!$T$12&amp;" Curncy","ASK")/IF(Main!$Q$12="Annual",1,IF(Main!$Q$12="Daily",$C$29,$C$29/$C$30))</f>
        <v>53.31</v>
      </c>
      <c r="G6" s="11">
        <f>_xll.BDP($E$1&amp;AP6&amp;" "&amp;Main!$T$12&amp;" Curncy","ASK")/IF(Main!$Q$12="Annual",1,IF(Main!$Q$12="Daily",$C$29,$C$29/$C$30))</f>
        <v>59.84</v>
      </c>
      <c r="H6" s="11">
        <f>_xll.BDP($E$1&amp;AQ6&amp;" "&amp;Main!$T$12&amp;" Curncy","ASK")/IF(Main!$Q$12="Annual",1,IF(Main!$Q$12="Daily",$C$29,$C$29/$C$30))</f>
        <v>64.27</v>
      </c>
      <c r="I6" s="11">
        <f>_xll.BDP($E$1&amp;AR6&amp;" "&amp;Main!$T$12&amp;" Curncy","ASK")/IF(Main!$Q$12="Annual",1,IF(Main!$Q$12="Daily",$C$29,$C$29/$C$30))</f>
        <v>66.959999999999994</v>
      </c>
      <c r="J6" s="11">
        <f>_xll.BDP($E$1&amp;AS6&amp;" "&amp;Main!$T$12&amp;" Curncy","ASK")/IF(Main!$Q$12="Annual",1,IF(Main!$Q$12="Daily",$C$29,$C$29/$C$30))</f>
        <v>68.599999999999994</v>
      </c>
      <c r="K6" s="11">
        <f>_xll.BDP($E$1&amp;AT6&amp;" "&amp;Main!$T$12&amp;" Curncy","ASK")/IF(Main!$Q$12="Annual",1,IF(Main!$Q$12="Daily",$C$29,$C$29/$C$30))</f>
        <v>70.069999999999993</v>
      </c>
      <c r="L6" s="11">
        <f>_xll.BDP($E$1&amp;AU6&amp;" "&amp;Main!$T$12&amp;" Curncy","ASK")/IF(Main!$Q$12="Annual",1,IF(Main!$Q$12="Daily",$C$29,$C$29/$C$30))</f>
        <v>72.05</v>
      </c>
      <c r="M6" s="11">
        <f>_xll.BDP($E$1&amp;AV6&amp;" "&amp;Main!$T$12&amp;" Curncy","ASK")/IF(Main!$Q$12="Annual",1,IF(Main!$Q$12="Daily",$C$29,$C$29/$C$30))</f>
        <v>72.599999999999994</v>
      </c>
      <c r="N6" s="11">
        <f>_xll.BDP($E$1&amp;AW6&amp;" "&amp;Main!$T$12&amp;" Curncy","ASK")/IF(Main!$Q$12="Annual",1,IF(Main!$Q$12="Daily",$C$29,$C$29/$C$30))</f>
        <v>72.59</v>
      </c>
      <c r="O6" s="11">
        <f>_xll.BDP($E$1&amp;AX6&amp;" "&amp;Main!$T$12&amp;" Curncy","ASK")/IF(Main!$Q$12="Annual",1,IF(Main!$Q$12="Daily",$C$29,$C$29/$C$30))</f>
        <v>73.2</v>
      </c>
      <c r="P6" s="11">
        <f>_xll.BDP($E$1&amp;AY6&amp;" "&amp;Main!$T$12&amp;" Curncy","ASK")/IF(Main!$Q$12="Annual",1,IF(Main!$Q$12="Daily",$C$29,$C$29/$C$30))</f>
        <v>73.55</v>
      </c>
      <c r="AM6" t="s">
        <v>2057</v>
      </c>
      <c r="AN6" t="str">
        <f t="shared" ref="AN6:AY6" si="3">IF(TYPE="Norm.","SN0",IF(TYPE="Log Norm.","SV0",IF(TYPE="OIS Log Norm.","VE","NE")))&amp;"F"&amp;AN$2</f>
        <v>SN0F1</v>
      </c>
      <c r="AO6" t="str">
        <f t="shared" si="3"/>
        <v>SN0F2</v>
      </c>
      <c r="AP6" t="str">
        <f t="shared" si="3"/>
        <v>SN0F3</v>
      </c>
      <c r="AQ6" t="str">
        <f t="shared" si="3"/>
        <v>SN0F4</v>
      </c>
      <c r="AR6" t="str">
        <f t="shared" si="3"/>
        <v>SN0F5</v>
      </c>
      <c r="AS6" t="str">
        <f t="shared" si="3"/>
        <v>SN0F6</v>
      </c>
      <c r="AT6" t="str">
        <f t="shared" si="3"/>
        <v>SN0F7</v>
      </c>
      <c r="AU6" t="str">
        <f t="shared" si="3"/>
        <v>SN0F10</v>
      </c>
      <c r="AV6" t="str">
        <f t="shared" si="3"/>
        <v>SN0F15</v>
      </c>
      <c r="AW6" t="str">
        <f t="shared" si="3"/>
        <v>SN0F20</v>
      </c>
      <c r="AX6" t="str">
        <f t="shared" si="3"/>
        <v>SN0F25</v>
      </c>
      <c r="AY6" t="str">
        <f t="shared" si="3"/>
        <v>SN0F30</v>
      </c>
    </row>
    <row r="7" spans="2:51" x14ac:dyDescent="0.2">
      <c r="B7" t="s">
        <v>25</v>
      </c>
      <c r="C7" t="s">
        <v>27</v>
      </c>
      <c r="D7" t="s">
        <v>2062</v>
      </c>
      <c r="E7" s="11">
        <f>_xll.BDP($E$1&amp;AN7&amp;" "&amp;Main!$T$12&amp;" Curncy","ASK")/IF(Main!$Q$12="Annual",1,IF(Main!$Q$12="Daily",$C$29,$C$29/$C$30))</f>
        <v>47.88</v>
      </c>
      <c r="F7" s="11">
        <f>_xll.BDP($E$1&amp;AO7&amp;" "&amp;Main!$T$12&amp;" Curncy","ASK")/IF(Main!$Q$12="Annual",1,IF(Main!$Q$12="Daily",$C$29,$C$29/$C$30))</f>
        <v>57.09</v>
      </c>
      <c r="G7" s="11">
        <f>_xll.BDP($E$1&amp;AP7&amp;" "&amp;Main!$T$12&amp;" Curncy","ASK")/IF(Main!$Q$12="Annual",1,IF(Main!$Q$12="Daily",$C$29,$C$29/$C$30))</f>
        <v>62.72</v>
      </c>
      <c r="H7" s="11">
        <f>_xll.BDP($E$1&amp;AQ7&amp;" "&amp;Main!$T$12&amp;" Curncy","ASK")/IF(Main!$Q$12="Annual",1,IF(Main!$Q$12="Daily",$C$29,$C$29/$C$30))</f>
        <v>66.11</v>
      </c>
      <c r="I7" s="11">
        <f>_xll.BDP($E$1&amp;AR7&amp;" "&amp;Main!$T$12&amp;" Curncy","ASK")/IF(Main!$Q$12="Annual",1,IF(Main!$Q$12="Daily",$C$29,$C$29/$C$30))</f>
        <v>68.81</v>
      </c>
      <c r="J7" s="11">
        <f>_xll.BDP($E$1&amp;AS7&amp;" "&amp;Main!$T$12&amp;" Curncy","ASK")/IF(Main!$Q$12="Annual",1,IF(Main!$Q$12="Daily",$C$29,$C$29/$C$30))</f>
        <v>70.61</v>
      </c>
      <c r="K7" s="11">
        <f>_xll.BDP($E$1&amp;AT7&amp;" "&amp;Main!$T$12&amp;" Curncy","ASK")/IF(Main!$Q$12="Annual",1,IF(Main!$Q$12="Daily",$C$29,$C$29/$C$30))</f>
        <v>71.94</v>
      </c>
      <c r="L7" s="11">
        <f>_xll.BDP($E$1&amp;AU7&amp;" "&amp;Main!$T$12&amp;" Curncy","ASK")/IF(Main!$Q$12="Annual",1,IF(Main!$Q$12="Daily",$C$29,$C$29/$C$30))</f>
        <v>73.77</v>
      </c>
      <c r="M7" s="11">
        <f>_xll.BDP($E$1&amp;AV7&amp;" "&amp;Main!$T$12&amp;" Curncy","ASK")/IF(Main!$Q$12="Annual",1,IF(Main!$Q$12="Daily",$C$29,$C$29/$C$30))</f>
        <v>74.150000000000006</v>
      </c>
      <c r="N7" s="11">
        <f>_xll.BDP($E$1&amp;AW7&amp;" "&amp;Main!$T$12&amp;" Curncy","ASK")/IF(Main!$Q$12="Annual",1,IF(Main!$Q$12="Daily",$C$29,$C$29/$C$30))</f>
        <v>73.7</v>
      </c>
      <c r="O7" s="11">
        <f>_xll.BDP($E$1&amp;AX7&amp;" "&amp;Main!$T$12&amp;" Curncy","ASK")/IF(Main!$Q$12="Annual",1,IF(Main!$Q$12="Daily",$C$29,$C$29/$C$30))</f>
        <v>73.83</v>
      </c>
      <c r="P7" s="11">
        <f>_xll.BDP($E$1&amp;AY7&amp;" "&amp;Main!$T$12&amp;" Curncy","ASK")/IF(Main!$Q$12="Annual",1,IF(Main!$Q$12="Daily",$C$29,$C$29/$C$30))</f>
        <v>74.36</v>
      </c>
      <c r="AM7" t="s">
        <v>2058</v>
      </c>
      <c r="AN7" t="str">
        <f t="shared" ref="AN7:AY7" si="4">IF(TYPE="Norm.","SN0",IF(TYPE="Log Norm.","SV0",IF(TYPE="OIS Log Norm.","VE","NE")))&amp;"I"&amp;AN$2</f>
        <v>SN0I1</v>
      </c>
      <c r="AO7" t="str">
        <f t="shared" si="4"/>
        <v>SN0I2</v>
      </c>
      <c r="AP7" t="str">
        <f t="shared" si="4"/>
        <v>SN0I3</v>
      </c>
      <c r="AQ7" t="str">
        <f t="shared" si="4"/>
        <v>SN0I4</v>
      </c>
      <c r="AR7" t="str">
        <f t="shared" si="4"/>
        <v>SN0I5</v>
      </c>
      <c r="AS7" t="str">
        <f t="shared" si="4"/>
        <v>SN0I6</v>
      </c>
      <c r="AT7" t="str">
        <f t="shared" si="4"/>
        <v>SN0I7</v>
      </c>
      <c r="AU7" t="str">
        <f t="shared" si="4"/>
        <v>SN0I10</v>
      </c>
      <c r="AV7" t="str">
        <f t="shared" si="4"/>
        <v>SN0I15</v>
      </c>
      <c r="AW7" t="str">
        <f t="shared" si="4"/>
        <v>SN0I20</v>
      </c>
      <c r="AX7" t="str">
        <f t="shared" si="4"/>
        <v>SN0I25</v>
      </c>
      <c r="AY7" t="str">
        <f t="shared" si="4"/>
        <v>SN0I30</v>
      </c>
    </row>
    <row r="8" spans="2:51" x14ac:dyDescent="0.2">
      <c r="B8" t="s">
        <v>22</v>
      </c>
      <c r="C8" t="s">
        <v>23</v>
      </c>
      <c r="D8" t="s">
        <v>2063</v>
      </c>
      <c r="E8" s="11">
        <f>_xll.BDP($E$1&amp;AN8&amp;" "&amp;Main!$T$12&amp;" Curncy","ASK")/IF(Main!$Q$12="Annual",1,IF(Main!$Q$12="Daily",$C$29,$C$29/$C$30))</f>
        <v>51.25</v>
      </c>
      <c r="F8" s="11">
        <f>_xll.BDP($E$1&amp;AO8&amp;" "&amp;Main!$T$12&amp;" Curncy","ASK")/IF(Main!$Q$12="Annual",1,IF(Main!$Q$12="Daily",$C$29,$C$29/$C$30))</f>
        <v>60</v>
      </c>
      <c r="G8" s="11">
        <f>_xll.BDP($E$1&amp;AP8&amp;" "&amp;Main!$T$12&amp;" Curncy","ASK")/IF(Main!$Q$12="Annual",1,IF(Main!$Q$12="Daily",$C$29,$C$29/$C$30))</f>
        <v>64.88</v>
      </c>
      <c r="H8" s="11">
        <f>_xll.BDP($E$1&amp;AQ8&amp;" "&amp;Main!$T$12&amp;" Curncy","ASK")/IF(Main!$Q$12="Annual",1,IF(Main!$Q$12="Daily",$C$29,$C$29/$C$30))</f>
        <v>68.3</v>
      </c>
      <c r="I8" s="11">
        <f>_xll.BDP($E$1&amp;AR8&amp;" "&amp;Main!$T$12&amp;" Curncy","ASK")/IF(Main!$Q$12="Annual",1,IF(Main!$Q$12="Daily",$C$29,$C$29/$C$30))</f>
        <v>70.5</v>
      </c>
      <c r="J8" s="11">
        <f>_xll.BDP($E$1&amp;AS8&amp;" "&amp;Main!$T$12&amp;" Curncy","ASK")/IF(Main!$Q$12="Annual",1,IF(Main!$Q$12="Daily",$C$29,$C$29/$C$30))</f>
        <v>72.03</v>
      </c>
      <c r="K8" s="11">
        <f>_xll.BDP($E$1&amp;AT8&amp;" "&amp;Main!$T$12&amp;" Curncy","ASK")/IF(Main!$Q$12="Annual",1,IF(Main!$Q$12="Daily",$C$29,$C$29/$C$30))</f>
        <v>72.88</v>
      </c>
      <c r="L8" s="11">
        <f>_xll.BDP($E$1&amp;AU8&amp;" "&amp;Main!$T$12&amp;" Curncy","ASK")/IF(Main!$Q$12="Annual",1,IF(Main!$Q$12="Daily",$C$29,$C$29/$C$30))</f>
        <v>75.2</v>
      </c>
      <c r="M8" s="11">
        <f>_xll.BDP($E$1&amp;AV8&amp;" "&amp;Main!$T$12&amp;" Curncy","ASK")/IF(Main!$Q$12="Annual",1,IF(Main!$Q$12="Daily",$C$29,$C$29/$C$30))</f>
        <v>75.27</v>
      </c>
      <c r="N8" s="11">
        <f>_xll.BDP($E$1&amp;AW8&amp;" "&amp;Main!$T$12&amp;" Curncy","ASK")/IF(Main!$Q$12="Annual",1,IF(Main!$Q$12="Daily",$C$29,$C$29/$C$30))</f>
        <v>74.19</v>
      </c>
      <c r="O8" s="11">
        <f>_xll.BDP($E$1&amp;AX8&amp;" "&amp;Main!$T$12&amp;" Curncy","ASK")/IF(Main!$Q$12="Annual",1,IF(Main!$Q$12="Daily",$C$29,$C$29/$C$30))</f>
        <v>74.180000000000007</v>
      </c>
      <c r="P8" s="11">
        <f>_xll.BDP($E$1&amp;AY8&amp;" "&amp;Main!$T$12&amp;" Curncy","ASK")/IF(Main!$Q$12="Annual",1,IF(Main!$Q$12="Daily",$C$29,$C$29/$C$30))</f>
        <v>74.5</v>
      </c>
      <c r="AM8">
        <v>1</v>
      </c>
      <c r="AN8" t="str">
        <f t="shared" ref="AN8:AY8" si="5">IF(TYPE="Norm.","SN0",IF(TYPE="Log Norm.","SV0",IF(TYPE="OIS Log Norm.","VE","NE")))&amp;"1"&amp;AN$2</f>
        <v>SN011</v>
      </c>
      <c r="AO8" t="str">
        <f t="shared" si="5"/>
        <v>SN012</v>
      </c>
      <c r="AP8" t="str">
        <f t="shared" si="5"/>
        <v>SN013</v>
      </c>
      <c r="AQ8" t="str">
        <f t="shared" si="5"/>
        <v>SN014</v>
      </c>
      <c r="AR8" t="str">
        <f t="shared" si="5"/>
        <v>SN015</v>
      </c>
      <c r="AS8" t="str">
        <f t="shared" si="5"/>
        <v>SN016</v>
      </c>
      <c r="AT8" t="str">
        <f t="shared" si="5"/>
        <v>SN017</v>
      </c>
      <c r="AU8" t="str">
        <f t="shared" si="5"/>
        <v>SN0110</v>
      </c>
      <c r="AV8" t="str">
        <f t="shared" si="5"/>
        <v>SN0115</v>
      </c>
      <c r="AW8" t="str">
        <f t="shared" si="5"/>
        <v>SN0120</v>
      </c>
      <c r="AX8" t="str">
        <f t="shared" si="5"/>
        <v>SN0125</v>
      </c>
      <c r="AY8" t="str">
        <f t="shared" si="5"/>
        <v>SN0130</v>
      </c>
    </row>
    <row r="9" spans="2:51" x14ac:dyDescent="0.2">
      <c r="B9" t="s">
        <v>21</v>
      </c>
      <c r="C9" t="s">
        <v>20</v>
      </c>
      <c r="D9" t="s">
        <v>2492</v>
      </c>
      <c r="E9" s="11">
        <f>_xll.BDP($E$1&amp;AN9&amp;" "&amp;Main!$T$12&amp;" Curncy","ASK")/IF(Main!$Q$12="Annual",1,IF(Main!$Q$12="Daily",$C$29,$C$29/$C$30))</f>
        <v>69.48</v>
      </c>
      <c r="F9" s="11">
        <f>_xll.BDP($E$1&amp;AO9&amp;" "&amp;Main!$T$12&amp;" Curncy","ASK")/IF(Main!$Q$12="Annual",1,IF(Main!$Q$12="Daily",$C$29,$C$29/$C$30))</f>
        <v>71.52</v>
      </c>
      <c r="G9" s="11">
        <f>_xll.BDP($E$1&amp;AP9&amp;" "&amp;Main!$T$12&amp;" Curncy","ASK")/IF(Main!$Q$12="Annual",1,IF(Main!$Q$12="Daily",$C$29,$C$29/$C$30))</f>
        <v>73.56</v>
      </c>
      <c r="H9" s="11">
        <f>_xll.BDP($E$1&amp;AQ9&amp;" "&amp;Main!$T$12&amp;" Curncy","ASK")/IF(Main!$Q$12="Annual",1,IF(Main!$Q$12="Daily",$C$29,$C$29/$C$30))</f>
        <v>75.599999999999994</v>
      </c>
      <c r="I9" s="11">
        <f>_xll.BDP($E$1&amp;AR9&amp;" "&amp;Main!$T$12&amp;" Curncy","ASK")/IF(Main!$Q$12="Annual",1,IF(Main!$Q$12="Daily",$C$29,$C$29/$C$30))</f>
        <v>77.64</v>
      </c>
      <c r="J9" s="11">
        <f>_xll.BDP($E$1&amp;AS9&amp;" "&amp;Main!$T$12&amp;" Curncy","ASK")/IF(Main!$Q$12="Annual",1,IF(Main!$Q$12="Daily",$C$29,$C$29/$C$30))</f>
        <v>79.819999999999993</v>
      </c>
      <c r="K9" s="11">
        <f>_xll.BDP($E$1&amp;AT9&amp;" "&amp;Main!$T$12&amp;" Curncy","ASK")/IF(Main!$Q$12="Annual",1,IF(Main!$Q$12="Daily",$C$29,$C$29/$C$30))</f>
        <v>82.01</v>
      </c>
      <c r="L9" s="11">
        <f>_xll.BDP($E$1&amp;AU9&amp;" "&amp;Main!$T$12&amp;" Curncy","ASK")/IF(Main!$Q$12="Annual",1,IF(Main!$Q$12="Daily",$C$29,$C$29/$C$30))</f>
        <v>83.24</v>
      </c>
      <c r="M9" s="11">
        <f>_xll.BDP($E$1&amp;AV9&amp;" "&amp;Main!$T$12&amp;" Curncy","ASK")/IF(Main!$Q$12="Annual",1,IF(Main!$Q$12="Daily",$C$29,$C$29/$C$30))</f>
        <v>80.650000000000006</v>
      </c>
      <c r="N9" s="11">
        <f>_xll.BDP($E$1&amp;AW9&amp;" "&amp;Main!$T$12&amp;" Curncy","ASK")/IF(Main!$Q$12="Annual",1,IF(Main!$Q$12="Daily",$C$29,$C$29/$C$30))</f>
        <v>78.05</v>
      </c>
      <c r="O9" s="11">
        <f>_xll.BDP($E$1&amp;AX9&amp;" "&amp;Main!$T$12&amp;" Curncy","ASK")/IF(Main!$Q$12="Annual",1,IF(Main!$Q$12="Daily",$C$29,$C$29/$C$30))</f>
        <v>75.959999999999994</v>
      </c>
      <c r="P9" s="11">
        <f>_xll.BDP($E$1&amp;AY9&amp;" "&amp;Main!$T$12&amp;" Curncy","ASK")/IF(Main!$Q$12="Annual",1,IF(Main!$Q$12="Daily",$C$29,$C$29/$C$30))</f>
        <v>73.87</v>
      </c>
      <c r="AM9" t="s">
        <v>2493</v>
      </c>
      <c r="AN9" t="str">
        <f t="shared" ref="AN9:AY9" si="6">IF(TYPE="Norm.","SN1F",IF(TYPE="Log Norm.","SV1F",IF(TYPE="OIS Log Norm.","VER","NER")))&amp;AN$2</f>
        <v>SN1F1</v>
      </c>
      <c r="AO9" t="str">
        <f t="shared" si="6"/>
        <v>SN1F2</v>
      </c>
      <c r="AP9" t="str">
        <f t="shared" si="6"/>
        <v>SN1F3</v>
      </c>
      <c r="AQ9" t="str">
        <f t="shared" si="6"/>
        <v>SN1F4</v>
      </c>
      <c r="AR9" t="str">
        <f t="shared" si="6"/>
        <v>SN1F5</v>
      </c>
      <c r="AS9" t="str">
        <f t="shared" si="6"/>
        <v>SN1F6</v>
      </c>
      <c r="AT9" t="str">
        <f t="shared" si="6"/>
        <v>SN1F7</v>
      </c>
      <c r="AU9" t="str">
        <f t="shared" si="6"/>
        <v>SN1F10</v>
      </c>
      <c r="AV9" t="str">
        <f t="shared" si="6"/>
        <v>SN1F15</v>
      </c>
      <c r="AW9" t="str">
        <f t="shared" si="6"/>
        <v>SN1F20</v>
      </c>
      <c r="AX9" t="str">
        <f t="shared" si="6"/>
        <v>SN1F25</v>
      </c>
      <c r="AY9" t="str">
        <f t="shared" si="6"/>
        <v>SN1F30</v>
      </c>
    </row>
    <row r="10" spans="2:51" x14ac:dyDescent="0.2">
      <c r="D10" t="s">
        <v>2064</v>
      </c>
      <c r="E10" s="11">
        <f>_xll.BDP($E$1&amp;AN10&amp;" "&amp;Main!$T$12&amp;" Curncy","ASK")/IF(Main!$Q$12="Annual",1,IF(Main!$Q$12="Daily",$C$29,$C$29/$C$30))</f>
        <v>63.39</v>
      </c>
      <c r="F10" s="11">
        <f>_xll.BDP($E$1&amp;AO10&amp;" "&amp;Main!$T$12&amp;" Curncy","ASK")/IF(Main!$Q$12="Annual",1,IF(Main!$Q$12="Daily",$C$29,$C$29/$C$30))</f>
        <v>67.88</v>
      </c>
      <c r="G10" s="11">
        <f>_xll.BDP($E$1&amp;AP10&amp;" "&amp;Main!$T$12&amp;" Curncy","ASK")/IF(Main!$Q$12="Annual",1,IF(Main!$Q$12="Daily",$C$29,$C$29/$C$30))</f>
        <v>71.010000000000005</v>
      </c>
      <c r="H10" s="11">
        <f>_xll.BDP($E$1&amp;AQ10&amp;" "&amp;Main!$T$12&amp;" Curncy","ASK")/IF(Main!$Q$12="Annual",1,IF(Main!$Q$12="Daily",$C$29,$C$29/$C$30))</f>
        <v>73.52</v>
      </c>
      <c r="I10" s="11">
        <f>_xll.BDP($E$1&amp;AR10&amp;" "&amp;Main!$T$12&amp;" Curncy","ASK")/IF(Main!$Q$12="Annual",1,IF(Main!$Q$12="Daily",$C$29,$C$29/$C$30))</f>
        <v>74.25</v>
      </c>
      <c r="J10" s="11">
        <f>_xll.BDP($E$1&amp;AS10&amp;" "&amp;Main!$T$12&amp;" Curncy","ASK")/IF(Main!$Q$12="Annual",1,IF(Main!$Q$12="Daily",$C$29,$C$29/$C$30))</f>
        <v>75.599999999999994</v>
      </c>
      <c r="K10" s="11">
        <f>_xll.BDP($E$1&amp;AT10&amp;" "&amp;Main!$T$12&amp;" Curncy","ASK")/IF(Main!$Q$12="Annual",1,IF(Main!$Q$12="Daily",$C$29,$C$29/$C$30))</f>
        <v>76.599999999999994</v>
      </c>
      <c r="L10" s="11">
        <f>_xll.BDP($E$1&amp;AU10&amp;" "&amp;Main!$T$12&amp;" Curncy","ASK")/IF(Main!$Q$12="Annual",1,IF(Main!$Q$12="Daily",$C$29,$C$29/$C$30))</f>
        <v>77.87</v>
      </c>
      <c r="M10" s="11">
        <f>_xll.BDP($E$1&amp;AV10&amp;" "&amp;Main!$T$12&amp;" Curncy","ASK")/IF(Main!$Q$12="Annual",1,IF(Main!$Q$12="Daily",$C$29,$C$29/$C$30))</f>
        <v>76.75</v>
      </c>
      <c r="N10" s="11">
        <f>_xll.BDP($E$1&amp;AW10&amp;" "&amp;Main!$T$12&amp;" Curncy","ASK")/IF(Main!$Q$12="Annual",1,IF(Main!$Q$12="Daily",$C$29,$C$29/$C$30))</f>
        <v>75.08</v>
      </c>
      <c r="O10" s="11">
        <f>_xll.BDP($E$1&amp;AX10&amp;" "&amp;Main!$T$12&amp;" Curncy","ASK")/IF(Main!$Q$12="Annual",1,IF(Main!$Q$12="Daily",$C$29,$C$29/$C$30))</f>
        <v>74.95</v>
      </c>
      <c r="P10" s="11">
        <f>_xll.BDP($E$1&amp;AY10&amp;" "&amp;Main!$T$12&amp;" Curncy","ASK")/IF(Main!$Q$12="Annual",1,IF(Main!$Q$12="Daily",$C$29,$C$29/$C$30))</f>
        <v>74.849999999999994</v>
      </c>
      <c r="AM10">
        <v>2</v>
      </c>
      <c r="AN10" t="str">
        <f t="shared" ref="AN10:AY10" si="7">IF(TYPE="Norm.","SN0",IF(TYPE="Log Norm.","SV0",IF(TYPE="OIS Log Norm.","VE","NE")))&amp;"2"&amp;AN$2</f>
        <v>SN021</v>
      </c>
      <c r="AO10" t="str">
        <f t="shared" si="7"/>
        <v>SN022</v>
      </c>
      <c r="AP10" t="str">
        <f t="shared" si="7"/>
        <v>SN023</v>
      </c>
      <c r="AQ10" t="str">
        <f t="shared" si="7"/>
        <v>SN024</v>
      </c>
      <c r="AR10" t="str">
        <f t="shared" si="7"/>
        <v>SN025</v>
      </c>
      <c r="AS10" t="str">
        <f t="shared" si="7"/>
        <v>SN026</v>
      </c>
      <c r="AT10" t="str">
        <f t="shared" si="7"/>
        <v>SN027</v>
      </c>
      <c r="AU10" t="str">
        <f t="shared" si="7"/>
        <v>SN0210</v>
      </c>
      <c r="AV10" t="str">
        <f t="shared" si="7"/>
        <v>SN0215</v>
      </c>
      <c r="AW10" t="str">
        <f t="shared" si="7"/>
        <v>SN0220</v>
      </c>
      <c r="AX10" t="str">
        <f t="shared" si="7"/>
        <v>SN0225</v>
      </c>
      <c r="AY10" t="str">
        <f t="shared" si="7"/>
        <v>SN0230</v>
      </c>
    </row>
    <row r="11" spans="2:51" x14ac:dyDescent="0.2">
      <c r="D11" t="s">
        <v>2065</v>
      </c>
      <c r="E11" s="11">
        <f>_xll.BDP($E$1&amp;AN11&amp;" "&amp;Main!$T$12&amp;" Curncy","ASK")/IF(Main!$Q$12="Annual",1,IF(Main!$Q$12="Daily",$C$29,$C$29/$C$30))</f>
        <v>71.84</v>
      </c>
      <c r="F11" s="11">
        <f>_xll.BDP($E$1&amp;AO11&amp;" "&amp;Main!$T$12&amp;" Curncy","ASK")/IF(Main!$Q$12="Annual",1,IF(Main!$Q$12="Daily",$C$29,$C$29/$C$30))</f>
        <v>73.25</v>
      </c>
      <c r="G11" s="11">
        <f>_xll.BDP($E$1&amp;AP11&amp;" "&amp;Main!$T$12&amp;" Curncy","ASK")/IF(Main!$Q$12="Annual",1,IF(Main!$Q$12="Daily",$C$29,$C$29/$C$30))</f>
        <v>74.39</v>
      </c>
      <c r="H11" s="11">
        <f>_xll.BDP($E$1&amp;AQ11&amp;" "&amp;Main!$T$12&amp;" Curncy","ASK")/IF(Main!$Q$12="Annual",1,IF(Main!$Q$12="Daily",$C$29,$C$29/$C$30))</f>
        <v>76.28</v>
      </c>
      <c r="I11" s="11">
        <f>_xll.BDP($E$1&amp;AR11&amp;" "&amp;Main!$T$12&amp;" Curncy","ASK")/IF(Main!$Q$12="Annual",1,IF(Main!$Q$12="Daily",$C$29,$C$29/$C$30))</f>
        <v>77.06</v>
      </c>
      <c r="J11" s="11">
        <f>_xll.BDP($E$1&amp;AS11&amp;" "&amp;Main!$T$12&amp;" Curncy","ASK")/IF(Main!$Q$12="Annual",1,IF(Main!$Q$12="Daily",$C$29,$C$29/$C$30))</f>
        <v>77.930000000000007</v>
      </c>
      <c r="K11" s="11">
        <f>_xll.BDP($E$1&amp;AT11&amp;" "&amp;Main!$T$12&amp;" Curncy","ASK")/IF(Main!$Q$12="Annual",1,IF(Main!$Q$12="Daily",$C$29,$C$29/$C$30))</f>
        <v>78.66</v>
      </c>
      <c r="L11" s="11">
        <f>_xll.BDP($E$1&amp;AU11&amp;" "&amp;Main!$T$12&amp;" Curncy","ASK")/IF(Main!$Q$12="Annual",1,IF(Main!$Q$12="Daily",$C$29,$C$29/$C$30))</f>
        <v>79.06</v>
      </c>
      <c r="M11" s="11">
        <f>_xll.BDP($E$1&amp;AV11&amp;" "&amp;Main!$T$12&amp;" Curncy","ASK")/IF(Main!$Q$12="Annual",1,IF(Main!$Q$12="Daily",$C$29,$C$29/$C$30))</f>
        <v>77.150000000000006</v>
      </c>
      <c r="N11" s="11">
        <f>_xll.BDP($E$1&amp;AW11&amp;" "&amp;Main!$T$12&amp;" Curncy","ASK")/IF(Main!$Q$12="Annual",1,IF(Main!$Q$12="Daily",$C$29,$C$29/$C$30))</f>
        <v>74.36</v>
      </c>
      <c r="O11" s="11">
        <f>_xll.BDP($E$1&amp;AX11&amp;" "&amp;Main!$T$12&amp;" Curncy","ASK")/IF(Main!$Q$12="Annual",1,IF(Main!$Q$12="Daily",$C$29,$C$29/$C$30))</f>
        <v>74.290000000000006</v>
      </c>
      <c r="P11" s="11">
        <f>_xll.BDP($E$1&amp;AY11&amp;" "&amp;Main!$T$12&amp;" Curncy","ASK")/IF(Main!$Q$12="Annual",1,IF(Main!$Q$12="Daily",$C$29,$C$29/$C$30))</f>
        <v>73.87</v>
      </c>
      <c r="AM11">
        <v>3</v>
      </c>
      <c r="AN11" t="str">
        <f t="shared" ref="AN11:AY11" si="8">IF(TYPE="Norm.","SN0",IF(TYPE="Log Norm.","SV0",IF(TYPE="OIS Log Norm.","VE","NE")))&amp;"3"&amp;AN$2</f>
        <v>SN031</v>
      </c>
      <c r="AO11" t="str">
        <f t="shared" si="8"/>
        <v>SN032</v>
      </c>
      <c r="AP11" t="str">
        <f t="shared" si="8"/>
        <v>SN033</v>
      </c>
      <c r="AQ11" t="str">
        <f t="shared" si="8"/>
        <v>SN034</v>
      </c>
      <c r="AR11" t="str">
        <f t="shared" si="8"/>
        <v>SN035</v>
      </c>
      <c r="AS11" t="str">
        <f t="shared" si="8"/>
        <v>SN036</v>
      </c>
      <c r="AT11" t="str">
        <f t="shared" si="8"/>
        <v>SN037</v>
      </c>
      <c r="AU11" t="str">
        <f t="shared" si="8"/>
        <v>SN0310</v>
      </c>
      <c r="AV11" t="str">
        <f t="shared" si="8"/>
        <v>SN0315</v>
      </c>
      <c r="AW11" t="str">
        <f t="shared" si="8"/>
        <v>SN0320</v>
      </c>
      <c r="AX11" t="str">
        <f t="shared" si="8"/>
        <v>SN0325</v>
      </c>
      <c r="AY11" t="str">
        <f t="shared" si="8"/>
        <v>SN0330</v>
      </c>
    </row>
    <row r="12" spans="2:51" x14ac:dyDescent="0.2">
      <c r="D12" t="s">
        <v>2066</v>
      </c>
      <c r="E12" s="11">
        <f>_xll.BDP($E$1&amp;AN12&amp;" "&amp;Main!$T$12&amp;" Curncy","ASK")/IF(Main!$Q$12="Annual",1,IF(Main!$Q$12="Daily",$C$29,$C$29/$C$30))</f>
        <v>77.5</v>
      </c>
      <c r="F12" s="11">
        <f>_xll.BDP($E$1&amp;AO12&amp;" "&amp;Main!$T$12&amp;" Curncy","ASK")/IF(Main!$Q$12="Annual",1,IF(Main!$Q$12="Daily",$C$29,$C$29/$C$30))</f>
        <v>77.010000000000005</v>
      </c>
      <c r="G12" s="11">
        <f>_xll.BDP($E$1&amp;AP12&amp;" "&amp;Main!$T$12&amp;" Curncy","ASK")/IF(Main!$Q$12="Annual",1,IF(Main!$Q$12="Daily",$C$29,$C$29/$C$30))</f>
        <v>78.25</v>
      </c>
      <c r="H12" s="11">
        <f>_xll.BDP($E$1&amp;AQ12&amp;" "&amp;Main!$T$12&amp;" Curncy","ASK")/IF(Main!$Q$12="Annual",1,IF(Main!$Q$12="Daily",$C$29,$C$29/$C$30))</f>
        <v>78.55</v>
      </c>
      <c r="I12" s="11">
        <f>_xll.BDP($E$1&amp;AR12&amp;" "&amp;Main!$T$12&amp;" Curncy","ASK")/IF(Main!$Q$12="Annual",1,IF(Main!$Q$12="Daily",$C$29,$C$29/$C$30))</f>
        <v>78.77</v>
      </c>
      <c r="J12" s="11">
        <f>_xll.BDP($E$1&amp;AS12&amp;" "&amp;Main!$T$12&amp;" Curncy","ASK")/IF(Main!$Q$12="Annual",1,IF(Main!$Q$12="Daily",$C$29,$C$29/$C$30))</f>
        <v>79.23</v>
      </c>
      <c r="K12" s="11">
        <f>_xll.BDP($E$1&amp;AT12&amp;" "&amp;Main!$T$12&amp;" Curncy","ASK")/IF(Main!$Q$12="Annual",1,IF(Main!$Q$12="Daily",$C$29,$C$29/$C$30))</f>
        <v>79.78</v>
      </c>
      <c r="L12" s="11">
        <f>_xll.BDP($E$1&amp;AU12&amp;" "&amp;Main!$T$12&amp;" Curncy","ASK")/IF(Main!$Q$12="Annual",1,IF(Main!$Q$12="Daily",$C$29,$C$29/$C$30))</f>
        <v>79.540000000000006</v>
      </c>
      <c r="M12" s="11">
        <f>_xll.BDP($E$1&amp;AV12&amp;" "&amp;Main!$T$12&amp;" Curncy","ASK")/IF(Main!$Q$12="Annual",1,IF(Main!$Q$12="Daily",$C$29,$C$29/$C$30))</f>
        <v>75.87</v>
      </c>
      <c r="N12" s="11">
        <f>_xll.BDP($E$1&amp;AW12&amp;" "&amp;Main!$T$12&amp;" Curncy","ASK")/IF(Main!$Q$12="Annual",1,IF(Main!$Q$12="Daily",$C$29,$C$29/$C$30))</f>
        <v>73.34</v>
      </c>
      <c r="O12" s="11">
        <f>_xll.BDP($E$1&amp;AX12&amp;" "&amp;Main!$T$12&amp;" Curncy","ASK")/IF(Main!$Q$12="Annual",1,IF(Main!$Q$12="Daily",$C$29,$C$29/$C$30))</f>
        <v>73.11</v>
      </c>
      <c r="P12" s="11">
        <f>_xll.BDP($E$1&amp;AY12&amp;" "&amp;Main!$T$12&amp;" Curncy","ASK")/IF(Main!$Q$12="Annual",1,IF(Main!$Q$12="Daily",$C$29,$C$29/$C$30))</f>
        <v>72.39</v>
      </c>
      <c r="AM12">
        <v>4</v>
      </c>
      <c r="AN12" t="str">
        <f t="shared" ref="AN12:AY12" si="9">IF(TYPE="Norm.","SN0",IF(TYPE="Log Norm.","SV0",IF(TYPE="OIS Log Norm.","VE","NE")))&amp;"4"&amp;AN$2</f>
        <v>SN041</v>
      </c>
      <c r="AO12" t="str">
        <f t="shared" si="9"/>
        <v>SN042</v>
      </c>
      <c r="AP12" t="str">
        <f t="shared" si="9"/>
        <v>SN043</v>
      </c>
      <c r="AQ12" t="str">
        <f t="shared" si="9"/>
        <v>SN044</v>
      </c>
      <c r="AR12" t="str">
        <f t="shared" si="9"/>
        <v>SN045</v>
      </c>
      <c r="AS12" t="str">
        <f t="shared" si="9"/>
        <v>SN046</v>
      </c>
      <c r="AT12" t="str">
        <f t="shared" si="9"/>
        <v>SN047</v>
      </c>
      <c r="AU12" t="str">
        <f t="shared" si="9"/>
        <v>SN0410</v>
      </c>
      <c r="AV12" t="str">
        <f t="shared" si="9"/>
        <v>SN0415</v>
      </c>
      <c r="AW12" t="str">
        <f t="shared" si="9"/>
        <v>SN0420</v>
      </c>
      <c r="AX12" t="str">
        <f t="shared" si="9"/>
        <v>SN0425</v>
      </c>
      <c r="AY12" t="str">
        <f t="shared" si="9"/>
        <v>SN0430</v>
      </c>
    </row>
    <row r="13" spans="2:51" x14ac:dyDescent="0.2">
      <c r="D13" t="s">
        <v>2067</v>
      </c>
      <c r="E13" s="11">
        <f>_xll.BDP($E$1&amp;AN13&amp;" "&amp;Main!$T$12&amp;" Curncy","ASK")/IF(Main!$Q$12="Annual",1,IF(Main!$Q$12="Daily",$C$29,$C$29/$C$30))</f>
        <v>78.91</v>
      </c>
      <c r="F13" s="11">
        <f>_xll.BDP($E$1&amp;AO13&amp;" "&amp;Main!$T$12&amp;" Curncy","ASK")/IF(Main!$Q$12="Annual",1,IF(Main!$Q$12="Daily",$C$29,$C$29/$C$30))</f>
        <v>80</v>
      </c>
      <c r="G13" s="11">
        <f>_xll.BDP($E$1&amp;AP13&amp;" "&amp;Main!$T$12&amp;" Curncy","ASK")/IF(Main!$Q$12="Annual",1,IF(Main!$Q$12="Daily",$C$29,$C$29/$C$30))</f>
        <v>79.45</v>
      </c>
      <c r="H13" s="11">
        <f>_xll.BDP($E$1&amp;AQ13&amp;" "&amp;Main!$T$12&amp;" Curncy","ASK")/IF(Main!$Q$12="Annual",1,IF(Main!$Q$12="Daily",$C$29,$C$29/$C$30))</f>
        <v>80.06</v>
      </c>
      <c r="I13" s="11">
        <f>_xll.BDP($E$1&amp;AR13&amp;" "&amp;Main!$T$12&amp;" Curncy","ASK")/IF(Main!$Q$12="Annual",1,IF(Main!$Q$12="Daily",$C$29,$C$29/$C$30))</f>
        <v>80</v>
      </c>
      <c r="J13" s="11">
        <f>_xll.BDP($E$1&amp;AS13&amp;" "&amp;Main!$T$12&amp;" Curncy","ASK")/IF(Main!$Q$12="Annual",1,IF(Main!$Q$12="Daily",$C$29,$C$29/$C$30))</f>
        <v>80.06</v>
      </c>
      <c r="K13" s="11">
        <f>_xll.BDP($E$1&amp;AT13&amp;" "&amp;Main!$T$12&amp;" Curncy","ASK")/IF(Main!$Q$12="Annual",1,IF(Main!$Q$12="Daily",$C$29,$C$29/$C$30))</f>
        <v>80.31</v>
      </c>
      <c r="L13" s="11">
        <f>_xll.BDP($E$1&amp;AU13&amp;" "&amp;Main!$T$12&amp;" Curncy","ASK")/IF(Main!$Q$12="Annual",1,IF(Main!$Q$12="Daily",$C$29,$C$29/$C$30))</f>
        <v>79.8</v>
      </c>
      <c r="M13" s="11">
        <f>_xll.BDP($E$1&amp;AV13&amp;" "&amp;Main!$T$12&amp;" Curncy","ASK")/IF(Main!$Q$12="Annual",1,IF(Main!$Q$12="Daily",$C$29,$C$29/$C$30))</f>
        <v>75.47</v>
      </c>
      <c r="N13" s="11">
        <f>_xll.BDP($E$1&amp;AW13&amp;" "&amp;Main!$T$12&amp;" Curncy","ASK")/IF(Main!$Q$12="Annual",1,IF(Main!$Q$12="Daily",$C$29,$C$29/$C$30))</f>
        <v>72.3</v>
      </c>
      <c r="O13" s="11">
        <f>_xll.BDP($E$1&amp;AX13&amp;" "&amp;Main!$T$12&amp;" Curncy","ASK")/IF(Main!$Q$12="Annual",1,IF(Main!$Q$12="Daily",$C$29,$C$29/$C$30))</f>
        <v>72.069999999999993</v>
      </c>
      <c r="P13" s="11">
        <f>_xll.BDP($E$1&amp;AY13&amp;" "&amp;Main!$T$12&amp;" Curncy","ASK")/IF(Main!$Q$12="Annual",1,IF(Main!$Q$12="Daily",$C$29,$C$29/$C$30))</f>
        <v>71.39</v>
      </c>
      <c r="AM13">
        <v>5</v>
      </c>
      <c r="AN13" t="str">
        <f t="shared" ref="AN13:AY13" si="10">IF(TYPE="Norm.","SN0",IF(TYPE="Log Norm.","SV0",IF(TYPE="OIS Log Norm.","VE","NE")))&amp;"5"&amp;AN$2</f>
        <v>SN051</v>
      </c>
      <c r="AO13" t="str">
        <f t="shared" si="10"/>
        <v>SN052</v>
      </c>
      <c r="AP13" t="str">
        <f t="shared" si="10"/>
        <v>SN053</v>
      </c>
      <c r="AQ13" t="str">
        <f t="shared" si="10"/>
        <v>SN054</v>
      </c>
      <c r="AR13" t="str">
        <f t="shared" si="10"/>
        <v>SN055</v>
      </c>
      <c r="AS13" t="str">
        <f t="shared" si="10"/>
        <v>SN056</v>
      </c>
      <c r="AT13" t="str">
        <f t="shared" si="10"/>
        <v>SN057</v>
      </c>
      <c r="AU13" t="str">
        <f t="shared" si="10"/>
        <v>SN0510</v>
      </c>
      <c r="AV13" t="str">
        <f t="shared" si="10"/>
        <v>SN0515</v>
      </c>
      <c r="AW13" t="str">
        <f t="shared" si="10"/>
        <v>SN0520</v>
      </c>
      <c r="AX13" t="str">
        <f t="shared" si="10"/>
        <v>SN0525</v>
      </c>
      <c r="AY13" t="str">
        <f t="shared" si="10"/>
        <v>SN0530</v>
      </c>
    </row>
    <row r="14" spans="2:51" x14ac:dyDescent="0.2">
      <c r="D14" t="s">
        <v>2068</v>
      </c>
      <c r="E14" s="11">
        <f>_xll.BDP($E$1&amp;AN14&amp;" "&amp;Main!$T$12&amp;" Curncy","ASK")/IF(Main!$Q$12="Annual",1,IF(Main!$Q$12="Daily",$C$29,$C$29/$C$30))</f>
        <v>79.92</v>
      </c>
      <c r="F14" s="11" t="e">
        <f>_xll.BDP($E$1&amp;AO14&amp;" "&amp;Main!$T$12&amp;" Curncy","ASK")/IF(Main!$Q$12="Annual",1,IF(Main!$Q$12="Daily",$C$29,$C$29/$C$30))</f>
        <v>#VALUE!</v>
      </c>
      <c r="G14" s="11" t="e">
        <f>_xll.BDP($E$1&amp;AP14&amp;" "&amp;Main!$T$12&amp;" Curncy","ASK")/IF(Main!$Q$12="Annual",1,IF(Main!$Q$12="Daily",$C$29,$C$29/$C$30))</f>
        <v>#VALUE!</v>
      </c>
      <c r="H14" s="11" t="e">
        <f>_xll.BDP($E$1&amp;AQ14&amp;" "&amp;Main!$T$12&amp;" Curncy","ASK")/IF(Main!$Q$12="Annual",1,IF(Main!$Q$12="Daily",$C$29,$C$29/$C$30))</f>
        <v>#VALUE!</v>
      </c>
      <c r="I14" s="11" t="e">
        <f>_xll.BDP($E$1&amp;AR14&amp;" "&amp;Main!$T$12&amp;" Curncy","ASK")/IF(Main!$Q$12="Annual",1,IF(Main!$Q$12="Daily",$C$29,$C$29/$C$30))</f>
        <v>#VALUE!</v>
      </c>
      <c r="J14" s="11" t="e">
        <f>_xll.BDP($E$1&amp;AS14&amp;" "&amp;Main!$T$12&amp;" Curncy","ASK")/IF(Main!$Q$12="Annual",1,IF(Main!$Q$12="Daily",$C$29,$C$29/$C$30))</f>
        <v>#VALUE!</v>
      </c>
      <c r="K14" s="11" t="e">
        <f>_xll.BDP($E$1&amp;AT14&amp;" "&amp;Main!$T$12&amp;" Curncy","ASK")/IF(Main!$Q$12="Annual",1,IF(Main!$Q$12="Daily",$C$29,$C$29/$C$30))</f>
        <v>#VALUE!</v>
      </c>
      <c r="L14" s="11" t="e">
        <f>_xll.BDP($E$1&amp;AU14&amp;" "&amp;Main!$T$12&amp;" Curncy","ASK")/IF(Main!$Q$12="Annual",1,IF(Main!$Q$12="Daily",$C$29,$C$29/$C$30))</f>
        <v>#VALUE!</v>
      </c>
      <c r="M14" s="11" t="e">
        <f>_xll.BDP($E$1&amp;AV14&amp;" "&amp;Main!$T$12&amp;" Curncy","ASK")/IF(Main!$Q$12="Annual",1,IF(Main!$Q$12="Daily",$C$29,$C$29/$C$30))</f>
        <v>#VALUE!</v>
      </c>
      <c r="N14" s="11" t="e">
        <f>_xll.BDP($E$1&amp;AW14&amp;" "&amp;Main!$T$12&amp;" Curncy","ASK")/IF(Main!$Q$12="Annual",1,IF(Main!$Q$12="Daily",$C$29,$C$29/$C$30))</f>
        <v>#VALUE!</v>
      </c>
      <c r="O14" s="11" t="e">
        <f>_xll.BDP($E$1&amp;AX14&amp;" "&amp;Main!$T$12&amp;" Curncy","ASK")/IF(Main!$Q$12="Annual",1,IF(Main!$Q$12="Daily",$C$29,$C$29/$C$30))</f>
        <v>#VALUE!</v>
      </c>
      <c r="P14" s="11" t="e">
        <f>_xll.BDP($E$1&amp;AY14&amp;" "&amp;Main!$T$12&amp;" Curncy","ASK")/IF(Main!$Q$12="Annual",1,IF(Main!$Q$12="Daily",$C$29,$C$29/$C$30))</f>
        <v>#VALUE!</v>
      </c>
      <c r="AM14">
        <v>6</v>
      </c>
      <c r="AN14" t="str">
        <f t="shared" ref="AN14:AY14" si="11">IF(TYPE="Norm.","SN0",IF(TYPE="Log Norm.","SV0",IF(TYPE="OIS Log Norm.","VE","NE")))&amp;"6"&amp;AN$2</f>
        <v>SN061</v>
      </c>
      <c r="AO14" t="str">
        <f t="shared" si="11"/>
        <v>SN062</v>
      </c>
      <c r="AP14" t="str">
        <f t="shared" si="11"/>
        <v>SN063</v>
      </c>
      <c r="AQ14" t="str">
        <f t="shared" si="11"/>
        <v>SN064</v>
      </c>
      <c r="AR14" t="str">
        <f t="shared" si="11"/>
        <v>SN065</v>
      </c>
      <c r="AS14" t="str">
        <f t="shared" si="11"/>
        <v>SN066</v>
      </c>
      <c r="AT14" t="str">
        <f t="shared" si="11"/>
        <v>SN067</v>
      </c>
      <c r="AU14" t="str">
        <f t="shared" si="11"/>
        <v>SN0610</v>
      </c>
      <c r="AV14" t="str">
        <f t="shared" si="11"/>
        <v>SN0615</v>
      </c>
      <c r="AW14" t="str">
        <f t="shared" si="11"/>
        <v>SN0620</v>
      </c>
      <c r="AX14" t="str">
        <f t="shared" si="11"/>
        <v>SN0625</v>
      </c>
      <c r="AY14" t="str">
        <f t="shared" si="11"/>
        <v>SN0630</v>
      </c>
    </row>
    <row r="15" spans="2:51" x14ac:dyDescent="0.2">
      <c r="D15" t="s">
        <v>2069</v>
      </c>
      <c r="E15" s="11">
        <f>_xll.BDP($E$1&amp;AN15&amp;" "&amp;Main!$T$12&amp;" Curncy","ASK")/IF(Main!$Q$12="Annual",1,IF(Main!$Q$12="Daily",$C$29,$C$29/$C$30))</f>
        <v>80.48</v>
      </c>
      <c r="F15" s="11">
        <f>_xll.BDP($E$1&amp;AO15&amp;" "&amp;Main!$T$12&amp;" Curncy","ASK")/IF(Main!$Q$12="Annual",1,IF(Main!$Q$12="Daily",$C$29,$C$29/$C$30))</f>
        <v>80.14</v>
      </c>
      <c r="G15" s="11">
        <f>_xll.BDP($E$1&amp;AP15&amp;" "&amp;Main!$T$12&amp;" Curncy","ASK")/IF(Main!$Q$12="Annual",1,IF(Main!$Q$12="Daily",$C$29,$C$29/$C$30))</f>
        <v>80.08</v>
      </c>
      <c r="H15" s="11">
        <f>_xll.BDP($E$1&amp;AQ15&amp;" "&amp;Main!$T$12&amp;" Curncy","ASK")/IF(Main!$Q$12="Annual",1,IF(Main!$Q$12="Daily",$C$29,$C$29/$C$30))</f>
        <v>79.73</v>
      </c>
      <c r="I15" s="11">
        <f>_xll.BDP($E$1&amp;AR15&amp;" "&amp;Main!$T$12&amp;" Curncy","ASK")/IF(Main!$Q$12="Annual",1,IF(Main!$Q$12="Daily",$C$29,$C$29/$C$30))</f>
        <v>79.569999999999993</v>
      </c>
      <c r="J15" s="11">
        <f>_xll.BDP($E$1&amp;AS15&amp;" "&amp;Main!$T$12&amp;" Curncy","ASK")/IF(Main!$Q$12="Annual",1,IF(Main!$Q$12="Daily",$C$29,$C$29/$C$30))</f>
        <v>78.91</v>
      </c>
      <c r="K15" s="11">
        <f>_xll.BDP($E$1&amp;AT15&amp;" "&amp;Main!$T$12&amp;" Curncy","ASK")/IF(Main!$Q$12="Annual",1,IF(Main!$Q$12="Daily",$C$29,$C$29/$C$30))</f>
        <v>78.44</v>
      </c>
      <c r="L15" s="11">
        <f>_xll.BDP($E$1&amp;AU15&amp;" "&amp;Main!$T$12&amp;" Curncy","ASK")/IF(Main!$Q$12="Annual",1,IF(Main!$Q$12="Daily",$C$29,$C$29/$C$30))</f>
        <v>77.42</v>
      </c>
      <c r="M15" s="11">
        <f>_xll.BDP($E$1&amp;AV15&amp;" "&amp;Main!$T$12&amp;" Curncy","ASK")/IF(Main!$Q$12="Annual",1,IF(Main!$Q$12="Daily",$C$29,$C$29/$C$30))</f>
        <v>72.81</v>
      </c>
      <c r="N15" s="11">
        <f>_xll.BDP($E$1&amp;AW15&amp;" "&amp;Main!$T$12&amp;" Curncy","ASK")/IF(Main!$Q$12="Annual",1,IF(Main!$Q$12="Daily",$C$29,$C$29/$C$30))</f>
        <v>69.959999999999994</v>
      </c>
      <c r="O15" s="11">
        <f>_xll.BDP($E$1&amp;AX15&amp;" "&amp;Main!$T$12&amp;" Curncy","ASK")/IF(Main!$Q$12="Annual",1,IF(Main!$Q$12="Daily",$C$29,$C$29/$C$30))</f>
        <v>68.930000000000007</v>
      </c>
      <c r="P15" s="11">
        <f>_xll.BDP($E$1&amp;AY15&amp;" "&amp;Main!$T$12&amp;" Curncy","ASK")/IF(Main!$Q$12="Annual",1,IF(Main!$Q$12="Daily",$C$29,$C$29/$C$30))</f>
        <v>68.709999999999994</v>
      </c>
      <c r="AM15">
        <v>7</v>
      </c>
      <c r="AN15" t="str">
        <f t="shared" ref="AN15:AY15" si="12">IF(TYPE="Norm.","SN0",IF(TYPE="Log Norm.","SV0",IF(TYPE="OIS Log Norm.","VE","NE")))&amp;"7"&amp;AN$2</f>
        <v>SN071</v>
      </c>
      <c r="AO15" t="str">
        <f t="shared" si="12"/>
        <v>SN072</v>
      </c>
      <c r="AP15" t="str">
        <f t="shared" si="12"/>
        <v>SN073</v>
      </c>
      <c r="AQ15" t="str">
        <f t="shared" si="12"/>
        <v>SN074</v>
      </c>
      <c r="AR15" t="str">
        <f t="shared" si="12"/>
        <v>SN075</v>
      </c>
      <c r="AS15" t="str">
        <f t="shared" si="12"/>
        <v>SN076</v>
      </c>
      <c r="AT15" t="str">
        <f t="shared" si="12"/>
        <v>SN077</v>
      </c>
      <c r="AU15" t="str">
        <f t="shared" si="12"/>
        <v>SN0710</v>
      </c>
      <c r="AV15" t="str">
        <f t="shared" si="12"/>
        <v>SN0715</v>
      </c>
      <c r="AW15" t="str">
        <f t="shared" si="12"/>
        <v>SN0720</v>
      </c>
      <c r="AX15" t="str">
        <f t="shared" si="12"/>
        <v>SN0725</v>
      </c>
      <c r="AY15" t="str">
        <f t="shared" si="12"/>
        <v>SN0730</v>
      </c>
    </row>
    <row r="16" spans="2:51" x14ac:dyDescent="0.2">
      <c r="D16" t="s">
        <v>2070</v>
      </c>
      <c r="E16" s="11">
        <f>_xll.BDP($E$1&amp;AN16&amp;" "&amp;Main!$T$12&amp;" Curncy","ASK")/IF(Main!$Q$12="Annual",1,IF(Main!$Q$12="Daily",$C$29,$C$29/$C$30))</f>
        <v>78.7</v>
      </c>
      <c r="F16" s="11" t="e">
        <f>_xll.BDP($E$1&amp;AO16&amp;" "&amp;Main!$T$12&amp;" Curncy","ASK")/IF(Main!$Q$12="Annual",1,IF(Main!$Q$12="Daily",$C$29,$C$29/$C$30))</f>
        <v>#VALUE!</v>
      </c>
      <c r="G16" s="11" t="e">
        <f>_xll.BDP($E$1&amp;AP16&amp;" "&amp;Main!$T$12&amp;" Curncy","ASK")/IF(Main!$Q$12="Annual",1,IF(Main!$Q$12="Daily",$C$29,$C$29/$C$30))</f>
        <v>#VALUE!</v>
      </c>
      <c r="H16" s="11" t="e">
        <f>_xll.BDP($E$1&amp;AQ16&amp;" "&amp;Main!$T$12&amp;" Curncy","ASK")/IF(Main!$Q$12="Annual",1,IF(Main!$Q$12="Daily",$C$29,$C$29/$C$30))</f>
        <v>#VALUE!</v>
      </c>
      <c r="I16" s="11" t="e">
        <f>_xll.BDP($E$1&amp;AR16&amp;" "&amp;Main!$T$12&amp;" Curncy","ASK")/IF(Main!$Q$12="Annual",1,IF(Main!$Q$12="Daily",$C$29,$C$29/$C$30))</f>
        <v>#VALUE!</v>
      </c>
      <c r="J16" s="11" t="e">
        <f>_xll.BDP($E$1&amp;AS16&amp;" "&amp;Main!$T$12&amp;" Curncy","ASK")/IF(Main!$Q$12="Annual",1,IF(Main!$Q$12="Daily",$C$29,$C$29/$C$30))</f>
        <v>#VALUE!</v>
      </c>
      <c r="K16" s="11" t="e">
        <f>_xll.BDP($E$1&amp;AT16&amp;" "&amp;Main!$T$12&amp;" Curncy","ASK")/IF(Main!$Q$12="Annual",1,IF(Main!$Q$12="Daily",$C$29,$C$29/$C$30))</f>
        <v>#VALUE!</v>
      </c>
      <c r="L16" s="11" t="e">
        <f>_xll.BDP($E$1&amp;AU16&amp;" "&amp;Main!$T$12&amp;" Curncy","ASK")/IF(Main!$Q$12="Annual",1,IF(Main!$Q$12="Daily",$C$29,$C$29/$C$30))</f>
        <v>#VALUE!</v>
      </c>
      <c r="M16" s="11" t="e">
        <f>_xll.BDP($E$1&amp;AV16&amp;" "&amp;Main!$T$12&amp;" Curncy","ASK")/IF(Main!$Q$12="Annual",1,IF(Main!$Q$12="Daily",$C$29,$C$29/$C$30))</f>
        <v>#VALUE!</v>
      </c>
      <c r="N16" s="11" t="e">
        <f>_xll.BDP($E$1&amp;AW16&amp;" "&amp;Main!$T$12&amp;" Curncy","ASK")/IF(Main!$Q$12="Annual",1,IF(Main!$Q$12="Daily",$C$29,$C$29/$C$30))</f>
        <v>#VALUE!</v>
      </c>
      <c r="O16" s="11" t="e">
        <f>_xll.BDP($E$1&amp;AX16&amp;" "&amp;Main!$T$12&amp;" Curncy","ASK")/IF(Main!$Q$12="Annual",1,IF(Main!$Q$12="Daily",$C$29,$C$29/$C$30))</f>
        <v>#VALUE!</v>
      </c>
      <c r="P16" s="11" t="e">
        <f>_xll.BDP($E$1&amp;AY16&amp;" "&amp;Main!$T$12&amp;" Curncy","ASK")/IF(Main!$Q$12="Annual",1,IF(Main!$Q$12="Daily",$C$29,$C$29/$C$30))</f>
        <v>#VALUE!</v>
      </c>
      <c r="AM16">
        <v>8</v>
      </c>
      <c r="AN16" t="str">
        <f t="shared" ref="AN16:AY16" si="13">IF(TYPE="Norm.","SN0",IF(TYPE="Log Norm.","SV0",IF(TYPE="OIS Log Norm.","VE","NE")))&amp;"8"&amp;AN$2</f>
        <v>SN081</v>
      </c>
      <c r="AO16" t="str">
        <f t="shared" si="13"/>
        <v>SN082</v>
      </c>
      <c r="AP16" t="str">
        <f t="shared" si="13"/>
        <v>SN083</v>
      </c>
      <c r="AQ16" t="str">
        <f t="shared" si="13"/>
        <v>SN084</v>
      </c>
      <c r="AR16" t="str">
        <f t="shared" si="13"/>
        <v>SN085</v>
      </c>
      <c r="AS16" t="str">
        <f t="shared" si="13"/>
        <v>SN086</v>
      </c>
      <c r="AT16" t="str">
        <f t="shared" si="13"/>
        <v>SN087</v>
      </c>
      <c r="AU16" t="str">
        <f t="shared" si="13"/>
        <v>SN0810</v>
      </c>
      <c r="AV16" t="str">
        <f t="shared" si="13"/>
        <v>SN0815</v>
      </c>
      <c r="AW16" t="str">
        <f t="shared" si="13"/>
        <v>SN0820</v>
      </c>
      <c r="AX16" t="str">
        <f t="shared" si="13"/>
        <v>SN0825</v>
      </c>
      <c r="AY16" t="str">
        <f t="shared" si="13"/>
        <v>SN0830</v>
      </c>
    </row>
    <row r="17" spans="2:51" x14ac:dyDescent="0.2">
      <c r="D17" t="s">
        <v>2071</v>
      </c>
      <c r="E17" s="11">
        <f>_xll.BDP($E$1&amp;AN17&amp;" "&amp;Main!$T$12&amp;" Curncy","ASK")/IF(Main!$Q$12="Annual",1,IF(Main!$Q$12="Daily",$C$29,$C$29/$C$30))</f>
        <v>78.400000000000006</v>
      </c>
      <c r="F17" s="11" t="e">
        <f>_xll.BDP($E$1&amp;AO17&amp;" "&amp;Main!$T$12&amp;" Curncy","ASK")/IF(Main!$Q$12="Annual",1,IF(Main!$Q$12="Daily",$C$29,$C$29/$C$30))</f>
        <v>#VALUE!</v>
      </c>
      <c r="G17" s="11" t="e">
        <f>_xll.BDP($E$1&amp;AP17&amp;" "&amp;Main!$T$12&amp;" Curncy","ASK")/IF(Main!$Q$12="Annual",1,IF(Main!$Q$12="Daily",$C$29,$C$29/$C$30))</f>
        <v>#VALUE!</v>
      </c>
      <c r="H17" s="11" t="e">
        <f>_xll.BDP($E$1&amp;AQ17&amp;" "&amp;Main!$T$12&amp;" Curncy","ASK")/IF(Main!$Q$12="Annual",1,IF(Main!$Q$12="Daily",$C$29,$C$29/$C$30))</f>
        <v>#VALUE!</v>
      </c>
      <c r="I17" s="11" t="e">
        <f>_xll.BDP($E$1&amp;AR17&amp;" "&amp;Main!$T$12&amp;" Curncy","ASK")/IF(Main!$Q$12="Annual",1,IF(Main!$Q$12="Daily",$C$29,$C$29/$C$30))</f>
        <v>#VALUE!</v>
      </c>
      <c r="J17" s="11" t="e">
        <f>_xll.BDP($E$1&amp;AS17&amp;" "&amp;Main!$T$12&amp;" Curncy","ASK")/IF(Main!$Q$12="Annual",1,IF(Main!$Q$12="Daily",$C$29,$C$29/$C$30))</f>
        <v>#VALUE!</v>
      </c>
      <c r="K17" s="11" t="e">
        <f>_xll.BDP($E$1&amp;AT17&amp;" "&amp;Main!$T$12&amp;" Curncy","ASK")/IF(Main!$Q$12="Annual",1,IF(Main!$Q$12="Daily",$C$29,$C$29/$C$30))</f>
        <v>#VALUE!</v>
      </c>
      <c r="L17" s="11" t="e">
        <f>_xll.BDP($E$1&amp;AU17&amp;" "&amp;Main!$T$12&amp;" Curncy","ASK")/IF(Main!$Q$12="Annual",1,IF(Main!$Q$12="Daily",$C$29,$C$29/$C$30))</f>
        <v>#VALUE!</v>
      </c>
      <c r="M17" s="11" t="e">
        <f>_xll.BDP($E$1&amp;AV17&amp;" "&amp;Main!$T$12&amp;" Curncy","ASK")/IF(Main!$Q$12="Annual",1,IF(Main!$Q$12="Daily",$C$29,$C$29/$C$30))</f>
        <v>#VALUE!</v>
      </c>
      <c r="N17" s="11" t="e">
        <f>_xll.BDP($E$1&amp;AW17&amp;" "&amp;Main!$T$12&amp;" Curncy","ASK")/IF(Main!$Q$12="Annual",1,IF(Main!$Q$12="Daily",$C$29,$C$29/$C$30))</f>
        <v>#VALUE!</v>
      </c>
      <c r="O17" s="11" t="e">
        <f>_xll.BDP($E$1&amp;AX17&amp;" "&amp;Main!$T$12&amp;" Curncy","ASK")/IF(Main!$Q$12="Annual",1,IF(Main!$Q$12="Daily",$C$29,$C$29/$C$30))</f>
        <v>#VALUE!</v>
      </c>
      <c r="P17" s="11" t="e">
        <f>_xll.BDP($E$1&amp;AY17&amp;" "&amp;Main!$T$12&amp;" Curncy","ASK")/IF(Main!$Q$12="Annual",1,IF(Main!$Q$12="Daily",$C$29,$C$29/$C$30))</f>
        <v>#VALUE!</v>
      </c>
      <c r="AM17">
        <v>9</v>
      </c>
      <c r="AN17" t="str">
        <f t="shared" ref="AN17:AY17" si="14">IF(TYPE="Norm.","SN0",IF(TYPE="Log Norm.","SV0",IF(TYPE="OIS Log Norm.","VE","NE")))&amp;"9"&amp;AN$2</f>
        <v>SN091</v>
      </c>
      <c r="AO17" t="str">
        <f t="shared" si="14"/>
        <v>SN092</v>
      </c>
      <c r="AP17" t="str">
        <f t="shared" si="14"/>
        <v>SN093</v>
      </c>
      <c r="AQ17" t="str">
        <f t="shared" si="14"/>
        <v>SN094</v>
      </c>
      <c r="AR17" t="str">
        <f t="shared" si="14"/>
        <v>SN095</v>
      </c>
      <c r="AS17" t="str">
        <f t="shared" si="14"/>
        <v>SN096</v>
      </c>
      <c r="AT17" t="str">
        <f t="shared" si="14"/>
        <v>SN097</v>
      </c>
      <c r="AU17" t="str">
        <f t="shared" si="14"/>
        <v>SN0910</v>
      </c>
      <c r="AV17" t="str">
        <f t="shared" si="14"/>
        <v>SN0915</v>
      </c>
      <c r="AW17" t="str">
        <f t="shared" si="14"/>
        <v>SN0920</v>
      </c>
      <c r="AX17" t="str">
        <f t="shared" si="14"/>
        <v>SN0925</v>
      </c>
      <c r="AY17" t="str">
        <f t="shared" si="14"/>
        <v>SN0930</v>
      </c>
    </row>
    <row r="18" spans="2:51" x14ac:dyDescent="0.2">
      <c r="B18" s="8" t="s">
        <v>29</v>
      </c>
      <c r="D18" t="s">
        <v>2072</v>
      </c>
      <c r="E18" s="11">
        <f>_xll.BDP($E$1&amp;AN18&amp;" "&amp;Main!$T$12&amp;" Curncy","ASK")/IF(Main!$Q$12="Annual",1,IF(Main!$Q$12="Daily",$C$29,$C$29/$C$30))</f>
        <v>87.46</v>
      </c>
      <c r="F18" s="11">
        <f>_xll.BDP($E$1&amp;AO18&amp;" "&amp;Main!$T$12&amp;" Curncy","ASK")/IF(Main!$Q$12="Annual",1,IF(Main!$Q$12="Daily",$C$29,$C$29/$C$30))</f>
        <v>84.6</v>
      </c>
      <c r="G18" s="11">
        <f>_xll.BDP($E$1&amp;AP18&amp;" "&amp;Main!$T$12&amp;" Curncy","ASK")/IF(Main!$Q$12="Annual",1,IF(Main!$Q$12="Daily",$C$29,$C$29/$C$30))</f>
        <v>81.73</v>
      </c>
      <c r="H18" s="11">
        <f>_xll.BDP($E$1&amp;AQ18&amp;" "&amp;Main!$T$12&amp;" Curncy","ASK")/IF(Main!$Q$12="Annual",1,IF(Main!$Q$12="Daily",$C$29,$C$29/$C$30))</f>
        <v>78.87</v>
      </c>
      <c r="I18" s="11">
        <f>_xll.BDP($E$1&amp;AR18&amp;" "&amp;Main!$T$12&amp;" Curncy","ASK")/IF(Main!$Q$12="Annual",1,IF(Main!$Q$12="Daily",$C$29,$C$29/$C$30))</f>
        <v>76</v>
      </c>
      <c r="J18" s="11">
        <f>_xll.BDP($E$1&amp;AS18&amp;" "&amp;Main!$T$12&amp;" Curncy","ASK")/IF(Main!$Q$12="Annual",1,IF(Main!$Q$12="Daily",$C$29,$C$29/$C$30))</f>
        <v>76.75</v>
      </c>
      <c r="K18" s="11">
        <f>_xll.BDP($E$1&amp;AT18&amp;" "&amp;Main!$T$12&amp;" Curncy","ASK")/IF(Main!$Q$12="Annual",1,IF(Main!$Q$12="Daily",$C$29,$C$29/$C$30))</f>
        <v>77.510000000000005</v>
      </c>
      <c r="L18" s="11">
        <f>_xll.BDP($E$1&amp;AU18&amp;" "&amp;Main!$T$12&amp;" Curncy","ASK")/IF(Main!$Q$12="Annual",1,IF(Main!$Q$12="Daily",$C$29,$C$29/$C$30))</f>
        <v>73.31</v>
      </c>
      <c r="M18" s="11">
        <f>_xll.BDP($E$1&amp;AV18&amp;" "&amp;Main!$T$12&amp;" Curncy","ASK")/IF(Main!$Q$12="Annual",1,IF(Main!$Q$12="Daily",$C$29,$C$29/$C$30))</f>
        <v>73.739999999999995</v>
      </c>
      <c r="N18" s="11">
        <f>_xll.BDP($E$1&amp;AW18&amp;" "&amp;Main!$T$12&amp;" Curncy","ASK")/IF(Main!$Q$12="Annual",1,IF(Main!$Q$12="Daily",$C$29,$C$29/$C$30))</f>
        <v>67.709999999999994</v>
      </c>
      <c r="O18" s="11">
        <f>_xll.BDP($E$1&amp;AX18&amp;" "&amp;Main!$T$12&amp;" Curncy","ASK")/IF(Main!$Q$12="Annual",1,IF(Main!$Q$12="Daily",$C$29,$C$29/$C$30))</f>
        <v>65.239999999999995</v>
      </c>
      <c r="P18" s="11">
        <f>_xll.BDP($E$1&amp;AY18&amp;" "&amp;Main!$T$12&amp;" Curncy","ASK")/IF(Main!$Q$12="Annual",1,IF(Main!$Q$12="Daily",$C$29,$C$29/$C$30))</f>
        <v>62.77</v>
      </c>
      <c r="AM18">
        <v>10</v>
      </c>
      <c r="AN18" t="str">
        <f t="shared" ref="AN18:AY18" si="15">IF(TYPE="Norm.","SN",IF(TYPE="Log Norm.","SV",IF(TYPE="OIS Log Norm.","VE","NE")))&amp;"10"&amp;AN$2</f>
        <v>SN101</v>
      </c>
      <c r="AO18" t="str">
        <f t="shared" si="15"/>
        <v>SN102</v>
      </c>
      <c r="AP18" t="str">
        <f t="shared" si="15"/>
        <v>SN103</v>
      </c>
      <c r="AQ18" t="str">
        <f t="shared" si="15"/>
        <v>SN104</v>
      </c>
      <c r="AR18" t="str">
        <f t="shared" si="15"/>
        <v>SN105</v>
      </c>
      <c r="AS18" t="str">
        <f t="shared" si="15"/>
        <v>SN106</v>
      </c>
      <c r="AT18" t="str">
        <f t="shared" si="15"/>
        <v>SN107</v>
      </c>
      <c r="AU18" t="str">
        <f t="shared" si="15"/>
        <v>SN1010</v>
      </c>
      <c r="AV18" t="str">
        <f t="shared" si="15"/>
        <v>SN1015</v>
      </c>
      <c r="AW18" t="str">
        <f t="shared" si="15"/>
        <v>SN1020</v>
      </c>
      <c r="AX18" t="str">
        <f t="shared" si="15"/>
        <v>SN1025</v>
      </c>
      <c r="AY18" t="str">
        <f t="shared" si="15"/>
        <v>SN1030</v>
      </c>
    </row>
    <row r="19" spans="2:51" x14ac:dyDescent="0.2">
      <c r="B19" s="9" t="s">
        <v>30</v>
      </c>
      <c r="D19" t="s">
        <v>2073</v>
      </c>
      <c r="E19" s="11">
        <f>_xll.BDP($E$1&amp;AN19&amp;" "&amp;Main!$T$12&amp;" Curncy","ASK")/IF(Main!$Q$12="Annual",1,IF(Main!$Q$12="Daily",$C$29,$C$29/$C$30))</f>
        <v>75.069999999999993</v>
      </c>
      <c r="F19" s="11">
        <f>_xll.BDP($E$1&amp;AO19&amp;" "&amp;Main!$T$12&amp;" Curncy","ASK")/IF(Main!$Q$12="Annual",1,IF(Main!$Q$12="Daily",$C$29,$C$29/$C$30))</f>
        <v>73.36</v>
      </c>
      <c r="G19" s="11">
        <f>_xll.BDP($E$1&amp;AP19&amp;" "&amp;Main!$T$12&amp;" Curncy","ASK")/IF(Main!$Q$12="Annual",1,IF(Main!$Q$12="Daily",$C$29,$C$29/$C$30))</f>
        <v>71.650000000000006</v>
      </c>
      <c r="H19" s="11">
        <f>_xll.BDP($E$1&amp;AQ19&amp;" "&amp;Main!$T$12&amp;" Curncy","ASK")/IF(Main!$Q$12="Annual",1,IF(Main!$Q$12="Daily",$C$29,$C$29/$C$30))</f>
        <v>69.94</v>
      </c>
      <c r="I19" s="11">
        <f>_xll.BDP($E$1&amp;AR19&amp;" "&amp;Main!$T$12&amp;" Curncy","ASK")/IF(Main!$Q$12="Annual",1,IF(Main!$Q$12="Daily",$C$29,$C$29/$C$30))</f>
        <v>68.23</v>
      </c>
      <c r="J19" s="11">
        <f>_xll.BDP($E$1&amp;AS19&amp;" "&amp;Main!$T$12&amp;" Curncy","ASK")/IF(Main!$Q$12="Annual",1,IF(Main!$Q$12="Daily",$C$29,$C$29/$C$30))</f>
        <v>68.39</v>
      </c>
      <c r="K19" s="11">
        <f>_xll.BDP($E$1&amp;AT19&amp;" "&amp;Main!$T$12&amp;" Curncy","ASK")/IF(Main!$Q$12="Annual",1,IF(Main!$Q$12="Daily",$C$29,$C$29/$C$30))</f>
        <v>68.55</v>
      </c>
      <c r="L19" s="11">
        <f>_xll.BDP($E$1&amp;AU19&amp;" "&amp;Main!$T$12&amp;" Curncy","ASK")/IF(Main!$Q$12="Annual",1,IF(Main!$Q$12="Daily",$C$29,$C$29/$C$30))</f>
        <v>69.05</v>
      </c>
      <c r="M19" s="11">
        <f>_xll.BDP($E$1&amp;AV19&amp;" "&amp;Main!$T$12&amp;" Curncy","ASK")/IF(Main!$Q$12="Annual",1,IF(Main!$Q$12="Daily",$C$29,$C$29/$C$30))</f>
        <v>64.040000000000006</v>
      </c>
      <c r="N19" s="11">
        <f>_xll.BDP($E$1&amp;AW19&amp;" "&amp;Main!$T$12&amp;" Curncy","ASK")/IF(Main!$Q$12="Annual",1,IF(Main!$Q$12="Daily",$C$29,$C$29/$C$30))</f>
        <v>59.03</v>
      </c>
      <c r="O19" s="11">
        <f>_xll.BDP($E$1&amp;AX19&amp;" "&amp;Main!$T$12&amp;" Curncy","ASK")/IF(Main!$Q$12="Annual",1,IF(Main!$Q$12="Daily",$C$29,$C$29/$C$30))</f>
        <v>56.76</v>
      </c>
      <c r="P19" s="11">
        <f>_xll.BDP($E$1&amp;AY19&amp;" "&amp;Main!$T$12&amp;" Curncy","ASK")/IF(Main!$Q$12="Annual",1,IF(Main!$Q$12="Daily",$C$29,$C$29/$C$30))</f>
        <v>54.49</v>
      </c>
      <c r="AM19">
        <v>15</v>
      </c>
      <c r="AN19" t="str">
        <f t="shared" ref="AN19:AY19" si="16">IF(TYPE="Norm.","SN",IF(TYPE="Log Norm.","SV",IF(TYPE="OIS Log Norm.","VE","NE")))&amp;"15"&amp;AN$2</f>
        <v>SN151</v>
      </c>
      <c r="AO19" t="str">
        <f t="shared" si="16"/>
        <v>SN152</v>
      </c>
      <c r="AP19" t="str">
        <f t="shared" si="16"/>
        <v>SN153</v>
      </c>
      <c r="AQ19" t="str">
        <f t="shared" si="16"/>
        <v>SN154</v>
      </c>
      <c r="AR19" t="str">
        <f t="shared" si="16"/>
        <v>SN155</v>
      </c>
      <c r="AS19" t="str">
        <f t="shared" si="16"/>
        <v>SN156</v>
      </c>
      <c r="AT19" t="str">
        <f t="shared" si="16"/>
        <v>SN157</v>
      </c>
      <c r="AU19" t="str">
        <f t="shared" si="16"/>
        <v>SN1510</v>
      </c>
      <c r="AV19" t="str">
        <f t="shared" si="16"/>
        <v>SN1515</v>
      </c>
      <c r="AW19" t="str">
        <f t="shared" si="16"/>
        <v>SN1520</v>
      </c>
      <c r="AX19" t="str">
        <f t="shared" si="16"/>
        <v>SN1525</v>
      </c>
      <c r="AY19" t="str">
        <f t="shared" si="16"/>
        <v>SN1530</v>
      </c>
    </row>
    <row r="20" spans="2:51" x14ac:dyDescent="0.2">
      <c r="B20" s="9" t="s">
        <v>28</v>
      </c>
      <c r="D20" t="s">
        <v>2074</v>
      </c>
      <c r="E20" s="11">
        <f>_xll.BDP($E$1&amp;AN20&amp;" "&amp;Main!$T$12&amp;" Curncy","ASK")/IF(Main!$Q$12="Annual",1,IF(Main!$Q$12="Daily",$C$29,$C$29/$C$30))</f>
        <v>68.03</v>
      </c>
      <c r="F20" s="11">
        <f>_xll.BDP($E$1&amp;AO20&amp;" "&amp;Main!$T$12&amp;" Curncy","ASK")/IF(Main!$Q$12="Annual",1,IF(Main!$Q$12="Daily",$C$29,$C$29/$C$30))</f>
        <v>67.02</v>
      </c>
      <c r="G20" s="11">
        <f>_xll.BDP($E$1&amp;AP20&amp;" "&amp;Main!$T$12&amp;" Curncy","ASK")/IF(Main!$Q$12="Annual",1,IF(Main!$Q$12="Daily",$C$29,$C$29/$C$30))</f>
        <v>66.010000000000005</v>
      </c>
      <c r="H20" s="11">
        <f>_xll.BDP($E$1&amp;AQ20&amp;" "&amp;Main!$T$12&amp;" Curncy","ASK")/IF(Main!$Q$12="Annual",1,IF(Main!$Q$12="Daily",$C$29,$C$29/$C$30))</f>
        <v>65</v>
      </c>
      <c r="I20" s="11">
        <f>_xll.BDP($E$1&amp;AR20&amp;" "&amp;Main!$T$12&amp;" Curncy","ASK")/IF(Main!$Q$12="Annual",1,IF(Main!$Q$12="Daily",$C$29,$C$29/$C$30))</f>
        <v>63.99</v>
      </c>
      <c r="J20" s="11">
        <f>_xll.BDP($E$1&amp;AS20&amp;" "&amp;Main!$T$12&amp;" Curncy","ASK")/IF(Main!$Q$12="Annual",1,IF(Main!$Q$12="Daily",$C$29,$C$29/$C$30))</f>
        <v>63.79</v>
      </c>
      <c r="K20" s="11">
        <f>_xll.BDP($E$1&amp;AT20&amp;" "&amp;Main!$T$12&amp;" Curncy","ASK")/IF(Main!$Q$12="Annual",1,IF(Main!$Q$12="Daily",$C$29,$C$29/$C$30))</f>
        <v>63.6</v>
      </c>
      <c r="L20" s="11">
        <f>_xll.BDP($E$1&amp;AU20&amp;" "&amp;Main!$T$12&amp;" Curncy","ASK")/IF(Main!$Q$12="Annual",1,IF(Main!$Q$12="Daily",$C$29,$C$29/$C$30))</f>
        <v>63.01</v>
      </c>
      <c r="M20" s="11">
        <f>_xll.BDP($E$1&amp;AV20&amp;" "&amp;Main!$T$12&amp;" Curncy","ASK")/IF(Main!$Q$12="Annual",1,IF(Main!$Q$12="Daily",$C$29,$C$29/$C$30))</f>
        <v>58.59</v>
      </c>
      <c r="N20" s="11">
        <f>_xll.BDP($E$1&amp;AW20&amp;" "&amp;Main!$T$12&amp;" Curncy","ASK")/IF(Main!$Q$12="Annual",1,IF(Main!$Q$12="Daily",$C$29,$C$29/$C$30))</f>
        <v>54.17</v>
      </c>
      <c r="O20" s="11">
        <f>_xll.BDP($E$1&amp;AX20&amp;" "&amp;Main!$T$12&amp;" Curncy","ASK")/IF(Main!$Q$12="Annual",1,IF(Main!$Q$12="Daily",$C$29,$C$29/$C$30))</f>
        <v>52</v>
      </c>
      <c r="P20" s="11">
        <f>_xll.BDP($E$1&amp;AY20&amp;" "&amp;Main!$T$12&amp;" Curncy","ASK")/IF(Main!$Q$12="Annual",1,IF(Main!$Q$12="Daily",$C$29,$C$29/$C$30))</f>
        <v>49.84</v>
      </c>
      <c r="AM20">
        <v>20</v>
      </c>
      <c r="AN20" t="str">
        <f t="shared" ref="AN20:AY20" si="17">IF(TYPE="Norm.","SN",IF(TYPE="Log Norm.","SV",IF(TYPE="OIS Log Norm.","VE","NE")))&amp;"20"&amp;AN$2</f>
        <v>SN201</v>
      </c>
      <c r="AO20" t="str">
        <f t="shared" si="17"/>
        <v>SN202</v>
      </c>
      <c r="AP20" t="str">
        <f t="shared" si="17"/>
        <v>SN203</v>
      </c>
      <c r="AQ20" t="str">
        <f t="shared" si="17"/>
        <v>SN204</v>
      </c>
      <c r="AR20" t="str">
        <f t="shared" si="17"/>
        <v>SN205</v>
      </c>
      <c r="AS20" t="str">
        <f t="shared" si="17"/>
        <v>SN206</v>
      </c>
      <c r="AT20" t="str">
        <f t="shared" si="17"/>
        <v>SN207</v>
      </c>
      <c r="AU20" t="str">
        <f t="shared" si="17"/>
        <v>SN2010</v>
      </c>
      <c r="AV20" t="str">
        <f t="shared" si="17"/>
        <v>SN2015</v>
      </c>
      <c r="AW20" t="str">
        <f t="shared" si="17"/>
        <v>SN2020</v>
      </c>
      <c r="AX20" t="str">
        <f t="shared" si="17"/>
        <v>SN2025</v>
      </c>
      <c r="AY20" t="str">
        <f t="shared" si="17"/>
        <v>SN2030</v>
      </c>
    </row>
    <row r="21" spans="2:51" x14ac:dyDescent="0.2">
      <c r="B21" s="9" t="s">
        <v>31</v>
      </c>
      <c r="D21" t="s">
        <v>2075</v>
      </c>
      <c r="E21" s="11">
        <f>_xll.BDP($E$1&amp;AN21&amp;" "&amp;Main!$T$12&amp;" Curncy","ASK")/IF(Main!$Q$12="Annual",1,IF(Main!$Q$12="Daily",$C$29,$C$29/$C$30))</f>
        <v>63.44</v>
      </c>
      <c r="F21" s="11">
        <f>_xll.BDP($E$1&amp;AO21&amp;" "&amp;Main!$T$12&amp;" Curncy","ASK")/IF(Main!$Q$12="Annual",1,IF(Main!$Q$12="Daily",$C$29,$C$29/$C$30))</f>
        <v>62.97</v>
      </c>
      <c r="G21" s="11">
        <f>_xll.BDP($E$1&amp;AP21&amp;" "&amp;Main!$T$12&amp;" Curncy","ASK")/IF(Main!$Q$12="Annual",1,IF(Main!$Q$12="Daily",$C$29,$C$29/$C$30))</f>
        <v>62.5</v>
      </c>
      <c r="H21" s="11">
        <f>_xll.BDP($E$1&amp;AQ21&amp;" "&amp;Main!$T$12&amp;" Curncy","ASK")/IF(Main!$Q$12="Annual",1,IF(Main!$Q$12="Daily",$C$29,$C$29/$C$30))</f>
        <v>62.04</v>
      </c>
      <c r="I21" s="11">
        <f>_xll.BDP($E$1&amp;AR21&amp;" "&amp;Main!$T$12&amp;" Curncy","ASK")/IF(Main!$Q$12="Annual",1,IF(Main!$Q$12="Daily",$C$29,$C$29/$C$30))</f>
        <v>61.57</v>
      </c>
      <c r="J21" s="11">
        <f>_xll.BDP($E$1&amp;AS21&amp;" "&amp;Main!$T$12&amp;" Curncy","ASK")/IF(Main!$Q$12="Annual",1,IF(Main!$Q$12="Daily",$C$29,$C$29/$C$30))</f>
        <v>61.29</v>
      </c>
      <c r="K21" s="11">
        <f>_xll.BDP($E$1&amp;AT21&amp;" "&amp;Main!$T$12&amp;" Curncy","ASK")/IF(Main!$Q$12="Annual",1,IF(Main!$Q$12="Daily",$C$29,$C$29/$C$30))</f>
        <v>61.02</v>
      </c>
      <c r="L21" s="11">
        <f>_xll.BDP($E$1&amp;AU21&amp;" "&amp;Main!$T$12&amp;" Curncy","ASK")/IF(Main!$Q$12="Annual",1,IF(Main!$Q$12="Daily",$C$29,$C$29/$C$30))</f>
        <v>60.19</v>
      </c>
      <c r="M21" s="11">
        <f>_xll.BDP($E$1&amp;AV21&amp;" "&amp;Main!$T$12&amp;" Curncy","ASK")/IF(Main!$Q$12="Annual",1,IF(Main!$Q$12="Daily",$C$29,$C$29/$C$30))</f>
        <v>56.98</v>
      </c>
      <c r="N21" s="11">
        <f>_xll.BDP($E$1&amp;AW21&amp;" "&amp;Main!$T$12&amp;" Curncy","ASK")/IF(Main!$Q$12="Annual",1,IF(Main!$Q$12="Daily",$C$29,$C$29/$C$30))</f>
        <v>53.77</v>
      </c>
      <c r="O21" s="11">
        <f>_xll.BDP($E$1&amp;AX21&amp;" "&amp;Main!$T$12&amp;" Curncy","ASK")/IF(Main!$Q$12="Annual",1,IF(Main!$Q$12="Daily",$C$29,$C$29/$C$30))</f>
        <v>52.15</v>
      </c>
      <c r="P21" s="11">
        <f>_xll.BDP($E$1&amp;AY21&amp;" "&amp;Main!$T$12&amp;" Curncy","ASK")/IF(Main!$Q$12="Annual",1,IF(Main!$Q$12="Daily",$C$29,$C$29/$C$30))</f>
        <v>50.53</v>
      </c>
      <c r="AM21">
        <v>25</v>
      </c>
      <c r="AN21" t="str">
        <f t="shared" ref="AN21:AY21" si="18">IF(TYPE="Norm.","SN",IF(TYPE="Log Norm.","SV",IF(TYPE="OIS Log Norm.","VE","NE")))&amp;"25"&amp;AN$2</f>
        <v>SN251</v>
      </c>
      <c r="AO21" t="str">
        <f t="shared" si="18"/>
        <v>SN252</v>
      </c>
      <c r="AP21" t="str">
        <f t="shared" si="18"/>
        <v>SN253</v>
      </c>
      <c r="AQ21" t="str">
        <f t="shared" si="18"/>
        <v>SN254</v>
      </c>
      <c r="AR21" t="str">
        <f t="shared" si="18"/>
        <v>SN255</v>
      </c>
      <c r="AS21" t="str">
        <f t="shared" si="18"/>
        <v>SN256</v>
      </c>
      <c r="AT21" t="str">
        <f t="shared" si="18"/>
        <v>SN257</v>
      </c>
      <c r="AU21" t="str">
        <f t="shared" si="18"/>
        <v>SN2510</v>
      </c>
      <c r="AV21" t="str">
        <f t="shared" si="18"/>
        <v>SN2515</v>
      </c>
      <c r="AW21" t="str">
        <f t="shared" si="18"/>
        <v>SN2520</v>
      </c>
      <c r="AX21" t="str">
        <f t="shared" si="18"/>
        <v>SN2525</v>
      </c>
      <c r="AY21" t="str">
        <f t="shared" si="18"/>
        <v>SN2530</v>
      </c>
    </row>
    <row r="22" spans="2:51" x14ac:dyDescent="0.2">
      <c r="B22" s="9" t="s">
        <v>32</v>
      </c>
      <c r="D22" t="s">
        <v>2076</v>
      </c>
      <c r="E22" s="11">
        <f>_xll.BDP($E$1&amp;AN22&amp;" "&amp;Main!$T$12&amp;" Curncy","ASK")/IF(Main!$Q$12="Annual",1,IF(Main!$Q$12="Daily",$C$29,$C$29/$C$30))</f>
        <v>60.18</v>
      </c>
      <c r="F22" s="11">
        <f>_xll.BDP($E$1&amp;AO22&amp;" "&amp;Main!$T$12&amp;" Curncy","ASK")/IF(Main!$Q$12="Annual",1,IF(Main!$Q$12="Daily",$C$29,$C$29/$C$30))</f>
        <v>60.11</v>
      </c>
      <c r="G22" s="11">
        <f>_xll.BDP($E$1&amp;AP22&amp;" "&amp;Main!$T$12&amp;" Curncy","ASK")/IF(Main!$Q$12="Annual",1,IF(Main!$Q$12="Daily",$C$29,$C$29/$C$30))</f>
        <v>60.04</v>
      </c>
      <c r="H22" s="11">
        <f>_xll.BDP($E$1&amp;AQ22&amp;" "&amp;Main!$T$12&amp;" Curncy","ASK")/IF(Main!$Q$12="Annual",1,IF(Main!$Q$12="Daily",$C$29,$C$29/$C$30))</f>
        <v>59.97</v>
      </c>
      <c r="I22" s="11">
        <f>_xll.BDP($E$1&amp;AR22&amp;" "&amp;Main!$T$12&amp;" Curncy","ASK")/IF(Main!$Q$12="Annual",1,IF(Main!$Q$12="Daily",$C$29,$C$29/$C$30))</f>
        <v>59.91</v>
      </c>
      <c r="J22" s="11">
        <f>_xll.BDP($E$1&amp;AS22&amp;" "&amp;Main!$T$12&amp;" Curncy","ASK")/IF(Main!$Q$12="Annual",1,IF(Main!$Q$12="Daily",$C$29,$C$29/$C$30))</f>
        <v>59.57</v>
      </c>
      <c r="K22" s="11">
        <f>_xll.BDP($E$1&amp;AT22&amp;" "&amp;Main!$T$12&amp;" Curncy","ASK")/IF(Main!$Q$12="Annual",1,IF(Main!$Q$12="Daily",$C$29,$C$29/$C$30))</f>
        <v>59.24</v>
      </c>
      <c r="L22" s="11">
        <f>_xll.BDP($E$1&amp;AU22&amp;" "&amp;Main!$T$12&amp;" Curncy","ASK")/IF(Main!$Q$12="Annual",1,IF(Main!$Q$12="Daily",$C$29,$C$29/$C$30))</f>
        <v>58.23</v>
      </c>
      <c r="M22" s="11">
        <f>_xll.BDP($E$1&amp;AV22&amp;" "&amp;Main!$T$12&amp;" Curncy","ASK")/IF(Main!$Q$12="Annual",1,IF(Main!$Q$12="Daily",$C$29,$C$29/$C$30))</f>
        <v>55.87</v>
      </c>
      <c r="N22" s="11">
        <f>_xll.BDP($E$1&amp;AW22&amp;" "&amp;Main!$T$12&amp;" Curncy","ASK")/IF(Main!$Q$12="Annual",1,IF(Main!$Q$12="Daily",$C$29,$C$29/$C$30))</f>
        <v>53.51</v>
      </c>
      <c r="O22" s="11">
        <f>_xll.BDP($E$1&amp;AX22&amp;" "&amp;Main!$T$12&amp;" Curncy","ASK")/IF(Main!$Q$12="Annual",1,IF(Main!$Q$12="Daily",$C$29,$C$29/$C$30))</f>
        <v>52.25</v>
      </c>
      <c r="P22" s="11">
        <f>_xll.BDP($E$1&amp;AY22&amp;" "&amp;Main!$T$12&amp;" Curncy","ASK")/IF(Main!$Q$12="Annual",1,IF(Main!$Q$12="Daily",$C$29,$C$29/$C$30))</f>
        <v>50.98</v>
      </c>
      <c r="AM22">
        <v>30</v>
      </c>
      <c r="AN22" t="str">
        <f t="shared" ref="AN22:AY22" si="19">IF(TYPE="Norm.","SN",IF(TYPE="Log Norm.","SV",IF(TYPE="OIS Log Norm.","VE","NE")))&amp;"30"&amp;AN$2</f>
        <v>SN301</v>
      </c>
      <c r="AO22" t="str">
        <f t="shared" si="19"/>
        <v>SN302</v>
      </c>
      <c r="AP22" t="str">
        <f t="shared" si="19"/>
        <v>SN303</v>
      </c>
      <c r="AQ22" t="str">
        <f t="shared" si="19"/>
        <v>SN304</v>
      </c>
      <c r="AR22" t="str">
        <f t="shared" si="19"/>
        <v>SN305</v>
      </c>
      <c r="AS22" t="str">
        <f t="shared" si="19"/>
        <v>SN306</v>
      </c>
      <c r="AT22" t="str">
        <f t="shared" si="19"/>
        <v>SN307</v>
      </c>
      <c r="AU22" t="str">
        <f t="shared" si="19"/>
        <v>SN3010</v>
      </c>
      <c r="AV22" t="str">
        <f t="shared" si="19"/>
        <v>SN3015</v>
      </c>
      <c r="AW22" t="str">
        <f t="shared" si="19"/>
        <v>SN3020</v>
      </c>
      <c r="AX22" t="str">
        <f t="shared" si="19"/>
        <v>SN3025</v>
      </c>
      <c r="AY22" t="str">
        <f t="shared" si="19"/>
        <v>SN3030</v>
      </c>
    </row>
    <row r="23" spans="2:51" x14ac:dyDescent="0.2">
      <c r="B23" s="9" t="s">
        <v>33</v>
      </c>
    </row>
    <row r="24" spans="2:51" x14ac:dyDescent="0.2">
      <c r="B24" s="9" t="s">
        <v>2044</v>
      </c>
    </row>
    <row r="25" spans="2:51" x14ac:dyDescent="0.2">
      <c r="B25" s="9" t="s">
        <v>2083</v>
      </c>
    </row>
    <row r="26" spans="2:51" x14ac:dyDescent="0.2">
      <c r="B26" s="10" t="s">
        <v>2084</v>
      </c>
    </row>
    <row r="28" spans="2:51" x14ac:dyDescent="0.2">
      <c r="B28" t="s">
        <v>35</v>
      </c>
    </row>
    <row r="29" spans="2:51" x14ac:dyDescent="0.2">
      <c r="B29" t="s">
        <v>36</v>
      </c>
      <c r="C29">
        <f>SQRT(252)</f>
        <v>15.874507866387544</v>
      </c>
    </row>
    <row r="30" spans="2:51" x14ac:dyDescent="0.2">
      <c r="B30" s="2" t="s">
        <v>37</v>
      </c>
      <c r="C30">
        <f>SQRT(2/PI())</f>
        <v>0.79788456080286541</v>
      </c>
    </row>
    <row r="32" spans="2:51" x14ac:dyDescent="0.2">
      <c r="AJ32" t="s">
        <v>38</v>
      </c>
      <c r="AK32" t="s">
        <v>2026</v>
      </c>
    </row>
    <row r="33" spans="2:58" x14ac:dyDescent="0.2">
      <c r="B33" t="s">
        <v>28</v>
      </c>
      <c r="D33" t="str">
        <f>IF(Main!$D$7="AUD",AJ75,IF(Main!$D$7="NZD",AJ116,AJ33))</f>
        <v>Term</v>
      </c>
      <c r="E33" t="str">
        <f>IF(Main!$D$7="AUD",AK75,IF(Main!$D$7="NZD",AK116,AK33))</f>
        <v>ATM</v>
      </c>
      <c r="F33" s="1">
        <f>IF(Main!$D$7="AUD",AL75,IF(Main!$D$7="NZD",AL116,AL33))</f>
        <v>2.5000000000000001E-3</v>
      </c>
      <c r="G33" s="1">
        <f>IF(Main!$D$7="AUD",AM75,IF(Main!$D$7="NZD",AM116,AM33))</f>
        <v>5.0000000000000001E-3</v>
      </c>
      <c r="H33" s="1">
        <f>IF(Main!$D$7="AUD",AN75,IF(Main!$D$7="NZD",AN116,AN33))</f>
        <v>7.4999999999999997E-3</v>
      </c>
      <c r="I33" s="1">
        <f>IF(Main!$D$7="AUD",AO75,IF(Main!$D$7="NZD",AO116,AO33))</f>
        <v>8.0000000000000002E-3</v>
      </c>
      <c r="J33" s="1">
        <f>IF(Main!$D$7="AUD",AP75,IF(Main!$D$7="NZD",AP116,AP33))</f>
        <v>0.01</v>
      </c>
      <c r="K33" s="1">
        <f>IF(Main!$D$7="AUD",AQ75,IF(Main!$D$7="NZD",AQ116,AQ33))</f>
        <v>1.4999999999999999E-2</v>
      </c>
      <c r="L33" s="1">
        <f>IF(Main!$D$7="AUD",AR75,IF(Main!$D$7="NZD",AR116,AR33))</f>
        <v>0.02</v>
      </c>
      <c r="M33" s="1">
        <f>IF(Main!$D$7="AUD",AS75,IF(Main!$D$7="NZD",AS116,AS33))</f>
        <v>2.5000000000000001E-2</v>
      </c>
      <c r="N33" s="1">
        <f>IF(Main!$D$7="AUD",AT75,IF(Main!$D$7="NZD",AT116,AT33))</f>
        <v>0.03</v>
      </c>
      <c r="O33" s="1">
        <f>IF(Main!$D$7="AUD",AU75,IF(Main!$D$7="NZD",AU116,AU33))</f>
        <v>0.04</v>
      </c>
      <c r="P33" s="1">
        <f>IF(Main!$D$7="AUD",AV75,IF(Main!$D$7="NZD",AV116,AV33))</f>
        <v>0.05</v>
      </c>
      <c r="Q33" s="1">
        <f>IF(Main!$D$7="AUD",AW75,IF(Main!$D$7="NZD",AW116,AW33))</f>
        <v>0.06</v>
      </c>
      <c r="R33" s="1">
        <f>IF(Main!$D$7="AUD",AX75,IF(Main!$D$7="NZD",AX116,AX33))</f>
        <v>7.0000000000000007E-2</v>
      </c>
      <c r="S33" s="1">
        <f>IF(Main!$D$7="AUD",AY75,IF(Main!$D$7="NZD",AY116,AY33))</f>
        <v>0.08</v>
      </c>
      <c r="T33" s="1">
        <f>IF(Main!$D$7="AUD",AZ75,IF(Main!$D$7="NZD",AZ116,AZ33))</f>
        <v>0.09</v>
      </c>
      <c r="U33" s="1">
        <f>IF(Main!$D$7="AUD",BA75,IF(Main!$D$7="NZD",BA116,BA33))</f>
        <v>0.1</v>
      </c>
      <c r="V33" s="1">
        <f>IF(Main!$D$7="AUD",BB75,IF(Main!$D$7="NZD",BB116,BB33))</f>
        <v>0.11</v>
      </c>
      <c r="W33" s="1">
        <f>IF(Main!$D$7="AUD",BC75,IF(Main!$D$7="NZD",BC116,BC33))</f>
        <v>0.12</v>
      </c>
      <c r="X33" s="1">
        <f>IF(Main!$D$7="AUD",BD75,IF(Main!$D$7="NZD",BD116,BD33))</f>
        <v>0.13</v>
      </c>
      <c r="Y33" s="1">
        <f>IF(Main!$D$7="AUD",BE75,IF(Main!$D$7="NZD",BE116,BE33))</f>
        <v>0.14000000000000001</v>
      </c>
      <c r="Z33" s="1">
        <f>IF(Main!$D$7="AUD",BF75,IF(Main!$D$7="NZD",BF116,BF33))</f>
        <v>0.15</v>
      </c>
      <c r="AA33" s="1">
        <f>IF(Main!$D$7="AUD",BG75,IF(Main!$D$7="NZD",BG116,BG33))</f>
        <v>0</v>
      </c>
      <c r="AB33" s="1">
        <f>IF(Main!$D$7="AUD",BH75,IF(Main!$D$7="NZD",BH116,BH33))</f>
        <v>0</v>
      </c>
      <c r="AC33" s="1">
        <f>IF(Main!$D$7="AUD",BI75,IF(Main!$D$7="NZD",BI116,BI33))</f>
        <v>0</v>
      </c>
      <c r="AD33" s="1">
        <f>IF(Main!$D$7="AUD",BJ75,IF(Main!$D$7="NZD",BJ116,BJ33))</f>
        <v>0</v>
      </c>
      <c r="AE33" s="1">
        <f>IF(Main!$D$7="AUD",BK75,IF(Main!$D$7="NZD",BK116,BK33))</f>
        <v>0</v>
      </c>
      <c r="AF33" s="1">
        <f>IF(Main!$D$7="AUD",BL75,IF(Main!$D$7="NZD",BL116,BL33))</f>
        <v>0</v>
      </c>
      <c r="AG33" s="1">
        <f>IF(Main!$D$7="AUD",BM75,IF(Main!$D$7="NZD",BM116,BM33))</f>
        <v>0</v>
      </c>
      <c r="AH33" s="1">
        <f>IF(Main!$D$7="AUD",BN75,IF(Main!$D$7="NZD",BN116,BN33))</f>
        <v>0</v>
      </c>
      <c r="AJ33" t="s">
        <v>39</v>
      </c>
      <c r="AK33" t="s">
        <v>40</v>
      </c>
      <c r="AL33" s="1">
        <v>2.5000000000000001E-3</v>
      </c>
      <c r="AM33" s="1">
        <v>5.0000000000000001E-3</v>
      </c>
      <c r="AN33" s="1">
        <v>7.4999999999999997E-3</v>
      </c>
      <c r="AO33" s="1">
        <v>8.0000000000000002E-3</v>
      </c>
      <c r="AP33" s="1">
        <v>0.01</v>
      </c>
      <c r="AQ33" s="1">
        <v>1.4999999999999999E-2</v>
      </c>
      <c r="AR33" s="1">
        <v>0.02</v>
      </c>
      <c r="AS33" s="1">
        <v>2.5000000000000001E-2</v>
      </c>
      <c r="AT33" s="1">
        <v>0.03</v>
      </c>
      <c r="AU33" s="1">
        <v>0.04</v>
      </c>
      <c r="AV33" s="1">
        <v>0.05</v>
      </c>
      <c r="AW33" s="1">
        <v>0.06</v>
      </c>
      <c r="AX33" s="1">
        <v>7.0000000000000007E-2</v>
      </c>
      <c r="AY33" s="1">
        <v>0.08</v>
      </c>
      <c r="AZ33" s="1">
        <v>0.09</v>
      </c>
      <c r="BA33" s="1">
        <v>0.1</v>
      </c>
      <c r="BB33" s="1">
        <v>0.11</v>
      </c>
      <c r="BC33" s="1">
        <v>0.12</v>
      </c>
      <c r="BD33" s="1">
        <v>0.13</v>
      </c>
      <c r="BE33" s="1">
        <v>0.14000000000000001</v>
      </c>
      <c r="BF33" s="1">
        <v>0.15</v>
      </c>
    </row>
    <row r="34" spans="2:58" x14ac:dyDescent="0.2">
      <c r="B34" t="s">
        <v>2042</v>
      </c>
      <c r="D34" t="str">
        <f>IF(Main!$D$7="AUD",AJ76,IF(Main!$D$7="NZD",AJ117,AJ34))</f>
        <v>1 YR</v>
      </c>
      <c r="E34">
        <f>_xll.BDP(IF(Main!$D$7="AUD",AK76,IF(Main!$D$7="NZD",AK117,$E$1&amp;AK34))&amp;" "&amp;Main!$P$37&amp;" Curncy",Main!$M$37)</f>
        <v>31.715</v>
      </c>
      <c r="F34" t="str">
        <f>_xll.BDP(IF(Main!$D$7="AUD",AL76,IF(Main!$D$7="NZD",AL117,$E$1&amp;AL34))&amp;" "&amp;Main!$P$37&amp;" Curncy",Main!$M$37)</f>
        <v>#N/A Invalid Security</v>
      </c>
      <c r="G34" t="str">
        <f>_xll.BDP(IF(Main!$D$7="AUD",AM76,IF(Main!$D$7="NZD",AM117,$E$1&amp;AM34))&amp;" "&amp;Main!$P$37&amp;" Curncy",Main!$M$37)</f>
        <v>#N/A Field Not Applicable</v>
      </c>
      <c r="H34" t="str">
        <f>_xll.BDP(IF(Main!$D$7="AUD",AN76,IF(Main!$D$7="NZD",AN117,$E$1&amp;AN34))&amp;" "&amp;Main!$P$37&amp;" Curncy",Main!$M$37)</f>
        <v>#N/A Invalid Security</v>
      </c>
      <c r="I34" t="str">
        <f>_xll.BDP(IF(Main!$D$7="AUD",AO76,IF(Main!$D$7="NZD",AO117,$E$1&amp;AO34))&amp;" "&amp;Main!$P$37&amp;" Curncy",Main!$M$37)</f>
        <v>#N/A Invalid Security</v>
      </c>
      <c r="J34">
        <f>_xll.BDP(IF(Main!$D$7="AUD",AP76,IF(Main!$D$7="NZD",AP117,$E$1&amp;AP34))&amp;" "&amp;Main!$P$37&amp;" Curncy",Main!$M$37)</f>
        <v>31.8</v>
      </c>
      <c r="K34">
        <f>_xll.BDP(IF(Main!$D$7="AUD",AQ76,IF(Main!$D$7="NZD",AQ117,$E$1&amp;AQ34))&amp;" "&amp;Main!$P$37&amp;" Curncy",Main!$M$37)</f>
        <v>31.105</v>
      </c>
      <c r="L34">
        <f>_xll.BDP(IF(Main!$D$7="AUD",AR76,IF(Main!$D$7="NZD",AR117,$E$1&amp;AR34))&amp;" "&amp;Main!$P$37&amp;" Curncy",Main!$M$37)</f>
        <v>32.020000000000003</v>
      </c>
      <c r="M34" t="str">
        <f>_xll.BDP(IF(Main!$D$7="AUD",AS76,IF(Main!$D$7="NZD",AS117,$E$1&amp;AS34))&amp;" "&amp;Main!$P$37&amp;" Curncy",Main!$M$37)</f>
        <v>#N/A N/A</v>
      </c>
      <c r="N34">
        <f>_xll.BDP(IF(Main!$D$7="AUD",AT76,IF(Main!$D$7="NZD",AT117,$E$1&amp;AT34))&amp;" "&amp;Main!$P$37&amp;" Curncy",Main!$M$37)</f>
        <v>34.695</v>
      </c>
      <c r="O34">
        <f>_xll.BDP(IF(Main!$D$7="AUD",AU76,IF(Main!$D$7="NZD",AU117,$E$1&amp;AU34))&amp;" "&amp;Main!$P$37&amp;" Curncy",Main!$M$37)</f>
        <v>37.07</v>
      </c>
      <c r="P34">
        <f>_xll.BDP(IF(Main!$D$7="AUD",AV76,IF(Main!$D$7="NZD",AV117,$E$1&amp;AV34))&amp;" "&amp;Main!$P$37&amp;" Curncy",Main!$M$37)</f>
        <v>39.024999999999999</v>
      </c>
      <c r="Q34">
        <f>_xll.BDP(IF(Main!$D$7="AUD",AW76,IF(Main!$D$7="NZD",AW117,$E$1&amp;AW34))&amp;" "&amp;Main!$P$37&amp;" Curncy",Main!$M$37)</f>
        <v>40.655000000000001</v>
      </c>
      <c r="R34">
        <f>_xll.BDP(IF(Main!$D$7="AUD",AX76,IF(Main!$D$7="NZD",AX117,$E$1&amp;AX34))&amp;" "&amp;Main!$P$37&amp;" Curncy",Main!$M$37)</f>
        <v>42.04</v>
      </c>
      <c r="S34">
        <f>_xll.BDP(IF(Main!$D$7="AUD",AY76,IF(Main!$D$7="NZD",AY117,$E$1&amp;AY34))&amp;" "&amp;Main!$P$37&amp;" Curncy",Main!$M$37)</f>
        <v>43.25</v>
      </c>
      <c r="T34">
        <f>_xll.BDP(IF(Main!$D$7="AUD",AZ76,IF(Main!$D$7="NZD",AZ117,$E$1&amp;AZ34))&amp;" "&amp;Main!$P$37&amp;" Curncy",Main!$M$37)</f>
        <v>44.314999999999998</v>
      </c>
      <c r="U34">
        <f>_xll.BDP(IF(Main!$D$7="AUD",BA76,IF(Main!$D$7="NZD",BA117,$E$1&amp;BA34))&amp;" "&amp;Main!$P$37&amp;" Curncy",Main!$M$37)</f>
        <v>31.8</v>
      </c>
      <c r="V34">
        <f>_xll.BDP(IF(Main!$D$7="AUD",BB76,IF(Main!$D$7="NZD",BB117,$E$1&amp;BB34))&amp;" "&amp;Main!$P$37&amp;" Curncy",Main!$M$37)</f>
        <v>46.134999999999998</v>
      </c>
      <c r="W34">
        <f>_xll.BDP(IF(Main!$D$7="AUD",BC76,IF(Main!$D$7="NZD",BC117,$E$1&amp;BC34))&amp;" "&amp;Main!$P$37&amp;" Curncy",Main!$M$37)</f>
        <v>46.92</v>
      </c>
      <c r="X34">
        <f>_xll.BDP(IF(Main!$D$7="AUD",BD76,IF(Main!$D$7="NZD",BD117,$E$1&amp;BD34))&amp;" "&amp;Main!$P$37&amp;" Curncy",Main!$M$37)</f>
        <v>47.645000000000003</v>
      </c>
      <c r="Y34">
        <f>_xll.BDP(IF(Main!$D$7="AUD",BE76,IF(Main!$D$7="NZD",BE117,$E$1&amp;BE34))&amp;" "&amp;Main!$P$37&amp;" Curncy",Main!$M$37)</f>
        <v>48.32</v>
      </c>
      <c r="Z34" t="str">
        <f>_xll.BDP(IF(Main!$D$7="AUD",BF76,IF(Main!$D$7="NZD",BF117,$E$1&amp;BF34))&amp;" "&amp;Main!$P$37&amp;" Curncy",Main!$M$37)</f>
        <v>#N/A Field Not Applicable</v>
      </c>
      <c r="AA34" t="str">
        <f>_xll.BDP(IF(Main!$D$7="AUD",BG76,IF(Main!$D$7="NZD",BG117,$E$1&amp;BG34))&amp;" "&amp;Main!$P$37&amp;" Curncy",Main!$M$37)</f>
        <v>#N/A Invalid Security</v>
      </c>
      <c r="AB34" t="str">
        <f>_xll.BDP(IF(Main!$D$7="AUD",BH76,IF(Main!$D$7="NZD",BH117,$E$1&amp;BH34))&amp;" "&amp;Main!$P$37&amp;" Curncy",Main!$M$37)</f>
        <v>#N/A Invalid Security</v>
      </c>
      <c r="AC34" t="str">
        <f>_xll.BDP(IF(Main!$D$7="AUD",BI76,IF(Main!$D$7="NZD",BI117,$E$1&amp;BI34))&amp;" "&amp;Main!$P$37&amp;" Curncy",Main!$M$37)</f>
        <v>#N/A Invalid Security</v>
      </c>
      <c r="AD34" t="str">
        <f>_xll.BDP(IF(Main!$D$7="AUD",BJ76,IF(Main!$D$7="NZD",BJ117,$E$1&amp;BJ34))&amp;" "&amp;Main!$P$37&amp;" Curncy",Main!$M$37)</f>
        <v>#N/A Invalid Security</v>
      </c>
      <c r="AE34" t="str">
        <f>_xll.BDP(IF(Main!$D$7="AUD",BK76,IF(Main!$D$7="NZD",BK117,$E$1&amp;BK34))&amp;" "&amp;Main!$P$37&amp;" Curncy",Main!$M$37)</f>
        <v>#N/A Invalid Security</v>
      </c>
      <c r="AF34" t="str">
        <f>_xll.BDP(IF(Main!$D$7="AUD",BL76,IF(Main!$D$7="NZD",BL117,$E$1&amp;BL34))&amp;" "&amp;Main!$P$37&amp;" Curncy",Main!$M$37)</f>
        <v>#N/A Invalid Security</v>
      </c>
      <c r="AG34" t="str">
        <f>_xll.BDP(IF(Main!$D$7="AUD",BM76,IF(Main!$D$7="NZD",BM117,$E$1&amp;BM34))&amp;" "&amp;Main!$P$37&amp;" Curncy",Main!$M$37)</f>
        <v>#N/A Invalid Security</v>
      </c>
      <c r="AH34" t="str">
        <f>_xll.BDP(IF(Main!$D$7="AUD",BN76,IF(Main!$D$7="NZD",BN117,$E$1&amp;BN34))&amp;" "&amp;Main!$P$37&amp;" Curncy",Main!$M$37)</f>
        <v>#N/A Invalid Security</v>
      </c>
      <c r="AJ34" t="s">
        <v>41</v>
      </c>
      <c r="AK34" t="s">
        <v>57</v>
      </c>
      <c r="AL34" t="s">
        <v>58</v>
      </c>
      <c r="AM34" t="s">
        <v>59</v>
      </c>
      <c r="AN34" t="s">
        <v>60</v>
      </c>
      <c r="AO34" t="s">
        <v>61</v>
      </c>
      <c r="AP34" t="s">
        <v>62</v>
      </c>
      <c r="AQ34" t="s">
        <v>63</v>
      </c>
      <c r="AR34" t="s">
        <v>64</v>
      </c>
      <c r="AS34" t="s">
        <v>65</v>
      </c>
      <c r="AT34" t="s">
        <v>66</v>
      </c>
      <c r="AU34" t="s">
        <v>67</v>
      </c>
      <c r="AV34" t="s">
        <v>68</v>
      </c>
      <c r="AW34" t="s">
        <v>320</v>
      </c>
      <c r="AX34" t="s">
        <v>321</v>
      </c>
      <c r="AY34" t="s">
        <v>322</v>
      </c>
      <c r="AZ34" t="s">
        <v>323</v>
      </c>
      <c r="BA34" t="s">
        <v>62</v>
      </c>
      <c r="BB34" t="s">
        <v>324</v>
      </c>
      <c r="BC34" t="s">
        <v>325</v>
      </c>
      <c r="BD34" t="s">
        <v>326</v>
      </c>
      <c r="BE34" t="s">
        <v>327</v>
      </c>
      <c r="BF34" t="s">
        <v>59</v>
      </c>
    </row>
    <row r="35" spans="2:58" x14ac:dyDescent="0.2">
      <c r="B35" t="s">
        <v>29</v>
      </c>
      <c r="D35" t="str">
        <f>IF(Main!$D$7="AUD",AJ77,IF(Main!$D$7="NZD",AJ118,AJ35))</f>
        <v>2 YR</v>
      </c>
      <c r="E35">
        <f>_xll.BDP(IF(Main!$D$7="AUD",AK77,IF(Main!$D$7="NZD",AK118,$E$1&amp;AK35))&amp;" "&amp;Main!$P$37&amp;" Curncy",Main!$M$37)</f>
        <v>49.445</v>
      </c>
      <c r="F35" t="str">
        <f>_xll.BDP(IF(Main!$D$7="AUD",AL77,IF(Main!$D$7="NZD",AL118,$E$1&amp;AL35))&amp;" "&amp;Main!$P$37&amp;" Curncy",Main!$M$37)</f>
        <v>#N/A Invalid Security</v>
      </c>
      <c r="G35" t="str">
        <f>_xll.BDP(IF(Main!$D$7="AUD",AM77,IF(Main!$D$7="NZD",AM118,$E$1&amp;AM35))&amp;" "&amp;Main!$P$37&amp;" Curncy",Main!$M$37)</f>
        <v>#N/A Field Not Applicable</v>
      </c>
      <c r="H35" t="str">
        <f>_xll.BDP(IF(Main!$D$7="AUD",AN77,IF(Main!$D$7="NZD",AN118,$E$1&amp;AN35))&amp;" "&amp;Main!$P$37&amp;" Curncy",Main!$M$37)</f>
        <v>#N/A Invalid Security</v>
      </c>
      <c r="I35" t="str">
        <f>_xll.BDP(IF(Main!$D$7="AUD",AO77,IF(Main!$D$7="NZD",AO118,$E$1&amp;AO35))&amp;" "&amp;Main!$P$37&amp;" Curncy",Main!$M$37)</f>
        <v>#N/A Invalid Security</v>
      </c>
      <c r="J35">
        <f>_xll.BDP(IF(Main!$D$7="AUD",AP77,IF(Main!$D$7="NZD",AP118,$E$1&amp;AP35))&amp;" "&amp;Main!$P$37&amp;" Curncy",Main!$M$37)</f>
        <v>50.454999999999998</v>
      </c>
      <c r="K35">
        <f>_xll.BDP(IF(Main!$D$7="AUD",AQ77,IF(Main!$D$7="NZD",AQ118,$E$1&amp;AQ35))&amp;" "&amp;Main!$P$37&amp;" Curncy",Main!$M$37)</f>
        <v>48.585000000000001</v>
      </c>
      <c r="L35">
        <f>_xll.BDP(IF(Main!$D$7="AUD",AR77,IF(Main!$D$7="NZD",AR118,$E$1&amp;AR35))&amp;" "&amp;Main!$P$37&amp;" Curncy",Main!$M$37)</f>
        <v>47.215000000000003</v>
      </c>
      <c r="M35" t="str">
        <f>_xll.BDP(IF(Main!$D$7="AUD",AS77,IF(Main!$D$7="NZD",AS118,$E$1&amp;AS35))&amp;" "&amp;Main!$P$37&amp;" Curncy",Main!$M$37)</f>
        <v>#N/A N/A</v>
      </c>
      <c r="N35">
        <f>_xll.BDP(IF(Main!$D$7="AUD",AT77,IF(Main!$D$7="NZD",AT118,$E$1&amp;AT35))&amp;" "&amp;Main!$P$37&amp;" Curncy",Main!$M$37)</f>
        <v>44.1</v>
      </c>
      <c r="O35">
        <f>_xll.BDP(IF(Main!$D$7="AUD",AU77,IF(Main!$D$7="NZD",AU118,$E$1&amp;AU35))&amp;" "&amp;Main!$P$37&amp;" Curncy",Main!$M$37)</f>
        <v>42.18</v>
      </c>
      <c r="P35">
        <f>_xll.BDP(IF(Main!$D$7="AUD",AV77,IF(Main!$D$7="NZD",AV118,$E$1&amp;AV35))&amp;" "&amp;Main!$P$37&amp;" Curncy",Main!$M$37)</f>
        <v>41.064999999999998</v>
      </c>
      <c r="Q35">
        <f>_xll.BDP(IF(Main!$D$7="AUD",AW77,IF(Main!$D$7="NZD",AW118,$E$1&amp;AW35))&amp;" "&amp;Main!$P$37&amp;" Curncy",Main!$M$37)</f>
        <v>40.380000000000003</v>
      </c>
      <c r="R35">
        <f>_xll.BDP(IF(Main!$D$7="AUD",AX77,IF(Main!$D$7="NZD",AX118,$E$1&amp;AX35))&amp;" "&amp;Main!$P$37&amp;" Curncy",Main!$M$37)</f>
        <v>39.914999999999999</v>
      </c>
      <c r="S35">
        <f>_xll.BDP(IF(Main!$D$7="AUD",AY77,IF(Main!$D$7="NZD",AY118,$E$1&amp;AY35))&amp;" "&amp;Main!$P$37&amp;" Curncy",Main!$M$37)</f>
        <v>39.590000000000003</v>
      </c>
      <c r="T35">
        <f>_xll.BDP(IF(Main!$D$7="AUD",AZ77,IF(Main!$D$7="NZD",AZ118,$E$1&amp;AZ35))&amp;" "&amp;Main!$P$37&amp;" Curncy",Main!$M$37)</f>
        <v>39.35</v>
      </c>
      <c r="U35">
        <f>_xll.BDP(IF(Main!$D$7="AUD",BA77,IF(Main!$D$7="NZD",BA118,$E$1&amp;BA35))&amp;" "&amp;Main!$P$37&amp;" Curncy",Main!$M$37)</f>
        <v>39.159999999999997</v>
      </c>
      <c r="V35">
        <f>_xll.BDP(IF(Main!$D$7="AUD",BB77,IF(Main!$D$7="NZD",BB118,$E$1&amp;BB35))&amp;" "&amp;Main!$P$37&amp;" Curncy",Main!$M$37)</f>
        <v>39.01</v>
      </c>
      <c r="W35">
        <f>_xll.BDP(IF(Main!$D$7="AUD",BC77,IF(Main!$D$7="NZD",BC118,$E$1&amp;BC35))&amp;" "&amp;Main!$P$37&amp;" Curncy",Main!$M$37)</f>
        <v>38.89</v>
      </c>
      <c r="X35">
        <f>_xll.BDP(IF(Main!$D$7="AUD",BD77,IF(Main!$D$7="NZD",BD118,$E$1&amp;BD35))&amp;" "&amp;Main!$P$37&amp;" Curncy",Main!$M$37)</f>
        <v>38.79</v>
      </c>
      <c r="Y35">
        <f>_xll.BDP(IF(Main!$D$7="AUD",BE77,IF(Main!$D$7="NZD",BE118,$E$1&amp;BE35))&amp;" "&amp;Main!$P$37&amp;" Curncy",Main!$M$37)</f>
        <v>38.71</v>
      </c>
      <c r="Z35" t="str">
        <f>_xll.BDP(IF(Main!$D$7="AUD",BF77,IF(Main!$D$7="NZD",BF118,$E$1&amp;BF35))&amp;" "&amp;Main!$P$37&amp;" Curncy",Main!$M$37)</f>
        <v>#N/A Field Not Applicable</v>
      </c>
      <c r="AA35" t="str">
        <f>_xll.BDP(IF(Main!$D$7="AUD",BG77,IF(Main!$D$7="NZD",BG118,$E$1&amp;BG35))&amp;" "&amp;Main!$P$37&amp;" Curncy",Main!$M$37)</f>
        <v>#N/A Invalid Security</v>
      </c>
      <c r="AB35" t="str">
        <f>_xll.BDP(IF(Main!$D$7="AUD",BH77,IF(Main!$D$7="NZD",BH118,$E$1&amp;BH35))&amp;" "&amp;Main!$P$37&amp;" Curncy",Main!$M$37)</f>
        <v>#N/A Invalid Security</v>
      </c>
      <c r="AC35" t="str">
        <f>_xll.BDP(IF(Main!$D$7="AUD",BI77,IF(Main!$D$7="NZD",BI118,$E$1&amp;BI35))&amp;" "&amp;Main!$P$37&amp;" Curncy",Main!$M$37)</f>
        <v>#N/A Invalid Security</v>
      </c>
      <c r="AD35" t="str">
        <f>_xll.BDP(IF(Main!$D$7="AUD",BJ77,IF(Main!$D$7="NZD",BJ118,$E$1&amp;BJ35))&amp;" "&amp;Main!$P$37&amp;" Curncy",Main!$M$37)</f>
        <v>#N/A Invalid Security</v>
      </c>
      <c r="AE35" t="str">
        <f>_xll.BDP(IF(Main!$D$7="AUD",BK77,IF(Main!$D$7="NZD",BK118,$E$1&amp;BK35))&amp;" "&amp;Main!$P$37&amp;" Curncy",Main!$M$37)</f>
        <v>#N/A Invalid Security</v>
      </c>
      <c r="AF35" t="str">
        <f>_xll.BDP(IF(Main!$D$7="AUD",BL77,IF(Main!$D$7="NZD",BL118,$E$1&amp;BL35))&amp;" "&amp;Main!$P$37&amp;" Curncy",Main!$M$37)</f>
        <v>#N/A Invalid Security</v>
      </c>
      <c r="AG35" t="str">
        <f>_xll.BDP(IF(Main!$D$7="AUD",BM77,IF(Main!$D$7="NZD",BM118,$E$1&amp;BM35))&amp;" "&amp;Main!$P$37&amp;" Curncy",Main!$M$37)</f>
        <v>#N/A Invalid Security</v>
      </c>
      <c r="AH35" t="str">
        <f>_xll.BDP(IF(Main!$D$7="AUD",BN77,IF(Main!$D$7="NZD",BN118,$E$1&amp;BN35))&amp;" "&amp;Main!$P$37&amp;" Curncy",Main!$M$37)</f>
        <v>#N/A Invalid Security</v>
      </c>
      <c r="AJ35" t="s">
        <v>42</v>
      </c>
      <c r="AK35" t="s">
        <v>69</v>
      </c>
      <c r="AL35" t="s">
        <v>70</v>
      </c>
      <c r="AM35" t="s">
        <v>71</v>
      </c>
      <c r="AN35" t="s">
        <v>72</v>
      </c>
      <c r="AO35" t="s">
        <v>73</v>
      </c>
      <c r="AP35" t="s">
        <v>74</v>
      </c>
      <c r="AQ35" t="s">
        <v>75</v>
      </c>
      <c r="AR35" t="s">
        <v>76</v>
      </c>
      <c r="AS35" t="s">
        <v>77</v>
      </c>
      <c r="AT35" t="s">
        <v>78</v>
      </c>
      <c r="AU35" t="s">
        <v>79</v>
      </c>
      <c r="AV35" t="s">
        <v>80</v>
      </c>
      <c r="AW35" t="s">
        <v>328</v>
      </c>
      <c r="AX35" t="s">
        <v>329</v>
      </c>
      <c r="AY35" t="s">
        <v>330</v>
      </c>
      <c r="AZ35" t="s">
        <v>331</v>
      </c>
      <c r="BA35" t="s">
        <v>332</v>
      </c>
      <c r="BB35" t="s">
        <v>333</v>
      </c>
      <c r="BC35" t="s">
        <v>334</v>
      </c>
      <c r="BD35" t="s">
        <v>335</v>
      </c>
      <c r="BE35" t="s">
        <v>336</v>
      </c>
      <c r="BF35" t="s">
        <v>71</v>
      </c>
    </row>
    <row r="36" spans="2:58" x14ac:dyDescent="0.2">
      <c r="B36" t="s">
        <v>30</v>
      </c>
      <c r="D36" t="str">
        <f>IF(Main!$D$7="AUD",AJ78,IF(Main!$D$7="NZD",AJ119,AJ36))</f>
        <v>3 YR</v>
      </c>
      <c r="E36">
        <f>_xll.BDP(IF(Main!$D$7="AUD",AK78,IF(Main!$D$7="NZD",AK119,$E$1&amp;AK36))&amp;" "&amp;Main!$P$37&amp;" Curncy",Main!$M$37)</f>
        <v>47.54</v>
      </c>
      <c r="F36" t="str">
        <f>_xll.BDP(IF(Main!$D$7="AUD",AL78,IF(Main!$D$7="NZD",AL119,$E$1&amp;AL36))&amp;" "&amp;Main!$P$37&amp;" Curncy",Main!$M$37)</f>
        <v>#N/A Invalid Security</v>
      </c>
      <c r="G36" t="str">
        <f>_xll.BDP(IF(Main!$D$7="AUD",AM78,IF(Main!$D$7="NZD",AM119,$E$1&amp;AM36))&amp;" "&amp;Main!$P$37&amp;" Curncy",Main!$M$37)</f>
        <v>#N/A Field Not Applicable</v>
      </c>
      <c r="H36" t="str">
        <f>_xll.BDP(IF(Main!$D$7="AUD",AN78,IF(Main!$D$7="NZD",AN119,$E$1&amp;AN36))&amp;" "&amp;Main!$P$37&amp;" Curncy",Main!$M$37)</f>
        <v>#N/A Invalid Security</v>
      </c>
      <c r="I36" t="str">
        <f>_xll.BDP(IF(Main!$D$7="AUD",AO78,IF(Main!$D$7="NZD",AO119,$E$1&amp;AO36))&amp;" "&amp;Main!$P$37&amp;" Curncy",Main!$M$37)</f>
        <v>#N/A Invalid Security</v>
      </c>
      <c r="J36">
        <f>_xll.BDP(IF(Main!$D$7="AUD",AP78,IF(Main!$D$7="NZD",AP119,$E$1&amp;AP36))&amp;" "&amp;Main!$P$37&amp;" Curncy",Main!$M$37)</f>
        <v>48.634999999999998</v>
      </c>
      <c r="K36">
        <f>_xll.BDP(IF(Main!$D$7="AUD",AQ78,IF(Main!$D$7="NZD",AQ119,$E$1&amp;AQ36))&amp;" "&amp;Main!$P$37&amp;" Curncy",Main!$M$37)</f>
        <v>46.68</v>
      </c>
      <c r="L36">
        <f>_xll.BDP(IF(Main!$D$7="AUD",AR78,IF(Main!$D$7="NZD",AR119,$E$1&amp;AR36))&amp;" "&amp;Main!$P$37&amp;" Curncy",Main!$M$37)</f>
        <v>45.2</v>
      </c>
      <c r="M36" t="str">
        <f>_xll.BDP(IF(Main!$D$7="AUD",AS78,IF(Main!$D$7="NZD",AS119,$E$1&amp;AS36))&amp;" "&amp;Main!$P$37&amp;" Curncy",Main!$M$37)</f>
        <v>#N/A N/A</v>
      </c>
      <c r="N36">
        <f>_xll.BDP(IF(Main!$D$7="AUD",AT78,IF(Main!$D$7="NZD",AT119,$E$1&amp;AT36))&amp;" "&amp;Main!$P$37&amp;" Curncy",Main!$M$37)</f>
        <v>42.84</v>
      </c>
      <c r="O36">
        <f>_xll.BDP(IF(Main!$D$7="AUD",AU78,IF(Main!$D$7="NZD",AU119,$E$1&amp;AU36))&amp;" "&amp;Main!$P$37&amp;" Curncy",Main!$M$37)</f>
        <v>41.5</v>
      </c>
      <c r="P36">
        <f>_xll.BDP(IF(Main!$D$7="AUD",AV78,IF(Main!$D$7="NZD",AV119,$E$1&amp;AV36))&amp;" "&amp;Main!$P$37&amp;" Curncy",Main!$M$37)</f>
        <v>40.615000000000002</v>
      </c>
      <c r="Q36">
        <f>_xll.BDP(IF(Main!$D$7="AUD",AW78,IF(Main!$D$7="NZD",AW119,$E$1&amp;AW36))&amp;" "&amp;Main!$P$37&amp;" Curncy",Main!$M$37)</f>
        <v>39.935000000000002</v>
      </c>
      <c r="R36">
        <f>_xll.BDP(IF(Main!$D$7="AUD",AX78,IF(Main!$D$7="NZD",AX119,$E$1&amp;AX36))&amp;" "&amp;Main!$P$37&amp;" Curncy",Main!$M$37)</f>
        <v>39.375</v>
      </c>
      <c r="S36">
        <f>_xll.BDP(IF(Main!$D$7="AUD",AY78,IF(Main!$D$7="NZD",AY119,$E$1&amp;AY36))&amp;" "&amp;Main!$P$37&amp;" Curncy",Main!$M$37)</f>
        <v>38.89</v>
      </c>
      <c r="T36">
        <f>_xll.BDP(IF(Main!$D$7="AUD",AZ78,IF(Main!$D$7="NZD",AZ119,$E$1&amp;AZ36))&amp;" "&amp;Main!$P$37&amp;" Curncy",Main!$M$37)</f>
        <v>38.465000000000003</v>
      </c>
      <c r="U36">
        <f>_xll.BDP(IF(Main!$D$7="AUD",BA78,IF(Main!$D$7="NZD",BA119,$E$1&amp;BA36))&amp;" "&amp;Main!$P$37&amp;" Curncy",Main!$M$37)</f>
        <v>38.090000000000003</v>
      </c>
      <c r="V36">
        <f>_xll.BDP(IF(Main!$D$7="AUD",BB78,IF(Main!$D$7="NZD",BB119,$E$1&amp;BB36))&amp;" "&amp;Main!$P$37&amp;" Curncy",Main!$M$37)</f>
        <v>37.744999999999997</v>
      </c>
      <c r="W36">
        <f>_xll.BDP(IF(Main!$D$7="AUD",BC78,IF(Main!$D$7="NZD",BC119,$E$1&amp;BC36))&amp;" "&amp;Main!$P$37&amp;" Curncy",Main!$M$37)</f>
        <v>37.435000000000002</v>
      </c>
      <c r="X36">
        <f>_xll.BDP(IF(Main!$D$7="AUD",BD78,IF(Main!$D$7="NZD",BD119,$E$1&amp;BD36))&amp;" "&amp;Main!$P$37&amp;" Curncy",Main!$M$37)</f>
        <v>37.15</v>
      </c>
      <c r="Y36">
        <f>_xll.BDP(IF(Main!$D$7="AUD",BE78,IF(Main!$D$7="NZD",BE119,$E$1&amp;BE36))&amp;" "&amp;Main!$P$37&amp;" Curncy",Main!$M$37)</f>
        <v>36.89</v>
      </c>
      <c r="Z36" t="str">
        <f>_xll.BDP(IF(Main!$D$7="AUD",BF78,IF(Main!$D$7="NZD",BF119,$E$1&amp;BF36))&amp;" "&amp;Main!$P$37&amp;" Curncy",Main!$M$37)</f>
        <v>#N/A Field Not Applicable</v>
      </c>
      <c r="AA36" t="str">
        <f>_xll.BDP(IF(Main!$D$7="AUD",BG78,IF(Main!$D$7="NZD",BG119,$E$1&amp;BG36))&amp;" "&amp;Main!$P$37&amp;" Curncy",Main!$M$37)</f>
        <v>#N/A Invalid Security</v>
      </c>
      <c r="AB36" t="str">
        <f>_xll.BDP(IF(Main!$D$7="AUD",BH78,IF(Main!$D$7="NZD",BH119,$E$1&amp;BH36))&amp;" "&amp;Main!$P$37&amp;" Curncy",Main!$M$37)</f>
        <v>#N/A Invalid Security</v>
      </c>
      <c r="AC36" t="str">
        <f>_xll.BDP(IF(Main!$D$7="AUD",BI78,IF(Main!$D$7="NZD",BI119,$E$1&amp;BI36))&amp;" "&amp;Main!$P$37&amp;" Curncy",Main!$M$37)</f>
        <v>#N/A Invalid Security</v>
      </c>
      <c r="AD36" t="str">
        <f>_xll.BDP(IF(Main!$D$7="AUD",BJ78,IF(Main!$D$7="NZD",BJ119,$E$1&amp;BJ36))&amp;" "&amp;Main!$P$37&amp;" Curncy",Main!$M$37)</f>
        <v>#N/A Invalid Security</v>
      </c>
      <c r="AE36" t="str">
        <f>_xll.BDP(IF(Main!$D$7="AUD",BK78,IF(Main!$D$7="NZD",BK119,$E$1&amp;BK36))&amp;" "&amp;Main!$P$37&amp;" Curncy",Main!$M$37)</f>
        <v>#N/A Invalid Security</v>
      </c>
      <c r="AF36" t="str">
        <f>_xll.BDP(IF(Main!$D$7="AUD",BL78,IF(Main!$D$7="NZD",BL119,$E$1&amp;BL36))&amp;" "&amp;Main!$P$37&amp;" Curncy",Main!$M$37)</f>
        <v>#N/A Invalid Security</v>
      </c>
      <c r="AG36" t="str">
        <f>_xll.BDP(IF(Main!$D$7="AUD",BM78,IF(Main!$D$7="NZD",BM119,$E$1&amp;BM36))&amp;" "&amp;Main!$P$37&amp;" Curncy",Main!$M$37)</f>
        <v>#N/A Invalid Security</v>
      </c>
      <c r="AH36" t="str">
        <f>_xll.BDP(IF(Main!$D$7="AUD",BN78,IF(Main!$D$7="NZD",BN119,$E$1&amp;BN36))&amp;" "&amp;Main!$P$37&amp;" Curncy",Main!$M$37)</f>
        <v>#N/A Invalid Security</v>
      </c>
      <c r="AJ36" t="s">
        <v>43</v>
      </c>
      <c r="AK36" t="s">
        <v>81</v>
      </c>
      <c r="AL36" t="s">
        <v>82</v>
      </c>
      <c r="AM36" t="s">
        <v>83</v>
      </c>
      <c r="AN36" t="s">
        <v>84</v>
      </c>
      <c r="AO36" t="s">
        <v>85</v>
      </c>
      <c r="AP36" t="s">
        <v>86</v>
      </c>
      <c r="AQ36" t="s">
        <v>87</v>
      </c>
      <c r="AR36" t="s">
        <v>88</v>
      </c>
      <c r="AS36" t="s">
        <v>89</v>
      </c>
      <c r="AT36" t="s">
        <v>90</v>
      </c>
      <c r="AU36" t="s">
        <v>91</v>
      </c>
      <c r="AV36" t="s">
        <v>92</v>
      </c>
      <c r="AW36" t="s">
        <v>337</v>
      </c>
      <c r="AX36" t="s">
        <v>338</v>
      </c>
      <c r="AY36" t="s">
        <v>339</v>
      </c>
      <c r="AZ36" t="s">
        <v>340</v>
      </c>
      <c r="BA36" t="s">
        <v>341</v>
      </c>
      <c r="BB36" t="s">
        <v>342</v>
      </c>
      <c r="BC36" t="s">
        <v>343</v>
      </c>
      <c r="BD36" t="s">
        <v>344</v>
      </c>
      <c r="BE36" t="s">
        <v>345</v>
      </c>
      <c r="BF36" t="s">
        <v>83</v>
      </c>
    </row>
    <row r="37" spans="2:58" x14ac:dyDescent="0.2">
      <c r="B37" t="s">
        <v>2043</v>
      </c>
      <c r="D37" t="str">
        <f>IF(Main!$D$7="AUD",AJ79,IF(Main!$D$7="NZD",AJ120,AJ37))</f>
        <v>4 YR</v>
      </c>
      <c r="E37">
        <f>_xll.BDP(IF(Main!$D$7="AUD",AK79,IF(Main!$D$7="NZD",AK120,$E$1&amp;AK37))&amp;" "&amp;Main!$P$37&amp;" Curncy",Main!$M$37)</f>
        <v>49.53</v>
      </c>
      <c r="F37" t="str">
        <f>_xll.BDP(IF(Main!$D$7="AUD",AL79,IF(Main!$D$7="NZD",AL120,$E$1&amp;AL37))&amp;" "&amp;Main!$P$37&amp;" Curncy",Main!$M$37)</f>
        <v>#N/A Invalid Security</v>
      </c>
      <c r="G37" t="str">
        <f>_xll.BDP(IF(Main!$D$7="AUD",AM79,IF(Main!$D$7="NZD",AM120,$E$1&amp;AM37))&amp;" "&amp;Main!$P$37&amp;" Curncy",Main!$M$37)</f>
        <v>#N/A Field Not Applicable</v>
      </c>
      <c r="H37" t="str">
        <f>_xll.BDP(IF(Main!$D$7="AUD",AN79,IF(Main!$D$7="NZD",AN120,$E$1&amp;AN37))&amp;" "&amp;Main!$P$37&amp;" Curncy",Main!$M$37)</f>
        <v>#N/A Invalid Security</v>
      </c>
      <c r="I37" t="str">
        <f>_xll.BDP(IF(Main!$D$7="AUD",AO79,IF(Main!$D$7="NZD",AO120,$E$1&amp;AO37))&amp;" "&amp;Main!$P$37&amp;" Curncy",Main!$M$37)</f>
        <v>#N/A Invalid Security</v>
      </c>
      <c r="J37">
        <f>_xll.BDP(IF(Main!$D$7="AUD",AP79,IF(Main!$D$7="NZD",AP120,$E$1&amp;AP37))&amp;" "&amp;Main!$P$37&amp;" Curncy",Main!$M$37)</f>
        <v>51.064999999999998</v>
      </c>
      <c r="K37">
        <f>_xll.BDP(IF(Main!$D$7="AUD",AQ79,IF(Main!$D$7="NZD",AQ120,$E$1&amp;AQ37))&amp;" "&amp;Main!$P$37&amp;" Curncy",Main!$M$37)</f>
        <v>48.625</v>
      </c>
      <c r="L37">
        <f>_xll.BDP(IF(Main!$D$7="AUD",AR79,IF(Main!$D$7="NZD",AR120,$E$1&amp;AR37))&amp;" "&amp;Main!$P$37&amp;" Curncy",Main!$M$37)</f>
        <v>46.945</v>
      </c>
      <c r="M37" t="str">
        <f>_xll.BDP(IF(Main!$D$7="AUD",AS79,IF(Main!$D$7="NZD",AS120,$E$1&amp;AS37))&amp;" "&amp;Main!$P$37&amp;" Curncy",Main!$M$37)</f>
        <v>#N/A N/A</v>
      </c>
      <c r="N37">
        <f>_xll.BDP(IF(Main!$D$7="AUD",AT79,IF(Main!$D$7="NZD",AT120,$E$1&amp;AT37))&amp;" "&amp;Main!$P$37&amp;" Curncy",Main!$M$37)</f>
        <v>44.4</v>
      </c>
      <c r="O37">
        <f>_xll.BDP(IF(Main!$D$7="AUD",AU79,IF(Main!$D$7="NZD",AU120,$E$1&amp;AU37))&amp;" "&amp;Main!$P$37&amp;" Curncy",Main!$M$37)</f>
        <v>42.655000000000001</v>
      </c>
      <c r="P37">
        <f>_xll.BDP(IF(Main!$D$7="AUD",AV79,IF(Main!$D$7="NZD",AV120,$E$1&amp;AV37))&amp;" "&amp;Main!$P$37&amp;" Curncy",Main!$M$37)</f>
        <v>41.265000000000001</v>
      </c>
      <c r="Q37">
        <f>_xll.BDP(IF(Main!$D$7="AUD",AW79,IF(Main!$D$7="NZD",AW120,$E$1&amp;AW37))&amp;" "&amp;Main!$P$37&amp;" Curncy",Main!$M$37)</f>
        <v>40.090000000000003</v>
      </c>
      <c r="R37">
        <f>_xll.BDP(IF(Main!$D$7="AUD",AX79,IF(Main!$D$7="NZD",AX120,$E$1&amp;AX37))&amp;" "&amp;Main!$P$37&amp;" Curncy",Main!$M$37)</f>
        <v>39.064999999999998</v>
      </c>
      <c r="S37">
        <f>_xll.BDP(IF(Main!$D$7="AUD",AY79,IF(Main!$D$7="NZD",AY120,$E$1&amp;AY37))&amp;" "&amp;Main!$P$37&amp;" Curncy",Main!$M$37)</f>
        <v>38.159999999999997</v>
      </c>
      <c r="T37">
        <f>_xll.BDP(IF(Main!$D$7="AUD",AZ79,IF(Main!$D$7="NZD",AZ120,$E$1&amp;AZ37))&amp;" "&amp;Main!$P$37&amp;" Curncy",Main!$M$37)</f>
        <v>37.354999999999997</v>
      </c>
      <c r="U37">
        <f>_xll.BDP(IF(Main!$D$7="AUD",BA79,IF(Main!$D$7="NZD",BA120,$E$1&amp;BA37))&amp;" "&amp;Main!$P$37&amp;" Curncy",Main!$M$37)</f>
        <v>36.634999999999998</v>
      </c>
      <c r="V37">
        <f>_xll.BDP(IF(Main!$D$7="AUD",BB79,IF(Main!$D$7="NZD",BB120,$E$1&amp;BB37))&amp;" "&amp;Main!$P$37&amp;" Curncy",Main!$M$37)</f>
        <v>35.984999999999999</v>
      </c>
      <c r="W37">
        <f>_xll.BDP(IF(Main!$D$7="AUD",BC79,IF(Main!$D$7="NZD",BC120,$E$1&amp;BC37))&amp;" "&amp;Main!$P$37&amp;" Curncy",Main!$M$37)</f>
        <v>35.39</v>
      </c>
      <c r="X37">
        <f>_xll.BDP(IF(Main!$D$7="AUD",BD79,IF(Main!$D$7="NZD",BD120,$E$1&amp;BD37))&amp;" "&amp;Main!$P$37&amp;" Curncy",Main!$M$37)</f>
        <v>34.85</v>
      </c>
      <c r="Y37">
        <f>_xll.BDP(IF(Main!$D$7="AUD",BE79,IF(Main!$D$7="NZD",BE120,$E$1&amp;BE37))&amp;" "&amp;Main!$P$37&amp;" Curncy",Main!$M$37)</f>
        <v>34.354999999999997</v>
      </c>
      <c r="Z37" t="str">
        <f>_xll.BDP(IF(Main!$D$7="AUD",BF79,IF(Main!$D$7="NZD",BF120,$E$1&amp;BF37))&amp;" "&amp;Main!$P$37&amp;" Curncy",Main!$M$37)</f>
        <v>#N/A Field Not Applicable</v>
      </c>
      <c r="AA37" t="str">
        <f>_xll.BDP(IF(Main!$D$7="AUD",BG79,IF(Main!$D$7="NZD",BG120,$E$1&amp;BG37))&amp;" "&amp;Main!$P$37&amp;" Curncy",Main!$M$37)</f>
        <v>#N/A Invalid Security</v>
      </c>
      <c r="AB37" t="str">
        <f>_xll.BDP(IF(Main!$D$7="AUD",BH79,IF(Main!$D$7="NZD",BH120,$E$1&amp;BH37))&amp;" "&amp;Main!$P$37&amp;" Curncy",Main!$M$37)</f>
        <v>#N/A Invalid Security</v>
      </c>
      <c r="AC37" t="str">
        <f>_xll.BDP(IF(Main!$D$7="AUD",BI79,IF(Main!$D$7="NZD",BI120,$E$1&amp;BI37))&amp;" "&amp;Main!$P$37&amp;" Curncy",Main!$M$37)</f>
        <v>#N/A Invalid Security</v>
      </c>
      <c r="AD37" t="str">
        <f>_xll.BDP(IF(Main!$D$7="AUD",BJ79,IF(Main!$D$7="NZD",BJ120,$E$1&amp;BJ37))&amp;" "&amp;Main!$P$37&amp;" Curncy",Main!$M$37)</f>
        <v>#N/A Invalid Security</v>
      </c>
      <c r="AE37" t="str">
        <f>_xll.BDP(IF(Main!$D$7="AUD",BK79,IF(Main!$D$7="NZD",BK120,$E$1&amp;BK37))&amp;" "&amp;Main!$P$37&amp;" Curncy",Main!$M$37)</f>
        <v>#N/A Invalid Security</v>
      </c>
      <c r="AF37" t="str">
        <f>_xll.BDP(IF(Main!$D$7="AUD",BL79,IF(Main!$D$7="NZD",BL120,$E$1&amp;BL37))&amp;" "&amp;Main!$P$37&amp;" Curncy",Main!$M$37)</f>
        <v>#N/A Invalid Security</v>
      </c>
      <c r="AG37" t="str">
        <f>_xll.BDP(IF(Main!$D$7="AUD",BM79,IF(Main!$D$7="NZD",BM120,$E$1&amp;BM37))&amp;" "&amp;Main!$P$37&amp;" Curncy",Main!$M$37)</f>
        <v>#N/A Invalid Security</v>
      </c>
      <c r="AH37" t="str">
        <f>_xll.BDP(IF(Main!$D$7="AUD",BN79,IF(Main!$D$7="NZD",BN120,$E$1&amp;BN37))&amp;" "&amp;Main!$P$37&amp;" Curncy",Main!$M$37)</f>
        <v>#N/A Invalid Security</v>
      </c>
      <c r="AJ37" t="s">
        <v>44</v>
      </c>
      <c r="AK37" t="s">
        <v>93</v>
      </c>
      <c r="AL37" t="s">
        <v>94</v>
      </c>
      <c r="AM37" t="s">
        <v>95</v>
      </c>
      <c r="AN37" t="s">
        <v>96</v>
      </c>
      <c r="AO37" t="s">
        <v>97</v>
      </c>
      <c r="AP37" t="s">
        <v>98</v>
      </c>
      <c r="AQ37" t="s">
        <v>99</v>
      </c>
      <c r="AR37" t="s">
        <v>100</v>
      </c>
      <c r="AS37" t="s">
        <v>101</v>
      </c>
      <c r="AT37" t="s">
        <v>102</v>
      </c>
      <c r="AU37" t="s">
        <v>103</v>
      </c>
      <c r="AV37" t="s">
        <v>104</v>
      </c>
      <c r="AW37" t="s">
        <v>346</v>
      </c>
      <c r="AX37" t="s">
        <v>347</v>
      </c>
      <c r="AY37" t="s">
        <v>348</v>
      </c>
      <c r="AZ37" t="s">
        <v>349</v>
      </c>
      <c r="BA37" t="s">
        <v>350</v>
      </c>
      <c r="BB37" t="s">
        <v>351</v>
      </c>
      <c r="BC37" t="s">
        <v>352</v>
      </c>
      <c r="BD37" t="s">
        <v>353</v>
      </c>
      <c r="BE37" t="s">
        <v>354</v>
      </c>
      <c r="BF37" t="s">
        <v>95</v>
      </c>
    </row>
    <row r="38" spans="2:58" x14ac:dyDescent="0.2">
      <c r="B38" t="s">
        <v>2044</v>
      </c>
      <c r="D38" t="str">
        <f>IF(Main!$D$7="AUD",AJ80,IF(Main!$D$7="NZD",AJ121,AJ38))</f>
        <v>5 YR</v>
      </c>
      <c r="E38">
        <f>_xll.BDP(IF(Main!$D$7="AUD",AK80,IF(Main!$D$7="NZD",AK121,$E$1&amp;AK38))&amp;" "&amp;Main!$P$37&amp;" Curncy",Main!$M$37)</f>
        <v>50.395000000000003</v>
      </c>
      <c r="F38" t="str">
        <f>_xll.BDP(IF(Main!$D$7="AUD",AL80,IF(Main!$D$7="NZD",AL121,$E$1&amp;AL38))&amp;" "&amp;Main!$P$37&amp;" Curncy",Main!$M$37)</f>
        <v>#N/A Invalid Security</v>
      </c>
      <c r="G38" t="str">
        <f>_xll.BDP(IF(Main!$D$7="AUD",AM80,IF(Main!$D$7="NZD",AM121,$E$1&amp;AM38))&amp;" "&amp;Main!$P$37&amp;" Curncy",Main!$M$37)</f>
        <v>#N/A Field Not Applicable</v>
      </c>
      <c r="H38" t="str">
        <f>_xll.BDP(IF(Main!$D$7="AUD",AN80,IF(Main!$D$7="NZD",AN121,$E$1&amp;AN38))&amp;" "&amp;Main!$P$37&amp;" Curncy",Main!$M$37)</f>
        <v>#N/A Invalid Security</v>
      </c>
      <c r="I38" t="str">
        <f>_xll.BDP(IF(Main!$D$7="AUD",AO80,IF(Main!$D$7="NZD",AO121,$E$1&amp;AO38))&amp;" "&amp;Main!$P$37&amp;" Curncy",Main!$M$37)</f>
        <v>#N/A Invalid Security</v>
      </c>
      <c r="J38">
        <f>_xll.BDP(IF(Main!$D$7="AUD",AP80,IF(Main!$D$7="NZD",AP121,$E$1&amp;AP38))&amp;" "&amp;Main!$P$37&amp;" Curncy",Main!$M$37)</f>
        <v>52.6</v>
      </c>
      <c r="K38">
        <f>_xll.BDP(IF(Main!$D$7="AUD",AQ80,IF(Main!$D$7="NZD",AQ121,$E$1&amp;AQ38))&amp;" "&amp;Main!$P$37&amp;" Curncy",Main!$M$37)</f>
        <v>49.564999999999998</v>
      </c>
      <c r="L38">
        <f>_xll.BDP(IF(Main!$D$7="AUD",AR80,IF(Main!$D$7="NZD",AR121,$E$1&amp;AR38))&amp;" "&amp;Main!$P$37&amp;" Curncy",Main!$M$37)</f>
        <v>47.475000000000001</v>
      </c>
      <c r="M38" t="str">
        <f>_xll.BDP(IF(Main!$D$7="AUD",AS80,IF(Main!$D$7="NZD",AS121,$E$1&amp;AS38))&amp;" "&amp;Main!$P$37&amp;" Curncy",Main!$M$37)</f>
        <v>#N/A N/A</v>
      </c>
      <c r="N38">
        <f>_xll.BDP(IF(Main!$D$7="AUD",AT80,IF(Main!$D$7="NZD",AT121,$E$1&amp;AT38))&amp;" "&amp;Main!$P$37&amp;" Curncy",Main!$M$37)</f>
        <v>44.335000000000001</v>
      </c>
      <c r="O38">
        <f>_xll.BDP(IF(Main!$D$7="AUD",AU80,IF(Main!$D$7="NZD",AU121,$E$1&amp;AU38))&amp;" "&amp;Main!$P$37&amp;" Curncy",Main!$M$37)</f>
        <v>42.06</v>
      </c>
      <c r="P38">
        <f>_xll.BDP(IF(Main!$D$7="AUD",AV80,IF(Main!$D$7="NZD",AV121,$E$1&amp;AV38))&amp;" "&amp;Main!$P$37&amp;" Curncy",Main!$M$37)</f>
        <v>40.24</v>
      </c>
      <c r="Q38">
        <f>_xll.BDP(IF(Main!$D$7="AUD",AW80,IF(Main!$D$7="NZD",AW121,$E$1&amp;AW38))&amp;" "&amp;Main!$P$37&amp;" Curncy",Main!$M$37)</f>
        <v>38.72</v>
      </c>
      <c r="R38">
        <f>_xll.BDP(IF(Main!$D$7="AUD",AX80,IF(Main!$D$7="NZD",AX121,$E$1&amp;AX38))&amp;" "&amp;Main!$P$37&amp;" Curncy",Main!$M$37)</f>
        <v>37.435000000000002</v>
      </c>
      <c r="S38">
        <f>_xll.BDP(IF(Main!$D$7="AUD",AY80,IF(Main!$D$7="NZD",AY121,$E$1&amp;AY38))&amp;" "&amp;Main!$P$37&amp;" Curncy",Main!$M$37)</f>
        <v>36.33</v>
      </c>
      <c r="T38">
        <f>_xll.BDP(IF(Main!$D$7="AUD",AZ80,IF(Main!$D$7="NZD",AZ121,$E$1&amp;AZ38))&amp;" "&amp;Main!$P$37&amp;" Curncy",Main!$M$37)</f>
        <v>35.369999999999997</v>
      </c>
      <c r="U38">
        <f>_xll.BDP(IF(Main!$D$7="AUD",BA80,IF(Main!$D$7="NZD",BA121,$E$1&amp;BA38))&amp;" "&amp;Main!$P$37&amp;" Curncy",Main!$M$37)</f>
        <v>34.53</v>
      </c>
      <c r="V38">
        <f>_xll.BDP(IF(Main!$D$7="AUD",BB80,IF(Main!$D$7="NZD",BB121,$E$1&amp;BB38))&amp;" "&amp;Main!$P$37&amp;" Curncy",Main!$M$37)</f>
        <v>33.79</v>
      </c>
      <c r="W38">
        <f>_xll.BDP(IF(Main!$D$7="AUD",BC80,IF(Main!$D$7="NZD",BC121,$E$1&amp;BC38))&amp;" "&amp;Main!$P$37&amp;" Curncy",Main!$M$37)</f>
        <v>33.125</v>
      </c>
      <c r="X38">
        <f>_xll.BDP(IF(Main!$D$7="AUD",BD80,IF(Main!$D$7="NZD",BD121,$E$1&amp;BD38))&amp;" "&amp;Main!$P$37&amp;" Curncy",Main!$M$37)</f>
        <v>32.534999999999997</v>
      </c>
      <c r="Y38">
        <f>_xll.BDP(IF(Main!$D$7="AUD",BE80,IF(Main!$D$7="NZD",BE121,$E$1&amp;BE38))&amp;" "&amp;Main!$P$37&amp;" Curncy",Main!$M$37)</f>
        <v>32</v>
      </c>
      <c r="Z38" t="str">
        <f>_xll.BDP(IF(Main!$D$7="AUD",BF80,IF(Main!$D$7="NZD",BF121,$E$1&amp;BF38))&amp;" "&amp;Main!$P$37&amp;" Curncy",Main!$M$37)</f>
        <v>#N/A Field Not Applicable</v>
      </c>
      <c r="AA38" t="str">
        <f>_xll.BDP(IF(Main!$D$7="AUD",BG80,IF(Main!$D$7="NZD",BG121,$E$1&amp;BG38))&amp;" "&amp;Main!$P$37&amp;" Curncy",Main!$M$37)</f>
        <v>#N/A Invalid Security</v>
      </c>
      <c r="AB38" t="str">
        <f>_xll.BDP(IF(Main!$D$7="AUD",BH80,IF(Main!$D$7="NZD",BH121,$E$1&amp;BH38))&amp;" "&amp;Main!$P$37&amp;" Curncy",Main!$M$37)</f>
        <v>#N/A Invalid Security</v>
      </c>
      <c r="AC38" t="str">
        <f>_xll.BDP(IF(Main!$D$7="AUD",BI80,IF(Main!$D$7="NZD",BI121,$E$1&amp;BI38))&amp;" "&amp;Main!$P$37&amp;" Curncy",Main!$M$37)</f>
        <v>#N/A Invalid Security</v>
      </c>
      <c r="AD38" t="str">
        <f>_xll.BDP(IF(Main!$D$7="AUD",BJ80,IF(Main!$D$7="NZD",BJ121,$E$1&amp;BJ38))&amp;" "&amp;Main!$P$37&amp;" Curncy",Main!$M$37)</f>
        <v>#N/A Invalid Security</v>
      </c>
      <c r="AE38" t="str">
        <f>_xll.BDP(IF(Main!$D$7="AUD",BK80,IF(Main!$D$7="NZD",BK121,$E$1&amp;BK38))&amp;" "&amp;Main!$P$37&amp;" Curncy",Main!$M$37)</f>
        <v>#N/A Invalid Security</v>
      </c>
      <c r="AF38" t="str">
        <f>_xll.BDP(IF(Main!$D$7="AUD",BL80,IF(Main!$D$7="NZD",BL121,$E$1&amp;BL38))&amp;" "&amp;Main!$P$37&amp;" Curncy",Main!$M$37)</f>
        <v>#N/A Invalid Security</v>
      </c>
      <c r="AG38" t="str">
        <f>_xll.BDP(IF(Main!$D$7="AUD",BM80,IF(Main!$D$7="NZD",BM121,$E$1&amp;BM38))&amp;" "&amp;Main!$P$37&amp;" Curncy",Main!$M$37)</f>
        <v>#N/A Invalid Security</v>
      </c>
      <c r="AH38" t="str">
        <f>_xll.BDP(IF(Main!$D$7="AUD",BN80,IF(Main!$D$7="NZD",BN121,$E$1&amp;BN38))&amp;" "&amp;Main!$P$37&amp;" Curncy",Main!$M$37)</f>
        <v>#N/A Invalid Security</v>
      </c>
      <c r="AJ38" t="s">
        <v>45</v>
      </c>
      <c r="AK38" t="s">
        <v>105</v>
      </c>
      <c r="AL38" t="s">
        <v>106</v>
      </c>
      <c r="AM38" t="s">
        <v>107</v>
      </c>
      <c r="AN38" t="s">
        <v>108</v>
      </c>
      <c r="AO38" t="s">
        <v>109</v>
      </c>
      <c r="AP38" t="s">
        <v>110</v>
      </c>
      <c r="AQ38" t="s">
        <v>111</v>
      </c>
      <c r="AR38" t="s">
        <v>112</v>
      </c>
      <c r="AS38" t="s">
        <v>113</v>
      </c>
      <c r="AT38" t="s">
        <v>114</v>
      </c>
      <c r="AU38" t="s">
        <v>115</v>
      </c>
      <c r="AV38" t="s">
        <v>116</v>
      </c>
      <c r="AW38" t="s">
        <v>355</v>
      </c>
      <c r="AX38" t="s">
        <v>356</v>
      </c>
      <c r="AY38" t="s">
        <v>357</v>
      </c>
      <c r="AZ38" t="s">
        <v>358</v>
      </c>
      <c r="BA38" t="s">
        <v>359</v>
      </c>
      <c r="BB38" t="s">
        <v>360</v>
      </c>
      <c r="BC38" t="s">
        <v>361</v>
      </c>
      <c r="BD38" t="s">
        <v>362</v>
      </c>
      <c r="BE38" t="s">
        <v>363</v>
      </c>
      <c r="BF38" t="s">
        <v>107</v>
      </c>
    </row>
    <row r="39" spans="2:58" x14ac:dyDescent="0.2">
      <c r="B39" t="s">
        <v>2045</v>
      </c>
      <c r="D39" t="str">
        <f>IF(Main!$D$7="AUD",AJ81,IF(Main!$D$7="NZD",AJ122,AJ39))</f>
        <v>6 YR</v>
      </c>
      <c r="E39">
        <f>_xll.BDP(IF(Main!$D$7="AUD",AK81,IF(Main!$D$7="NZD",AK122,$E$1&amp;AK39))&amp;" "&amp;Main!$P$37&amp;" Curncy",Main!$M$37)</f>
        <v>50.57</v>
      </c>
      <c r="F39" t="str">
        <f>_xll.BDP(IF(Main!$D$7="AUD",AL81,IF(Main!$D$7="NZD",AL122,$E$1&amp;AL39))&amp;" "&amp;Main!$P$37&amp;" Curncy",Main!$M$37)</f>
        <v>#N/A Invalid Security</v>
      </c>
      <c r="G39" t="str">
        <f>_xll.BDP(IF(Main!$D$7="AUD",AM81,IF(Main!$D$7="NZD",AM122,$E$1&amp;AM39))&amp;" "&amp;Main!$P$37&amp;" Curncy",Main!$M$37)</f>
        <v>#N/A Field Not Applicable</v>
      </c>
      <c r="H39" t="str">
        <f>_xll.BDP(IF(Main!$D$7="AUD",AN81,IF(Main!$D$7="NZD",AN122,$E$1&amp;AN39))&amp;" "&amp;Main!$P$37&amp;" Curncy",Main!$M$37)</f>
        <v>#N/A Invalid Security</v>
      </c>
      <c r="I39" t="str">
        <f>_xll.BDP(IF(Main!$D$7="AUD",AO81,IF(Main!$D$7="NZD",AO122,$E$1&amp;AO39))&amp;" "&amp;Main!$P$37&amp;" Curncy",Main!$M$37)</f>
        <v>#N/A Invalid Security</v>
      </c>
      <c r="J39">
        <f>_xll.BDP(IF(Main!$D$7="AUD",AP81,IF(Main!$D$7="NZD",AP122,$E$1&amp;AP39))&amp;" "&amp;Main!$P$37&amp;" Curncy",Main!$M$37)</f>
        <v>55</v>
      </c>
      <c r="K39">
        <f>_xll.BDP(IF(Main!$D$7="AUD",AQ81,IF(Main!$D$7="NZD",AQ122,$E$1&amp;AQ39))&amp;" "&amp;Main!$P$37&amp;" Curncy",Main!$M$37)</f>
        <v>49.68</v>
      </c>
      <c r="L39">
        <f>_xll.BDP(IF(Main!$D$7="AUD",AR81,IF(Main!$D$7="NZD",AR122,$E$1&amp;AR39))&amp;" "&amp;Main!$P$37&amp;" Curncy",Main!$M$37)</f>
        <v>46.305</v>
      </c>
      <c r="M39" t="str">
        <f>_xll.BDP(IF(Main!$D$7="AUD",AS81,IF(Main!$D$7="NZD",AS122,$E$1&amp;AS39))&amp;" "&amp;Main!$P$37&amp;" Curncy",Main!$M$37)</f>
        <v>#N/A N/A</v>
      </c>
      <c r="N39">
        <f>_xll.BDP(IF(Main!$D$7="AUD",AT81,IF(Main!$D$7="NZD",AT122,$E$1&amp;AT39))&amp;" "&amp;Main!$P$37&amp;" Curncy",Main!$M$37)</f>
        <v>42.1</v>
      </c>
      <c r="O39">
        <f>_xll.BDP(IF(Main!$D$7="AUD",AU81,IF(Main!$D$7="NZD",AU122,$E$1&amp;AU39))&amp;" "&amp;Main!$P$37&amp;" Curncy",Main!$M$37)</f>
        <v>39.765000000000001</v>
      </c>
      <c r="P39">
        <f>_xll.BDP(IF(Main!$D$7="AUD",AV81,IF(Main!$D$7="NZD",AV122,$E$1&amp;AV39))&amp;" "&amp;Main!$P$37&amp;" Curncy",Main!$M$37)</f>
        <v>38.295000000000002</v>
      </c>
      <c r="Q39">
        <f>_xll.BDP(IF(Main!$D$7="AUD",AW81,IF(Main!$D$7="NZD",AW122,$E$1&amp;AW39))&amp;" "&amp;Main!$P$37&amp;" Curncy",Main!$M$37)</f>
        <v>37.32</v>
      </c>
      <c r="R39">
        <f>_xll.BDP(IF(Main!$D$7="AUD",AX81,IF(Main!$D$7="NZD",AX122,$E$1&amp;AX39))&amp;" "&amp;Main!$P$37&amp;" Curncy",Main!$M$37)</f>
        <v>36.685000000000002</v>
      </c>
      <c r="S39">
        <f>_xll.BDP(IF(Main!$D$7="AUD",AY81,IF(Main!$D$7="NZD",AY122,$E$1&amp;AY39))&amp;" "&amp;Main!$P$37&amp;" Curncy",Main!$M$37)</f>
        <v>36.295000000000002</v>
      </c>
      <c r="T39">
        <f>_xll.BDP(IF(Main!$D$7="AUD",AZ81,IF(Main!$D$7="NZD",AZ122,$E$1&amp;AZ39))&amp;" "&amp;Main!$P$37&amp;" Curncy",Main!$M$37)</f>
        <v>36.094999999999999</v>
      </c>
      <c r="U39">
        <f>_xll.BDP(IF(Main!$D$7="AUD",BA81,IF(Main!$D$7="NZD",BA122,$E$1&amp;BA39))&amp;" "&amp;Main!$P$37&amp;" Curncy",Main!$M$37)</f>
        <v>36.03</v>
      </c>
      <c r="V39">
        <f>_xll.BDP(IF(Main!$D$7="AUD",BB81,IF(Main!$D$7="NZD",BB122,$E$1&amp;BB39))&amp;" "&amp;Main!$P$37&amp;" Curncy",Main!$M$37)</f>
        <v>36.06</v>
      </c>
      <c r="W39">
        <f>_xll.BDP(IF(Main!$D$7="AUD",BC81,IF(Main!$D$7="NZD",BC122,$E$1&amp;BC39))&amp;" "&amp;Main!$P$37&amp;" Curncy",Main!$M$37)</f>
        <v>36.15</v>
      </c>
      <c r="X39">
        <f>_xll.BDP(IF(Main!$D$7="AUD",BD81,IF(Main!$D$7="NZD",BD122,$E$1&amp;BD39))&amp;" "&amp;Main!$P$37&amp;" Curncy",Main!$M$37)</f>
        <v>36.29</v>
      </c>
      <c r="Y39">
        <f>_xll.BDP(IF(Main!$D$7="AUD",BE81,IF(Main!$D$7="NZD",BE122,$E$1&amp;BE39))&amp;" "&amp;Main!$P$37&amp;" Curncy",Main!$M$37)</f>
        <v>36.450000000000003</v>
      </c>
      <c r="Z39" t="str">
        <f>_xll.BDP(IF(Main!$D$7="AUD",BF81,IF(Main!$D$7="NZD",BF122,$E$1&amp;BF39))&amp;" "&amp;Main!$P$37&amp;" Curncy",Main!$M$37)</f>
        <v>#N/A Field Not Applicable</v>
      </c>
      <c r="AA39" t="str">
        <f>_xll.BDP(IF(Main!$D$7="AUD",BG81,IF(Main!$D$7="NZD",BG122,$E$1&amp;BG39))&amp;" "&amp;Main!$P$37&amp;" Curncy",Main!$M$37)</f>
        <v>#N/A Invalid Security</v>
      </c>
      <c r="AB39" t="str">
        <f>_xll.BDP(IF(Main!$D$7="AUD",BH81,IF(Main!$D$7="NZD",BH122,$E$1&amp;BH39))&amp;" "&amp;Main!$P$37&amp;" Curncy",Main!$M$37)</f>
        <v>#N/A Invalid Security</v>
      </c>
      <c r="AC39" t="str">
        <f>_xll.BDP(IF(Main!$D$7="AUD",BI81,IF(Main!$D$7="NZD",BI122,$E$1&amp;BI39))&amp;" "&amp;Main!$P$37&amp;" Curncy",Main!$M$37)</f>
        <v>#N/A Invalid Security</v>
      </c>
      <c r="AD39" t="str">
        <f>_xll.BDP(IF(Main!$D$7="AUD",BJ81,IF(Main!$D$7="NZD",BJ122,$E$1&amp;BJ39))&amp;" "&amp;Main!$P$37&amp;" Curncy",Main!$M$37)</f>
        <v>#N/A Invalid Security</v>
      </c>
      <c r="AE39" t="str">
        <f>_xll.BDP(IF(Main!$D$7="AUD",BK81,IF(Main!$D$7="NZD",BK122,$E$1&amp;BK39))&amp;" "&amp;Main!$P$37&amp;" Curncy",Main!$M$37)</f>
        <v>#N/A Invalid Security</v>
      </c>
      <c r="AF39" t="str">
        <f>_xll.BDP(IF(Main!$D$7="AUD",BL81,IF(Main!$D$7="NZD",BL122,$E$1&amp;BL39))&amp;" "&amp;Main!$P$37&amp;" Curncy",Main!$M$37)</f>
        <v>#N/A Invalid Security</v>
      </c>
      <c r="AG39" t="str">
        <f>_xll.BDP(IF(Main!$D$7="AUD",BM81,IF(Main!$D$7="NZD",BM122,$E$1&amp;BM39))&amp;" "&amp;Main!$P$37&amp;" Curncy",Main!$M$37)</f>
        <v>#N/A Invalid Security</v>
      </c>
      <c r="AH39" t="str">
        <f>_xll.BDP(IF(Main!$D$7="AUD",BN81,IF(Main!$D$7="NZD",BN122,$E$1&amp;BN39))&amp;" "&amp;Main!$P$37&amp;" Curncy",Main!$M$37)</f>
        <v>#N/A Invalid Security</v>
      </c>
      <c r="AJ39" t="s">
        <v>46</v>
      </c>
      <c r="AK39" t="s">
        <v>117</v>
      </c>
      <c r="AL39" t="s">
        <v>118</v>
      </c>
      <c r="AM39" t="s">
        <v>119</v>
      </c>
      <c r="AN39" t="s">
        <v>120</v>
      </c>
      <c r="AO39" t="s">
        <v>121</v>
      </c>
      <c r="AP39" t="s">
        <v>122</v>
      </c>
      <c r="AQ39" t="s">
        <v>123</v>
      </c>
      <c r="AR39" t="s">
        <v>124</v>
      </c>
      <c r="AS39" t="s">
        <v>125</v>
      </c>
      <c r="AT39" t="s">
        <v>126</v>
      </c>
      <c r="AU39" t="s">
        <v>127</v>
      </c>
      <c r="AV39" t="s">
        <v>128</v>
      </c>
      <c r="AW39" t="s">
        <v>364</v>
      </c>
      <c r="AX39" t="s">
        <v>365</v>
      </c>
      <c r="AY39" t="s">
        <v>366</v>
      </c>
      <c r="AZ39" t="s">
        <v>367</v>
      </c>
      <c r="BA39" t="s">
        <v>368</v>
      </c>
      <c r="BB39" t="s">
        <v>369</v>
      </c>
      <c r="BC39" t="s">
        <v>370</v>
      </c>
      <c r="BD39" t="s">
        <v>371</v>
      </c>
      <c r="BE39" t="s">
        <v>372</v>
      </c>
      <c r="BF39" t="s">
        <v>119</v>
      </c>
    </row>
    <row r="40" spans="2:58" x14ac:dyDescent="0.2">
      <c r="B40" t="s">
        <v>2046</v>
      </c>
      <c r="D40" t="str">
        <f>IF(Main!$D$7="AUD",AJ82,IF(Main!$D$7="NZD",AJ123,AJ40))</f>
        <v>7 YR</v>
      </c>
      <c r="E40">
        <f>_xll.BDP(IF(Main!$D$7="AUD",AK82,IF(Main!$D$7="NZD",AK123,$E$1&amp;AK40))&amp;" "&amp;Main!$P$37&amp;" Curncy",Main!$M$37)</f>
        <v>50.634999999999998</v>
      </c>
      <c r="F40" t="str">
        <f>_xll.BDP(IF(Main!$D$7="AUD",AL82,IF(Main!$D$7="NZD",AL123,$E$1&amp;AL40))&amp;" "&amp;Main!$P$37&amp;" Curncy",Main!$M$37)</f>
        <v>#N/A Invalid Security</v>
      </c>
      <c r="G40" t="str">
        <f>_xll.BDP(IF(Main!$D$7="AUD",AM82,IF(Main!$D$7="NZD",AM123,$E$1&amp;AM40))&amp;" "&amp;Main!$P$37&amp;" Curncy",Main!$M$37)</f>
        <v>#N/A Field Not Applicable</v>
      </c>
      <c r="H40" t="str">
        <f>_xll.BDP(IF(Main!$D$7="AUD",AN82,IF(Main!$D$7="NZD",AN123,$E$1&amp;AN40))&amp;" "&amp;Main!$P$37&amp;" Curncy",Main!$M$37)</f>
        <v>#N/A Invalid Security</v>
      </c>
      <c r="I40" t="str">
        <f>_xll.BDP(IF(Main!$D$7="AUD",AO82,IF(Main!$D$7="NZD",AO123,$E$1&amp;AO40))&amp;" "&amp;Main!$P$37&amp;" Curncy",Main!$M$37)</f>
        <v>#N/A Invalid Security</v>
      </c>
      <c r="J40">
        <f>_xll.BDP(IF(Main!$D$7="AUD",AP82,IF(Main!$D$7="NZD",AP123,$E$1&amp;AP40))&amp;" "&amp;Main!$P$37&amp;" Curncy",Main!$M$37)</f>
        <v>56.774999999999999</v>
      </c>
      <c r="K40">
        <f>_xll.BDP(IF(Main!$D$7="AUD",AQ82,IF(Main!$D$7="NZD",AQ123,$E$1&amp;AQ40))&amp;" "&amp;Main!$P$37&amp;" Curncy",Main!$M$37)</f>
        <v>50.185000000000002</v>
      </c>
      <c r="L40">
        <f>_xll.BDP(IF(Main!$D$7="AUD",AR82,IF(Main!$D$7="NZD",AR123,$E$1&amp;AR40))&amp;" "&amp;Main!$P$37&amp;" Curncy",Main!$M$37)</f>
        <v>46.05</v>
      </c>
      <c r="M40" t="str">
        <f>_xll.BDP(IF(Main!$D$7="AUD",AS82,IF(Main!$D$7="NZD",AS123,$E$1&amp;AS40))&amp;" "&amp;Main!$P$37&amp;" Curncy",Main!$M$37)</f>
        <v>#N/A N/A</v>
      </c>
      <c r="N40">
        <f>_xll.BDP(IF(Main!$D$7="AUD",AT82,IF(Main!$D$7="NZD",AT123,$E$1&amp;AT40))&amp;" "&amp;Main!$P$37&amp;" Curncy",Main!$M$37)</f>
        <v>40.880000000000003</v>
      </c>
      <c r="O40">
        <f>_xll.BDP(IF(Main!$D$7="AUD",AU82,IF(Main!$D$7="NZD",AU123,$E$1&amp;AU40))&amp;" "&amp;Main!$P$37&amp;" Curncy",Main!$M$37)</f>
        <v>37.895000000000003</v>
      </c>
      <c r="P40">
        <f>_xll.BDP(IF(Main!$D$7="AUD",AV82,IF(Main!$D$7="NZD",AV123,$E$1&amp;AV40))&amp;" "&amp;Main!$P$37&amp;" Curncy",Main!$M$37)</f>
        <v>35.965000000000003</v>
      </c>
      <c r="Q40">
        <f>_xll.BDP(IF(Main!$D$7="AUD",AW82,IF(Main!$D$7="NZD",AW123,$E$1&amp;AW40))&amp;" "&amp;Main!$P$37&amp;" Curncy",Main!$M$37)</f>
        <v>34.659999999999997</v>
      </c>
      <c r="R40">
        <f>_xll.BDP(IF(Main!$D$7="AUD",AX82,IF(Main!$D$7="NZD",AX123,$E$1&amp;AX40))&amp;" "&amp;Main!$P$37&amp;" Curncy",Main!$M$37)</f>
        <v>33.795000000000002</v>
      </c>
      <c r="S40">
        <f>_xll.BDP(IF(Main!$D$7="AUD",AY82,IF(Main!$D$7="NZD",AY123,$E$1&amp;AY40))&amp;" "&amp;Main!$P$37&amp;" Curncy",Main!$M$37)</f>
        <v>33.265000000000001</v>
      </c>
      <c r="T40">
        <f>_xll.BDP(IF(Main!$D$7="AUD",AZ82,IF(Main!$D$7="NZD",AZ123,$E$1&amp;AZ40))&amp;" "&amp;Main!$P$37&amp;" Curncy",Main!$M$37)</f>
        <v>32.99</v>
      </c>
      <c r="U40">
        <f>_xll.BDP(IF(Main!$D$7="AUD",BA82,IF(Main!$D$7="NZD",BA123,$E$1&amp;BA40))&amp;" "&amp;Main!$P$37&amp;" Curncy",Main!$M$37)</f>
        <v>32.89</v>
      </c>
      <c r="V40">
        <f>_xll.BDP(IF(Main!$D$7="AUD",BB82,IF(Main!$D$7="NZD",BB123,$E$1&amp;BB40))&amp;" "&amp;Main!$P$37&amp;" Curncy",Main!$M$37)</f>
        <v>32.909999999999997</v>
      </c>
      <c r="W40">
        <f>_xll.BDP(IF(Main!$D$7="AUD",BC82,IF(Main!$D$7="NZD",BC123,$E$1&amp;BC40))&amp;" "&amp;Main!$P$37&amp;" Curncy",Main!$M$37)</f>
        <v>33</v>
      </c>
      <c r="X40">
        <f>_xll.BDP(IF(Main!$D$7="AUD",BD82,IF(Main!$D$7="NZD",BD123,$E$1&amp;BD40))&amp;" "&amp;Main!$P$37&amp;" Curncy",Main!$M$37)</f>
        <v>33.119999999999997</v>
      </c>
      <c r="Y40">
        <f>_xll.BDP(IF(Main!$D$7="AUD",BE82,IF(Main!$D$7="NZD",BE123,$E$1&amp;BE40))&amp;" "&amp;Main!$P$37&amp;" Curncy",Main!$M$37)</f>
        <v>33.265000000000001</v>
      </c>
      <c r="Z40" t="str">
        <f>_xll.BDP(IF(Main!$D$7="AUD",BF82,IF(Main!$D$7="NZD",BF123,$E$1&amp;BF40))&amp;" "&amp;Main!$P$37&amp;" Curncy",Main!$M$37)</f>
        <v>#N/A Field Not Applicable</v>
      </c>
      <c r="AA40" t="str">
        <f>_xll.BDP(IF(Main!$D$7="AUD",BG82,IF(Main!$D$7="NZD",BG123,$E$1&amp;BG40))&amp;" "&amp;Main!$P$37&amp;" Curncy",Main!$M$37)</f>
        <v>#N/A Invalid Security</v>
      </c>
      <c r="AB40" t="str">
        <f>_xll.BDP(IF(Main!$D$7="AUD",BH82,IF(Main!$D$7="NZD",BH123,$E$1&amp;BH40))&amp;" "&amp;Main!$P$37&amp;" Curncy",Main!$M$37)</f>
        <v>#N/A Invalid Security</v>
      </c>
      <c r="AC40" t="str">
        <f>_xll.BDP(IF(Main!$D$7="AUD",BI82,IF(Main!$D$7="NZD",BI123,$E$1&amp;BI40))&amp;" "&amp;Main!$P$37&amp;" Curncy",Main!$M$37)</f>
        <v>#N/A Invalid Security</v>
      </c>
      <c r="AD40" t="str">
        <f>_xll.BDP(IF(Main!$D$7="AUD",BJ82,IF(Main!$D$7="NZD",BJ123,$E$1&amp;BJ40))&amp;" "&amp;Main!$P$37&amp;" Curncy",Main!$M$37)</f>
        <v>#N/A Invalid Security</v>
      </c>
      <c r="AE40" t="str">
        <f>_xll.BDP(IF(Main!$D$7="AUD",BK82,IF(Main!$D$7="NZD",BK123,$E$1&amp;BK40))&amp;" "&amp;Main!$P$37&amp;" Curncy",Main!$M$37)</f>
        <v>#N/A Invalid Security</v>
      </c>
      <c r="AF40" t="str">
        <f>_xll.BDP(IF(Main!$D$7="AUD",BL82,IF(Main!$D$7="NZD",BL123,$E$1&amp;BL40))&amp;" "&amp;Main!$P$37&amp;" Curncy",Main!$M$37)</f>
        <v>#N/A Invalid Security</v>
      </c>
      <c r="AG40" t="str">
        <f>_xll.BDP(IF(Main!$D$7="AUD",BM82,IF(Main!$D$7="NZD",BM123,$E$1&amp;BM40))&amp;" "&amp;Main!$P$37&amp;" Curncy",Main!$M$37)</f>
        <v>#N/A Invalid Security</v>
      </c>
      <c r="AH40" t="str">
        <f>_xll.BDP(IF(Main!$D$7="AUD",BN82,IF(Main!$D$7="NZD",BN123,$E$1&amp;BN40))&amp;" "&amp;Main!$P$37&amp;" Curncy",Main!$M$37)</f>
        <v>#N/A Invalid Security</v>
      </c>
      <c r="AJ40" t="s">
        <v>47</v>
      </c>
      <c r="AK40" t="s">
        <v>129</v>
      </c>
      <c r="AL40" t="s">
        <v>130</v>
      </c>
      <c r="AM40" t="s">
        <v>131</v>
      </c>
      <c r="AN40" t="s">
        <v>132</v>
      </c>
      <c r="AO40" t="s">
        <v>133</v>
      </c>
      <c r="AP40" t="s">
        <v>134</v>
      </c>
      <c r="AQ40" t="s">
        <v>135</v>
      </c>
      <c r="AR40" t="s">
        <v>136</v>
      </c>
      <c r="AS40" t="s">
        <v>137</v>
      </c>
      <c r="AT40" t="s">
        <v>138</v>
      </c>
      <c r="AU40" t="s">
        <v>139</v>
      </c>
      <c r="AV40" t="s">
        <v>140</v>
      </c>
      <c r="AW40" t="s">
        <v>373</v>
      </c>
      <c r="AX40" t="s">
        <v>374</v>
      </c>
      <c r="AY40" t="s">
        <v>375</v>
      </c>
      <c r="AZ40" t="s">
        <v>376</v>
      </c>
      <c r="BA40" t="s">
        <v>377</v>
      </c>
      <c r="BB40" t="s">
        <v>378</v>
      </c>
      <c r="BC40" t="s">
        <v>379</v>
      </c>
      <c r="BD40" t="s">
        <v>380</v>
      </c>
      <c r="BE40" t="s">
        <v>381</v>
      </c>
      <c r="BF40" t="s">
        <v>131</v>
      </c>
    </row>
    <row r="41" spans="2:58" x14ac:dyDescent="0.2">
      <c r="B41" t="s">
        <v>33</v>
      </c>
      <c r="D41" t="str">
        <f>IF(Main!$D$7="AUD",AJ83,IF(Main!$D$7="NZD",AJ124,AJ41))</f>
        <v>8 YR</v>
      </c>
      <c r="E41">
        <f>_xll.BDP(IF(Main!$D$7="AUD",AK83,IF(Main!$D$7="NZD",AK124,$E$1&amp;AK41))&amp;" "&amp;Main!$P$37&amp;" Curncy",Main!$M$37)</f>
        <v>50.34</v>
      </c>
      <c r="F41" t="str">
        <f>_xll.BDP(IF(Main!$D$7="AUD",AL83,IF(Main!$D$7="NZD",AL124,$E$1&amp;AL41))&amp;" "&amp;Main!$P$37&amp;" Curncy",Main!$M$37)</f>
        <v>#N/A Invalid Security</v>
      </c>
      <c r="G41" t="str">
        <f>_xll.BDP(IF(Main!$D$7="AUD",AM83,IF(Main!$D$7="NZD",AM124,$E$1&amp;AM41))&amp;" "&amp;Main!$P$37&amp;" Curncy",Main!$M$37)</f>
        <v>#N/A Field Not Applicable</v>
      </c>
      <c r="H41" t="str">
        <f>_xll.BDP(IF(Main!$D$7="AUD",AN83,IF(Main!$D$7="NZD",AN124,$E$1&amp;AN41))&amp;" "&amp;Main!$P$37&amp;" Curncy",Main!$M$37)</f>
        <v>#N/A Invalid Security</v>
      </c>
      <c r="I41" t="str">
        <f>_xll.BDP(IF(Main!$D$7="AUD",AO83,IF(Main!$D$7="NZD",AO124,$E$1&amp;AO41))&amp;" "&amp;Main!$P$37&amp;" Curncy",Main!$M$37)</f>
        <v>#N/A Invalid Security</v>
      </c>
      <c r="J41">
        <f>_xll.BDP(IF(Main!$D$7="AUD",AP83,IF(Main!$D$7="NZD",AP124,$E$1&amp;AP41))&amp;" "&amp;Main!$P$37&amp;" Curncy",Main!$M$37)</f>
        <v>58.335000000000001</v>
      </c>
      <c r="K41">
        <f>_xll.BDP(IF(Main!$D$7="AUD",AQ83,IF(Main!$D$7="NZD",AQ124,$E$1&amp;AQ41))&amp;" "&amp;Main!$P$37&amp;" Curncy",Main!$M$37)</f>
        <v>50.47</v>
      </c>
      <c r="L41">
        <f>_xll.BDP(IF(Main!$D$7="AUD",AR83,IF(Main!$D$7="NZD",AR124,$E$1&amp;AR41))&amp;" "&amp;Main!$P$37&amp;" Curncy",Main!$M$37)</f>
        <v>45.68</v>
      </c>
      <c r="M41" t="str">
        <f>_xll.BDP(IF(Main!$D$7="AUD",AS83,IF(Main!$D$7="NZD",AS124,$E$1&amp;AS41))&amp;" "&amp;Main!$P$37&amp;" Curncy",Main!$M$37)</f>
        <v>#N/A N/A</v>
      </c>
      <c r="N41">
        <f>_xll.BDP(IF(Main!$D$7="AUD",AT83,IF(Main!$D$7="NZD",AT124,$E$1&amp;AT41))&amp;" "&amp;Main!$P$37&amp;" Curncy",Main!$M$37)</f>
        <v>40.020000000000003</v>
      </c>
      <c r="O41">
        <f>_xll.BDP(IF(Main!$D$7="AUD",AU83,IF(Main!$D$7="NZD",AU124,$E$1&amp;AU41))&amp;" "&amp;Main!$P$37&amp;" Curncy",Main!$M$37)</f>
        <v>37.07</v>
      </c>
      <c r="P41">
        <f>_xll.BDP(IF(Main!$D$7="AUD",AV83,IF(Main!$D$7="NZD",AV124,$E$1&amp;AV41))&amp;" "&amp;Main!$P$37&amp;" Curncy",Main!$M$37)</f>
        <v>35.39</v>
      </c>
      <c r="Q41">
        <f>_xll.BDP(IF(Main!$D$7="AUD",AW83,IF(Main!$D$7="NZD",AW124,$E$1&amp;AW41))&amp;" "&amp;Main!$P$37&amp;" Curncy",Main!$M$37)</f>
        <v>34.409999999999997</v>
      </c>
      <c r="R41">
        <f>_xll.BDP(IF(Main!$D$7="AUD",AX83,IF(Main!$D$7="NZD",AX124,$E$1&amp;AX41))&amp;" "&amp;Main!$P$37&amp;" Curncy",Main!$M$37)</f>
        <v>33.869999999999997</v>
      </c>
      <c r="S41">
        <f>_xll.BDP(IF(Main!$D$7="AUD",AY83,IF(Main!$D$7="NZD",AY124,$E$1&amp;AY41))&amp;" "&amp;Main!$P$37&amp;" Curncy",Main!$M$37)</f>
        <v>33.625</v>
      </c>
      <c r="T41">
        <f>_xll.BDP(IF(Main!$D$7="AUD",AZ83,IF(Main!$D$7="NZD",AZ124,$E$1&amp;AZ41))&amp;" "&amp;Main!$P$37&amp;" Curncy",Main!$M$37)</f>
        <v>33.564999999999998</v>
      </c>
      <c r="U41">
        <f>_xll.BDP(IF(Main!$D$7="AUD",BA83,IF(Main!$D$7="NZD",BA124,$E$1&amp;BA41))&amp;" "&amp;Main!$P$37&amp;" Curncy",Main!$M$37)</f>
        <v>33.615000000000002</v>
      </c>
      <c r="V41">
        <f>_xll.BDP(IF(Main!$D$7="AUD",BB83,IF(Main!$D$7="NZD",BB124,$E$1&amp;BB41))&amp;" "&amp;Main!$P$37&amp;" Curncy",Main!$M$37)</f>
        <v>33.729999999999997</v>
      </c>
      <c r="W41">
        <f>_xll.BDP(IF(Main!$D$7="AUD",BC83,IF(Main!$D$7="NZD",BC124,$E$1&amp;BC41))&amp;" "&amp;Main!$P$37&amp;" Curncy",Main!$M$37)</f>
        <v>33.869999999999997</v>
      </c>
      <c r="X41">
        <f>_xll.BDP(IF(Main!$D$7="AUD",BD83,IF(Main!$D$7="NZD",BD124,$E$1&amp;BD41))&amp;" "&amp;Main!$P$37&amp;" Curncy",Main!$M$37)</f>
        <v>34.020000000000003</v>
      </c>
      <c r="Y41">
        <f>_xll.BDP(IF(Main!$D$7="AUD",BE83,IF(Main!$D$7="NZD",BE124,$E$1&amp;BE41))&amp;" "&amp;Main!$P$37&amp;" Curncy",Main!$M$37)</f>
        <v>34.18</v>
      </c>
      <c r="Z41" t="str">
        <f>_xll.BDP(IF(Main!$D$7="AUD",BF83,IF(Main!$D$7="NZD",BF124,$E$1&amp;BF41))&amp;" "&amp;Main!$P$37&amp;" Curncy",Main!$M$37)</f>
        <v>#N/A Field Not Applicable</v>
      </c>
      <c r="AA41" t="str">
        <f>_xll.BDP(IF(Main!$D$7="AUD",BG83,IF(Main!$D$7="NZD",BG124,$E$1&amp;BG41))&amp;" "&amp;Main!$P$37&amp;" Curncy",Main!$M$37)</f>
        <v>#N/A Invalid Security</v>
      </c>
      <c r="AB41" t="str">
        <f>_xll.BDP(IF(Main!$D$7="AUD",BH83,IF(Main!$D$7="NZD",BH124,$E$1&amp;BH41))&amp;" "&amp;Main!$P$37&amp;" Curncy",Main!$M$37)</f>
        <v>#N/A Invalid Security</v>
      </c>
      <c r="AC41" t="str">
        <f>_xll.BDP(IF(Main!$D$7="AUD",BI83,IF(Main!$D$7="NZD",BI124,$E$1&amp;BI41))&amp;" "&amp;Main!$P$37&amp;" Curncy",Main!$M$37)</f>
        <v>#N/A Invalid Security</v>
      </c>
      <c r="AD41" t="str">
        <f>_xll.BDP(IF(Main!$D$7="AUD",BJ83,IF(Main!$D$7="NZD",BJ124,$E$1&amp;BJ41))&amp;" "&amp;Main!$P$37&amp;" Curncy",Main!$M$37)</f>
        <v>#N/A Invalid Security</v>
      </c>
      <c r="AE41" t="str">
        <f>_xll.BDP(IF(Main!$D$7="AUD",BK83,IF(Main!$D$7="NZD",BK124,$E$1&amp;BK41))&amp;" "&amp;Main!$P$37&amp;" Curncy",Main!$M$37)</f>
        <v>#N/A Invalid Security</v>
      </c>
      <c r="AF41" t="str">
        <f>_xll.BDP(IF(Main!$D$7="AUD",BL83,IF(Main!$D$7="NZD",BL124,$E$1&amp;BL41))&amp;" "&amp;Main!$P$37&amp;" Curncy",Main!$M$37)</f>
        <v>#N/A Invalid Security</v>
      </c>
      <c r="AG41" t="str">
        <f>_xll.BDP(IF(Main!$D$7="AUD",BM83,IF(Main!$D$7="NZD",BM124,$E$1&amp;BM41))&amp;" "&amp;Main!$P$37&amp;" Curncy",Main!$M$37)</f>
        <v>#N/A Invalid Security</v>
      </c>
      <c r="AH41" t="str">
        <f>_xll.BDP(IF(Main!$D$7="AUD",BN83,IF(Main!$D$7="NZD",BN124,$E$1&amp;BN41))&amp;" "&amp;Main!$P$37&amp;" Curncy",Main!$M$37)</f>
        <v>#N/A Invalid Security</v>
      </c>
      <c r="AJ41" t="s">
        <v>48</v>
      </c>
      <c r="AK41" t="s">
        <v>141</v>
      </c>
      <c r="AL41" t="s">
        <v>142</v>
      </c>
      <c r="AM41" t="s">
        <v>143</v>
      </c>
      <c r="AN41" t="s">
        <v>144</v>
      </c>
      <c r="AO41" t="s">
        <v>145</v>
      </c>
      <c r="AP41" t="s">
        <v>146</v>
      </c>
      <c r="AQ41" t="s">
        <v>147</v>
      </c>
      <c r="AR41" t="s">
        <v>148</v>
      </c>
      <c r="AS41" t="s">
        <v>149</v>
      </c>
      <c r="AT41" t="s">
        <v>150</v>
      </c>
      <c r="AU41" t="s">
        <v>151</v>
      </c>
      <c r="AV41" t="s">
        <v>152</v>
      </c>
      <c r="AW41" t="s">
        <v>382</v>
      </c>
      <c r="AX41" t="s">
        <v>383</v>
      </c>
      <c r="AY41" t="s">
        <v>384</v>
      </c>
      <c r="AZ41" t="s">
        <v>385</v>
      </c>
      <c r="BA41" t="s">
        <v>386</v>
      </c>
      <c r="BB41" t="s">
        <v>387</v>
      </c>
      <c r="BC41" t="s">
        <v>388</v>
      </c>
      <c r="BD41" t="s">
        <v>389</v>
      </c>
      <c r="BE41" t="s">
        <v>390</v>
      </c>
      <c r="BF41" t="s">
        <v>143</v>
      </c>
    </row>
    <row r="42" spans="2:58" x14ac:dyDescent="0.2">
      <c r="B42" t="s">
        <v>2047</v>
      </c>
      <c r="D42" t="str">
        <f>IF(Main!$D$7="AUD",AJ84,IF(Main!$D$7="NZD",AJ125,AJ42))</f>
        <v>9 YR</v>
      </c>
      <c r="E42">
        <f>_xll.BDP(IF(Main!$D$7="AUD",AK84,IF(Main!$D$7="NZD",AK125,$E$1&amp;AK42))&amp;" "&amp;Main!$P$37&amp;" Curncy",Main!$M$37)</f>
        <v>49.685000000000002</v>
      </c>
      <c r="F42" t="str">
        <f>_xll.BDP(IF(Main!$D$7="AUD",AL84,IF(Main!$D$7="NZD",AL125,$E$1&amp;AL42))&amp;" "&amp;Main!$P$37&amp;" Curncy",Main!$M$37)</f>
        <v>#N/A Invalid Security</v>
      </c>
      <c r="G42" t="str">
        <f>_xll.BDP(IF(Main!$D$7="AUD",AM84,IF(Main!$D$7="NZD",AM125,$E$1&amp;AM42))&amp;" "&amp;Main!$P$37&amp;" Curncy",Main!$M$37)</f>
        <v>#N/A Field Not Applicable</v>
      </c>
      <c r="H42" t="str">
        <f>_xll.BDP(IF(Main!$D$7="AUD",AN84,IF(Main!$D$7="NZD",AN125,$E$1&amp;AN42))&amp;" "&amp;Main!$P$37&amp;" Curncy",Main!$M$37)</f>
        <v>#N/A Invalid Security</v>
      </c>
      <c r="I42" t="str">
        <f>_xll.BDP(IF(Main!$D$7="AUD",AO84,IF(Main!$D$7="NZD",AO125,$E$1&amp;AO42))&amp;" "&amp;Main!$P$37&amp;" Curncy",Main!$M$37)</f>
        <v>#N/A Invalid Security</v>
      </c>
      <c r="J42">
        <f>_xll.BDP(IF(Main!$D$7="AUD",AP84,IF(Main!$D$7="NZD",AP125,$E$1&amp;AP42))&amp;" "&amp;Main!$P$37&amp;" Curncy",Main!$M$37)</f>
        <v>59.484999999999999</v>
      </c>
      <c r="K42">
        <f>_xll.BDP(IF(Main!$D$7="AUD",AQ84,IF(Main!$D$7="NZD",AQ125,$E$1&amp;AQ42))&amp;" "&amp;Main!$P$37&amp;" Curncy",Main!$M$37)</f>
        <v>50.494999999999997</v>
      </c>
      <c r="L42">
        <f>_xll.BDP(IF(Main!$D$7="AUD",AR84,IF(Main!$D$7="NZD",AR125,$E$1&amp;AR42))&amp;" "&amp;Main!$P$37&amp;" Curncy",Main!$M$37)</f>
        <v>45.134999999999998</v>
      </c>
      <c r="M42" t="str">
        <f>_xll.BDP(IF(Main!$D$7="AUD",AS84,IF(Main!$D$7="NZD",AS125,$E$1&amp;AS42))&amp;" "&amp;Main!$P$37&amp;" Curncy",Main!$M$37)</f>
        <v>#N/A N/A</v>
      </c>
      <c r="N42">
        <f>_xll.BDP(IF(Main!$D$7="AUD",AT84,IF(Main!$D$7="NZD",AT125,$E$1&amp;AT42))&amp;" "&amp;Main!$P$37&amp;" Curncy",Main!$M$37)</f>
        <v>39</v>
      </c>
      <c r="O42">
        <f>_xll.BDP(IF(Main!$D$7="AUD",AU84,IF(Main!$D$7="NZD",AU125,$E$1&amp;AU42))&amp;" "&amp;Main!$P$37&amp;" Curncy",Main!$M$37)</f>
        <v>35.97</v>
      </c>
      <c r="P42">
        <f>_xll.BDP(IF(Main!$D$7="AUD",AV84,IF(Main!$D$7="NZD",AV125,$E$1&amp;AV42))&amp;" "&amp;Main!$P$37&amp;" Curncy",Main!$M$37)</f>
        <v>34.354999999999997</v>
      </c>
      <c r="Q42">
        <f>_xll.BDP(IF(Main!$D$7="AUD",AW84,IF(Main!$D$7="NZD",AW125,$E$1&amp;AW42))&amp;" "&amp;Main!$P$37&amp;" Curncy",Main!$M$37)</f>
        <v>33.475000000000001</v>
      </c>
      <c r="R42">
        <f>_xll.BDP(IF(Main!$D$7="AUD",AX84,IF(Main!$D$7="NZD",AX125,$E$1&amp;AX42))&amp;" "&amp;Main!$P$37&amp;" Curncy",Main!$M$37)</f>
        <v>33.020000000000003</v>
      </c>
      <c r="S42">
        <f>_xll.BDP(IF(Main!$D$7="AUD",AY84,IF(Main!$D$7="NZD",AY125,$E$1&amp;AY42))&amp;" "&amp;Main!$P$37&amp;" Curncy",Main!$M$37)</f>
        <v>32.82</v>
      </c>
      <c r="T42">
        <f>_xll.BDP(IF(Main!$D$7="AUD",AZ84,IF(Main!$D$7="NZD",AZ125,$E$1&amp;AZ42))&amp;" "&amp;Main!$P$37&amp;" Curncy",Main!$M$37)</f>
        <v>32.78</v>
      </c>
      <c r="U42">
        <f>_xll.BDP(IF(Main!$D$7="AUD",BA84,IF(Main!$D$7="NZD",BA125,$E$1&amp;BA42))&amp;" "&amp;Main!$P$37&amp;" Curncy",Main!$M$37)</f>
        <v>32.82</v>
      </c>
      <c r="V42">
        <f>_xll.BDP(IF(Main!$D$7="AUD",BB84,IF(Main!$D$7="NZD",BB125,$E$1&amp;BB42))&amp;" "&amp;Main!$P$37&amp;" Curncy",Main!$M$37)</f>
        <v>32.92</v>
      </c>
      <c r="W42">
        <f>_xll.BDP(IF(Main!$D$7="AUD",BC84,IF(Main!$D$7="NZD",BC125,$E$1&amp;BC42))&amp;" "&amp;Main!$P$37&amp;" Curncy",Main!$M$37)</f>
        <v>33.03</v>
      </c>
      <c r="X42">
        <f>_xll.BDP(IF(Main!$D$7="AUD",BD84,IF(Main!$D$7="NZD",BD125,$E$1&amp;BD42))&amp;" "&amp;Main!$P$37&amp;" Curncy",Main!$M$37)</f>
        <v>33.159999999999997</v>
      </c>
      <c r="Y42">
        <f>_xll.BDP(IF(Main!$D$7="AUD",BE84,IF(Main!$D$7="NZD",BE125,$E$1&amp;BE42))&amp;" "&amp;Main!$P$37&amp;" Curncy",Main!$M$37)</f>
        <v>33.28</v>
      </c>
      <c r="Z42" t="str">
        <f>_xll.BDP(IF(Main!$D$7="AUD",BF84,IF(Main!$D$7="NZD",BF125,$E$1&amp;BF42))&amp;" "&amp;Main!$P$37&amp;" Curncy",Main!$M$37)</f>
        <v>#N/A Field Not Applicable</v>
      </c>
      <c r="AA42" t="str">
        <f>_xll.BDP(IF(Main!$D$7="AUD",BG84,IF(Main!$D$7="NZD",BG125,$E$1&amp;BG42))&amp;" "&amp;Main!$P$37&amp;" Curncy",Main!$M$37)</f>
        <v>#N/A Invalid Security</v>
      </c>
      <c r="AB42" t="str">
        <f>_xll.BDP(IF(Main!$D$7="AUD",BH84,IF(Main!$D$7="NZD",BH125,$E$1&amp;BH42))&amp;" "&amp;Main!$P$37&amp;" Curncy",Main!$M$37)</f>
        <v>#N/A Invalid Security</v>
      </c>
      <c r="AC42" t="str">
        <f>_xll.BDP(IF(Main!$D$7="AUD",BI84,IF(Main!$D$7="NZD",BI125,$E$1&amp;BI42))&amp;" "&amp;Main!$P$37&amp;" Curncy",Main!$M$37)</f>
        <v>#N/A Invalid Security</v>
      </c>
      <c r="AD42" t="str">
        <f>_xll.BDP(IF(Main!$D$7="AUD",BJ84,IF(Main!$D$7="NZD",BJ125,$E$1&amp;BJ42))&amp;" "&amp;Main!$P$37&amp;" Curncy",Main!$M$37)</f>
        <v>#N/A Invalid Security</v>
      </c>
      <c r="AE42" t="str">
        <f>_xll.BDP(IF(Main!$D$7="AUD",BK84,IF(Main!$D$7="NZD",BK125,$E$1&amp;BK42))&amp;" "&amp;Main!$P$37&amp;" Curncy",Main!$M$37)</f>
        <v>#N/A Invalid Security</v>
      </c>
      <c r="AF42" t="str">
        <f>_xll.BDP(IF(Main!$D$7="AUD",BL84,IF(Main!$D$7="NZD",BL125,$E$1&amp;BL42))&amp;" "&amp;Main!$P$37&amp;" Curncy",Main!$M$37)</f>
        <v>#N/A Invalid Security</v>
      </c>
      <c r="AG42" t="str">
        <f>_xll.BDP(IF(Main!$D$7="AUD",BM84,IF(Main!$D$7="NZD",BM125,$E$1&amp;BM42))&amp;" "&amp;Main!$P$37&amp;" Curncy",Main!$M$37)</f>
        <v>#N/A Invalid Security</v>
      </c>
      <c r="AH42" t="str">
        <f>_xll.BDP(IF(Main!$D$7="AUD",BN84,IF(Main!$D$7="NZD",BN125,$E$1&amp;BN42))&amp;" "&amp;Main!$P$37&amp;" Curncy",Main!$M$37)</f>
        <v>#N/A Invalid Security</v>
      </c>
      <c r="AJ42" t="s">
        <v>49</v>
      </c>
      <c r="AK42" t="s">
        <v>153</v>
      </c>
      <c r="AL42" t="s">
        <v>154</v>
      </c>
      <c r="AM42" t="s">
        <v>155</v>
      </c>
      <c r="AN42" t="s">
        <v>156</v>
      </c>
      <c r="AO42" t="s">
        <v>157</v>
      </c>
      <c r="AP42" t="s">
        <v>158</v>
      </c>
      <c r="AQ42" t="s">
        <v>159</v>
      </c>
      <c r="AR42" t="s">
        <v>160</v>
      </c>
      <c r="AS42" t="s">
        <v>161</v>
      </c>
      <c r="AT42" t="s">
        <v>162</v>
      </c>
      <c r="AU42" t="s">
        <v>163</v>
      </c>
      <c r="AV42" t="s">
        <v>164</v>
      </c>
      <c r="AW42" t="s">
        <v>391</v>
      </c>
      <c r="AX42" t="s">
        <v>392</v>
      </c>
      <c r="AY42" t="s">
        <v>393</v>
      </c>
      <c r="AZ42" t="s">
        <v>394</v>
      </c>
      <c r="BA42" t="s">
        <v>395</v>
      </c>
      <c r="BB42" t="s">
        <v>396</v>
      </c>
      <c r="BC42" t="s">
        <v>397</v>
      </c>
      <c r="BD42" t="s">
        <v>398</v>
      </c>
      <c r="BE42" t="s">
        <v>399</v>
      </c>
      <c r="BF42" t="s">
        <v>155</v>
      </c>
    </row>
    <row r="43" spans="2:58" x14ac:dyDescent="0.2">
      <c r="B43" t="s">
        <v>31</v>
      </c>
      <c r="D43" t="str">
        <f>IF(Main!$D$7="AUD",AJ85,IF(Main!$D$7="NZD",AJ126,AJ43))</f>
        <v>10 YR</v>
      </c>
      <c r="E43">
        <f>_xll.BDP(IF(Main!$D$7="AUD",AK85,IF(Main!$D$7="NZD",AK126,$E$1&amp;AK43))&amp;" "&amp;Main!$P$37&amp;" Curncy",Main!$M$37)</f>
        <v>48.26</v>
      </c>
      <c r="F43" t="str">
        <f>_xll.BDP(IF(Main!$D$7="AUD",AL85,IF(Main!$D$7="NZD",AL126,$E$1&amp;AL43))&amp;" "&amp;Main!$P$37&amp;" Curncy",Main!$M$37)</f>
        <v>#N/A Invalid Security</v>
      </c>
      <c r="G43" t="str">
        <f>_xll.BDP(IF(Main!$D$7="AUD",AM85,IF(Main!$D$7="NZD",AM126,$E$1&amp;AM43))&amp;" "&amp;Main!$P$37&amp;" Curncy",Main!$M$37)</f>
        <v>#N/A N/A</v>
      </c>
      <c r="H43" t="str">
        <f>_xll.BDP(IF(Main!$D$7="AUD",AN85,IF(Main!$D$7="NZD",AN126,$E$1&amp;AN43))&amp;" "&amp;Main!$P$37&amp;" Curncy",Main!$M$37)</f>
        <v>#N/A N/A</v>
      </c>
      <c r="I43" t="str">
        <f>_xll.BDP(IF(Main!$D$7="AUD",AO85,IF(Main!$D$7="NZD",AO126,$E$1&amp;AO43))&amp;" "&amp;Main!$P$37&amp;" Curncy",Main!$M$37)</f>
        <v>#N/A Invalid Security</v>
      </c>
      <c r="J43">
        <f>_xll.BDP(IF(Main!$D$7="AUD",AP85,IF(Main!$D$7="NZD",AP126,$E$1&amp;AP43))&amp;" "&amp;Main!$P$37&amp;" Curncy",Main!$M$37)</f>
        <v>57.85</v>
      </c>
      <c r="K43">
        <f>_xll.BDP(IF(Main!$D$7="AUD",AQ85,IF(Main!$D$7="NZD",AQ126,$E$1&amp;AQ43))&amp;" "&amp;Main!$P$37&amp;" Curncy",Main!$M$37)</f>
        <v>49.55</v>
      </c>
      <c r="L43">
        <f>_xll.BDP(IF(Main!$D$7="AUD",AR85,IF(Main!$D$7="NZD",AR126,$E$1&amp;AR43))&amp;" "&amp;Main!$P$37&amp;" Curncy",Main!$M$37)</f>
        <v>44.555</v>
      </c>
      <c r="M43" t="str">
        <f>_xll.BDP(IF(Main!$D$7="AUD",AS85,IF(Main!$D$7="NZD",AS126,$E$1&amp;AS43))&amp;" "&amp;Main!$P$37&amp;" Curncy",Main!$M$37)</f>
        <v>#N/A N/A</v>
      </c>
      <c r="N43">
        <f>_xll.BDP(IF(Main!$D$7="AUD",AT85,IF(Main!$D$7="NZD",AT126,$E$1&amp;AT43))&amp;" "&amp;Main!$P$37&amp;" Curncy",Main!$M$37)</f>
        <v>38.82</v>
      </c>
      <c r="O43">
        <f>_xll.BDP(IF(Main!$D$7="AUD",AU85,IF(Main!$D$7="NZD",AU126,$E$1&amp;AU43))&amp;" "&amp;Main!$P$37&amp;" Curncy",Main!$M$37)</f>
        <v>35.92</v>
      </c>
      <c r="P43">
        <f>_xll.BDP(IF(Main!$D$7="AUD",AV85,IF(Main!$D$7="NZD",AV126,$E$1&amp;AV43))&amp;" "&amp;Main!$P$37&amp;" Curncy",Main!$M$37)</f>
        <v>34.284999999999997</v>
      </c>
      <c r="Q43">
        <f>_xll.BDP(IF(Main!$D$7="AUD",AW85,IF(Main!$D$7="NZD",AW126,$E$1&amp;AW43))&amp;" "&amp;Main!$P$37&amp;" Curncy",Main!$M$37)</f>
        <v>33.28</v>
      </c>
      <c r="R43">
        <f>_xll.BDP(IF(Main!$D$7="AUD",AX85,IF(Main!$D$7="NZD",AX126,$E$1&amp;AX43))&amp;" "&amp;Main!$P$37&amp;" Curncy",Main!$M$37)</f>
        <v>32.630000000000003</v>
      </c>
      <c r="S43">
        <f>_xll.BDP(IF(Main!$D$7="AUD",AY85,IF(Main!$D$7="NZD",AY126,$E$1&amp;AY43))&amp;" "&amp;Main!$P$37&amp;" Curncy",Main!$M$37)</f>
        <v>32.200000000000003</v>
      </c>
      <c r="T43">
        <f>_xll.BDP(IF(Main!$D$7="AUD",AZ85,IF(Main!$D$7="NZD",AZ126,$E$1&amp;AZ43))&amp;" "&amp;Main!$P$37&amp;" Curncy",Main!$M$37)</f>
        <v>31.91</v>
      </c>
      <c r="U43">
        <f>_xll.BDP(IF(Main!$D$7="AUD",BA85,IF(Main!$D$7="NZD",BA126,$E$1&amp;BA43))&amp;" "&amp;Main!$P$37&amp;" Curncy",Main!$M$37)</f>
        <v>31.704999999999998</v>
      </c>
      <c r="V43">
        <f>_xll.BDP(IF(Main!$D$7="AUD",BB85,IF(Main!$D$7="NZD",BB126,$E$1&amp;BB43))&amp;" "&amp;Main!$P$37&amp;" Curncy",Main!$M$37)</f>
        <v>31.57</v>
      </c>
      <c r="W43">
        <f>_xll.BDP(IF(Main!$D$7="AUD",BC85,IF(Main!$D$7="NZD",BC126,$E$1&amp;BC43))&amp;" "&amp;Main!$P$37&amp;" Curncy",Main!$M$37)</f>
        <v>31.48</v>
      </c>
      <c r="X43">
        <f>_xll.BDP(IF(Main!$D$7="AUD",BD85,IF(Main!$D$7="NZD",BD126,$E$1&amp;BD43))&amp;" "&amp;Main!$P$37&amp;" Curncy",Main!$M$37)</f>
        <v>31.43</v>
      </c>
      <c r="Y43">
        <f>_xll.BDP(IF(Main!$D$7="AUD",BE85,IF(Main!$D$7="NZD",BE126,$E$1&amp;BE43))&amp;" "&amp;Main!$P$37&amp;" Curncy",Main!$M$37)</f>
        <v>31.4</v>
      </c>
      <c r="Z43" t="str">
        <f>_xll.BDP(IF(Main!$D$7="AUD",BF85,IF(Main!$D$7="NZD",BF126,$E$1&amp;BF43))&amp;" "&amp;Main!$P$37&amp;" Curncy",Main!$M$37)</f>
        <v>#N/A N/A</v>
      </c>
      <c r="AA43" t="str">
        <f>_xll.BDP(IF(Main!$D$7="AUD",BG85,IF(Main!$D$7="NZD",BG126,$E$1&amp;BG43))&amp;" "&amp;Main!$P$37&amp;" Curncy",Main!$M$37)</f>
        <v>#N/A Invalid Security</v>
      </c>
      <c r="AB43" t="str">
        <f>_xll.BDP(IF(Main!$D$7="AUD",BH85,IF(Main!$D$7="NZD",BH126,$E$1&amp;BH43))&amp;" "&amp;Main!$P$37&amp;" Curncy",Main!$M$37)</f>
        <v>#N/A Invalid Security</v>
      </c>
      <c r="AC43" t="str">
        <f>_xll.BDP(IF(Main!$D$7="AUD",BI85,IF(Main!$D$7="NZD",BI126,$E$1&amp;BI43))&amp;" "&amp;Main!$P$37&amp;" Curncy",Main!$M$37)</f>
        <v>#N/A Invalid Security</v>
      </c>
      <c r="AD43" t="str">
        <f>_xll.BDP(IF(Main!$D$7="AUD",BJ85,IF(Main!$D$7="NZD",BJ126,$E$1&amp;BJ43))&amp;" "&amp;Main!$P$37&amp;" Curncy",Main!$M$37)</f>
        <v>#N/A Invalid Security</v>
      </c>
      <c r="AE43" t="str">
        <f>_xll.BDP(IF(Main!$D$7="AUD",BK85,IF(Main!$D$7="NZD",BK126,$E$1&amp;BK43))&amp;" "&amp;Main!$P$37&amp;" Curncy",Main!$M$37)</f>
        <v>#N/A Invalid Security</v>
      </c>
      <c r="AF43" t="str">
        <f>_xll.BDP(IF(Main!$D$7="AUD",BL85,IF(Main!$D$7="NZD",BL126,$E$1&amp;BL43))&amp;" "&amp;Main!$P$37&amp;" Curncy",Main!$M$37)</f>
        <v>#N/A Invalid Security</v>
      </c>
      <c r="AG43" t="str">
        <f>_xll.BDP(IF(Main!$D$7="AUD",BM85,IF(Main!$D$7="NZD",BM126,$E$1&amp;BM43))&amp;" "&amp;Main!$P$37&amp;" Curncy",Main!$M$37)</f>
        <v>#N/A Invalid Security</v>
      </c>
      <c r="AH43" t="str">
        <f>_xll.BDP(IF(Main!$D$7="AUD",BN85,IF(Main!$D$7="NZD",BN126,$E$1&amp;BN43))&amp;" "&amp;Main!$P$37&amp;" Curncy",Main!$M$37)</f>
        <v>#N/A Invalid Security</v>
      </c>
      <c r="AJ43" t="s">
        <v>50</v>
      </c>
      <c r="AK43" t="s">
        <v>165</v>
      </c>
      <c r="AL43" t="s">
        <v>166</v>
      </c>
      <c r="AM43" t="s">
        <v>167</v>
      </c>
      <c r="AN43" t="s">
        <v>168</v>
      </c>
      <c r="AO43" t="s">
        <v>169</v>
      </c>
      <c r="AP43" t="s">
        <v>170</v>
      </c>
      <c r="AQ43" t="s">
        <v>171</v>
      </c>
      <c r="AR43" t="s">
        <v>172</v>
      </c>
      <c r="AS43" t="s">
        <v>173</v>
      </c>
      <c r="AT43" t="s">
        <v>174</v>
      </c>
      <c r="AU43" t="s">
        <v>175</v>
      </c>
      <c r="AV43" t="s">
        <v>176</v>
      </c>
      <c r="AW43" t="s">
        <v>400</v>
      </c>
      <c r="AX43" t="s">
        <v>401</v>
      </c>
      <c r="AY43" t="s">
        <v>402</v>
      </c>
      <c r="AZ43" t="s">
        <v>403</v>
      </c>
      <c r="BA43" t="s">
        <v>404</v>
      </c>
      <c r="BB43" t="s">
        <v>405</v>
      </c>
      <c r="BC43" t="s">
        <v>406</v>
      </c>
      <c r="BD43" t="s">
        <v>407</v>
      </c>
      <c r="BE43" t="s">
        <v>408</v>
      </c>
      <c r="BF43" t="s">
        <v>167</v>
      </c>
    </row>
    <row r="44" spans="2:58" x14ac:dyDescent="0.2">
      <c r="B44" t="s">
        <v>32</v>
      </c>
      <c r="D44" t="str">
        <f>IF(Main!$D$7="AUD",AJ86,IF(Main!$D$7="NZD",AJ127,AJ44))</f>
        <v>12 YR</v>
      </c>
      <c r="E44">
        <f>_xll.BDP(IF(Main!$D$7="AUD",AK86,IF(Main!$D$7="NZD",AK127,$E$1&amp;AK44))&amp;" "&amp;Main!$P$37&amp;" Curncy",Main!$M$37)</f>
        <v>46.704999999999998</v>
      </c>
      <c r="F44" t="str">
        <f>_xll.BDP(IF(Main!$D$7="AUD",AL86,IF(Main!$D$7="NZD",AL127,$E$1&amp;AL44))&amp;" "&amp;Main!$P$37&amp;" Curncy",Main!$M$37)</f>
        <v>#N/A N/A</v>
      </c>
      <c r="G44" t="str">
        <f>_xll.BDP(IF(Main!$D$7="AUD",AM86,IF(Main!$D$7="NZD",AM127,$E$1&amp;AM44))&amp;" "&amp;Main!$P$37&amp;" Curncy",Main!$M$37)</f>
        <v>#N/A N/A</v>
      </c>
      <c r="H44" t="str">
        <f>_xll.BDP(IF(Main!$D$7="AUD",AN86,IF(Main!$D$7="NZD",AN127,$E$1&amp;AN44))&amp;" "&amp;Main!$P$37&amp;" Curncy",Main!$M$37)</f>
        <v>#N/A Invalid Security</v>
      </c>
      <c r="I44" t="str">
        <f>_xll.BDP(IF(Main!$D$7="AUD",AO86,IF(Main!$D$7="NZD",AO127,$E$1&amp;AO44))&amp;" "&amp;Main!$P$37&amp;" Curncy",Main!$M$37)</f>
        <v>#N/A Invalid Security</v>
      </c>
      <c r="J44">
        <f>_xll.BDP(IF(Main!$D$7="AUD",AP86,IF(Main!$D$7="NZD",AP127,$E$1&amp;AP44))&amp;" "&amp;Main!$P$37&amp;" Curncy",Main!$M$37)</f>
        <v>59.325000000000003</v>
      </c>
      <c r="K44">
        <f>_xll.BDP(IF(Main!$D$7="AUD",AQ86,IF(Main!$D$7="NZD",AQ127,$E$1&amp;AQ44))&amp;" "&amp;Main!$P$37&amp;" Curncy",Main!$M$37)</f>
        <v>49.27</v>
      </c>
      <c r="L44">
        <f>_xll.BDP(IF(Main!$D$7="AUD",AR86,IF(Main!$D$7="NZD",AR127,$E$1&amp;AR44))&amp;" "&amp;Main!$P$37&amp;" Curncy",Main!$M$37)</f>
        <v>43.44</v>
      </c>
      <c r="M44">
        <f>_xll.BDP(IF(Main!$D$7="AUD",AS86,IF(Main!$D$7="NZD",AS127,$E$1&amp;AS44))&amp;" "&amp;Main!$P$37&amp;" Curncy",Main!$M$37)</f>
        <v>37.17</v>
      </c>
      <c r="N44">
        <f>_xll.BDP(IF(Main!$D$7="AUD",AT86,IF(Main!$D$7="NZD",AT127,$E$1&amp;AT44))&amp;" "&amp;Main!$P$37&amp;" Curncy",Main!$M$37)</f>
        <v>35.520000000000003</v>
      </c>
      <c r="O44">
        <f>_xll.BDP(IF(Main!$D$7="AUD",AU86,IF(Main!$D$7="NZD",AU127,$E$1&amp;AU44))&amp;" "&amp;Main!$P$37&amp;" Curncy",Main!$M$37)</f>
        <v>34.4</v>
      </c>
      <c r="P44">
        <f>_xll.BDP(IF(Main!$D$7="AUD",AV86,IF(Main!$D$7="NZD",AV127,$E$1&amp;AV44))&amp;" "&amp;Main!$P$37&amp;" Curncy",Main!$M$37)</f>
        <v>33.08</v>
      </c>
      <c r="Q44">
        <f>_xll.BDP(IF(Main!$D$7="AUD",AW86,IF(Main!$D$7="NZD",AW127,$E$1&amp;AW44))&amp;" "&amp;Main!$P$37&amp;" Curncy",Main!$M$37)</f>
        <v>32.42</v>
      </c>
      <c r="R44">
        <f>_xll.BDP(IF(Main!$D$7="AUD",AX86,IF(Main!$D$7="NZD",AX127,$E$1&amp;AX44))&amp;" "&amp;Main!$P$37&amp;" Curncy",Main!$M$37)</f>
        <v>32.1</v>
      </c>
      <c r="S44">
        <f>_xll.BDP(IF(Main!$D$7="AUD",AY86,IF(Main!$D$7="NZD",AY127,$E$1&amp;AY44))&amp;" "&amp;Main!$P$37&amp;" Curncy",Main!$M$37)</f>
        <v>31.97</v>
      </c>
      <c r="T44">
        <f>_xll.BDP(IF(Main!$D$7="AUD",AZ86,IF(Main!$D$7="NZD",AZ127,$E$1&amp;AZ44))&amp;" "&amp;Main!$P$37&amp;" Curncy",Main!$M$37)</f>
        <v>31.96</v>
      </c>
      <c r="U44">
        <f>_xll.BDP(IF(Main!$D$7="AUD",BA86,IF(Main!$D$7="NZD",BA127,$E$1&amp;BA44))&amp;" "&amp;Main!$P$37&amp;" Curncy",Main!$M$37)</f>
        <v>32.01</v>
      </c>
      <c r="V44">
        <f>_xll.BDP(IF(Main!$D$7="AUD",BB86,IF(Main!$D$7="NZD",BB127,$E$1&amp;BB44))&amp;" "&amp;Main!$P$37&amp;" Curncy",Main!$M$37)</f>
        <v>32.11</v>
      </c>
      <c r="W44">
        <f>_xll.BDP(IF(Main!$D$7="AUD",BC86,IF(Main!$D$7="NZD",BC127,$E$1&amp;BC44))&amp;" "&amp;Main!$P$37&amp;" Curncy",Main!$M$37)</f>
        <v>32.229999999999997</v>
      </c>
      <c r="X44">
        <f>_xll.BDP(IF(Main!$D$7="AUD",BD86,IF(Main!$D$7="NZD",BD127,$E$1&amp;BD44))&amp;" "&amp;Main!$P$37&amp;" Curncy",Main!$M$37)</f>
        <v>32.369999999999997</v>
      </c>
      <c r="Y44">
        <f>_xll.BDP(IF(Main!$D$7="AUD",BE86,IF(Main!$D$7="NZD",BE127,$E$1&amp;BE44))&amp;" "&amp;Main!$P$37&amp;" Curncy",Main!$M$37)</f>
        <v>32.520000000000003</v>
      </c>
      <c r="Z44" t="str">
        <f>_xll.BDP(IF(Main!$D$7="AUD",BF86,IF(Main!$D$7="NZD",BF127,$E$1&amp;BF44))&amp;" "&amp;Main!$P$37&amp;" Curncy",Main!$M$37)</f>
        <v>#N/A N/A</v>
      </c>
      <c r="AA44" t="str">
        <f>_xll.BDP(IF(Main!$D$7="AUD",BG86,IF(Main!$D$7="NZD",BG127,$E$1&amp;BG44))&amp;" "&amp;Main!$P$37&amp;" Curncy",Main!$M$37)</f>
        <v>#N/A Invalid Security</v>
      </c>
      <c r="AB44" t="str">
        <f>_xll.BDP(IF(Main!$D$7="AUD",BH86,IF(Main!$D$7="NZD",BH127,$E$1&amp;BH44))&amp;" "&amp;Main!$P$37&amp;" Curncy",Main!$M$37)</f>
        <v>#N/A Invalid Security</v>
      </c>
      <c r="AC44" t="str">
        <f>_xll.BDP(IF(Main!$D$7="AUD",BI86,IF(Main!$D$7="NZD",BI127,$E$1&amp;BI44))&amp;" "&amp;Main!$P$37&amp;" Curncy",Main!$M$37)</f>
        <v>#N/A Invalid Security</v>
      </c>
      <c r="AD44" t="str">
        <f>_xll.BDP(IF(Main!$D$7="AUD",BJ86,IF(Main!$D$7="NZD",BJ127,$E$1&amp;BJ44))&amp;" "&amp;Main!$P$37&amp;" Curncy",Main!$M$37)</f>
        <v>#N/A Invalid Security</v>
      </c>
      <c r="AE44" t="str">
        <f>_xll.BDP(IF(Main!$D$7="AUD",BK86,IF(Main!$D$7="NZD",BK127,$E$1&amp;BK44))&amp;" "&amp;Main!$P$37&amp;" Curncy",Main!$M$37)</f>
        <v>#N/A Invalid Security</v>
      </c>
      <c r="AF44" t="str">
        <f>_xll.BDP(IF(Main!$D$7="AUD",BL86,IF(Main!$D$7="NZD",BL127,$E$1&amp;BL44))&amp;" "&amp;Main!$P$37&amp;" Curncy",Main!$M$37)</f>
        <v>#N/A Invalid Security</v>
      </c>
      <c r="AG44" t="str">
        <f>_xll.BDP(IF(Main!$D$7="AUD",BM86,IF(Main!$D$7="NZD",BM127,$E$1&amp;BM44))&amp;" "&amp;Main!$P$37&amp;" Curncy",Main!$M$37)</f>
        <v>#N/A Invalid Security</v>
      </c>
      <c r="AH44" t="str">
        <f>_xll.BDP(IF(Main!$D$7="AUD",BN86,IF(Main!$D$7="NZD",BN127,$E$1&amp;BN44))&amp;" "&amp;Main!$P$37&amp;" Curncy",Main!$M$37)</f>
        <v>#N/A Invalid Security</v>
      </c>
      <c r="AJ44" t="s">
        <v>319</v>
      </c>
      <c r="AK44" t="s">
        <v>489</v>
      </c>
      <c r="AL44" t="s">
        <v>2037</v>
      </c>
      <c r="AM44" t="s">
        <v>2021</v>
      </c>
      <c r="AN44" t="s">
        <v>2032</v>
      </c>
      <c r="AO44" t="s">
        <v>2027</v>
      </c>
      <c r="AP44" t="s">
        <v>409</v>
      </c>
      <c r="AQ44" t="s">
        <v>410</v>
      </c>
      <c r="AR44" t="s">
        <v>411</v>
      </c>
      <c r="AS44" t="s">
        <v>412</v>
      </c>
      <c r="AT44" t="s">
        <v>413</v>
      </c>
      <c r="AU44" t="s">
        <v>414</v>
      </c>
      <c r="AV44" t="s">
        <v>415</v>
      </c>
      <c r="AW44" t="s">
        <v>416</v>
      </c>
      <c r="AX44" t="s">
        <v>417</v>
      </c>
      <c r="AY44" t="s">
        <v>418</v>
      </c>
      <c r="AZ44" t="s">
        <v>419</v>
      </c>
      <c r="BA44" t="s">
        <v>420</v>
      </c>
      <c r="BB44" t="s">
        <v>421</v>
      </c>
      <c r="BC44" t="s">
        <v>422</v>
      </c>
      <c r="BD44" t="s">
        <v>423</v>
      </c>
      <c r="BE44" t="s">
        <v>424</v>
      </c>
      <c r="BF44" t="s">
        <v>2021</v>
      </c>
    </row>
    <row r="45" spans="2:58" x14ac:dyDescent="0.2">
      <c r="D45" t="str">
        <f>IF(Main!$D$7="AUD",AJ87,IF(Main!$D$7="NZD",AJ128,AJ45))</f>
        <v>15 YR</v>
      </c>
      <c r="E45">
        <f>_xll.BDP(IF(Main!$D$7="AUD",AK87,IF(Main!$D$7="NZD",AK128,$E$1&amp;AK45))&amp;" "&amp;Main!$P$37&amp;" Curncy",Main!$M$37)</f>
        <v>42.865000000000002</v>
      </c>
      <c r="F45" t="str">
        <f>_xll.BDP(IF(Main!$D$7="AUD",AL87,IF(Main!$D$7="NZD",AL128,$E$1&amp;AL45))&amp;" "&amp;Main!$P$37&amp;" Curncy",Main!$M$37)</f>
        <v>#N/A N/A</v>
      </c>
      <c r="G45" t="str">
        <f>_xll.BDP(IF(Main!$D$7="AUD",AM87,IF(Main!$D$7="NZD",AM128,$E$1&amp;AM45))&amp;" "&amp;Main!$P$37&amp;" Curncy",Main!$M$37)</f>
        <v>#N/A N/A</v>
      </c>
      <c r="H45" t="str">
        <f>_xll.BDP(IF(Main!$D$7="AUD",AN87,IF(Main!$D$7="NZD",AN128,$E$1&amp;AN45))&amp;" "&amp;Main!$P$37&amp;" Curncy",Main!$M$37)</f>
        <v>#N/A N/A</v>
      </c>
      <c r="I45" t="str">
        <f>_xll.BDP(IF(Main!$D$7="AUD",AO87,IF(Main!$D$7="NZD",AO128,$E$1&amp;AO45))&amp;" "&amp;Main!$P$37&amp;" Curncy",Main!$M$37)</f>
        <v>#N/A Invalid Security</v>
      </c>
      <c r="J45">
        <f>_xll.BDP(IF(Main!$D$7="AUD",AP87,IF(Main!$D$7="NZD",AP128,$E$1&amp;AP45))&amp;" "&amp;Main!$P$37&amp;" Curncy",Main!$M$37)</f>
        <v>54.88</v>
      </c>
      <c r="K45">
        <f>_xll.BDP(IF(Main!$D$7="AUD",AQ87,IF(Main!$D$7="NZD",AQ128,$E$1&amp;AQ45))&amp;" "&amp;Main!$P$37&amp;" Curncy",Main!$M$37)</f>
        <v>46.06</v>
      </c>
      <c r="L45">
        <f>_xll.BDP(IF(Main!$D$7="AUD",AR87,IF(Main!$D$7="NZD",AR128,$E$1&amp;AR45))&amp;" "&amp;Main!$P$37&amp;" Curncy",Main!$M$37)</f>
        <v>40.89</v>
      </c>
      <c r="M45">
        <f>_xll.BDP(IF(Main!$D$7="AUD",AS87,IF(Main!$D$7="NZD",AS128,$E$1&amp;AS45))&amp;" "&amp;Main!$P$37&amp;" Curncy",Main!$M$37)</f>
        <v>35.32</v>
      </c>
      <c r="N45">
        <f>_xll.BDP(IF(Main!$D$7="AUD",AT87,IF(Main!$D$7="NZD",AT128,$E$1&amp;AT45))&amp;" "&amp;Main!$P$37&amp;" Curncy",Main!$M$37)</f>
        <v>33.85</v>
      </c>
      <c r="O45">
        <f>_xll.BDP(IF(Main!$D$7="AUD",AU87,IF(Main!$D$7="NZD",AU128,$E$1&amp;AU45))&amp;" "&amp;Main!$P$37&amp;" Curncy",Main!$M$37)</f>
        <v>32.840000000000003</v>
      </c>
      <c r="P45">
        <f>_xll.BDP(IF(Main!$D$7="AUD",AV87,IF(Main!$D$7="NZD",AV128,$E$1&amp;AV45))&amp;" "&amp;Main!$P$37&amp;" Curncy",Main!$M$37)</f>
        <v>31.63</v>
      </c>
      <c r="Q45">
        <f>_xll.BDP(IF(Main!$D$7="AUD",AW87,IF(Main!$D$7="NZD",AW128,$E$1&amp;AW45))&amp;" "&amp;Main!$P$37&amp;" Curncy",Main!$M$37)</f>
        <v>31.01</v>
      </c>
      <c r="R45">
        <f>_xll.BDP(IF(Main!$D$7="AUD",AX87,IF(Main!$D$7="NZD",AX128,$E$1&amp;AX45))&amp;" "&amp;Main!$P$37&amp;" Curncy",Main!$M$37)</f>
        <v>30.7</v>
      </c>
      <c r="S45">
        <f>_xll.BDP(IF(Main!$D$7="AUD",AY87,IF(Main!$D$7="NZD",AY128,$E$1&amp;AY45))&amp;" "&amp;Main!$P$37&amp;" Curncy",Main!$M$37)</f>
        <v>30.55</v>
      </c>
      <c r="T45">
        <f>_xll.BDP(IF(Main!$D$7="AUD",AZ87,IF(Main!$D$7="NZD",AZ128,$E$1&amp;AZ45))&amp;" "&amp;Main!$P$37&amp;" Curncy",Main!$M$37)</f>
        <v>30.51</v>
      </c>
      <c r="U45">
        <f>_xll.BDP(IF(Main!$D$7="AUD",BA87,IF(Main!$D$7="NZD",BA128,$E$1&amp;BA45))&amp;" "&amp;Main!$P$37&amp;" Curncy",Main!$M$37)</f>
        <v>30.52</v>
      </c>
      <c r="V45">
        <f>_xll.BDP(IF(Main!$D$7="AUD",BB87,IF(Main!$D$7="NZD",BB128,$E$1&amp;BB45))&amp;" "&amp;Main!$P$37&amp;" Curncy",Main!$M$37)</f>
        <v>30.58</v>
      </c>
      <c r="W45">
        <f>_xll.BDP(IF(Main!$D$7="AUD",BC87,IF(Main!$D$7="NZD",BC128,$E$1&amp;BC45))&amp;" "&amp;Main!$P$37&amp;" Curncy",Main!$M$37)</f>
        <v>30.65</v>
      </c>
      <c r="X45">
        <f>_xll.BDP(IF(Main!$D$7="AUD",BD87,IF(Main!$D$7="NZD",BD128,$E$1&amp;BD45))&amp;" "&amp;Main!$P$37&amp;" Curncy",Main!$M$37)</f>
        <v>30.74</v>
      </c>
      <c r="Y45">
        <f>_xll.BDP(IF(Main!$D$7="AUD",BE87,IF(Main!$D$7="NZD",BE128,$E$1&amp;BE45))&amp;" "&amp;Main!$P$37&amp;" Curncy",Main!$M$37)</f>
        <v>30.84</v>
      </c>
      <c r="Z45" t="str">
        <f>_xll.BDP(IF(Main!$D$7="AUD",BF87,IF(Main!$D$7="NZD",BF128,$E$1&amp;BF45))&amp;" "&amp;Main!$P$37&amp;" Curncy",Main!$M$37)</f>
        <v>#N/A N/A</v>
      </c>
      <c r="AA45" t="str">
        <f>_xll.BDP(IF(Main!$D$7="AUD",BG87,IF(Main!$D$7="NZD",BG128,$E$1&amp;BG45))&amp;" "&amp;Main!$P$37&amp;" Curncy",Main!$M$37)</f>
        <v>#N/A Invalid Security</v>
      </c>
      <c r="AB45" t="str">
        <f>_xll.BDP(IF(Main!$D$7="AUD",BH87,IF(Main!$D$7="NZD",BH128,$E$1&amp;BH45))&amp;" "&amp;Main!$P$37&amp;" Curncy",Main!$M$37)</f>
        <v>#N/A Invalid Security</v>
      </c>
      <c r="AC45" t="str">
        <f>_xll.BDP(IF(Main!$D$7="AUD",BI87,IF(Main!$D$7="NZD",BI128,$E$1&amp;BI45))&amp;" "&amp;Main!$P$37&amp;" Curncy",Main!$M$37)</f>
        <v>#N/A Invalid Security</v>
      </c>
      <c r="AD45" t="str">
        <f>_xll.BDP(IF(Main!$D$7="AUD",BJ87,IF(Main!$D$7="NZD",BJ128,$E$1&amp;BJ45))&amp;" "&amp;Main!$P$37&amp;" Curncy",Main!$M$37)</f>
        <v>#N/A Invalid Security</v>
      </c>
      <c r="AE45" t="str">
        <f>_xll.BDP(IF(Main!$D$7="AUD",BK87,IF(Main!$D$7="NZD",BK128,$E$1&amp;BK45))&amp;" "&amp;Main!$P$37&amp;" Curncy",Main!$M$37)</f>
        <v>#N/A Invalid Security</v>
      </c>
      <c r="AF45" t="str">
        <f>_xll.BDP(IF(Main!$D$7="AUD",BL87,IF(Main!$D$7="NZD",BL128,$E$1&amp;BL45))&amp;" "&amp;Main!$P$37&amp;" Curncy",Main!$M$37)</f>
        <v>#N/A Invalid Security</v>
      </c>
      <c r="AG45" t="str">
        <f>_xll.BDP(IF(Main!$D$7="AUD",BM87,IF(Main!$D$7="NZD",BM128,$E$1&amp;BM45))&amp;" "&amp;Main!$P$37&amp;" Curncy",Main!$M$37)</f>
        <v>#N/A Invalid Security</v>
      </c>
      <c r="AH45" t="str">
        <f>_xll.BDP(IF(Main!$D$7="AUD",BN87,IF(Main!$D$7="NZD",BN128,$E$1&amp;BN45))&amp;" "&amp;Main!$P$37&amp;" Curncy",Main!$M$37)</f>
        <v>#N/A Invalid Security</v>
      </c>
      <c r="AJ45" t="s">
        <v>52</v>
      </c>
      <c r="AK45" t="s">
        <v>490</v>
      </c>
      <c r="AL45" t="s">
        <v>2038</v>
      </c>
      <c r="AM45" t="s">
        <v>2022</v>
      </c>
      <c r="AN45" t="s">
        <v>2033</v>
      </c>
      <c r="AO45" t="s">
        <v>2028</v>
      </c>
      <c r="AP45" t="s">
        <v>425</v>
      </c>
      <c r="AQ45" t="s">
        <v>426</v>
      </c>
      <c r="AR45" t="s">
        <v>427</v>
      </c>
      <c r="AS45" t="s">
        <v>428</v>
      </c>
      <c r="AT45" t="s">
        <v>429</v>
      </c>
      <c r="AU45" t="s">
        <v>430</v>
      </c>
      <c r="AV45" t="s">
        <v>431</v>
      </c>
      <c r="AW45" t="s">
        <v>432</v>
      </c>
      <c r="AX45" t="s">
        <v>433</v>
      </c>
      <c r="AY45" t="s">
        <v>434</v>
      </c>
      <c r="AZ45" t="s">
        <v>435</v>
      </c>
      <c r="BA45" t="s">
        <v>436</v>
      </c>
      <c r="BB45" t="s">
        <v>437</v>
      </c>
      <c r="BC45" t="s">
        <v>438</v>
      </c>
      <c r="BD45" t="s">
        <v>439</v>
      </c>
      <c r="BE45" t="s">
        <v>440</v>
      </c>
      <c r="BF45" t="s">
        <v>2022</v>
      </c>
    </row>
    <row r="46" spans="2:58" x14ac:dyDescent="0.2">
      <c r="B46" t="s">
        <v>2077</v>
      </c>
      <c r="D46" t="str">
        <f>IF(Main!$D$7="AUD",AJ88,IF(Main!$D$7="NZD",AJ129,AJ46))</f>
        <v>20 YR</v>
      </c>
      <c r="E46">
        <f>_xll.BDP(IF(Main!$D$7="AUD",AK88,IF(Main!$D$7="NZD",AK129,$E$1&amp;AK46))&amp;" "&amp;Main!$P$37&amp;" Curncy",Main!$M$37)</f>
        <v>39.340000000000003</v>
      </c>
      <c r="F46" t="str">
        <f>_xll.BDP(IF(Main!$D$7="AUD",AL88,IF(Main!$D$7="NZD",AL129,$E$1&amp;AL46))&amp;" "&amp;Main!$P$37&amp;" Curncy",Main!$M$37)</f>
        <v>#N/A N/A</v>
      </c>
      <c r="G46" t="str">
        <f>_xll.BDP(IF(Main!$D$7="AUD",AM88,IF(Main!$D$7="NZD",AM129,$E$1&amp;AM46))&amp;" "&amp;Main!$P$37&amp;" Curncy",Main!$M$37)</f>
        <v>#N/A N/A</v>
      </c>
      <c r="H46" t="str">
        <f>_xll.BDP(IF(Main!$D$7="AUD",AN88,IF(Main!$D$7="NZD",AN129,$E$1&amp;AN46))&amp;" "&amp;Main!$P$37&amp;" Curncy",Main!$M$37)</f>
        <v>#N/A N/A</v>
      </c>
      <c r="I46" t="str">
        <f>_xll.BDP(IF(Main!$D$7="AUD",AO88,IF(Main!$D$7="NZD",AO129,$E$1&amp;AO46))&amp;" "&amp;Main!$P$37&amp;" Curncy",Main!$M$37)</f>
        <v>#N/A Invalid Security</v>
      </c>
      <c r="J46">
        <f>_xll.BDP(IF(Main!$D$7="AUD",AP88,IF(Main!$D$7="NZD",AP129,$E$1&amp;AP46))&amp;" "&amp;Main!$P$37&amp;" Curncy",Main!$M$37)</f>
        <v>52.74</v>
      </c>
      <c r="K46">
        <f>_xll.BDP(IF(Main!$D$7="AUD",AQ88,IF(Main!$D$7="NZD",AQ129,$E$1&amp;AQ46))&amp;" "&amp;Main!$P$37&amp;" Curncy",Main!$M$37)</f>
        <v>43.494999999999997</v>
      </c>
      <c r="L46">
        <f>_xll.BDP(IF(Main!$D$7="AUD",AR88,IF(Main!$D$7="NZD",AR129,$E$1&amp;AR46))&amp;" "&amp;Main!$P$37&amp;" Curncy",Main!$M$37)</f>
        <v>38.21</v>
      </c>
      <c r="M46">
        <f>_xll.BDP(IF(Main!$D$7="AUD",AS88,IF(Main!$D$7="NZD",AS129,$E$1&amp;AS46))&amp;" "&amp;Main!$P$37&amp;" Curncy",Main!$M$37)</f>
        <v>32.880000000000003</v>
      </c>
      <c r="N46">
        <f>_xll.BDP(IF(Main!$D$7="AUD",AT88,IF(Main!$D$7="NZD",AT129,$E$1&amp;AT46))&amp;" "&amp;Main!$P$37&amp;" Curncy",Main!$M$37)</f>
        <v>31.61</v>
      </c>
      <c r="O46">
        <f>_xll.BDP(IF(Main!$D$7="AUD",AU88,IF(Main!$D$7="NZD",AU129,$E$1&amp;AU46))&amp;" "&amp;Main!$P$37&amp;" Curncy",Main!$M$37)</f>
        <v>30.82</v>
      </c>
      <c r="P46">
        <f>_xll.BDP(IF(Main!$D$7="AUD",AV88,IF(Main!$D$7="NZD",AV129,$E$1&amp;AV46))&amp;" "&amp;Main!$P$37&amp;" Curncy",Main!$M$37)</f>
        <v>30.03</v>
      </c>
      <c r="Q46">
        <f>_xll.BDP(IF(Main!$D$7="AUD",AW88,IF(Main!$D$7="NZD",AW129,$E$1&amp;AW46))&amp;" "&amp;Main!$P$37&amp;" Curncy",Main!$M$37)</f>
        <v>29.78</v>
      </c>
      <c r="R46">
        <f>_xll.BDP(IF(Main!$D$7="AUD",AX88,IF(Main!$D$7="NZD",AX129,$E$1&amp;AX46))&amp;" "&amp;Main!$P$37&amp;" Curncy",Main!$M$37)</f>
        <v>29.77</v>
      </c>
      <c r="S46">
        <f>_xll.BDP(IF(Main!$D$7="AUD",AY88,IF(Main!$D$7="NZD",AY129,$E$1&amp;AY46))&amp;" "&amp;Main!$P$37&amp;" Curncy",Main!$M$37)</f>
        <v>29.88</v>
      </c>
      <c r="T46">
        <f>_xll.BDP(IF(Main!$D$7="AUD",AZ88,IF(Main!$D$7="NZD",AZ129,$E$1&amp;AZ46))&amp;" "&amp;Main!$P$37&amp;" Curncy",Main!$M$37)</f>
        <v>30.06</v>
      </c>
      <c r="U46">
        <f>_xll.BDP(IF(Main!$D$7="AUD",BA88,IF(Main!$D$7="NZD",BA129,$E$1&amp;BA46))&amp;" "&amp;Main!$P$37&amp;" Curncy",Main!$M$37)</f>
        <v>30.28</v>
      </c>
      <c r="V46">
        <f>_xll.BDP(IF(Main!$D$7="AUD",BB88,IF(Main!$D$7="NZD",BB129,$E$1&amp;BB46))&amp;" "&amp;Main!$P$37&amp;" Curncy",Main!$M$37)</f>
        <v>30.5</v>
      </c>
      <c r="W46">
        <f>_xll.BDP(IF(Main!$D$7="AUD",BC88,IF(Main!$D$7="NZD",BC129,$E$1&amp;BC46))&amp;" "&amp;Main!$P$37&amp;" Curncy",Main!$M$37)</f>
        <v>30.73</v>
      </c>
      <c r="X46">
        <f>_xll.BDP(IF(Main!$D$7="AUD",BD88,IF(Main!$D$7="NZD",BD129,$E$1&amp;BD46))&amp;" "&amp;Main!$P$37&amp;" Curncy",Main!$M$37)</f>
        <v>30.96</v>
      </c>
      <c r="Y46">
        <f>_xll.BDP(IF(Main!$D$7="AUD",BE88,IF(Main!$D$7="NZD",BE129,$E$1&amp;BE46))&amp;" "&amp;Main!$P$37&amp;" Curncy",Main!$M$37)</f>
        <v>31.18</v>
      </c>
      <c r="Z46" t="str">
        <f>_xll.BDP(IF(Main!$D$7="AUD",BF88,IF(Main!$D$7="NZD",BF129,$E$1&amp;BF46))&amp;" "&amp;Main!$P$37&amp;" Curncy",Main!$M$37)</f>
        <v>#N/A N/A</v>
      </c>
      <c r="AA46" t="str">
        <f>_xll.BDP(IF(Main!$D$7="AUD",BG88,IF(Main!$D$7="NZD",BG129,$E$1&amp;BG46))&amp;" "&amp;Main!$P$37&amp;" Curncy",Main!$M$37)</f>
        <v>#N/A Invalid Security</v>
      </c>
      <c r="AB46" t="str">
        <f>_xll.BDP(IF(Main!$D$7="AUD",BH88,IF(Main!$D$7="NZD",BH129,$E$1&amp;BH46))&amp;" "&amp;Main!$P$37&amp;" Curncy",Main!$M$37)</f>
        <v>#N/A Invalid Security</v>
      </c>
      <c r="AC46" t="str">
        <f>_xll.BDP(IF(Main!$D$7="AUD",BI88,IF(Main!$D$7="NZD",BI129,$E$1&amp;BI46))&amp;" "&amp;Main!$P$37&amp;" Curncy",Main!$M$37)</f>
        <v>#N/A Invalid Security</v>
      </c>
      <c r="AD46" t="str">
        <f>_xll.BDP(IF(Main!$D$7="AUD",BJ88,IF(Main!$D$7="NZD",BJ129,$E$1&amp;BJ46))&amp;" "&amp;Main!$P$37&amp;" Curncy",Main!$M$37)</f>
        <v>#N/A Invalid Security</v>
      </c>
      <c r="AE46" t="str">
        <f>_xll.BDP(IF(Main!$D$7="AUD",BK88,IF(Main!$D$7="NZD",BK129,$E$1&amp;BK46))&amp;" "&amp;Main!$P$37&amp;" Curncy",Main!$M$37)</f>
        <v>#N/A Invalid Security</v>
      </c>
      <c r="AF46" t="str">
        <f>_xll.BDP(IF(Main!$D$7="AUD",BL88,IF(Main!$D$7="NZD",BL129,$E$1&amp;BL46))&amp;" "&amp;Main!$P$37&amp;" Curncy",Main!$M$37)</f>
        <v>#N/A Invalid Security</v>
      </c>
      <c r="AG46" t="str">
        <f>_xll.BDP(IF(Main!$D$7="AUD",BM88,IF(Main!$D$7="NZD",BM129,$E$1&amp;BM46))&amp;" "&amp;Main!$P$37&amp;" Curncy",Main!$M$37)</f>
        <v>#N/A Invalid Security</v>
      </c>
      <c r="AH46" t="str">
        <f>_xll.BDP(IF(Main!$D$7="AUD",BN88,IF(Main!$D$7="NZD",BN129,$E$1&amp;BN46))&amp;" "&amp;Main!$P$37&amp;" Curncy",Main!$M$37)</f>
        <v>#N/A Invalid Security</v>
      </c>
      <c r="AJ46" t="s">
        <v>53</v>
      </c>
      <c r="AK46" t="s">
        <v>491</v>
      </c>
      <c r="AL46" t="s">
        <v>2039</v>
      </c>
      <c r="AM46" t="s">
        <v>2023</v>
      </c>
      <c r="AN46" t="s">
        <v>2034</v>
      </c>
      <c r="AO46" t="s">
        <v>2029</v>
      </c>
      <c r="AP46" t="s">
        <v>441</v>
      </c>
      <c r="AQ46" t="s">
        <v>442</v>
      </c>
      <c r="AR46" t="s">
        <v>443</v>
      </c>
      <c r="AS46" t="s">
        <v>444</v>
      </c>
      <c r="AT46" t="s">
        <v>445</v>
      </c>
      <c r="AU46" t="s">
        <v>446</v>
      </c>
      <c r="AV46" t="s">
        <v>447</v>
      </c>
      <c r="AW46" t="s">
        <v>448</v>
      </c>
      <c r="AX46" t="s">
        <v>449</v>
      </c>
      <c r="AY46" t="s">
        <v>450</v>
      </c>
      <c r="AZ46" t="s">
        <v>451</v>
      </c>
      <c r="BA46" t="s">
        <v>452</v>
      </c>
      <c r="BB46" t="s">
        <v>453</v>
      </c>
      <c r="BC46" t="s">
        <v>454</v>
      </c>
      <c r="BD46" t="s">
        <v>455</v>
      </c>
      <c r="BE46" t="s">
        <v>456</v>
      </c>
      <c r="BF46" t="s">
        <v>2023</v>
      </c>
    </row>
    <row r="47" spans="2:58" x14ac:dyDescent="0.2">
      <c r="B47" t="s">
        <v>2078</v>
      </c>
      <c r="D47" t="str">
        <f>IF(Main!$D$7="AUD",AJ89,IF(Main!$D$7="NZD",AJ130,AJ47))</f>
        <v>25 YR</v>
      </c>
      <c r="E47">
        <f>_xll.BDP(IF(Main!$D$7="AUD",AK89,IF(Main!$D$7="NZD",AK130,$E$1&amp;AK47))&amp;" "&amp;Main!$P$37&amp;" Curncy",Main!$M$37)</f>
        <v>38.950000000000003</v>
      </c>
      <c r="F47" t="str">
        <f>_xll.BDP(IF(Main!$D$7="AUD",AL89,IF(Main!$D$7="NZD",AL130,$E$1&amp;AL47))&amp;" "&amp;Main!$P$37&amp;" Curncy",Main!$M$37)</f>
        <v>#N/A N/A</v>
      </c>
      <c r="G47" t="str">
        <f>_xll.BDP(IF(Main!$D$7="AUD",AM89,IF(Main!$D$7="NZD",AM130,$E$1&amp;AM47))&amp;" "&amp;Main!$P$37&amp;" Curncy",Main!$M$37)</f>
        <v>#N/A N/A</v>
      </c>
      <c r="H47" t="str">
        <f>_xll.BDP(IF(Main!$D$7="AUD",AN89,IF(Main!$D$7="NZD",AN130,$E$1&amp;AN47))&amp;" "&amp;Main!$P$37&amp;" Curncy",Main!$M$37)</f>
        <v>#N/A N/A</v>
      </c>
      <c r="I47" t="str">
        <f>_xll.BDP(IF(Main!$D$7="AUD",AO89,IF(Main!$D$7="NZD",AO130,$E$1&amp;AO47))&amp;" "&amp;Main!$P$37&amp;" Curncy",Main!$M$37)</f>
        <v>#N/A Invalid Security</v>
      </c>
      <c r="J47">
        <f>_xll.BDP(IF(Main!$D$7="AUD",AP89,IF(Main!$D$7="NZD",AP130,$E$1&amp;AP47))&amp;" "&amp;Main!$P$37&amp;" Curncy",Main!$M$37)</f>
        <v>55.305</v>
      </c>
      <c r="K47">
        <f>_xll.BDP(IF(Main!$D$7="AUD",AQ89,IF(Main!$D$7="NZD",AQ130,$E$1&amp;AQ47))&amp;" "&amp;Main!$P$37&amp;" Curncy",Main!$M$37)</f>
        <v>44.1</v>
      </c>
      <c r="L47">
        <f>_xll.BDP(IF(Main!$D$7="AUD",AR89,IF(Main!$D$7="NZD",AR130,$E$1&amp;AR47))&amp;" "&amp;Main!$P$37&amp;" Curncy",Main!$M$37)</f>
        <v>38.115000000000002</v>
      </c>
      <c r="M47">
        <f>_xll.BDP(IF(Main!$D$7="AUD",AS89,IF(Main!$D$7="NZD",AS130,$E$1&amp;AS47))&amp;" "&amp;Main!$P$37&amp;" Curncy",Main!$M$37)</f>
        <v>32.61</v>
      </c>
      <c r="N47">
        <f>_xll.BDP(IF(Main!$D$7="AUD",AT89,IF(Main!$D$7="NZD",AT130,$E$1&amp;AT47))&amp;" "&amp;Main!$P$37&amp;" Curncy",Main!$M$37)</f>
        <v>31.47</v>
      </c>
      <c r="O47">
        <f>_xll.BDP(IF(Main!$D$7="AUD",AU89,IF(Main!$D$7="NZD",AU130,$E$1&amp;AU47))&amp;" "&amp;Main!$P$37&amp;" Curncy",Main!$M$37)</f>
        <v>30.85</v>
      </c>
      <c r="P47">
        <f>_xll.BDP(IF(Main!$D$7="AUD",AV89,IF(Main!$D$7="NZD",AV130,$E$1&amp;AV47))&amp;" "&amp;Main!$P$37&amp;" Curncy",Main!$M$37)</f>
        <v>30.4</v>
      </c>
      <c r="Q47">
        <f>_xll.BDP(IF(Main!$D$7="AUD",AW89,IF(Main!$D$7="NZD",AW130,$E$1&amp;AW47))&amp;" "&amp;Main!$P$37&amp;" Curncy",Main!$M$37)</f>
        <v>30.45</v>
      </c>
      <c r="R47">
        <f>_xll.BDP(IF(Main!$D$7="AUD",AX89,IF(Main!$D$7="NZD",AX130,$E$1&amp;AX47))&amp;" "&amp;Main!$P$37&amp;" Curncy",Main!$M$37)</f>
        <v>30.71</v>
      </c>
      <c r="S47">
        <f>_xll.BDP(IF(Main!$D$7="AUD",AY89,IF(Main!$D$7="NZD",AY130,$E$1&amp;AY47))&amp;" "&amp;Main!$P$37&amp;" Curncy",Main!$M$37)</f>
        <v>31.05</v>
      </c>
      <c r="T47">
        <f>_xll.BDP(IF(Main!$D$7="AUD",AZ89,IF(Main!$D$7="NZD",AZ130,$E$1&amp;AZ47))&amp;" "&amp;Main!$P$37&amp;" Curncy",Main!$M$37)</f>
        <v>31.42</v>
      </c>
      <c r="U47">
        <f>_xll.BDP(IF(Main!$D$7="AUD",BA89,IF(Main!$D$7="NZD",BA130,$E$1&amp;BA47))&amp;" "&amp;Main!$P$37&amp;" Curncy",Main!$M$37)</f>
        <v>31.8</v>
      </c>
      <c r="V47">
        <f>_xll.BDP(IF(Main!$D$7="AUD",BB89,IF(Main!$D$7="NZD",BB130,$E$1&amp;BB47))&amp;" "&amp;Main!$P$37&amp;" Curncy",Main!$M$37)</f>
        <v>32.18</v>
      </c>
      <c r="W47">
        <f>_xll.BDP(IF(Main!$D$7="AUD",BC89,IF(Main!$D$7="NZD",BC130,$E$1&amp;BC47))&amp;" "&amp;Main!$P$37&amp;" Curncy",Main!$M$37)</f>
        <v>32.54</v>
      </c>
      <c r="X47">
        <f>_xll.BDP(IF(Main!$D$7="AUD",BD89,IF(Main!$D$7="NZD",BD130,$E$1&amp;BD47))&amp;" "&amp;Main!$P$37&amp;" Curncy",Main!$M$37)</f>
        <v>32.880000000000003</v>
      </c>
      <c r="Y47">
        <f>_xll.BDP(IF(Main!$D$7="AUD",BE89,IF(Main!$D$7="NZD",BE130,$E$1&amp;BE47))&amp;" "&amp;Main!$P$37&amp;" Curncy",Main!$M$37)</f>
        <v>33.21</v>
      </c>
      <c r="Z47" t="str">
        <f>_xll.BDP(IF(Main!$D$7="AUD",BF89,IF(Main!$D$7="NZD",BF130,$E$1&amp;BF47))&amp;" "&amp;Main!$P$37&amp;" Curncy",Main!$M$37)</f>
        <v>#N/A N/A</v>
      </c>
      <c r="AA47" t="str">
        <f>_xll.BDP(IF(Main!$D$7="AUD",BG89,IF(Main!$D$7="NZD",BG130,$E$1&amp;BG47))&amp;" "&amp;Main!$P$37&amp;" Curncy",Main!$M$37)</f>
        <v>#N/A Invalid Security</v>
      </c>
      <c r="AB47" t="str">
        <f>_xll.BDP(IF(Main!$D$7="AUD",BH89,IF(Main!$D$7="NZD",BH130,$E$1&amp;BH47))&amp;" "&amp;Main!$P$37&amp;" Curncy",Main!$M$37)</f>
        <v>#N/A Invalid Security</v>
      </c>
      <c r="AC47" t="str">
        <f>_xll.BDP(IF(Main!$D$7="AUD",BI89,IF(Main!$D$7="NZD",BI130,$E$1&amp;BI47))&amp;" "&amp;Main!$P$37&amp;" Curncy",Main!$M$37)</f>
        <v>#N/A Invalid Security</v>
      </c>
      <c r="AD47" t="str">
        <f>_xll.BDP(IF(Main!$D$7="AUD",BJ89,IF(Main!$D$7="NZD",BJ130,$E$1&amp;BJ47))&amp;" "&amp;Main!$P$37&amp;" Curncy",Main!$M$37)</f>
        <v>#N/A Invalid Security</v>
      </c>
      <c r="AE47" t="str">
        <f>_xll.BDP(IF(Main!$D$7="AUD",BK89,IF(Main!$D$7="NZD",BK130,$E$1&amp;BK47))&amp;" "&amp;Main!$P$37&amp;" Curncy",Main!$M$37)</f>
        <v>#N/A Invalid Security</v>
      </c>
      <c r="AF47" t="str">
        <f>_xll.BDP(IF(Main!$D$7="AUD",BL89,IF(Main!$D$7="NZD",BL130,$E$1&amp;BL47))&amp;" "&amp;Main!$P$37&amp;" Curncy",Main!$M$37)</f>
        <v>#N/A Invalid Security</v>
      </c>
      <c r="AG47" t="str">
        <f>_xll.BDP(IF(Main!$D$7="AUD",BM89,IF(Main!$D$7="NZD",BM130,$E$1&amp;BM47))&amp;" "&amp;Main!$P$37&amp;" Curncy",Main!$M$37)</f>
        <v>#N/A Invalid Security</v>
      </c>
      <c r="AH47" t="str">
        <f>_xll.BDP(IF(Main!$D$7="AUD",BN89,IF(Main!$D$7="NZD",BN130,$E$1&amp;BN47))&amp;" "&amp;Main!$P$37&amp;" Curncy",Main!$M$37)</f>
        <v>#N/A Invalid Security</v>
      </c>
      <c r="AJ47" t="s">
        <v>297</v>
      </c>
      <c r="AK47" t="s">
        <v>492</v>
      </c>
      <c r="AL47" t="s">
        <v>2040</v>
      </c>
      <c r="AM47" t="s">
        <v>2024</v>
      </c>
      <c r="AN47" t="s">
        <v>2035</v>
      </c>
      <c r="AO47" t="s">
        <v>2030</v>
      </c>
      <c r="AP47" t="s">
        <v>457</v>
      </c>
      <c r="AQ47" t="s">
        <v>458</v>
      </c>
      <c r="AR47" t="s">
        <v>459</v>
      </c>
      <c r="AS47" t="s">
        <v>460</v>
      </c>
      <c r="AT47" t="s">
        <v>461</v>
      </c>
      <c r="AU47" t="s">
        <v>462</v>
      </c>
      <c r="AV47" t="s">
        <v>463</v>
      </c>
      <c r="AW47" t="s">
        <v>464</v>
      </c>
      <c r="AX47" t="s">
        <v>465</v>
      </c>
      <c r="AY47" t="s">
        <v>466</v>
      </c>
      <c r="AZ47" t="s">
        <v>467</v>
      </c>
      <c r="BA47" t="s">
        <v>468</v>
      </c>
      <c r="BB47" t="s">
        <v>469</v>
      </c>
      <c r="BC47" t="s">
        <v>470</v>
      </c>
      <c r="BD47" t="s">
        <v>471</v>
      </c>
      <c r="BE47" t="s">
        <v>472</v>
      </c>
      <c r="BF47" t="s">
        <v>2024</v>
      </c>
    </row>
    <row r="48" spans="2:58" x14ac:dyDescent="0.2">
      <c r="B48" t="s">
        <v>2079</v>
      </c>
      <c r="D48" t="str">
        <f>IF(Main!$D$7="AUD",AJ90,IF(Main!$D$7="NZD",AJ131,AJ48))</f>
        <v>30 YR</v>
      </c>
      <c r="E48">
        <f>_xll.BDP(IF(Main!$D$7="AUD",AK90,IF(Main!$D$7="NZD",AK131,$E$1&amp;AK48))&amp;" "&amp;Main!$P$37&amp;" Curncy",Main!$M$37)</f>
        <v>38.67</v>
      </c>
      <c r="F48" t="str">
        <f>_xll.BDP(IF(Main!$D$7="AUD",AL90,IF(Main!$D$7="NZD",AL131,$E$1&amp;AL48))&amp;" "&amp;Main!$P$37&amp;" Curncy",Main!$M$37)</f>
        <v>#N/A N/A</v>
      </c>
      <c r="G48" t="str">
        <f>_xll.BDP(IF(Main!$D$7="AUD",AM90,IF(Main!$D$7="NZD",AM131,$E$1&amp;AM48))&amp;" "&amp;Main!$P$37&amp;" Curncy",Main!$M$37)</f>
        <v>#N/A N/A</v>
      </c>
      <c r="H48" t="str">
        <f>_xll.BDP(IF(Main!$D$7="AUD",AN90,IF(Main!$D$7="NZD",AN131,$E$1&amp;AN48))&amp;" "&amp;Main!$P$37&amp;" Curncy",Main!$M$37)</f>
        <v>#N/A N/A</v>
      </c>
      <c r="I48" t="str">
        <f>_xll.BDP(IF(Main!$D$7="AUD",AO90,IF(Main!$D$7="NZD",AO131,$E$1&amp;AO48))&amp;" "&amp;Main!$P$37&amp;" Curncy",Main!$M$37)</f>
        <v>#N/A Invalid Security</v>
      </c>
      <c r="J48">
        <f>_xll.BDP(IF(Main!$D$7="AUD",AP90,IF(Main!$D$7="NZD",AP131,$E$1&amp;AP48))&amp;" "&amp;Main!$P$37&amp;" Curncy",Main!$M$37)</f>
        <v>57.76</v>
      </c>
      <c r="K48">
        <f>_xll.BDP(IF(Main!$D$7="AUD",AQ90,IF(Main!$D$7="NZD",AQ131,$E$1&amp;AQ48))&amp;" "&amp;Main!$P$37&amp;" Curncy",Main!$M$37)</f>
        <v>44.564999999999998</v>
      </c>
      <c r="L48">
        <f>_xll.BDP(IF(Main!$D$7="AUD",AR90,IF(Main!$D$7="NZD",AR131,$E$1&amp;AR48))&amp;" "&amp;Main!$P$37&amp;" Curncy",Main!$M$37)</f>
        <v>37.984999999999999</v>
      </c>
      <c r="M48">
        <f>_xll.BDP(IF(Main!$D$7="AUD",AS90,IF(Main!$D$7="NZD",AS131,$E$1&amp;AS48))&amp;" "&amp;Main!$P$37&amp;" Curncy",Main!$M$37)</f>
        <v>32.36</v>
      </c>
      <c r="N48">
        <f>_xll.BDP(IF(Main!$D$7="AUD",AT90,IF(Main!$D$7="NZD",AT131,$E$1&amp;AT48))&amp;" "&amp;Main!$P$37&amp;" Curncy",Main!$M$37)</f>
        <v>31.32</v>
      </c>
      <c r="O48">
        <f>_xll.BDP(IF(Main!$D$7="AUD",AU90,IF(Main!$D$7="NZD",AU131,$E$1&amp;AU48))&amp;" "&amp;Main!$P$37&amp;" Curncy",Main!$M$37)</f>
        <v>30.82</v>
      </c>
      <c r="P48">
        <f>_xll.BDP(IF(Main!$D$7="AUD",AV90,IF(Main!$D$7="NZD",AV131,$E$1&amp;AV48))&amp;" "&amp;Main!$P$37&amp;" Curncy",Main!$M$37)</f>
        <v>30.6</v>
      </c>
      <c r="Q48">
        <f>_xll.BDP(IF(Main!$D$7="AUD",AW90,IF(Main!$D$7="NZD",AW131,$E$1&amp;AW48))&amp;" "&amp;Main!$P$37&amp;" Curncy",Main!$M$37)</f>
        <v>30.83</v>
      </c>
      <c r="R48">
        <f>_xll.BDP(IF(Main!$D$7="AUD",AX90,IF(Main!$D$7="NZD",AX131,$E$1&amp;AX48))&amp;" "&amp;Main!$P$37&amp;" Curncy",Main!$M$37)</f>
        <v>31.23</v>
      </c>
      <c r="S48">
        <f>_xll.BDP(IF(Main!$D$7="AUD",AY90,IF(Main!$D$7="NZD",AY131,$E$1&amp;AY48))&amp;" "&amp;Main!$P$37&amp;" Curncy",Main!$M$37)</f>
        <v>31.69</v>
      </c>
      <c r="T48">
        <f>_xll.BDP(IF(Main!$D$7="AUD",AZ90,IF(Main!$D$7="NZD",AZ131,$E$1&amp;AZ48))&amp;" "&amp;Main!$P$37&amp;" Curncy",Main!$M$37)</f>
        <v>32.159999999999997</v>
      </c>
      <c r="U48">
        <f>_xll.BDP(IF(Main!$D$7="AUD",BA90,IF(Main!$D$7="NZD",BA131,$E$1&amp;BA48))&amp;" "&amp;Main!$P$37&amp;" Curncy",Main!$M$37)</f>
        <v>32.619999999999997</v>
      </c>
      <c r="V48">
        <f>_xll.BDP(IF(Main!$D$7="AUD",BB90,IF(Main!$D$7="NZD",BB131,$E$1&amp;BB48))&amp;" "&amp;Main!$P$37&amp;" Curncy",Main!$M$37)</f>
        <v>33.06</v>
      </c>
      <c r="W48">
        <f>_xll.BDP(IF(Main!$D$7="AUD",BC90,IF(Main!$D$7="NZD",BC131,$E$1&amp;BC48))&amp;" "&amp;Main!$P$37&amp;" Curncy",Main!$M$37)</f>
        <v>33.479999999999997</v>
      </c>
      <c r="X48">
        <f>_xll.BDP(IF(Main!$D$7="AUD",BD90,IF(Main!$D$7="NZD",BD131,$E$1&amp;BD48))&amp;" "&amp;Main!$P$37&amp;" Curncy",Main!$M$37)</f>
        <v>33.880000000000003</v>
      </c>
      <c r="Y48">
        <f>_xll.BDP(IF(Main!$D$7="AUD",BE90,IF(Main!$D$7="NZD",BE131,$E$1&amp;BE48))&amp;" "&amp;Main!$P$37&amp;" Curncy",Main!$M$37)</f>
        <v>34.25</v>
      </c>
      <c r="Z48" t="str">
        <f>_xll.BDP(IF(Main!$D$7="AUD",BF90,IF(Main!$D$7="NZD",BF131,$E$1&amp;BF48))&amp;" "&amp;Main!$P$37&amp;" Curncy",Main!$M$37)</f>
        <v>#N/A N/A</v>
      </c>
      <c r="AA48" t="str">
        <f>_xll.BDP(IF(Main!$D$7="AUD",BG90,IF(Main!$D$7="NZD",BG131,$E$1&amp;BG48))&amp;" "&amp;Main!$P$37&amp;" Curncy",Main!$M$37)</f>
        <v>#N/A Invalid Security</v>
      </c>
      <c r="AB48" t="str">
        <f>_xll.BDP(IF(Main!$D$7="AUD",BH90,IF(Main!$D$7="NZD",BH131,$E$1&amp;BH48))&amp;" "&amp;Main!$P$37&amp;" Curncy",Main!$M$37)</f>
        <v>#N/A Invalid Security</v>
      </c>
      <c r="AC48" t="str">
        <f>_xll.BDP(IF(Main!$D$7="AUD",BI90,IF(Main!$D$7="NZD",BI131,$E$1&amp;BI48))&amp;" "&amp;Main!$P$37&amp;" Curncy",Main!$M$37)</f>
        <v>#N/A Invalid Security</v>
      </c>
      <c r="AD48" t="str">
        <f>_xll.BDP(IF(Main!$D$7="AUD",BJ90,IF(Main!$D$7="NZD",BJ131,$E$1&amp;BJ48))&amp;" "&amp;Main!$P$37&amp;" Curncy",Main!$M$37)</f>
        <v>#N/A Invalid Security</v>
      </c>
      <c r="AE48" t="str">
        <f>_xll.BDP(IF(Main!$D$7="AUD",BK90,IF(Main!$D$7="NZD",BK131,$E$1&amp;BK48))&amp;" "&amp;Main!$P$37&amp;" Curncy",Main!$M$37)</f>
        <v>#N/A Invalid Security</v>
      </c>
      <c r="AF48" t="str">
        <f>_xll.BDP(IF(Main!$D$7="AUD",BL90,IF(Main!$D$7="NZD",BL131,$E$1&amp;BL48))&amp;" "&amp;Main!$P$37&amp;" Curncy",Main!$M$37)</f>
        <v>#N/A Invalid Security</v>
      </c>
      <c r="AG48" t="str">
        <f>_xll.BDP(IF(Main!$D$7="AUD",BM90,IF(Main!$D$7="NZD",BM131,$E$1&amp;BM48))&amp;" "&amp;Main!$P$37&amp;" Curncy",Main!$M$37)</f>
        <v>#N/A Invalid Security</v>
      </c>
      <c r="AH48" t="str">
        <f>_xll.BDP(IF(Main!$D$7="AUD",BN90,IF(Main!$D$7="NZD",BN131,$E$1&amp;BN48))&amp;" "&amp;Main!$P$37&amp;" Curncy",Main!$M$37)</f>
        <v>#N/A Invalid Security</v>
      </c>
      <c r="AJ48" t="s">
        <v>318</v>
      </c>
      <c r="AK48" t="s">
        <v>493</v>
      </c>
      <c r="AL48" t="s">
        <v>2041</v>
      </c>
      <c r="AM48" t="s">
        <v>2025</v>
      </c>
      <c r="AN48" t="s">
        <v>2036</v>
      </c>
      <c r="AO48" t="s">
        <v>2031</v>
      </c>
      <c r="AP48" t="s">
        <v>473</v>
      </c>
      <c r="AQ48" t="s">
        <v>474</v>
      </c>
      <c r="AR48" t="s">
        <v>475</v>
      </c>
      <c r="AS48" t="s">
        <v>476</v>
      </c>
      <c r="AT48" t="s">
        <v>477</v>
      </c>
      <c r="AU48" t="s">
        <v>478</v>
      </c>
      <c r="AV48" t="s">
        <v>479</v>
      </c>
      <c r="AW48" t="s">
        <v>480</v>
      </c>
      <c r="AX48" t="s">
        <v>481</v>
      </c>
      <c r="AY48" t="s">
        <v>482</v>
      </c>
      <c r="AZ48" t="s">
        <v>483</v>
      </c>
      <c r="BA48" t="s">
        <v>484</v>
      </c>
      <c r="BB48" t="s">
        <v>485</v>
      </c>
      <c r="BC48" t="s">
        <v>486</v>
      </c>
      <c r="BD48" t="s">
        <v>487</v>
      </c>
      <c r="BE48" t="s">
        <v>488</v>
      </c>
      <c r="BF48" t="s">
        <v>2025</v>
      </c>
    </row>
    <row r="50" spans="4:50" x14ac:dyDescent="0.2">
      <c r="AJ50" t="s">
        <v>51</v>
      </c>
      <c r="AK50" t="s">
        <v>2026</v>
      </c>
    </row>
    <row r="51" spans="4:50" x14ac:dyDescent="0.2">
      <c r="D51" t="str">
        <f>IF(Main!$D$7="AUD",AJ93,IF(Main!$D$7="NZD",AJ134,AJ51))</f>
        <v>Term</v>
      </c>
      <c r="E51" t="str">
        <f>IF(Main!$D$7="AUD",AK93,IF(Main!$D$7="NZD",AK134,AK51))</f>
        <v>1 YR</v>
      </c>
      <c r="F51" t="str">
        <f>IF(Main!$D$7="AUD",AL93,IF(Main!$D$7="NZD",AL134,AL51))</f>
        <v>2 YR</v>
      </c>
      <c r="G51" t="str">
        <f>IF(Main!$D$7="AUD",AM93,IF(Main!$D$7="NZD",AM134,AM51))</f>
        <v>3 YR</v>
      </c>
      <c r="H51" t="str">
        <f>IF(Main!$D$7="AUD",AN93,IF(Main!$D$7="NZD",AN134,AN51))</f>
        <v>4 YR</v>
      </c>
      <c r="I51" t="str">
        <f>IF(Main!$D$7="AUD",AO93,IF(Main!$D$7="NZD",AO134,AO51))</f>
        <v>5 YR</v>
      </c>
      <c r="J51" t="str">
        <f>IF(Main!$D$7="AUD",AP93,IF(Main!$D$7="NZD",AP134,AP51))</f>
        <v>6 YR</v>
      </c>
      <c r="K51" t="str">
        <f>IF(Main!$D$7="AUD",AQ93,IF(Main!$D$7="NZD",AQ134,AQ51))</f>
        <v>7 YR</v>
      </c>
      <c r="L51" t="str">
        <f>IF(Main!$D$7="AUD",AR93,IF(Main!$D$7="NZD",AR134,AR51))</f>
        <v>8 YR</v>
      </c>
      <c r="M51" t="str">
        <f>IF(Main!$D$7="AUD",AS93,IF(Main!$D$7="NZD",AS134,AS51))</f>
        <v>9 YR</v>
      </c>
      <c r="N51" t="str">
        <f>IF(Main!$D$7="AUD",AT93,IF(Main!$D$7="NZD",AT134,AT51))</f>
        <v>10 YR</v>
      </c>
      <c r="O51" t="str">
        <f>IF(Main!$D$7="AUD",AU93,IF(Main!$D$7="NZD",AU134,AU51))</f>
        <v>15 YR</v>
      </c>
      <c r="P51" t="str">
        <f>IF(Main!$D$7="AUD",AV93,IF(Main!$D$7="NZD",AV134,AV51))</f>
        <v>20 YR</v>
      </c>
      <c r="Q51" t="str">
        <f>IF(Main!$D$7="AUD",AW93,IF(Main!$D$7="NZD",AW134,AW51))</f>
        <v>25 YR</v>
      </c>
      <c r="R51" t="str">
        <f>IF(Main!$D$7="AUD",AX93,IF(Main!$D$7="NZD",AX134,AX51))</f>
        <v>30 YR</v>
      </c>
      <c r="S51">
        <f>IF(Main!$D$7="AUD",AY93,IF(Main!$D$7="NZD",AY134,AY51))</f>
        <v>0</v>
      </c>
      <c r="AJ51" t="s">
        <v>39</v>
      </c>
      <c r="AK51" t="s">
        <v>41</v>
      </c>
      <c r="AL51" t="s">
        <v>42</v>
      </c>
      <c r="AM51" t="s">
        <v>43</v>
      </c>
      <c r="AN51" t="s">
        <v>44</v>
      </c>
      <c r="AO51" t="s">
        <v>45</v>
      </c>
      <c r="AP51" t="s">
        <v>46</v>
      </c>
      <c r="AQ51" t="s">
        <v>47</v>
      </c>
      <c r="AR51" t="s">
        <v>48</v>
      </c>
      <c r="AS51" t="s">
        <v>49</v>
      </c>
      <c r="AT51" t="s">
        <v>50</v>
      </c>
      <c r="AU51" t="s">
        <v>52</v>
      </c>
      <c r="AV51" t="s">
        <v>53</v>
      </c>
      <c r="AW51" t="s">
        <v>297</v>
      </c>
      <c r="AX51" t="s">
        <v>318</v>
      </c>
    </row>
    <row r="52" spans="4:50" x14ac:dyDescent="0.2">
      <c r="D52" t="str">
        <f>IF(Main!$D$7="AUD",AJ94,IF(Main!$D$7="NZD",AJ135,AJ52))</f>
        <v>1 MO</v>
      </c>
      <c r="E52">
        <f>_xll.BDP(IF(Main!$D$7="AUD",AK94,IF(Main!$D$7="NZD",AK135,$E$1&amp;AK52))&amp;" "&amp;Main!$P$37&amp;" Curncy",Main!$M$37)</f>
        <v>30.64</v>
      </c>
      <c r="F52">
        <f>_xll.BDP(IF(Main!$D$7="AUD",AL94,IF(Main!$D$7="NZD",AL135,$E$1&amp;AL52))&amp;" "&amp;Main!$P$37&amp;" Curncy",Main!$M$37)</f>
        <v>38.21</v>
      </c>
      <c r="G52">
        <f>_xll.BDP(IF(Main!$D$7="AUD",AM94,IF(Main!$D$7="NZD",AM135,$E$1&amp;AM52))&amp;" "&amp;Main!$P$37&amp;" Curncy",Main!$M$37)</f>
        <v>35.08</v>
      </c>
      <c r="H52">
        <f>_xll.BDP(IF(Main!$D$7="AUD",AN94,IF(Main!$D$7="NZD",AN135,$E$1&amp;AN52))&amp;" "&amp;Main!$P$37&amp;" Curncy",Main!$M$37)</f>
        <v>44.03</v>
      </c>
      <c r="I52">
        <f>_xll.BDP(IF(Main!$D$7="AUD",AO94,IF(Main!$D$7="NZD",AO135,$E$1&amp;AO52))&amp;" "&amp;Main!$P$37&amp;" Curncy",Main!$M$37)</f>
        <v>52.53</v>
      </c>
      <c r="J52">
        <f>_xll.BDP(IF(Main!$D$7="AUD",AP94,IF(Main!$D$7="NZD",AP135,$E$1&amp;AP52))&amp;" "&amp;Main!$P$37&amp;" Curncy",Main!$M$37)</f>
        <v>51.98</v>
      </c>
      <c r="K52">
        <f>_xll.BDP(IF(Main!$D$7="AUD",AQ94,IF(Main!$D$7="NZD",AQ135,$E$1&amp;AQ52))&amp;" "&amp;Main!$P$37&amp;" Curncy",Main!$M$37)</f>
        <v>51.63</v>
      </c>
      <c r="L52">
        <f>_xll.BDP(IF(Main!$D$7="AUD",AR94,IF(Main!$D$7="NZD",AR135,$E$1&amp;AR52))&amp;" "&amp;Main!$P$37&amp;" Curncy",Main!$M$37)</f>
        <v>48.8</v>
      </c>
      <c r="M52">
        <f>_xll.BDP(IF(Main!$D$7="AUD",AS94,IF(Main!$D$7="NZD",AS135,$E$1&amp;AS52))&amp;" "&amp;Main!$P$37&amp;" Curncy",Main!$M$37)</f>
        <v>42.075000000000003</v>
      </c>
      <c r="N52">
        <f>_xll.BDP(IF(Main!$D$7="AUD",AT94,IF(Main!$D$7="NZD",AT135,$E$1&amp;AT52))&amp;" "&amp;Main!$P$37&amp;" Curncy",Main!$M$37)</f>
        <v>41.42</v>
      </c>
      <c r="O52">
        <f>_xll.BDP(IF(Main!$D$7="AUD",AU94,IF(Main!$D$7="NZD",AU135,$E$1&amp;AU52))&amp;" "&amp;Main!$P$37&amp;" Curncy",Main!$M$37)</f>
        <v>40.32</v>
      </c>
      <c r="P52">
        <f>_xll.BDP(IF(Main!$D$7="AUD",AV94,IF(Main!$D$7="NZD",AV135,$E$1&amp;AV52))&amp;" "&amp;Main!$P$37&amp;" Curncy",Main!$M$37)</f>
        <v>38.82</v>
      </c>
      <c r="Q52">
        <f>_xll.BDP(IF(Main!$D$7="AUD",AW94,IF(Main!$D$7="NZD",AW135,$E$1&amp;AW52))&amp;" "&amp;Main!$P$37&amp;" Curncy",Main!$M$37)</f>
        <v>37.255000000000003</v>
      </c>
      <c r="R52">
        <f>_xll.BDP(IF(Main!$D$7="AUD",AX94,IF(Main!$D$7="NZD",AX135,$E$1&amp;AX52))&amp;" "&amp;Main!$P$37&amp;" Curncy",Main!$M$37)</f>
        <v>36.225000000000001</v>
      </c>
      <c r="S52" t="str">
        <f>_xll.BDP(IF(Main!$D$7="AUD",AY94,IF(Main!$D$7="NZD",AY135,$E$1&amp;AY52))&amp;" "&amp;Main!$P$37&amp;" Curncy",Main!$M$37)</f>
        <v>#N/A Invalid Security</v>
      </c>
      <c r="AJ52" t="s">
        <v>54</v>
      </c>
      <c r="AK52" t="s">
        <v>177</v>
      </c>
      <c r="AL52" t="s">
        <v>178</v>
      </c>
      <c r="AM52" t="s">
        <v>179</v>
      </c>
      <c r="AN52" t="s">
        <v>180</v>
      </c>
      <c r="AO52" t="s">
        <v>181</v>
      </c>
      <c r="AP52" t="s">
        <v>182</v>
      </c>
      <c r="AQ52" t="s">
        <v>183</v>
      </c>
      <c r="AR52" t="s">
        <v>184</v>
      </c>
      <c r="AS52" t="s">
        <v>185</v>
      </c>
      <c r="AT52" t="s">
        <v>186</v>
      </c>
      <c r="AU52" t="s">
        <v>187</v>
      </c>
      <c r="AV52" t="s">
        <v>188</v>
      </c>
      <c r="AW52" t="s">
        <v>298</v>
      </c>
      <c r="AX52" t="s">
        <v>308</v>
      </c>
    </row>
    <row r="53" spans="4:50" x14ac:dyDescent="0.2">
      <c r="D53" t="str">
        <f>IF(Main!$D$7="AUD",AJ95,IF(Main!$D$7="NZD",AJ136,AJ53))</f>
        <v>3 MO</v>
      </c>
      <c r="E53">
        <f>_xll.BDP(IF(Main!$D$7="AUD",AK95,IF(Main!$D$7="NZD",AK136,$E$1&amp;AK53))&amp;" "&amp;Main!$P$37&amp;" Curncy",Main!$M$37)</f>
        <v>40.869999999999997</v>
      </c>
      <c r="F53">
        <f>_xll.BDP(IF(Main!$D$7="AUD",AL95,IF(Main!$D$7="NZD",AL136,$E$1&amp;AL53))&amp;" "&amp;Main!$P$37&amp;" Curncy",Main!$M$37)</f>
        <v>48.11</v>
      </c>
      <c r="G53">
        <f>_xll.BDP(IF(Main!$D$7="AUD",AM95,IF(Main!$D$7="NZD",AM136,$E$1&amp;AM53))&amp;" "&amp;Main!$P$37&amp;" Curncy",Main!$M$37)</f>
        <v>50.87</v>
      </c>
      <c r="H53">
        <f>_xll.BDP(IF(Main!$D$7="AUD",AN95,IF(Main!$D$7="NZD",AN136,$E$1&amp;AN53))&amp;" "&amp;Main!$P$37&amp;" Curncy",Main!$M$37)</f>
        <v>50.765000000000001</v>
      </c>
      <c r="I53">
        <f>_xll.BDP(IF(Main!$D$7="AUD",AO95,IF(Main!$D$7="NZD",AO136,$E$1&amp;AO53))&amp;" "&amp;Main!$P$37&amp;" Curncy",Main!$M$37)</f>
        <v>50.48</v>
      </c>
      <c r="J53">
        <f>_xll.BDP(IF(Main!$D$7="AUD",AP95,IF(Main!$D$7="NZD",AP136,$E$1&amp;AP53))&amp;" "&amp;Main!$P$37&amp;" Curncy",Main!$M$37)</f>
        <v>50.93</v>
      </c>
      <c r="K53">
        <f>_xll.BDP(IF(Main!$D$7="AUD",AQ95,IF(Main!$D$7="NZD",AQ136,$E$1&amp;AQ53))&amp;" "&amp;Main!$P$37&amp;" Curncy",Main!$M$37)</f>
        <v>51.5</v>
      </c>
      <c r="L53">
        <f>_xll.BDP(IF(Main!$D$7="AUD",AR95,IF(Main!$D$7="NZD",AR136,$E$1&amp;AR53))&amp;" "&amp;Main!$P$37&amp;" Curncy",Main!$M$37)</f>
        <v>49.87</v>
      </c>
      <c r="M53">
        <f>_xll.BDP(IF(Main!$D$7="AUD",AS95,IF(Main!$D$7="NZD",AS136,$E$1&amp;AS53))&amp;" "&amp;Main!$P$37&amp;" Curncy",Main!$M$37)</f>
        <v>48.475000000000001</v>
      </c>
      <c r="N53">
        <f>_xll.BDP(IF(Main!$D$7="AUD",AT95,IF(Main!$D$7="NZD",AT136,$E$1&amp;AT53))&amp;" "&amp;Main!$P$37&amp;" Curncy",Main!$M$37)</f>
        <v>47.34</v>
      </c>
      <c r="O53">
        <f>_xll.BDP(IF(Main!$D$7="AUD",AU95,IF(Main!$D$7="NZD",AU136,$E$1&amp;AU53))&amp;" "&amp;Main!$P$37&amp;" Curncy",Main!$M$37)</f>
        <v>42.795000000000002</v>
      </c>
      <c r="P53">
        <f>_xll.BDP(IF(Main!$D$7="AUD",AV95,IF(Main!$D$7="NZD",AV136,$E$1&amp;AV53))&amp;" "&amp;Main!$P$37&amp;" Curncy",Main!$M$37)</f>
        <v>40.630000000000003</v>
      </c>
      <c r="Q53">
        <f>_xll.BDP(IF(Main!$D$7="AUD",AW95,IF(Main!$D$7="NZD",AW136,$E$1&amp;AW53))&amp;" "&amp;Main!$P$37&amp;" Curncy",Main!$M$37)</f>
        <v>39.604999999999997</v>
      </c>
      <c r="R53">
        <f>_xll.BDP(IF(Main!$D$7="AUD",AX95,IF(Main!$D$7="NZD",AX136,$E$1&amp;AX53))&amp;" "&amp;Main!$P$37&amp;" Curncy",Main!$M$37)</f>
        <v>39.020000000000003</v>
      </c>
      <c r="S53" t="str">
        <f>_xll.BDP(IF(Main!$D$7="AUD",AY95,IF(Main!$D$7="NZD",AY136,$E$1&amp;AY53))&amp;" "&amp;Main!$P$37&amp;" Curncy",Main!$M$37)</f>
        <v>#N/A Invalid Security</v>
      </c>
      <c r="AJ53" t="s">
        <v>55</v>
      </c>
      <c r="AK53" t="s">
        <v>189</v>
      </c>
      <c r="AL53" t="s">
        <v>190</v>
      </c>
      <c r="AM53" t="s">
        <v>191</v>
      </c>
      <c r="AN53" t="s">
        <v>192</v>
      </c>
      <c r="AO53" t="s">
        <v>193</v>
      </c>
      <c r="AP53" t="s">
        <v>194</v>
      </c>
      <c r="AQ53" t="s">
        <v>195</v>
      </c>
      <c r="AR53" t="s">
        <v>196</v>
      </c>
      <c r="AS53" t="s">
        <v>197</v>
      </c>
      <c r="AT53" t="s">
        <v>198</v>
      </c>
      <c r="AU53" t="s">
        <v>199</v>
      </c>
      <c r="AV53" t="s">
        <v>200</v>
      </c>
      <c r="AW53" t="s">
        <v>299</v>
      </c>
      <c r="AX53" t="s">
        <v>309</v>
      </c>
    </row>
    <row r="54" spans="4:50" x14ac:dyDescent="0.2">
      <c r="D54" t="str">
        <f>IF(Main!$D$7="AUD",AJ96,IF(Main!$D$7="NZD",AJ137,AJ54))</f>
        <v>6 MO</v>
      </c>
      <c r="E54">
        <f>_xll.BDP(IF(Main!$D$7="AUD",AK96,IF(Main!$D$7="NZD",AK137,$E$1&amp;AK54))&amp;" "&amp;Main!$P$37&amp;" Curncy",Main!$M$37)</f>
        <v>39.56</v>
      </c>
      <c r="F54">
        <f>_xll.BDP(IF(Main!$D$7="AUD",AL96,IF(Main!$D$7="NZD",AL137,$E$1&amp;AL54))&amp;" "&amp;Main!$P$37&amp;" Curncy",Main!$M$37)</f>
        <v>48.805</v>
      </c>
      <c r="G54">
        <f>_xll.BDP(IF(Main!$D$7="AUD",AM96,IF(Main!$D$7="NZD",AM137,$E$1&amp;AM54))&amp;" "&amp;Main!$P$37&amp;" Curncy",Main!$M$37)</f>
        <v>48.24</v>
      </c>
      <c r="H54">
        <f>_xll.BDP(IF(Main!$D$7="AUD",AN96,IF(Main!$D$7="NZD",AN137,$E$1&amp;AN54))&amp;" "&amp;Main!$P$37&amp;" Curncy",Main!$M$37)</f>
        <v>48.98</v>
      </c>
      <c r="I54">
        <f>_xll.BDP(IF(Main!$D$7="AUD",AO96,IF(Main!$D$7="NZD",AO137,$E$1&amp;AO54))&amp;" "&amp;Main!$P$37&amp;" Curncy",Main!$M$37)</f>
        <v>56.42</v>
      </c>
      <c r="J54">
        <f>_xll.BDP(IF(Main!$D$7="AUD",AP96,IF(Main!$D$7="NZD",AP137,$E$1&amp;AP54))&amp;" "&amp;Main!$P$37&amp;" Curncy",Main!$M$37)</f>
        <v>55.8</v>
      </c>
      <c r="K54">
        <f>_xll.BDP(IF(Main!$D$7="AUD",AQ96,IF(Main!$D$7="NZD",AQ137,$E$1&amp;AQ54))&amp;" "&amp;Main!$P$37&amp;" Curncy",Main!$M$37)</f>
        <v>55.43</v>
      </c>
      <c r="L54">
        <f>_xll.BDP(IF(Main!$D$7="AUD",AR96,IF(Main!$D$7="NZD",AR137,$E$1&amp;AR54))&amp;" "&amp;Main!$P$37&amp;" Curncy",Main!$M$37)</f>
        <v>52.715000000000003</v>
      </c>
      <c r="M54">
        <f>_xll.BDP(IF(Main!$D$7="AUD",AS96,IF(Main!$D$7="NZD",AS137,$E$1&amp;AS54))&amp;" "&amp;Main!$P$37&amp;" Curncy",Main!$M$37)</f>
        <v>50.314999999999998</v>
      </c>
      <c r="N54">
        <f>_xll.BDP(IF(Main!$D$7="AUD",AT96,IF(Main!$D$7="NZD",AT137,$E$1&amp;AT54))&amp;" "&amp;Main!$P$37&amp;" Curncy",Main!$M$37)</f>
        <v>47.59</v>
      </c>
      <c r="O54">
        <f>_xll.BDP(IF(Main!$D$7="AUD",AU96,IF(Main!$D$7="NZD",AU137,$E$1&amp;AU54))&amp;" "&amp;Main!$P$37&amp;" Curncy",Main!$M$37)</f>
        <v>44.325000000000003</v>
      </c>
      <c r="P54">
        <f>_xll.BDP(IF(Main!$D$7="AUD",AV96,IF(Main!$D$7="NZD",AV137,$E$1&amp;AV54))&amp;" "&amp;Main!$P$37&amp;" Curncy",Main!$M$37)</f>
        <v>42.625</v>
      </c>
      <c r="Q54">
        <f>_xll.BDP(IF(Main!$D$7="AUD",AW96,IF(Main!$D$7="NZD",AW137,$E$1&amp;AW54))&amp;" "&amp;Main!$P$37&amp;" Curncy",Main!$M$37)</f>
        <v>41.604999999999997</v>
      </c>
      <c r="R54">
        <f>_xll.BDP(IF(Main!$D$7="AUD",AX96,IF(Main!$D$7="NZD",AX137,$E$1&amp;AX54))&amp;" "&amp;Main!$P$37&amp;" Curncy",Main!$M$37)</f>
        <v>41.034999999999997</v>
      </c>
      <c r="S54" t="str">
        <f>_xll.BDP(IF(Main!$D$7="AUD",AY96,IF(Main!$D$7="NZD",AY137,$E$1&amp;AY54))&amp;" "&amp;Main!$P$37&amp;" Curncy",Main!$M$37)</f>
        <v>#N/A Invalid Security</v>
      </c>
      <c r="AJ54" t="s">
        <v>56</v>
      </c>
      <c r="AK54" t="s">
        <v>201</v>
      </c>
      <c r="AL54" t="s">
        <v>202</v>
      </c>
      <c r="AM54" t="s">
        <v>203</v>
      </c>
      <c r="AN54" t="s">
        <v>204</v>
      </c>
      <c r="AO54" t="s">
        <v>205</v>
      </c>
      <c r="AP54" t="s">
        <v>206</v>
      </c>
      <c r="AQ54" t="s">
        <v>207</v>
      </c>
      <c r="AR54" t="s">
        <v>208</v>
      </c>
      <c r="AS54" t="s">
        <v>209</v>
      </c>
      <c r="AT54" t="s">
        <v>210</v>
      </c>
      <c r="AU54" t="s">
        <v>211</v>
      </c>
      <c r="AV54" t="s">
        <v>212</v>
      </c>
      <c r="AW54" t="s">
        <v>300</v>
      </c>
      <c r="AX54" t="s">
        <v>310</v>
      </c>
    </row>
    <row r="55" spans="4:50" x14ac:dyDescent="0.2">
      <c r="D55" t="str">
        <f>IF(Main!$D$7="AUD",AJ97,IF(Main!$D$7="NZD",AJ138,AJ55))</f>
        <v>1 YR</v>
      </c>
      <c r="E55">
        <f>_xll.BDP(IF(Main!$D$7="AUD",AK97,IF(Main!$D$7="NZD",AK138,$E$1&amp;AK55))&amp;" "&amp;Main!$P$37&amp;" Curncy",Main!$M$37)</f>
        <v>46.945</v>
      </c>
      <c r="F55">
        <f>_xll.BDP(IF(Main!$D$7="AUD",AL97,IF(Main!$D$7="NZD",AL138,$E$1&amp;AL55))&amp;" "&amp;Main!$P$37&amp;" Curncy",Main!$M$37)</f>
        <v>48.34</v>
      </c>
      <c r="G55">
        <f>_xll.BDP(IF(Main!$D$7="AUD",AM97,IF(Main!$D$7="NZD",AM138,$E$1&amp;AM55))&amp;" "&amp;Main!$P$37&amp;" Curncy",Main!$M$37)</f>
        <v>51.82</v>
      </c>
      <c r="H55">
        <f>_xll.BDP(IF(Main!$D$7="AUD",AN97,IF(Main!$D$7="NZD",AN138,$E$1&amp;AN55))&amp;" "&amp;Main!$P$37&amp;" Curncy",Main!$M$37)</f>
        <v>53.46</v>
      </c>
      <c r="I55">
        <f>_xll.BDP(IF(Main!$D$7="AUD",AO97,IF(Main!$D$7="NZD",AO138,$E$1&amp;AO55))&amp;" "&amp;Main!$P$37&amp;" Curncy",Main!$M$37)</f>
        <v>56.24</v>
      </c>
      <c r="J55">
        <f>_xll.BDP(IF(Main!$D$7="AUD",AP97,IF(Main!$D$7="NZD",AP138,$E$1&amp;AP55))&amp;" "&amp;Main!$P$37&amp;" Curncy",Main!$M$37)</f>
        <v>55.19</v>
      </c>
      <c r="K55">
        <f>_xll.BDP(IF(Main!$D$7="AUD",AQ97,IF(Main!$D$7="NZD",AQ138,$E$1&amp;AQ55))&amp;" "&amp;Main!$P$37&amp;" Curncy",Main!$M$37)</f>
        <v>54.45</v>
      </c>
      <c r="L55">
        <f>_xll.BDP(IF(Main!$D$7="AUD",AR97,IF(Main!$D$7="NZD",AR138,$E$1&amp;AR55))&amp;" "&amp;Main!$P$37&amp;" Curncy",Main!$M$37)</f>
        <v>52.2</v>
      </c>
      <c r="M55">
        <f>_xll.BDP(IF(Main!$D$7="AUD",AS97,IF(Main!$D$7="NZD",AS138,$E$1&amp;AS55))&amp;" "&amp;Main!$P$37&amp;" Curncy",Main!$M$37)</f>
        <v>51.45</v>
      </c>
      <c r="N55">
        <f>_xll.BDP(IF(Main!$D$7="AUD",AT97,IF(Main!$D$7="NZD",AT138,$E$1&amp;AT55))&amp;" "&amp;Main!$P$37&amp;" Curncy",Main!$M$37)</f>
        <v>48.57</v>
      </c>
      <c r="O55">
        <f>_xll.BDP(IF(Main!$D$7="AUD",AU97,IF(Main!$D$7="NZD",AU138,$E$1&amp;AU55))&amp;" "&amp;Main!$P$37&amp;" Curncy",Main!$M$37)</f>
        <v>44.414999999999999</v>
      </c>
      <c r="P55">
        <f>_xll.BDP(IF(Main!$D$7="AUD",AV97,IF(Main!$D$7="NZD",AV138,$E$1&amp;AV55))&amp;" "&amp;Main!$P$37&amp;" Curncy",Main!$M$37)</f>
        <v>42.215000000000003</v>
      </c>
      <c r="Q55">
        <f>_xll.BDP(IF(Main!$D$7="AUD",AW97,IF(Main!$D$7="NZD",AW138,$E$1&amp;AW55))&amp;" "&amp;Main!$P$37&amp;" Curncy",Main!$M$37)</f>
        <v>40.994999999999997</v>
      </c>
      <c r="R55">
        <f>_xll.BDP(IF(Main!$D$7="AUD",AX97,IF(Main!$D$7="NZD",AX138,$E$1&amp;AX55))&amp;" "&amp;Main!$P$37&amp;" Curncy",Main!$M$37)</f>
        <v>39.844999999999999</v>
      </c>
      <c r="S55" t="str">
        <f>_xll.BDP(IF(Main!$D$7="AUD",AY97,IF(Main!$D$7="NZD",AY138,$E$1&amp;AY55))&amp;" "&amp;Main!$P$37&amp;" Curncy",Main!$M$37)</f>
        <v>#N/A Invalid Security</v>
      </c>
      <c r="AJ55" t="s">
        <v>41</v>
      </c>
      <c r="AK55" t="s">
        <v>213</v>
      </c>
      <c r="AL55" t="s">
        <v>214</v>
      </c>
      <c r="AM55" t="s">
        <v>215</v>
      </c>
      <c r="AN55" t="s">
        <v>216</v>
      </c>
      <c r="AO55" t="s">
        <v>217</v>
      </c>
      <c r="AP55" t="s">
        <v>218</v>
      </c>
      <c r="AQ55" t="s">
        <v>219</v>
      </c>
      <c r="AR55" t="s">
        <v>220</v>
      </c>
      <c r="AS55" t="s">
        <v>221</v>
      </c>
      <c r="AT55" t="s">
        <v>222</v>
      </c>
      <c r="AU55" t="s">
        <v>223</v>
      </c>
      <c r="AV55" t="s">
        <v>224</v>
      </c>
      <c r="AW55" t="s">
        <v>301</v>
      </c>
      <c r="AX55" t="s">
        <v>311</v>
      </c>
    </row>
    <row r="56" spans="4:50" x14ac:dyDescent="0.2">
      <c r="D56" t="str">
        <f>IF(Main!$D$7="AUD",AJ98,IF(Main!$D$7="NZD",AJ139,AJ56))</f>
        <v>2 YR</v>
      </c>
      <c r="E56">
        <f>_xll.BDP(IF(Main!$D$7="AUD",AK98,IF(Main!$D$7="NZD",AK139,$E$1&amp;AK56))&amp;" "&amp;Main!$P$37&amp;" Curncy",Main!$M$37)</f>
        <v>56.35</v>
      </c>
      <c r="F56">
        <f>_xll.BDP(IF(Main!$D$7="AUD",AL98,IF(Main!$D$7="NZD",AL139,$E$1&amp;AL56))&amp;" "&amp;Main!$P$37&amp;" Curncy",Main!$M$37)</f>
        <v>59.63</v>
      </c>
      <c r="G56">
        <f>_xll.BDP(IF(Main!$D$7="AUD",AM98,IF(Main!$D$7="NZD",AM139,$E$1&amp;AM56))&amp;" "&amp;Main!$P$37&amp;" Curncy",Main!$M$37)</f>
        <v>55.56</v>
      </c>
      <c r="H56">
        <f>_xll.BDP(IF(Main!$D$7="AUD",AN98,IF(Main!$D$7="NZD",AN139,$E$1&amp;AN56))&amp;" "&amp;Main!$P$37&amp;" Curncy",Main!$M$37)</f>
        <v>52.08</v>
      </c>
      <c r="I56">
        <f>_xll.BDP(IF(Main!$D$7="AUD",AO98,IF(Main!$D$7="NZD",AO139,$E$1&amp;AO56))&amp;" "&amp;Main!$P$37&amp;" Curncy",Main!$M$37)</f>
        <v>55.95</v>
      </c>
      <c r="J56">
        <f>_xll.BDP(IF(Main!$D$7="AUD",AP98,IF(Main!$D$7="NZD",AP139,$E$1&amp;AP56))&amp;" "&amp;Main!$P$37&amp;" Curncy",Main!$M$37)</f>
        <v>48.98</v>
      </c>
      <c r="K56">
        <f>_xll.BDP(IF(Main!$D$7="AUD",AQ98,IF(Main!$D$7="NZD",AQ139,$E$1&amp;AQ56))&amp;" "&amp;Main!$P$37&amp;" Curncy",Main!$M$37)</f>
        <v>49.085000000000001</v>
      </c>
      <c r="L56">
        <f>_xll.BDP(IF(Main!$D$7="AUD",AR98,IF(Main!$D$7="NZD",AR139,$E$1&amp;AR56))&amp;" "&amp;Main!$P$37&amp;" Curncy",Main!$M$37)</f>
        <v>48.55</v>
      </c>
      <c r="M56">
        <f>_xll.BDP(IF(Main!$D$7="AUD",AS98,IF(Main!$D$7="NZD",AS139,$E$1&amp;AS56))&amp;" "&amp;Main!$P$37&amp;" Curncy",Main!$M$37)</f>
        <v>48.22</v>
      </c>
      <c r="N56">
        <f>_xll.BDP(IF(Main!$D$7="AUD",AT98,IF(Main!$D$7="NZD",AT139,$E$1&amp;AT56))&amp;" "&amp;Main!$P$37&amp;" Curncy",Main!$M$37)</f>
        <v>47.89</v>
      </c>
      <c r="O56">
        <f>_xll.BDP(IF(Main!$D$7="AUD",AU98,IF(Main!$D$7="NZD",AU139,$E$1&amp;AU56))&amp;" "&amp;Main!$P$37&amp;" Curncy",Main!$M$37)</f>
        <v>44.024999999999999</v>
      </c>
      <c r="P56">
        <f>_xll.BDP(IF(Main!$D$7="AUD",AV98,IF(Main!$D$7="NZD",AV139,$E$1&amp;AV56))&amp;" "&amp;Main!$P$37&amp;" Curncy",Main!$M$37)</f>
        <v>41.53</v>
      </c>
      <c r="Q56">
        <f>_xll.BDP(IF(Main!$D$7="AUD",AW98,IF(Main!$D$7="NZD",AW139,$E$1&amp;AW56))&amp;" "&amp;Main!$P$37&amp;" Curncy",Main!$M$37)</f>
        <v>39.67</v>
      </c>
      <c r="R56">
        <f>_xll.BDP(IF(Main!$D$7="AUD",AX98,IF(Main!$D$7="NZD",AX139,$E$1&amp;AX56))&amp;" "&amp;Main!$P$37&amp;" Curncy",Main!$M$37)</f>
        <v>39.68</v>
      </c>
      <c r="S56" t="str">
        <f>_xll.BDP(IF(Main!$D$7="AUD",AY98,IF(Main!$D$7="NZD",AY139,$E$1&amp;AY56))&amp;" "&amp;Main!$P$37&amp;" Curncy",Main!$M$37)</f>
        <v>#N/A Invalid Security</v>
      </c>
      <c r="AJ56" t="s">
        <v>42</v>
      </c>
      <c r="AK56" t="s">
        <v>225</v>
      </c>
      <c r="AL56" t="s">
        <v>226</v>
      </c>
      <c r="AM56" t="s">
        <v>227</v>
      </c>
      <c r="AN56" t="s">
        <v>228</v>
      </c>
      <c r="AO56" t="s">
        <v>229</v>
      </c>
      <c r="AP56" t="s">
        <v>230</v>
      </c>
      <c r="AQ56" t="s">
        <v>231</v>
      </c>
      <c r="AR56" t="s">
        <v>232</v>
      </c>
      <c r="AS56" t="s">
        <v>233</v>
      </c>
      <c r="AT56" t="s">
        <v>234</v>
      </c>
      <c r="AU56" t="s">
        <v>235</v>
      </c>
      <c r="AV56" t="s">
        <v>236</v>
      </c>
      <c r="AW56" t="s">
        <v>302</v>
      </c>
      <c r="AX56" t="s">
        <v>312</v>
      </c>
    </row>
    <row r="57" spans="4:50" x14ac:dyDescent="0.2">
      <c r="D57" t="str">
        <f>IF(Main!$D$7="AUD",AJ99,IF(Main!$D$7="NZD",AJ140,AJ57))</f>
        <v>3 YR</v>
      </c>
      <c r="E57">
        <f>_xll.BDP(IF(Main!$D$7="AUD",AK99,IF(Main!$D$7="NZD",AK140,$E$1&amp;AK57))&amp;" "&amp;Main!$P$37&amp;" Curncy",Main!$M$37)</f>
        <v>60.37</v>
      </c>
      <c r="F57">
        <f>_xll.BDP(IF(Main!$D$7="AUD",AL99,IF(Main!$D$7="NZD",AL140,$E$1&amp;AL57))&amp;" "&amp;Main!$P$37&amp;" Curncy",Main!$M$37)</f>
        <v>57.34</v>
      </c>
      <c r="G57">
        <f>_xll.BDP(IF(Main!$D$7="AUD",AM99,IF(Main!$D$7="NZD",AM140,$E$1&amp;AM57))&amp;" "&amp;Main!$P$37&amp;" Curncy",Main!$M$37)</f>
        <v>54.89</v>
      </c>
      <c r="H57">
        <f>_xll.BDP(IF(Main!$D$7="AUD",AN99,IF(Main!$D$7="NZD",AN140,$E$1&amp;AN57))&amp;" "&amp;Main!$P$37&amp;" Curncy",Main!$M$37)</f>
        <v>52.77</v>
      </c>
      <c r="I57">
        <f>_xll.BDP(IF(Main!$D$7="AUD",AO99,IF(Main!$D$7="NZD",AO140,$E$1&amp;AO57))&amp;" "&amp;Main!$P$37&amp;" Curncy",Main!$M$37)</f>
        <v>51.055</v>
      </c>
      <c r="J57">
        <f>_xll.BDP(IF(Main!$D$7="AUD",AP99,IF(Main!$D$7="NZD",AP140,$E$1&amp;AP57))&amp;" "&amp;Main!$P$37&amp;" Curncy",Main!$M$37)</f>
        <v>50.04</v>
      </c>
      <c r="K57">
        <f>_xll.BDP(IF(Main!$D$7="AUD",AQ99,IF(Main!$D$7="NZD",AQ140,$E$1&amp;AQ57))&amp;" "&amp;Main!$P$37&amp;" Curncy",Main!$M$37)</f>
        <v>49.234999999999999</v>
      </c>
      <c r="L57">
        <f>_xll.BDP(IF(Main!$D$7="AUD",AR99,IF(Main!$D$7="NZD",AR140,$E$1&amp;AR57))&amp;" "&amp;Main!$P$37&amp;" Curncy",Main!$M$37)</f>
        <v>48.7</v>
      </c>
      <c r="M57">
        <f>_xll.BDP(IF(Main!$D$7="AUD",AS99,IF(Main!$D$7="NZD",AS140,$E$1&amp;AS57))&amp;" "&amp;Main!$P$37&amp;" Curncy",Main!$M$37)</f>
        <v>47.48</v>
      </c>
      <c r="N57">
        <f>_xll.BDP(IF(Main!$D$7="AUD",AT99,IF(Main!$D$7="NZD",AT140,$E$1&amp;AT57))&amp;" "&amp;Main!$P$37&amp;" Curncy",Main!$M$37)</f>
        <v>47.055</v>
      </c>
      <c r="O57">
        <f>_xll.BDP(IF(Main!$D$7="AUD",AU99,IF(Main!$D$7="NZD",AU140,$E$1&amp;AU57))&amp;" "&amp;Main!$P$37&amp;" Curncy",Main!$M$37)</f>
        <v>43.375</v>
      </c>
      <c r="P57">
        <f>_xll.BDP(IF(Main!$D$7="AUD",AV99,IF(Main!$D$7="NZD",AV140,$E$1&amp;AV57))&amp;" "&amp;Main!$P$37&amp;" Curncy",Main!$M$37)</f>
        <v>40.905000000000001</v>
      </c>
      <c r="Q57">
        <f>_xll.BDP(IF(Main!$D$7="AUD",AW99,IF(Main!$D$7="NZD",AW140,$E$1&amp;AW57))&amp;" "&amp;Main!$P$37&amp;" Curncy",Main!$M$37)</f>
        <v>38.97</v>
      </c>
      <c r="R57">
        <f>_xll.BDP(IF(Main!$D$7="AUD",AX99,IF(Main!$D$7="NZD",AX140,$E$1&amp;AX57))&amp;" "&amp;Main!$P$37&amp;" Curncy",Main!$M$37)</f>
        <v>38.93</v>
      </c>
      <c r="S57" t="str">
        <f>_xll.BDP(IF(Main!$D$7="AUD",AY99,IF(Main!$D$7="NZD",AY140,$E$1&amp;AY57))&amp;" "&amp;Main!$P$37&amp;" Curncy",Main!$M$37)</f>
        <v>#N/A Invalid Security</v>
      </c>
      <c r="AJ57" t="s">
        <v>43</v>
      </c>
      <c r="AK57" t="s">
        <v>237</v>
      </c>
      <c r="AL57" t="s">
        <v>238</v>
      </c>
      <c r="AM57" t="s">
        <v>239</v>
      </c>
      <c r="AN57" t="s">
        <v>240</v>
      </c>
      <c r="AO57" t="s">
        <v>241</v>
      </c>
      <c r="AP57" t="s">
        <v>242</v>
      </c>
      <c r="AQ57" t="s">
        <v>243</v>
      </c>
      <c r="AR57" t="s">
        <v>244</v>
      </c>
      <c r="AS57" t="s">
        <v>245</v>
      </c>
      <c r="AT57" t="s">
        <v>246</v>
      </c>
      <c r="AU57" t="s">
        <v>247</v>
      </c>
      <c r="AV57" t="s">
        <v>248</v>
      </c>
      <c r="AW57" t="s">
        <v>303</v>
      </c>
      <c r="AX57" t="s">
        <v>313</v>
      </c>
    </row>
    <row r="58" spans="4:50" x14ac:dyDescent="0.2">
      <c r="D58" t="str">
        <f>IF(Main!$D$7="AUD",AJ100,IF(Main!$D$7="NZD",AJ141,AJ58))</f>
        <v>4 YR</v>
      </c>
      <c r="E58">
        <f>_xll.BDP(IF(Main!$D$7="AUD",AK100,IF(Main!$D$7="NZD",AK141,$E$1&amp;AK58))&amp;" "&amp;Main!$P$37&amp;" Curncy",Main!$M$37)</f>
        <v>59.15</v>
      </c>
      <c r="F58">
        <f>_xll.BDP(IF(Main!$D$7="AUD",AL100,IF(Main!$D$7="NZD",AL141,$E$1&amp;AL58))&amp;" "&amp;Main!$P$37&amp;" Curncy",Main!$M$37)</f>
        <v>56.24</v>
      </c>
      <c r="G58">
        <f>_xll.BDP(IF(Main!$D$7="AUD",AM100,IF(Main!$D$7="NZD",AM141,$E$1&amp;AM58))&amp;" "&amp;Main!$P$37&amp;" Curncy",Main!$M$37)</f>
        <v>53.99</v>
      </c>
      <c r="H58">
        <f>_xll.BDP(IF(Main!$D$7="AUD",AN100,IF(Main!$D$7="NZD",AN141,$E$1&amp;AN58))&amp;" "&amp;Main!$P$37&amp;" Curncy",Main!$M$37)</f>
        <v>52.145000000000003</v>
      </c>
      <c r="I58">
        <f>_xll.BDP(IF(Main!$D$7="AUD",AO100,IF(Main!$D$7="NZD",AO141,$E$1&amp;AO58))&amp;" "&amp;Main!$P$37&amp;" Curncy",Main!$M$37)</f>
        <v>50.454999999999998</v>
      </c>
      <c r="J58">
        <f>_xll.BDP(IF(Main!$D$7="AUD",AP100,IF(Main!$D$7="NZD",AP141,$E$1&amp;AP58))&amp;" "&amp;Main!$P$37&amp;" Curncy",Main!$M$37)</f>
        <v>49.27</v>
      </c>
      <c r="K58">
        <f>_xll.BDP(IF(Main!$D$7="AUD",AQ100,IF(Main!$D$7="NZD",AQ141,$E$1&amp;AQ58))&amp;" "&amp;Main!$P$37&amp;" Curncy",Main!$M$37)</f>
        <v>48.325000000000003</v>
      </c>
      <c r="L58">
        <f>_xll.BDP(IF(Main!$D$7="AUD",AR100,IF(Main!$D$7="NZD",AR141,$E$1&amp;AR58))&amp;" "&amp;Main!$P$37&amp;" Curncy",Main!$M$37)</f>
        <v>47.234999999999999</v>
      </c>
      <c r="M58">
        <f>_xll.BDP(IF(Main!$D$7="AUD",AS100,IF(Main!$D$7="NZD",AS141,$E$1&amp;AS58))&amp;" "&amp;Main!$P$37&amp;" Curncy",Main!$M$37)</f>
        <v>46.63</v>
      </c>
      <c r="N58">
        <f>_xll.BDP(IF(Main!$D$7="AUD",AT100,IF(Main!$D$7="NZD",AT141,$E$1&amp;AT58))&amp;" "&amp;Main!$P$37&amp;" Curncy",Main!$M$37)</f>
        <v>45.924999999999997</v>
      </c>
      <c r="O58">
        <f>_xll.BDP(IF(Main!$D$7="AUD",AU100,IF(Main!$D$7="NZD",AU141,$E$1&amp;AU58))&amp;" "&amp;Main!$P$37&amp;" Curncy",Main!$M$37)</f>
        <v>42.645000000000003</v>
      </c>
      <c r="P58">
        <f>_xll.BDP(IF(Main!$D$7="AUD",AV100,IF(Main!$D$7="NZD",AV141,$E$1&amp;AV58))&amp;" "&amp;Main!$P$37&amp;" Curncy",Main!$M$37)</f>
        <v>40.365000000000002</v>
      </c>
      <c r="Q58">
        <f>_xll.BDP(IF(Main!$D$7="AUD",AW100,IF(Main!$D$7="NZD",AW141,$E$1&amp;AW58))&amp;" "&amp;Main!$P$37&amp;" Curncy",Main!$M$37)</f>
        <v>39.555</v>
      </c>
      <c r="R58">
        <f>_xll.BDP(IF(Main!$D$7="AUD",AX100,IF(Main!$D$7="NZD",AX141,$E$1&amp;AX58))&amp;" "&amp;Main!$P$37&amp;" Curncy",Main!$M$37)</f>
        <v>39.134999999999998</v>
      </c>
      <c r="S58" t="str">
        <f>_xll.BDP(IF(Main!$D$7="AUD",AY100,IF(Main!$D$7="NZD",AY141,$E$1&amp;AY58))&amp;" "&amp;Main!$P$37&amp;" Curncy",Main!$M$37)</f>
        <v>#N/A Invalid Security</v>
      </c>
      <c r="AJ58" t="s">
        <v>44</v>
      </c>
      <c r="AK58" t="s">
        <v>249</v>
      </c>
      <c r="AL58" t="s">
        <v>250</v>
      </c>
      <c r="AM58" t="s">
        <v>251</v>
      </c>
      <c r="AN58" t="s">
        <v>252</v>
      </c>
      <c r="AO58" t="s">
        <v>253</v>
      </c>
      <c r="AP58" t="s">
        <v>254</v>
      </c>
      <c r="AQ58" t="s">
        <v>255</v>
      </c>
      <c r="AR58" t="s">
        <v>256</v>
      </c>
      <c r="AS58" t="s">
        <v>257</v>
      </c>
      <c r="AT58" t="s">
        <v>258</v>
      </c>
      <c r="AU58" t="s">
        <v>259</v>
      </c>
      <c r="AV58" t="s">
        <v>260</v>
      </c>
      <c r="AW58" t="s">
        <v>304</v>
      </c>
      <c r="AX58" t="s">
        <v>314</v>
      </c>
    </row>
    <row r="59" spans="4:50" x14ac:dyDescent="0.2">
      <c r="D59" t="str">
        <f>IF(Main!$D$7="AUD",AJ101,IF(Main!$D$7="NZD",AJ142,AJ59))</f>
        <v>5 YR</v>
      </c>
      <c r="E59">
        <f>_xll.BDP(IF(Main!$D$7="AUD",AK101,IF(Main!$D$7="NZD",AK142,$E$1&amp;AK59))&amp;" "&amp;Main!$P$37&amp;" Curncy",Main!$M$37)</f>
        <v>67.97</v>
      </c>
      <c r="F59">
        <f>_xll.BDP(IF(Main!$D$7="AUD",AL101,IF(Main!$D$7="NZD",AL142,$E$1&amp;AL59))&amp;" "&amp;Main!$P$37&amp;" Curncy",Main!$M$37)</f>
        <v>54.534999999999997</v>
      </c>
      <c r="G59">
        <f>_xll.BDP(IF(Main!$D$7="AUD",AM101,IF(Main!$D$7="NZD",AM142,$E$1&amp;AM59))&amp;" "&amp;Main!$P$37&amp;" Curncy",Main!$M$37)</f>
        <v>52.69</v>
      </c>
      <c r="H59">
        <f>_xll.BDP(IF(Main!$D$7="AUD",AN101,IF(Main!$D$7="NZD",AN142,$E$1&amp;AN59))&amp;" "&amp;Main!$P$37&amp;" Curncy",Main!$M$37)</f>
        <v>50.954999999999998</v>
      </c>
      <c r="I59">
        <f>_xll.BDP(IF(Main!$D$7="AUD",AO101,IF(Main!$D$7="NZD",AO142,$E$1&amp;AO59))&amp;" "&amp;Main!$P$37&amp;" Curncy",Main!$M$37)</f>
        <v>49.49</v>
      </c>
      <c r="J59">
        <f>_xll.BDP(IF(Main!$D$7="AUD",AP101,IF(Main!$D$7="NZD",AP142,$E$1&amp;AP59))&amp;" "&amp;Main!$P$37&amp;" Curncy",Main!$M$37)</f>
        <v>48.365000000000002</v>
      </c>
      <c r="K59">
        <f>_xll.BDP(IF(Main!$D$7="AUD",AQ101,IF(Main!$D$7="NZD",AQ142,$E$1&amp;AQ59))&amp;" "&amp;Main!$P$37&amp;" Curncy",Main!$M$37)</f>
        <v>47.18</v>
      </c>
      <c r="L59">
        <f>_xll.BDP(IF(Main!$D$7="AUD",AR101,IF(Main!$D$7="NZD",AR142,$E$1&amp;AR59))&amp;" "&amp;Main!$P$37&amp;" Curncy",Main!$M$37)</f>
        <v>46.95</v>
      </c>
      <c r="M59">
        <f>_xll.BDP(IF(Main!$D$7="AUD",AS101,IF(Main!$D$7="NZD",AS142,$E$1&amp;AS59))&amp;" "&amp;Main!$P$37&amp;" Curncy",Main!$M$37)</f>
        <v>45.73</v>
      </c>
      <c r="N59">
        <f>_xll.BDP(IF(Main!$D$7="AUD",AT101,IF(Main!$D$7="NZD",AT142,$E$1&amp;AT59))&amp;" "&amp;Main!$P$37&amp;" Curncy",Main!$M$37)</f>
        <v>44.85</v>
      </c>
      <c r="O59">
        <f>_xll.BDP(IF(Main!$D$7="AUD",AU101,IF(Main!$D$7="NZD",AU142,$E$1&amp;AU59))&amp;" "&amp;Main!$P$37&amp;" Curncy",Main!$M$37)</f>
        <v>41.935000000000002</v>
      </c>
      <c r="P59">
        <f>_xll.BDP(IF(Main!$D$7="AUD",AV101,IF(Main!$D$7="NZD",AV142,$E$1&amp;AV59))&amp;" "&amp;Main!$P$37&amp;" Curncy",Main!$M$37)</f>
        <v>39.875</v>
      </c>
      <c r="Q59">
        <f>_xll.BDP(IF(Main!$D$7="AUD",AW101,IF(Main!$D$7="NZD",AW142,$E$1&amp;AW59))&amp;" "&amp;Main!$P$37&amp;" Curncy",Main!$M$37)</f>
        <v>39.26</v>
      </c>
      <c r="R59">
        <f>_xll.BDP(IF(Main!$D$7="AUD",AX101,IF(Main!$D$7="NZD",AX142,$E$1&amp;AX59))&amp;" "&amp;Main!$P$37&amp;" Curncy",Main!$M$37)</f>
        <v>39.075000000000003</v>
      </c>
      <c r="S59" t="str">
        <f>_xll.BDP(IF(Main!$D$7="AUD",AY101,IF(Main!$D$7="NZD",AY142,$E$1&amp;AY59))&amp;" "&amp;Main!$P$37&amp;" Curncy",Main!$M$37)</f>
        <v>#N/A Invalid Security</v>
      </c>
      <c r="AJ59" t="s">
        <v>45</v>
      </c>
      <c r="AK59" t="s">
        <v>261</v>
      </c>
      <c r="AL59" t="s">
        <v>262</v>
      </c>
      <c r="AM59" t="s">
        <v>263</v>
      </c>
      <c r="AN59" t="s">
        <v>264</v>
      </c>
      <c r="AO59" t="s">
        <v>265</v>
      </c>
      <c r="AP59" t="s">
        <v>266</v>
      </c>
      <c r="AQ59" t="s">
        <v>267</v>
      </c>
      <c r="AR59" t="s">
        <v>268</v>
      </c>
      <c r="AS59" t="s">
        <v>269</v>
      </c>
      <c r="AT59" t="s">
        <v>270</v>
      </c>
      <c r="AU59" t="s">
        <v>271</v>
      </c>
      <c r="AV59" t="s">
        <v>272</v>
      </c>
      <c r="AW59" t="s">
        <v>305</v>
      </c>
      <c r="AX59" t="s">
        <v>315</v>
      </c>
    </row>
    <row r="60" spans="4:50" x14ac:dyDescent="0.2">
      <c r="D60" t="str">
        <f>IF(Main!$D$7="AUD",AJ102,IF(Main!$D$7="NZD",AJ143,AJ60))</f>
        <v>7 YR</v>
      </c>
      <c r="E60">
        <f>_xll.BDP(IF(Main!$D$7="AUD",AK102,IF(Main!$D$7="NZD",AK143,$E$1&amp;AK60))&amp;" "&amp;Main!$P$37&amp;" Curncy",Main!$M$37)</f>
        <v>50.954999999999998</v>
      </c>
      <c r="F60">
        <f>_xll.BDP(IF(Main!$D$7="AUD",AL102,IF(Main!$D$7="NZD",AL143,$E$1&amp;AL60))&amp;" "&amp;Main!$P$37&amp;" Curncy",Main!$M$37)</f>
        <v>49.305</v>
      </c>
      <c r="G60">
        <f>_xll.BDP(IF(Main!$D$7="AUD",AM102,IF(Main!$D$7="NZD",AM143,$E$1&amp;AM60))&amp;" "&amp;Main!$P$37&amp;" Curncy",Main!$M$37)</f>
        <v>47.954999999999998</v>
      </c>
      <c r="H60">
        <f>_xll.BDP(IF(Main!$D$7="AUD",AN102,IF(Main!$D$7="NZD",AN143,$E$1&amp;AN60))&amp;" "&amp;Main!$P$37&amp;" Curncy",Main!$M$37)</f>
        <v>46.84</v>
      </c>
      <c r="I60">
        <f>_xll.BDP(IF(Main!$D$7="AUD",AO102,IF(Main!$D$7="NZD",AO143,$E$1&amp;AO60))&amp;" "&amp;Main!$P$37&amp;" Curncy",Main!$M$37)</f>
        <v>45.57</v>
      </c>
      <c r="J60">
        <f>_xll.BDP(IF(Main!$D$7="AUD",AP102,IF(Main!$D$7="NZD",AP143,$E$1&amp;AP60))&amp;" "&amp;Main!$P$37&amp;" Curncy",Main!$M$37)</f>
        <v>44.994999999999997</v>
      </c>
      <c r="K60">
        <f>_xll.BDP(IF(Main!$D$7="AUD",AQ102,IF(Main!$D$7="NZD",AQ143,$E$1&amp;AQ60))&amp;" "&amp;Main!$P$37&amp;" Curncy",Main!$M$37)</f>
        <v>44.215000000000003</v>
      </c>
      <c r="L60">
        <f>_xll.BDP(IF(Main!$D$7="AUD",AR102,IF(Main!$D$7="NZD",AR143,$E$1&amp;AR60))&amp;" "&amp;Main!$P$37&amp;" Curncy",Main!$M$37)</f>
        <v>43.284999999999997</v>
      </c>
      <c r="M60">
        <f>_xll.BDP(IF(Main!$D$7="AUD",AS102,IF(Main!$D$7="NZD",AS143,$E$1&amp;AS60))&amp;" "&amp;Main!$P$37&amp;" Curncy",Main!$M$37)</f>
        <v>42.92</v>
      </c>
      <c r="N60">
        <f>_xll.BDP(IF(Main!$D$7="AUD",AT102,IF(Main!$D$7="NZD",AT143,$E$1&amp;AT60))&amp;" "&amp;Main!$P$37&amp;" Curncy",Main!$M$37)</f>
        <v>42.384999999999998</v>
      </c>
      <c r="O60">
        <f>_xll.BDP(IF(Main!$D$7="AUD",AU102,IF(Main!$D$7="NZD",AU143,$E$1&amp;AU60))&amp;" "&amp;Main!$P$37&amp;" Curncy",Main!$M$37)</f>
        <v>39.659999999999997</v>
      </c>
      <c r="P60">
        <f>_xll.BDP(IF(Main!$D$7="AUD",AV102,IF(Main!$D$7="NZD",AV143,$E$1&amp;AV60))&amp;" "&amp;Main!$P$37&amp;" Curncy",Main!$M$37)</f>
        <v>37.36</v>
      </c>
      <c r="Q60">
        <f>_xll.BDP(IF(Main!$D$7="AUD",AW102,IF(Main!$D$7="NZD",AW143,$E$1&amp;AW60))&amp;" "&amp;Main!$P$37&amp;" Curncy",Main!$M$37)</f>
        <v>35.840000000000003</v>
      </c>
      <c r="R60">
        <f>_xll.BDP(IF(Main!$D$7="AUD",AX102,IF(Main!$D$7="NZD",AX143,$E$1&amp;AX60))&amp;" "&amp;Main!$P$37&amp;" Curncy",Main!$M$37)</f>
        <v>36.340000000000003</v>
      </c>
      <c r="S60" t="str">
        <f>_xll.BDP(IF(Main!$D$7="AUD",AY102,IF(Main!$D$7="NZD",AY143,$E$1&amp;AY60))&amp;" "&amp;Main!$P$37&amp;" Curncy",Main!$M$37)</f>
        <v>#N/A Invalid Security</v>
      </c>
      <c r="AJ60" t="s">
        <v>47</v>
      </c>
      <c r="AK60" t="s">
        <v>273</v>
      </c>
      <c r="AL60" t="s">
        <v>274</v>
      </c>
      <c r="AM60" t="s">
        <v>275</v>
      </c>
      <c r="AN60" t="s">
        <v>276</v>
      </c>
      <c r="AO60" t="s">
        <v>277</v>
      </c>
      <c r="AP60" t="s">
        <v>278</v>
      </c>
      <c r="AQ60" t="s">
        <v>279</v>
      </c>
      <c r="AR60" t="s">
        <v>280</v>
      </c>
      <c r="AS60" t="s">
        <v>281</v>
      </c>
      <c r="AT60" t="s">
        <v>282</v>
      </c>
      <c r="AU60" t="s">
        <v>283</v>
      </c>
      <c r="AV60" t="s">
        <v>284</v>
      </c>
      <c r="AW60" t="s">
        <v>306</v>
      </c>
      <c r="AX60" t="s">
        <v>316</v>
      </c>
    </row>
    <row r="61" spans="4:50" x14ac:dyDescent="0.2">
      <c r="D61" t="str">
        <f>IF(Main!$D$7="AUD",AJ103,IF(Main!$D$7="NZD",AJ144,AJ61))</f>
        <v>10 YR</v>
      </c>
      <c r="E61">
        <f>_xll.BDP(IF(Main!$D$7="AUD",AK103,IF(Main!$D$7="NZD",AK144,$E$1&amp;AK61))&amp;" "&amp;Main!$P$37&amp;" Curncy",Main!$M$37)</f>
        <v>43.494999999999997</v>
      </c>
      <c r="F61">
        <f>_xll.BDP(IF(Main!$D$7="AUD",AL103,IF(Main!$D$7="NZD",AL144,$E$1&amp;AL61))&amp;" "&amp;Main!$P$37&amp;" Curncy",Main!$M$37)</f>
        <v>41.225000000000001</v>
      </c>
      <c r="G61">
        <f>_xll.BDP(IF(Main!$D$7="AUD",AM103,IF(Main!$D$7="NZD",AM144,$E$1&amp;AM61))&amp;" "&amp;Main!$P$37&amp;" Curncy",Main!$M$37)</f>
        <v>40.244999999999997</v>
      </c>
      <c r="H61">
        <f>_xll.BDP(IF(Main!$D$7="AUD",AN103,IF(Main!$D$7="NZD",AN144,$E$1&amp;AN61))&amp;" "&amp;Main!$P$37&amp;" Curncy",Main!$M$37)</f>
        <v>38.784999999999997</v>
      </c>
      <c r="I61">
        <f>_xll.BDP(IF(Main!$D$7="AUD",AO103,IF(Main!$D$7="NZD",AO144,$E$1&amp;AO61))&amp;" "&amp;Main!$P$37&amp;" Curncy",Main!$M$37)</f>
        <v>36.884999999999998</v>
      </c>
      <c r="J61">
        <f>_xll.BDP(IF(Main!$D$7="AUD",AP103,IF(Main!$D$7="NZD",AP144,$E$1&amp;AP61))&amp;" "&amp;Main!$P$37&amp;" Curncy",Main!$M$37)</f>
        <v>38.729999999999997</v>
      </c>
      <c r="K61">
        <f>_xll.BDP(IF(Main!$D$7="AUD",AQ103,IF(Main!$D$7="NZD",AQ144,$E$1&amp;AQ61))&amp;" "&amp;Main!$P$37&amp;" Curncy",Main!$M$37)</f>
        <v>36.234999999999999</v>
      </c>
      <c r="L61">
        <f>_xll.BDP(IF(Main!$D$7="AUD",AR103,IF(Main!$D$7="NZD",AR144,$E$1&amp;AR61))&amp;" "&amp;Main!$P$37&amp;" Curncy",Main!$M$37)</f>
        <v>38.435000000000002</v>
      </c>
      <c r="M61">
        <f>_xll.BDP(IF(Main!$D$7="AUD",AS103,IF(Main!$D$7="NZD",AS144,$E$1&amp;AS61))&amp;" "&amp;Main!$P$37&amp;" Curncy",Main!$M$37)</f>
        <v>38.755000000000003</v>
      </c>
      <c r="N61">
        <f>_xll.BDP(IF(Main!$D$7="AUD",AT103,IF(Main!$D$7="NZD",AT144,$E$1&amp;AT61))&amp;" "&amp;Main!$P$37&amp;" Curncy",Main!$M$37)</f>
        <v>38.895000000000003</v>
      </c>
      <c r="O61">
        <f>_xll.BDP(IF(Main!$D$7="AUD",AU103,IF(Main!$D$7="NZD",AU144,$E$1&amp;AU61))&amp;" "&amp;Main!$P$37&amp;" Curncy",Main!$M$37)</f>
        <v>36.604999999999997</v>
      </c>
      <c r="P61">
        <f>_xll.BDP(IF(Main!$D$7="AUD",AV103,IF(Main!$D$7="NZD",AV144,$E$1&amp;AV61))&amp;" "&amp;Main!$P$37&amp;" Curncy",Main!$M$37)</f>
        <v>34.234999999999999</v>
      </c>
      <c r="Q61">
        <f>_xll.BDP(IF(Main!$D$7="AUD",AW103,IF(Main!$D$7="NZD",AW144,$E$1&amp;AW61))&amp;" "&amp;Main!$P$37&amp;" Curncy",Main!$M$37)</f>
        <v>34.204999999999998</v>
      </c>
      <c r="R61">
        <f>_xll.BDP(IF(Main!$D$7="AUD",AX103,IF(Main!$D$7="NZD",AX144,$E$1&amp;AX61))&amp;" "&amp;Main!$P$37&amp;" Curncy",Main!$M$37)</f>
        <v>32.975000000000001</v>
      </c>
      <c r="S61" t="str">
        <f>_xll.BDP(IF(Main!$D$7="AUD",AY103,IF(Main!$D$7="NZD",AY144,$E$1&amp;AY61))&amp;" "&amp;Main!$P$37&amp;" Curncy",Main!$M$37)</f>
        <v>#N/A Invalid Security</v>
      </c>
      <c r="AJ61" t="s">
        <v>50</v>
      </c>
      <c r="AK61" t="s">
        <v>285</v>
      </c>
      <c r="AL61" t="s">
        <v>286</v>
      </c>
      <c r="AM61" t="s">
        <v>287</v>
      </c>
      <c r="AN61" t="s">
        <v>288</v>
      </c>
      <c r="AO61" t="s">
        <v>289</v>
      </c>
      <c r="AP61" t="s">
        <v>290</v>
      </c>
      <c r="AQ61" t="s">
        <v>291</v>
      </c>
      <c r="AR61" t="s">
        <v>292</v>
      </c>
      <c r="AS61" t="s">
        <v>293</v>
      </c>
      <c r="AT61" t="s">
        <v>294</v>
      </c>
      <c r="AU61" t="s">
        <v>295</v>
      </c>
      <c r="AV61" t="s">
        <v>296</v>
      </c>
      <c r="AW61" t="s">
        <v>307</v>
      </c>
      <c r="AX61" t="s">
        <v>317</v>
      </c>
    </row>
    <row r="62" spans="4:50" x14ac:dyDescent="0.2">
      <c r="D62" s="5" t="str">
        <f>IF(Main!$D$7="AUD",AJ104,IF(Main!$D$7="NZD",AJ145,AJ62))</f>
        <v>15 YR</v>
      </c>
      <c r="E62">
        <f>_xll.BDP(IF(Main!$D$7="AUD",AK104,IF(Main!$D$7="NZD",AK145,$E$1&amp;AK62))&amp;" "&amp;Main!$P$37&amp;" Curncy",Main!$M$37)</f>
        <v>38.880000000000003</v>
      </c>
      <c r="F62">
        <f>_xll.BDP(IF(Main!$D$7="AUD",AL104,IF(Main!$D$7="NZD",AL145,$E$1&amp;AL62))&amp;" "&amp;Main!$P$37&amp;" Curncy",Main!$M$37)</f>
        <v>37.33</v>
      </c>
      <c r="G62">
        <f>_xll.BDP(IF(Main!$D$7="AUD",AM104,IF(Main!$D$7="NZD",AM145,$E$1&amp;AM62))&amp;" "&amp;Main!$P$37&amp;" Curncy",Main!$M$37)</f>
        <v>36.015000000000001</v>
      </c>
      <c r="H62">
        <f>_xll.BDP(IF(Main!$D$7="AUD",AN104,IF(Main!$D$7="NZD",AN145,$E$1&amp;AN62))&amp;" "&amp;Main!$P$37&amp;" Curncy",Main!$M$37)</f>
        <v>34.685000000000002</v>
      </c>
      <c r="I62">
        <f>_xll.BDP(IF(Main!$D$7="AUD",AO104,IF(Main!$D$7="NZD",AO145,$E$1&amp;AO62))&amp;" "&amp;Main!$P$37&amp;" Curncy",Main!$M$37)</f>
        <v>33.454999999999998</v>
      </c>
      <c r="J62">
        <f>_xll.BDP(IF(Main!$D$7="AUD",AP104,IF(Main!$D$7="NZD",AP145,$E$1&amp;AP62))&amp;" "&amp;Main!$P$37&amp;" Curncy",Main!$M$37)</f>
        <v>34.56</v>
      </c>
      <c r="K62">
        <f>_xll.BDP(IF(Main!$D$7="AUD",AQ104,IF(Main!$D$7="NZD",AQ145,$E$1&amp;AQ62))&amp;" "&amp;Main!$P$37&amp;" Curncy",Main!$M$37)</f>
        <v>34.56</v>
      </c>
      <c r="L62">
        <f>_xll.BDP(IF(Main!$D$7="AUD",AR104,IF(Main!$D$7="NZD",AR145,$E$1&amp;AR62))&amp;" "&amp;Main!$P$37&amp;" Curncy",Main!$M$37)</f>
        <v>34.695</v>
      </c>
      <c r="M62">
        <f>_xll.BDP(IF(Main!$D$7="AUD",AS104,IF(Main!$D$7="NZD",AS145,$E$1&amp;AS62))&amp;" "&amp;Main!$P$37&amp;" Curncy",Main!$M$37)</f>
        <v>34.85</v>
      </c>
      <c r="N62">
        <f>_xll.BDP(IF(Main!$D$7="AUD",AT104,IF(Main!$D$7="NZD",AT145,$E$1&amp;AT62))&amp;" "&amp;Main!$P$37&amp;" Curncy",Main!$M$37)</f>
        <v>34.965000000000003</v>
      </c>
      <c r="O62">
        <f>_xll.BDP(IF(Main!$D$7="AUD",AU104,IF(Main!$D$7="NZD",AU145,$E$1&amp;AU62))&amp;" "&amp;Main!$P$37&amp;" Curncy",Main!$M$37)</f>
        <v>34.164999999999999</v>
      </c>
      <c r="P62">
        <f>_xll.BDP(IF(Main!$D$7="AUD",AV104,IF(Main!$D$7="NZD",AV145,$E$1&amp;AV62))&amp;" "&amp;Main!$P$37&amp;" Curncy",Main!$M$37)</f>
        <v>32.92</v>
      </c>
      <c r="Q62">
        <f>_xll.BDP(IF(Main!$D$7="AUD",AW104,IF(Main!$D$7="NZD",AW145,$E$1&amp;AW62))&amp;" "&amp;Main!$P$37&amp;" Curncy",Main!$M$37)</f>
        <v>32.085000000000001</v>
      </c>
      <c r="R62">
        <f>_xll.BDP(IF(Main!$D$7="AUD",AX104,IF(Main!$D$7="NZD",AX145,$E$1&amp;AX62))&amp;" "&amp;Main!$P$37&amp;" Curncy",Main!$M$37)</f>
        <v>30.55</v>
      </c>
      <c r="S62" t="str">
        <f>_xll.BDP(IF(Main!$D$7="AUD",AY104,IF(Main!$D$7="NZD",AY145,$E$1&amp;AY62))&amp;" "&amp;Main!$P$37&amp;" Curncy",Main!$M$37)</f>
        <v>#N/A Invalid Security</v>
      </c>
      <c r="AJ62" t="s">
        <v>52</v>
      </c>
      <c r="AK62" t="s">
        <v>569</v>
      </c>
      <c r="AL62" t="s">
        <v>570</v>
      </c>
      <c r="AM62" t="s">
        <v>571</v>
      </c>
      <c r="AN62" t="s">
        <v>572</v>
      </c>
      <c r="AO62" t="s">
        <v>573</v>
      </c>
      <c r="AP62" t="s">
        <v>574</v>
      </c>
      <c r="AQ62" t="s">
        <v>575</v>
      </c>
      <c r="AR62" t="s">
        <v>576</v>
      </c>
      <c r="AS62" t="s">
        <v>577</v>
      </c>
      <c r="AT62" t="s">
        <v>578</v>
      </c>
      <c r="AU62" t="s">
        <v>579</v>
      </c>
      <c r="AV62" t="s">
        <v>580</v>
      </c>
      <c r="AW62" t="s">
        <v>581</v>
      </c>
      <c r="AX62" t="s">
        <v>582</v>
      </c>
    </row>
    <row r="63" spans="4:50" x14ac:dyDescent="0.2">
      <c r="D63" s="5" t="str">
        <f>IF(Main!$D$7="AUD",AJ105,IF(Main!$D$7="NZD",AJ146,AJ63))</f>
        <v>20 YR</v>
      </c>
      <c r="E63">
        <f>_xll.BDP(IF(Main!$D$7="AUD",AK105,IF(Main!$D$7="NZD",AK146,$E$1&amp;AK63))&amp;" "&amp;Main!$P$37&amp;" Curncy",Main!$M$37)</f>
        <v>37.58</v>
      </c>
      <c r="F63">
        <f>_xll.BDP(IF(Main!$D$7="AUD",AL105,IF(Main!$D$7="NZD",AL146,$E$1&amp;AL63))&amp;" "&amp;Main!$P$37&amp;" Curncy",Main!$M$37)</f>
        <v>36.33</v>
      </c>
      <c r="G63">
        <f>_xll.BDP(IF(Main!$D$7="AUD",AM105,IF(Main!$D$7="NZD",AM146,$E$1&amp;AM63))&amp;" "&amp;Main!$P$37&amp;" Curncy",Main!$M$37)</f>
        <v>35.335000000000001</v>
      </c>
      <c r="H63">
        <f>_xll.BDP(IF(Main!$D$7="AUD",AN105,IF(Main!$D$7="NZD",AN146,$E$1&amp;AN63))&amp;" "&amp;Main!$P$37&amp;" Curncy",Main!$M$37)</f>
        <v>34.49</v>
      </c>
      <c r="I63">
        <f>_xll.BDP(IF(Main!$D$7="AUD",AO105,IF(Main!$D$7="NZD",AO146,$E$1&amp;AO63))&amp;" "&amp;Main!$P$37&amp;" Curncy",Main!$M$37)</f>
        <v>32.884999999999998</v>
      </c>
      <c r="J63">
        <f>_xll.BDP(IF(Main!$D$7="AUD",AP105,IF(Main!$D$7="NZD",AP146,$E$1&amp;AP63))&amp;" "&amp;Main!$P$37&amp;" Curncy",Main!$M$37)</f>
        <v>33.26</v>
      </c>
      <c r="K63">
        <f>_xll.BDP(IF(Main!$D$7="AUD",AQ105,IF(Main!$D$7="NZD",AQ146,$E$1&amp;AQ63))&amp;" "&amp;Main!$P$37&amp;" Curncy",Main!$M$37)</f>
        <v>33.35</v>
      </c>
      <c r="L63">
        <f>_xll.BDP(IF(Main!$D$7="AUD",AR105,IF(Main!$D$7="NZD",AR146,$E$1&amp;AR63))&amp;" "&amp;Main!$P$37&amp;" Curncy",Main!$M$37)</f>
        <v>33.35</v>
      </c>
      <c r="M63">
        <f>_xll.BDP(IF(Main!$D$7="AUD",AS105,IF(Main!$D$7="NZD",AS146,$E$1&amp;AS63))&amp;" "&amp;Main!$P$37&amp;" Curncy",Main!$M$37)</f>
        <v>33.314999999999998</v>
      </c>
      <c r="N63">
        <f>_xll.BDP(IF(Main!$D$7="AUD",AT105,IF(Main!$D$7="NZD",AT146,$E$1&amp;AT63))&amp;" "&amp;Main!$P$37&amp;" Curncy",Main!$M$37)</f>
        <v>33.659999999999997</v>
      </c>
      <c r="O63">
        <f>_xll.BDP(IF(Main!$D$7="AUD",AU105,IF(Main!$D$7="NZD",AU146,$E$1&amp;AU63))&amp;" "&amp;Main!$P$37&amp;" Curncy",Main!$M$37)</f>
        <v>32.799999999999997</v>
      </c>
      <c r="P63">
        <f>_xll.BDP(IF(Main!$D$7="AUD",AV105,IF(Main!$D$7="NZD",AV146,$E$1&amp;AV63))&amp;" "&amp;Main!$P$37&amp;" Curncy",Main!$M$37)</f>
        <v>31.43</v>
      </c>
      <c r="Q63">
        <f>_xll.BDP(IF(Main!$D$7="AUD",AW105,IF(Main!$D$7="NZD",AW146,$E$1&amp;AW63))&amp;" "&amp;Main!$P$37&amp;" Curncy",Main!$M$37)</f>
        <v>30.65</v>
      </c>
      <c r="R63">
        <f>_xll.BDP(IF(Main!$D$7="AUD",AX105,IF(Main!$D$7="NZD",AX146,$E$1&amp;AX63))&amp;" "&amp;Main!$P$37&amp;" Curncy",Main!$M$37)</f>
        <v>30.63</v>
      </c>
      <c r="S63" t="str">
        <f>_xll.BDP(IF(Main!$D$7="AUD",AY105,IF(Main!$D$7="NZD",AY146,$E$1&amp;AY63))&amp;" "&amp;Main!$P$37&amp;" Curncy",Main!$M$37)</f>
        <v>#N/A Invalid Security</v>
      </c>
      <c r="AJ63" t="s">
        <v>53</v>
      </c>
      <c r="AK63" t="s">
        <v>583</v>
      </c>
      <c r="AL63" t="s">
        <v>584</v>
      </c>
      <c r="AM63" t="s">
        <v>585</v>
      </c>
      <c r="AN63" t="s">
        <v>586</v>
      </c>
      <c r="AO63" t="s">
        <v>587</v>
      </c>
      <c r="AP63" t="s">
        <v>588</v>
      </c>
      <c r="AQ63" t="s">
        <v>589</v>
      </c>
      <c r="AR63" t="s">
        <v>590</v>
      </c>
      <c r="AS63" t="s">
        <v>591</v>
      </c>
      <c r="AT63" t="s">
        <v>592</v>
      </c>
      <c r="AU63" t="s">
        <v>593</v>
      </c>
      <c r="AV63" t="s">
        <v>594</v>
      </c>
      <c r="AW63" t="s">
        <v>595</v>
      </c>
      <c r="AX63" t="s">
        <v>596</v>
      </c>
    </row>
    <row r="64" spans="4:50" x14ac:dyDescent="0.2">
      <c r="D64" s="5" t="str">
        <f>IF(Main!$D$7="AUD",AJ106,IF(Main!$D$7="NZD",AJ147,AJ64))</f>
        <v>25 YR</v>
      </c>
      <c r="E64">
        <f>_xll.BDP(IF(Main!$D$7="AUD",AK106,IF(Main!$D$7="NZD",AK147,$E$1&amp;AK64))&amp;" "&amp;Main!$P$37&amp;" Curncy",Main!$M$37)</f>
        <v>37.15</v>
      </c>
      <c r="F64">
        <f>_xll.BDP(IF(Main!$D$7="AUD",AL106,IF(Main!$D$7="NZD",AL147,$E$1&amp;AL64))&amp;" "&amp;Main!$P$37&amp;" Curncy",Main!$M$37)</f>
        <v>36.055</v>
      </c>
      <c r="G64">
        <f>_xll.BDP(IF(Main!$D$7="AUD",AM106,IF(Main!$D$7="NZD",AM147,$E$1&amp;AM64))&amp;" "&amp;Main!$P$37&amp;" Curncy",Main!$M$37)</f>
        <v>35.375</v>
      </c>
      <c r="H64">
        <f>_xll.BDP(IF(Main!$D$7="AUD",AN106,IF(Main!$D$7="NZD",AN147,$E$1&amp;AN64))&amp;" "&amp;Main!$P$37&amp;" Curncy",Main!$M$37)</f>
        <v>34.74</v>
      </c>
      <c r="I64">
        <f>_xll.BDP(IF(Main!$D$7="AUD",AO106,IF(Main!$D$7="NZD",AO147,$E$1&amp;AO64))&amp;" "&amp;Main!$P$37&amp;" Curncy",Main!$M$37)</f>
        <v>33.94</v>
      </c>
      <c r="J64">
        <f>_xll.BDP(IF(Main!$D$7="AUD",AP106,IF(Main!$D$7="NZD",AP147,$E$1&amp;AP64))&amp;" "&amp;Main!$P$37&amp;" Curncy",Main!$M$37)</f>
        <v>34.74</v>
      </c>
      <c r="K64">
        <f>_xll.BDP(IF(Main!$D$7="AUD",AQ106,IF(Main!$D$7="NZD",AQ147,$E$1&amp;AQ64))&amp;" "&amp;Main!$P$37&amp;" Curncy",Main!$M$37)</f>
        <v>35.08</v>
      </c>
      <c r="L64">
        <f>_xll.BDP(IF(Main!$D$7="AUD",AR106,IF(Main!$D$7="NZD",AR147,$E$1&amp;AR64))&amp;" "&amp;Main!$P$37&amp;" Curncy",Main!$M$37)</f>
        <v>35.25</v>
      </c>
      <c r="M64">
        <f>_xll.BDP(IF(Main!$D$7="AUD",AS106,IF(Main!$D$7="NZD",AS147,$E$1&amp;AS64))&amp;" "&amp;Main!$P$37&amp;" Curncy",Main!$M$37)</f>
        <v>35.295000000000002</v>
      </c>
      <c r="N64">
        <f>_xll.BDP(IF(Main!$D$7="AUD",AT106,IF(Main!$D$7="NZD",AT147,$E$1&amp;AT64))&amp;" "&amp;Main!$P$37&amp;" Curncy",Main!$M$37)</f>
        <v>35.24</v>
      </c>
      <c r="O64">
        <f>_xll.BDP(IF(Main!$D$7="AUD",AU106,IF(Main!$D$7="NZD",AU147,$E$1&amp;AU64))&amp;" "&amp;Main!$P$37&amp;" Curncy",Main!$M$37)</f>
        <v>34.354999999999997</v>
      </c>
      <c r="P64">
        <f>_xll.BDP(IF(Main!$D$7="AUD",AV106,IF(Main!$D$7="NZD",AV147,$E$1&amp;AV64))&amp;" "&amp;Main!$P$37&amp;" Curncy",Main!$M$37)</f>
        <v>32.99</v>
      </c>
      <c r="Q64">
        <f>_xll.BDP(IF(Main!$D$7="AUD",AW106,IF(Main!$D$7="NZD",AW147,$E$1&amp;AW64))&amp;" "&amp;Main!$P$37&amp;" Curncy",Main!$M$37)</f>
        <v>32.265000000000001</v>
      </c>
      <c r="R64">
        <f>_xll.BDP(IF(Main!$D$7="AUD",AX106,IF(Main!$D$7="NZD",AX147,$E$1&amp;AX64))&amp;" "&amp;Main!$P$37&amp;" Curncy",Main!$M$37)</f>
        <v>31.524999999999999</v>
      </c>
      <c r="S64" t="str">
        <f>_xll.BDP(IF(Main!$D$7="AUD",AY106,IF(Main!$D$7="NZD",AY147,$E$1&amp;AY64))&amp;" "&amp;Main!$P$37&amp;" Curncy",Main!$M$37)</f>
        <v>#N/A Invalid Security</v>
      </c>
      <c r="AJ64" t="s">
        <v>297</v>
      </c>
      <c r="AK64" t="s">
        <v>597</v>
      </c>
      <c r="AL64" t="s">
        <v>598</v>
      </c>
      <c r="AM64" t="s">
        <v>599</v>
      </c>
      <c r="AN64" t="s">
        <v>600</v>
      </c>
      <c r="AO64" t="s">
        <v>601</v>
      </c>
      <c r="AP64" t="s">
        <v>602</v>
      </c>
      <c r="AQ64" t="s">
        <v>603</v>
      </c>
      <c r="AR64" t="s">
        <v>604</v>
      </c>
      <c r="AS64" t="s">
        <v>605</v>
      </c>
      <c r="AT64" t="s">
        <v>606</v>
      </c>
      <c r="AU64" t="s">
        <v>607</v>
      </c>
      <c r="AV64" t="s">
        <v>608</v>
      </c>
      <c r="AW64" t="s">
        <v>609</v>
      </c>
      <c r="AX64" t="s">
        <v>610</v>
      </c>
    </row>
    <row r="65" spans="2:66" x14ac:dyDescent="0.2">
      <c r="D65" s="5" t="str">
        <f>IF(Main!$D$7="AUD",AJ107,IF(Main!$D$7="NZD",AJ148,AJ65))</f>
        <v>30 YR</v>
      </c>
      <c r="E65">
        <f>_xll.BDP(IF(Main!$D$7="AUD",AK107,IF(Main!$D$7="NZD",AK148,$E$1&amp;AK65))&amp;" "&amp;Main!$P$37&amp;" Curncy",Main!$M$37)</f>
        <v>40.46</v>
      </c>
      <c r="F65">
        <f>_xll.BDP(IF(Main!$D$7="AUD",AL107,IF(Main!$D$7="NZD",AL148,$E$1&amp;AL65))&amp;" "&amp;Main!$P$37&amp;" Curncy",Main!$M$37)</f>
        <v>39.42</v>
      </c>
      <c r="G65">
        <f>_xll.BDP(IF(Main!$D$7="AUD",AM107,IF(Main!$D$7="NZD",AM148,$E$1&amp;AM65))&amp;" "&amp;Main!$P$37&amp;" Curncy",Main!$M$37)</f>
        <v>38.89</v>
      </c>
      <c r="H65">
        <f>_xll.BDP(IF(Main!$D$7="AUD",AN107,IF(Main!$D$7="NZD",AN148,$E$1&amp;AN65))&amp;" "&amp;Main!$P$37&amp;" Curncy",Main!$M$37)</f>
        <v>38.44</v>
      </c>
      <c r="I65">
        <f>_xll.BDP(IF(Main!$D$7="AUD",AO107,IF(Main!$D$7="NZD",AO148,$E$1&amp;AO65))&amp;" "&amp;Main!$P$37&amp;" Curncy",Main!$M$37)</f>
        <v>38.04</v>
      </c>
      <c r="J65">
        <f>_xll.BDP(IF(Main!$D$7="AUD",AP107,IF(Main!$D$7="NZD",AP148,$E$1&amp;AP65))&amp;" "&amp;Main!$P$37&amp;" Curncy",Main!$M$37)</f>
        <v>37.515000000000001</v>
      </c>
      <c r="K65">
        <f>_xll.BDP(IF(Main!$D$7="AUD",AQ107,IF(Main!$D$7="NZD",AQ148,$E$1&amp;AQ65))&amp;" "&amp;Main!$P$37&amp;" Curncy",Main!$M$37)</f>
        <v>36.935000000000002</v>
      </c>
      <c r="L65">
        <f>_xll.BDP(IF(Main!$D$7="AUD",AR107,IF(Main!$D$7="NZD",AR148,$E$1&amp;AR65))&amp;" "&amp;Main!$P$37&amp;" Curncy",Main!$M$37)</f>
        <v>36.354999999999997</v>
      </c>
      <c r="M65">
        <f>_xll.BDP(IF(Main!$D$7="AUD",AS107,IF(Main!$D$7="NZD",AS148,$E$1&amp;AS65))&amp;" "&amp;Main!$P$37&amp;" Curncy",Main!$M$37)</f>
        <v>35.795000000000002</v>
      </c>
      <c r="N65">
        <f>_xll.BDP(IF(Main!$D$7="AUD",AT107,IF(Main!$D$7="NZD",AT148,$E$1&amp;AT65))&amp;" "&amp;Main!$P$37&amp;" Curncy",Main!$M$37)</f>
        <v>35.134999999999998</v>
      </c>
      <c r="O65">
        <f>_xll.BDP(IF(Main!$D$7="AUD",AU107,IF(Main!$D$7="NZD",AU148,$E$1&amp;AU65))&amp;" "&amp;Main!$P$37&amp;" Curncy",Main!$M$37)</f>
        <v>35.225000000000001</v>
      </c>
      <c r="P65">
        <f>_xll.BDP(IF(Main!$D$7="AUD",AV107,IF(Main!$D$7="NZD",AV148,$E$1&amp;AV65))&amp;" "&amp;Main!$P$37&amp;" Curncy",Main!$M$37)</f>
        <v>35.25</v>
      </c>
      <c r="Q65">
        <f>_xll.BDP(IF(Main!$D$7="AUD",AW107,IF(Main!$D$7="NZD",AW148,$E$1&amp;AW65))&amp;" "&amp;Main!$P$37&amp;" Curncy",Main!$M$37)</f>
        <v>33.770000000000003</v>
      </c>
      <c r="R65">
        <f>_xll.BDP(IF(Main!$D$7="AUD",AX107,IF(Main!$D$7="NZD",AX148,$E$1&amp;AX65))&amp;" "&amp;Main!$P$37&amp;" Curncy",Main!$M$37)</f>
        <v>32.659999999999997</v>
      </c>
      <c r="S65" t="str">
        <f>_xll.BDP(IF(Main!$D$7="AUD",AY107,IF(Main!$D$7="NZD",AY148,$E$1&amp;AY65))&amp;" "&amp;Main!$P$37&amp;" Curncy",Main!$M$37)</f>
        <v>#N/A Invalid Security</v>
      </c>
      <c r="AJ65" t="s">
        <v>318</v>
      </c>
      <c r="AK65" t="s">
        <v>611</v>
      </c>
      <c r="AL65" t="s">
        <v>612</v>
      </c>
      <c r="AM65" t="s">
        <v>613</v>
      </c>
      <c r="AN65" t="s">
        <v>614</v>
      </c>
      <c r="AO65" t="s">
        <v>615</v>
      </c>
      <c r="AP65" t="s">
        <v>616</v>
      </c>
      <c r="AQ65" t="s">
        <v>617</v>
      </c>
      <c r="AR65" t="s">
        <v>618</v>
      </c>
      <c r="AS65" t="s">
        <v>619</v>
      </c>
      <c r="AT65" t="s">
        <v>620</v>
      </c>
      <c r="AU65" t="s">
        <v>621</v>
      </c>
      <c r="AV65" t="s">
        <v>622</v>
      </c>
      <c r="AW65" t="s">
        <v>623</v>
      </c>
      <c r="AX65" t="s">
        <v>624</v>
      </c>
    </row>
    <row r="66" spans="2:66" x14ac:dyDescent="0.2">
      <c r="D66" s="5">
        <f>IF(Main!$D$7="AUD",AJ108,IF(Main!$D$7="NZD",AJ149,AJ66))</f>
        <v>0</v>
      </c>
      <c r="E66" t="str">
        <f>_xll.BDP(IF(Main!$D$7="AUD",AK108,IF(Main!$D$7="NZD",AK149,$E$1&amp;AK66))&amp;" "&amp;Main!$P$37&amp;" Curncy",Main!$M$37)</f>
        <v>#N/A Invalid Security</v>
      </c>
      <c r="F66" t="str">
        <f>_xll.BDP(IF(Main!$D$7="AUD",AL108,IF(Main!$D$7="NZD",AL149,$E$1&amp;AL66))&amp;" "&amp;Main!$P$37&amp;" Curncy",Main!$M$37)</f>
        <v>#N/A Invalid Security</v>
      </c>
      <c r="G66" t="str">
        <f>_xll.BDP(IF(Main!$D$7="AUD",AM108,IF(Main!$D$7="NZD",AM149,$E$1&amp;AM66))&amp;" "&amp;Main!$P$37&amp;" Curncy",Main!$M$37)</f>
        <v>#N/A Invalid Security</v>
      </c>
      <c r="H66" t="str">
        <f>_xll.BDP(IF(Main!$D$7="AUD",AN108,IF(Main!$D$7="NZD",AN149,$E$1&amp;AN66))&amp;" "&amp;Main!$P$37&amp;" Curncy",Main!$M$37)</f>
        <v>#N/A Invalid Security</v>
      </c>
      <c r="I66" t="str">
        <f>_xll.BDP(IF(Main!$D$7="AUD",AO108,IF(Main!$D$7="NZD",AO149,$E$1&amp;AO66))&amp;" "&amp;Main!$P$37&amp;" Curncy",Main!$M$37)</f>
        <v>#N/A Invalid Security</v>
      </c>
      <c r="J66" t="str">
        <f>_xll.BDP(IF(Main!$D$7="AUD",AP108,IF(Main!$D$7="NZD",AP149,$E$1&amp;AP66))&amp;" "&amp;Main!$P$37&amp;" Curncy",Main!$M$37)</f>
        <v>#N/A Invalid Security</v>
      </c>
      <c r="K66" t="str">
        <f>_xll.BDP(IF(Main!$D$7="AUD",AQ108,IF(Main!$D$7="NZD",AQ149,$E$1&amp;AQ66))&amp;" "&amp;Main!$P$37&amp;" Curncy",Main!$M$37)</f>
        <v>#N/A Invalid Security</v>
      </c>
      <c r="L66" t="str">
        <f>_xll.BDP(IF(Main!$D$7="AUD",AR108,IF(Main!$D$7="NZD",AR149,$E$1&amp;AR66))&amp;" "&amp;Main!$P$37&amp;" Curncy",Main!$M$37)</f>
        <v>#N/A Invalid Security</v>
      </c>
      <c r="M66" t="str">
        <f>_xll.BDP(IF(Main!$D$7="AUD",AS108,IF(Main!$D$7="NZD",AS149,$E$1&amp;AS66))&amp;" "&amp;Main!$P$37&amp;" Curncy",Main!$M$37)</f>
        <v>#N/A Invalid Security</v>
      </c>
      <c r="N66" t="str">
        <f>_xll.BDP(IF(Main!$D$7="AUD",AT108,IF(Main!$D$7="NZD",AT149,$E$1&amp;AT66))&amp;" "&amp;Main!$P$37&amp;" Curncy",Main!$M$37)</f>
        <v>#N/A Invalid Security</v>
      </c>
      <c r="O66" t="str">
        <f>_xll.BDP(IF(Main!$D$7="AUD",AU108,IF(Main!$D$7="NZD",AU149,$E$1&amp;AU66))&amp;" "&amp;Main!$P$37&amp;" Curncy",Main!$M$37)</f>
        <v>#N/A Invalid Security</v>
      </c>
      <c r="P66" t="str">
        <f>_xll.BDP(IF(Main!$D$7="AUD",AV108,IF(Main!$D$7="NZD",AV149,$E$1&amp;AV66))&amp;" "&amp;Main!$P$37&amp;" Curncy",Main!$M$37)</f>
        <v>#N/A Invalid Security</v>
      </c>
      <c r="Q66" t="str">
        <f>_xll.BDP(IF(Main!$D$7="AUD",AW108,IF(Main!$D$7="NZD",AW149,$E$1&amp;AW66))&amp;" "&amp;Main!$P$37&amp;" Curncy",Main!$M$37)</f>
        <v>#N/A Invalid Security</v>
      </c>
      <c r="R66" t="str">
        <f>_xll.BDP(IF(Main!$D$7="AUD",AX108,IF(Main!$D$7="NZD",AX149,$E$1&amp;AX66))&amp;" "&amp;Main!$P$37&amp;" Curncy",Main!$M$37)</f>
        <v>#N/A Invalid Security</v>
      </c>
      <c r="S66" t="str">
        <f>_xll.BDP(IF(Main!$D$7="AUD",AY108,IF(Main!$D$7="NZD",AY149,$E$1&amp;AY66))&amp;" "&amp;Main!$P$37&amp;" Curncy",Main!$M$37)</f>
        <v>#N/A Invalid Security</v>
      </c>
    </row>
    <row r="67" spans="2:66" x14ac:dyDescent="0.2">
      <c r="D67" s="5">
        <f>IF(Main!$D$7="AUD",AJ109,IF(Main!$D$7="NZD",AJ150,AJ67))</f>
        <v>0</v>
      </c>
      <c r="E67" t="str">
        <f>_xll.BDP(IF(Main!$D$7="AUD",AK109,IF(Main!$D$7="NZD",AK150,$E$1&amp;AK67))&amp;" "&amp;Main!$P$37&amp;" Curncy",Main!$M$37)</f>
        <v>#N/A Invalid Security</v>
      </c>
      <c r="F67" t="str">
        <f>_xll.BDP(IF(Main!$D$7="AUD",AL109,IF(Main!$D$7="NZD",AL150,$E$1&amp;AL67))&amp;" "&amp;Main!$P$37&amp;" Curncy",Main!$M$37)</f>
        <v>#N/A Invalid Security</v>
      </c>
      <c r="G67" t="str">
        <f>_xll.BDP(IF(Main!$D$7="AUD",AM109,IF(Main!$D$7="NZD",AM150,$E$1&amp;AM67))&amp;" "&amp;Main!$P$37&amp;" Curncy",Main!$M$37)</f>
        <v>#N/A Invalid Security</v>
      </c>
      <c r="H67" t="str">
        <f>_xll.BDP(IF(Main!$D$7="AUD",AN109,IF(Main!$D$7="NZD",AN150,$E$1&amp;AN67))&amp;" "&amp;Main!$P$37&amp;" Curncy",Main!$M$37)</f>
        <v>#N/A Invalid Security</v>
      </c>
      <c r="I67" t="str">
        <f>_xll.BDP(IF(Main!$D$7="AUD",AO109,IF(Main!$D$7="NZD",AO150,$E$1&amp;AO67))&amp;" "&amp;Main!$P$37&amp;" Curncy",Main!$M$37)</f>
        <v>#N/A Invalid Security</v>
      </c>
      <c r="J67" t="str">
        <f>_xll.BDP(IF(Main!$D$7="AUD",AP109,IF(Main!$D$7="NZD",AP150,$E$1&amp;AP67))&amp;" "&amp;Main!$P$37&amp;" Curncy",Main!$M$37)</f>
        <v>#N/A Invalid Security</v>
      </c>
      <c r="K67" t="str">
        <f>_xll.BDP(IF(Main!$D$7="AUD",AQ109,IF(Main!$D$7="NZD",AQ150,$E$1&amp;AQ67))&amp;" "&amp;Main!$P$37&amp;" Curncy",Main!$M$37)</f>
        <v>#N/A Invalid Security</v>
      </c>
      <c r="L67" t="str">
        <f>_xll.BDP(IF(Main!$D$7="AUD",AR109,IF(Main!$D$7="NZD",AR150,$E$1&amp;AR67))&amp;" "&amp;Main!$P$37&amp;" Curncy",Main!$M$37)</f>
        <v>#N/A Invalid Security</v>
      </c>
      <c r="M67" t="str">
        <f>_xll.BDP(IF(Main!$D$7="AUD",AS109,IF(Main!$D$7="NZD",AS150,$E$1&amp;AS67))&amp;" "&amp;Main!$P$37&amp;" Curncy",Main!$M$37)</f>
        <v>#N/A Invalid Security</v>
      </c>
      <c r="N67" t="str">
        <f>_xll.BDP(IF(Main!$D$7="AUD",AT109,IF(Main!$D$7="NZD",AT150,$E$1&amp;AT67))&amp;" "&amp;Main!$P$37&amp;" Curncy",Main!$M$37)</f>
        <v>#N/A Invalid Security</v>
      </c>
      <c r="O67" t="str">
        <f>_xll.BDP(IF(Main!$D$7="AUD",AU109,IF(Main!$D$7="NZD",AU150,$E$1&amp;AU67))&amp;" "&amp;Main!$P$37&amp;" Curncy",Main!$M$37)</f>
        <v>#N/A Invalid Security</v>
      </c>
      <c r="P67" t="str">
        <f>_xll.BDP(IF(Main!$D$7="AUD",AV109,IF(Main!$D$7="NZD",AV150,$E$1&amp;AV67))&amp;" "&amp;Main!$P$37&amp;" Curncy",Main!$M$37)</f>
        <v>#N/A Invalid Security</v>
      </c>
      <c r="Q67" t="str">
        <f>_xll.BDP(IF(Main!$D$7="AUD",AW109,IF(Main!$D$7="NZD",AW150,$E$1&amp;AW67))&amp;" "&amp;Main!$P$37&amp;" Curncy",Main!$M$37)</f>
        <v>#N/A Invalid Security</v>
      </c>
      <c r="R67" t="str">
        <f>_xll.BDP(IF(Main!$D$7="AUD",AX109,IF(Main!$D$7="NZD",AX150,$E$1&amp;AX67))&amp;" "&amp;Main!$P$37&amp;" Curncy",Main!$M$37)</f>
        <v>#N/A Invalid Security</v>
      </c>
      <c r="S67" t="str">
        <f>_xll.BDP(IF(Main!$D$7="AUD",AY109,IF(Main!$D$7="NZD",AY150,$E$1&amp;AY67))&amp;" "&amp;Main!$P$37&amp;" Curncy",Main!$M$37)</f>
        <v>#N/A Invalid Security</v>
      </c>
    </row>
    <row r="68" spans="2:66" x14ac:dyDescent="0.2">
      <c r="D68" s="5">
        <f>IF(Main!$D$7="AUD",AJ110,IF(Main!$D$7="NZD",AJ151,AJ68))</f>
        <v>0</v>
      </c>
      <c r="E68" t="str">
        <f>_xll.BDP(IF(Main!$D$7="AUD",AK110,IF(Main!$D$7="NZD",AK151,$E$1&amp;AK68))&amp;" "&amp;Main!$P$37&amp;" Curncy",Main!$M$37)</f>
        <v>#N/A Invalid Security</v>
      </c>
      <c r="F68" t="str">
        <f>_xll.BDP(IF(Main!$D$7="AUD",AL110,IF(Main!$D$7="NZD",AL151,$E$1&amp;AL68))&amp;" "&amp;Main!$P$37&amp;" Curncy",Main!$M$37)</f>
        <v>#N/A Invalid Security</v>
      </c>
      <c r="G68" t="str">
        <f>_xll.BDP(IF(Main!$D$7="AUD",AM110,IF(Main!$D$7="NZD",AM151,$E$1&amp;AM68))&amp;" "&amp;Main!$P$37&amp;" Curncy",Main!$M$37)</f>
        <v>#N/A Invalid Security</v>
      </c>
      <c r="H68" t="str">
        <f>_xll.BDP(IF(Main!$D$7="AUD",AN110,IF(Main!$D$7="NZD",AN151,$E$1&amp;AN68))&amp;" "&amp;Main!$P$37&amp;" Curncy",Main!$M$37)</f>
        <v>#N/A Invalid Security</v>
      </c>
      <c r="I68" t="str">
        <f>_xll.BDP(IF(Main!$D$7="AUD",AO110,IF(Main!$D$7="NZD",AO151,$E$1&amp;AO68))&amp;" "&amp;Main!$P$37&amp;" Curncy",Main!$M$37)</f>
        <v>#N/A Invalid Security</v>
      </c>
      <c r="J68" t="str">
        <f>_xll.BDP(IF(Main!$D$7="AUD",AP110,IF(Main!$D$7="NZD",AP151,$E$1&amp;AP68))&amp;" "&amp;Main!$P$37&amp;" Curncy",Main!$M$37)</f>
        <v>#N/A Invalid Security</v>
      </c>
      <c r="K68" t="str">
        <f>_xll.BDP(IF(Main!$D$7="AUD",AQ110,IF(Main!$D$7="NZD",AQ151,$E$1&amp;AQ68))&amp;" "&amp;Main!$P$37&amp;" Curncy",Main!$M$37)</f>
        <v>#N/A Invalid Security</v>
      </c>
      <c r="L68" t="str">
        <f>_xll.BDP(IF(Main!$D$7="AUD",AR110,IF(Main!$D$7="NZD",AR151,$E$1&amp;AR68))&amp;" "&amp;Main!$P$37&amp;" Curncy",Main!$M$37)</f>
        <v>#N/A Invalid Security</v>
      </c>
      <c r="M68" t="str">
        <f>_xll.BDP(IF(Main!$D$7="AUD",AS110,IF(Main!$D$7="NZD",AS151,$E$1&amp;AS68))&amp;" "&amp;Main!$P$37&amp;" Curncy",Main!$M$37)</f>
        <v>#N/A Invalid Security</v>
      </c>
      <c r="N68" t="str">
        <f>_xll.BDP(IF(Main!$D$7="AUD",AT110,IF(Main!$D$7="NZD",AT151,$E$1&amp;AT68))&amp;" "&amp;Main!$P$37&amp;" Curncy",Main!$M$37)</f>
        <v>#N/A Invalid Security</v>
      </c>
      <c r="O68" t="str">
        <f>_xll.BDP(IF(Main!$D$7="AUD",AU110,IF(Main!$D$7="NZD",AU151,$E$1&amp;AU68))&amp;" "&amp;Main!$P$37&amp;" Curncy",Main!$M$37)</f>
        <v>#N/A Invalid Security</v>
      </c>
      <c r="P68" t="str">
        <f>_xll.BDP(IF(Main!$D$7="AUD",AV110,IF(Main!$D$7="NZD",AV151,$E$1&amp;AV68))&amp;" "&amp;Main!$P$37&amp;" Curncy",Main!$M$37)</f>
        <v>#N/A Invalid Security</v>
      </c>
      <c r="Q68" t="str">
        <f>_xll.BDP(IF(Main!$D$7="AUD",AW110,IF(Main!$D$7="NZD",AW151,$E$1&amp;AW68))&amp;" "&amp;Main!$P$37&amp;" Curncy",Main!$M$37)</f>
        <v>#N/A Invalid Security</v>
      </c>
      <c r="R68" t="str">
        <f>_xll.BDP(IF(Main!$D$7="AUD",AX110,IF(Main!$D$7="NZD",AX151,$E$1&amp;AX68))&amp;" "&amp;Main!$P$37&amp;" Curncy",Main!$M$37)</f>
        <v>#N/A Invalid Security</v>
      </c>
      <c r="S68" t="str">
        <f>_xll.BDP(IF(Main!$D$7="AUD",AY110,IF(Main!$D$7="NZD",AY151,$E$1&amp;AY68))&amp;" "&amp;Main!$P$37&amp;" Curncy",Main!$M$37)</f>
        <v>#N/A Invalid Security</v>
      </c>
    </row>
    <row r="69" spans="2:66" x14ac:dyDescent="0.2">
      <c r="D69" s="5">
        <f>IF(Main!$D$7="AUD",AJ111,IF(Main!$D$7="NZD",AJ152,AJ69))</f>
        <v>0</v>
      </c>
      <c r="E69" t="str">
        <f>_xll.BDP(IF(Main!$D$7="AUD",AK111,IF(Main!$D$7="NZD",AK152,$E$1&amp;AK69))&amp;" "&amp;Main!$P$37&amp;" Curncy",Main!$M$37)</f>
        <v>#N/A Invalid Security</v>
      </c>
      <c r="F69" t="str">
        <f>_xll.BDP(IF(Main!$D$7="AUD",AL111,IF(Main!$D$7="NZD",AL152,$E$1&amp;AL69))&amp;" "&amp;Main!$P$37&amp;" Curncy",Main!$M$37)</f>
        <v>#N/A Invalid Security</v>
      </c>
      <c r="G69" t="str">
        <f>_xll.BDP(IF(Main!$D$7="AUD",AM111,IF(Main!$D$7="NZD",AM152,$E$1&amp;AM69))&amp;" "&amp;Main!$P$37&amp;" Curncy",Main!$M$37)</f>
        <v>#N/A Invalid Security</v>
      </c>
      <c r="H69" t="str">
        <f>_xll.BDP(IF(Main!$D$7="AUD",AN111,IF(Main!$D$7="NZD",AN152,$E$1&amp;AN69))&amp;" "&amp;Main!$P$37&amp;" Curncy",Main!$M$37)</f>
        <v>#N/A Invalid Security</v>
      </c>
      <c r="I69" t="str">
        <f>_xll.BDP(IF(Main!$D$7="AUD",AO111,IF(Main!$D$7="NZD",AO152,$E$1&amp;AO69))&amp;" "&amp;Main!$P$37&amp;" Curncy",Main!$M$37)</f>
        <v>#N/A Invalid Security</v>
      </c>
      <c r="J69" t="str">
        <f>_xll.BDP(IF(Main!$D$7="AUD",AP111,IF(Main!$D$7="NZD",AP152,$E$1&amp;AP69))&amp;" "&amp;Main!$P$37&amp;" Curncy",Main!$M$37)</f>
        <v>#N/A Invalid Security</v>
      </c>
      <c r="K69" t="str">
        <f>_xll.BDP(IF(Main!$D$7="AUD",AQ111,IF(Main!$D$7="NZD",AQ152,$E$1&amp;AQ69))&amp;" "&amp;Main!$P$37&amp;" Curncy",Main!$M$37)</f>
        <v>#N/A Invalid Security</v>
      </c>
      <c r="L69" t="str">
        <f>_xll.BDP(IF(Main!$D$7="AUD",AR111,IF(Main!$D$7="NZD",AR152,$E$1&amp;AR69))&amp;" "&amp;Main!$P$37&amp;" Curncy",Main!$M$37)</f>
        <v>#N/A Invalid Security</v>
      </c>
      <c r="M69" t="str">
        <f>_xll.BDP(IF(Main!$D$7="AUD",AS111,IF(Main!$D$7="NZD",AS152,$E$1&amp;AS69))&amp;" "&amp;Main!$P$37&amp;" Curncy",Main!$M$37)</f>
        <v>#N/A Invalid Security</v>
      </c>
      <c r="N69" t="str">
        <f>_xll.BDP(IF(Main!$D$7="AUD",AT111,IF(Main!$D$7="NZD",AT152,$E$1&amp;AT69))&amp;" "&amp;Main!$P$37&amp;" Curncy",Main!$M$37)</f>
        <v>#N/A Invalid Security</v>
      </c>
      <c r="O69" t="str">
        <f>_xll.BDP(IF(Main!$D$7="AUD",AU111,IF(Main!$D$7="NZD",AU152,$E$1&amp;AU69))&amp;" "&amp;Main!$P$37&amp;" Curncy",Main!$M$37)</f>
        <v>#N/A Invalid Security</v>
      </c>
      <c r="P69" t="str">
        <f>_xll.BDP(IF(Main!$D$7="AUD",AV111,IF(Main!$D$7="NZD",AV152,$E$1&amp;AV69))&amp;" "&amp;Main!$P$37&amp;" Curncy",Main!$M$37)</f>
        <v>#N/A Invalid Security</v>
      </c>
      <c r="Q69" t="str">
        <f>_xll.BDP(IF(Main!$D$7="AUD",AW111,IF(Main!$D$7="NZD",AW152,$E$1&amp;AW69))&amp;" "&amp;Main!$P$37&amp;" Curncy",Main!$M$37)</f>
        <v>#N/A Invalid Security</v>
      </c>
      <c r="R69" t="str">
        <f>_xll.BDP(IF(Main!$D$7="AUD",AX111,IF(Main!$D$7="NZD",AX152,$E$1&amp;AX69))&amp;" "&amp;Main!$P$37&amp;" Curncy",Main!$M$37)</f>
        <v>#N/A Invalid Security</v>
      </c>
      <c r="S69" t="str">
        <f>_xll.BDP(IF(Main!$D$7="AUD",AY111,IF(Main!$D$7="NZD",AY152,$E$1&amp;AY69))&amp;" "&amp;Main!$P$37&amp;" Curncy",Main!$M$37)</f>
        <v>#N/A Invalid Security</v>
      </c>
    </row>
    <row r="70" spans="2:66" x14ac:dyDescent="0.2">
      <c r="D70" s="5">
        <f>IF(Main!$D$7="AUD",AJ112,IF(Main!$D$7="NZD",AJ153,AJ70))</f>
        <v>0</v>
      </c>
      <c r="E70" t="str">
        <f>_xll.BDP(IF(Main!$D$7="AUD",AK112,IF(Main!$D$7="NZD",AK153,$E$1&amp;AK70))&amp;" "&amp;Main!$P$37&amp;" Curncy",Main!$M$37)</f>
        <v>#N/A Invalid Security</v>
      </c>
      <c r="F70" t="str">
        <f>_xll.BDP(IF(Main!$D$7="AUD",AL112,IF(Main!$D$7="NZD",AL153,$E$1&amp;AL70))&amp;" "&amp;Main!$P$37&amp;" Curncy",Main!$M$37)</f>
        <v>#N/A Invalid Security</v>
      </c>
      <c r="G70" t="str">
        <f>_xll.BDP(IF(Main!$D$7="AUD",AM112,IF(Main!$D$7="NZD",AM153,$E$1&amp;AM70))&amp;" "&amp;Main!$P$37&amp;" Curncy",Main!$M$37)</f>
        <v>#N/A Invalid Security</v>
      </c>
      <c r="H70" t="str">
        <f>_xll.BDP(IF(Main!$D$7="AUD",AN112,IF(Main!$D$7="NZD",AN153,$E$1&amp;AN70))&amp;" "&amp;Main!$P$37&amp;" Curncy",Main!$M$37)</f>
        <v>#N/A Invalid Security</v>
      </c>
      <c r="I70" t="str">
        <f>_xll.BDP(IF(Main!$D$7="AUD",AO112,IF(Main!$D$7="NZD",AO153,$E$1&amp;AO70))&amp;" "&amp;Main!$P$37&amp;" Curncy",Main!$M$37)</f>
        <v>#N/A Invalid Security</v>
      </c>
      <c r="J70" t="str">
        <f>_xll.BDP(IF(Main!$D$7="AUD",AP112,IF(Main!$D$7="NZD",AP153,$E$1&amp;AP70))&amp;" "&amp;Main!$P$37&amp;" Curncy",Main!$M$37)</f>
        <v>#N/A Invalid Security</v>
      </c>
      <c r="K70" t="str">
        <f>_xll.BDP(IF(Main!$D$7="AUD",AQ112,IF(Main!$D$7="NZD",AQ153,$E$1&amp;AQ70))&amp;" "&amp;Main!$P$37&amp;" Curncy",Main!$M$37)</f>
        <v>#N/A Invalid Security</v>
      </c>
      <c r="L70" t="str">
        <f>_xll.BDP(IF(Main!$D$7="AUD",AR112,IF(Main!$D$7="NZD",AR153,$E$1&amp;AR70))&amp;" "&amp;Main!$P$37&amp;" Curncy",Main!$M$37)</f>
        <v>#N/A Invalid Security</v>
      </c>
      <c r="M70" t="str">
        <f>_xll.BDP(IF(Main!$D$7="AUD",AS112,IF(Main!$D$7="NZD",AS153,$E$1&amp;AS70))&amp;" "&amp;Main!$P$37&amp;" Curncy",Main!$M$37)</f>
        <v>#N/A Invalid Security</v>
      </c>
      <c r="N70" t="str">
        <f>_xll.BDP(IF(Main!$D$7="AUD",AT112,IF(Main!$D$7="NZD",AT153,$E$1&amp;AT70))&amp;" "&amp;Main!$P$37&amp;" Curncy",Main!$M$37)</f>
        <v>#N/A Invalid Security</v>
      </c>
      <c r="O70" t="str">
        <f>_xll.BDP(IF(Main!$D$7="AUD",AU112,IF(Main!$D$7="NZD",AU153,$E$1&amp;AU70))&amp;" "&amp;Main!$P$37&amp;" Curncy",Main!$M$37)</f>
        <v>#N/A Invalid Security</v>
      </c>
      <c r="P70" t="str">
        <f>_xll.BDP(IF(Main!$D$7="AUD",AV112,IF(Main!$D$7="NZD",AV153,$E$1&amp;AV70))&amp;" "&amp;Main!$P$37&amp;" Curncy",Main!$M$37)</f>
        <v>#N/A Invalid Security</v>
      </c>
      <c r="Q70" t="str">
        <f>_xll.BDP(IF(Main!$D$7="AUD",AW112,IF(Main!$D$7="NZD",AW153,$E$1&amp;AW70))&amp;" "&amp;Main!$P$37&amp;" Curncy",Main!$M$37)</f>
        <v>#N/A Invalid Security</v>
      </c>
      <c r="R70" t="str">
        <f>_xll.BDP(IF(Main!$D$7="AUD",AX112,IF(Main!$D$7="NZD",AX153,$E$1&amp;AX70))&amp;" "&amp;Main!$P$37&amp;" Curncy",Main!$M$37)</f>
        <v>#N/A Invalid Security</v>
      </c>
      <c r="S70" t="str">
        <f>_xll.BDP(IF(Main!$D$7="AUD",AY112,IF(Main!$D$7="NZD",AY153,$E$1&amp;AY70))&amp;" "&amp;Main!$P$37&amp;" Curncy",Main!$M$37)</f>
        <v>#N/A Invalid Security</v>
      </c>
    </row>
    <row r="74" spans="2:66" x14ac:dyDescent="0.2">
      <c r="AJ74" t="s">
        <v>38</v>
      </c>
      <c r="AK74" t="s">
        <v>24</v>
      </c>
    </row>
    <row r="75" spans="2:66" x14ac:dyDescent="0.2">
      <c r="E75" t="str">
        <f>IF(OR(Main!$D$7="AUD",Main!$D$7="NZD"),U96,U75)</f>
        <v>1 YR</v>
      </c>
      <c r="F75" t="str">
        <f>IF(OR(Main!$D$7="AUD",Main!$D$7="NZD"),V96,V75)</f>
        <v>2 YR</v>
      </c>
      <c r="G75" t="str">
        <f>IF(OR(Main!$D$7="AUD",Main!$D$7="NZD"),W96,W75)</f>
        <v>3 YR</v>
      </c>
      <c r="H75" t="str">
        <f>IF(OR(Main!$D$7="AUD",Main!$D$7="NZD"),X96,X75)</f>
        <v>4 YR</v>
      </c>
      <c r="I75" t="str">
        <f>IF(OR(Main!$D$7="AUD",Main!$D$7="NZD"),Y96,Y75)</f>
        <v>5 YR</v>
      </c>
      <c r="J75" t="str">
        <f>IF(OR(Main!$D$7="AUD",Main!$D$7="NZD"),Z96,Z75)</f>
        <v>6 YR</v>
      </c>
      <c r="K75" t="str">
        <f>IF(OR(Main!$D$7="AUD",Main!$D$7="NZD"),AA96,AA75)</f>
        <v>7 YR</v>
      </c>
      <c r="L75" t="str">
        <f>IF(OR(Main!$D$7="AUD",Main!$D$7="NZD"),AB96,AB75)</f>
        <v>8 YR</v>
      </c>
      <c r="M75" t="str">
        <f>IF(OR(Main!$D$7="AUD",Main!$D$7="NZD"),AC96,AC75)</f>
        <v>9 YR</v>
      </c>
      <c r="N75" t="str">
        <f>IF(OR(Main!$D$7="AUD",Main!$D$7="NZD"),AD96,AD75)</f>
        <v>10 YR</v>
      </c>
      <c r="O75" t="str">
        <f>IF(OR(Main!$D$7="AUD",Main!$D$7="NZD"),AE96,AE75)</f>
        <v>15 YR</v>
      </c>
      <c r="P75" t="str">
        <f>IF(OR(Main!$D$7="AUD",Main!$D$7="NZD"),AF96,AF75)</f>
        <v>20 YR</v>
      </c>
      <c r="Q75" t="str">
        <f>IF(OR(Main!$D$7="AUD",Main!$D$7="NZD"),AG96,AG75)</f>
        <v>25 YR</v>
      </c>
      <c r="R75" t="str">
        <f>IF(OR(Main!$D$7="AUD",Main!$D$7="NZD"),AH96,AH75)</f>
        <v>30 YR</v>
      </c>
      <c r="U75" t="s">
        <v>41</v>
      </c>
      <c r="V75" t="s">
        <v>42</v>
      </c>
      <c r="W75" t="s">
        <v>43</v>
      </c>
      <c r="X75" t="s">
        <v>44</v>
      </c>
      <c r="Y75" t="s">
        <v>45</v>
      </c>
      <c r="Z75" t="s">
        <v>46</v>
      </c>
      <c r="AA75" t="s">
        <v>47</v>
      </c>
      <c r="AB75" t="s">
        <v>48</v>
      </c>
      <c r="AC75" t="s">
        <v>49</v>
      </c>
      <c r="AD75" t="s">
        <v>50</v>
      </c>
      <c r="AE75" t="s">
        <v>52</v>
      </c>
      <c r="AF75" t="s">
        <v>53</v>
      </c>
      <c r="AG75" t="s">
        <v>297</v>
      </c>
      <c r="AH75" t="s">
        <v>318</v>
      </c>
      <c r="AJ75" t="s">
        <v>39</v>
      </c>
      <c r="AK75" t="s">
        <v>40</v>
      </c>
      <c r="AL75" s="1">
        <v>0.01</v>
      </c>
      <c r="AM75" s="1">
        <v>1.4999999999999999E-2</v>
      </c>
      <c r="AN75" s="1">
        <v>0.02</v>
      </c>
      <c r="AO75" s="1">
        <v>2.5000000000000001E-2</v>
      </c>
      <c r="AP75" s="1">
        <v>0.03</v>
      </c>
      <c r="AQ75" s="1">
        <v>3.5000000000000003E-2</v>
      </c>
      <c r="AR75" s="1">
        <v>0.04</v>
      </c>
      <c r="AS75" s="1">
        <v>4.4999999999999998E-2</v>
      </c>
      <c r="AT75" s="1">
        <v>0.05</v>
      </c>
      <c r="AU75" s="1">
        <v>5.5E-2</v>
      </c>
      <c r="AV75" s="1">
        <v>0.06</v>
      </c>
      <c r="AW75" s="1">
        <v>6.5000000000000002E-2</v>
      </c>
      <c r="AX75" s="1">
        <v>7.0000000000000007E-2</v>
      </c>
      <c r="AY75" s="1">
        <v>7.4999999999999997E-2</v>
      </c>
      <c r="AZ75" s="1">
        <v>0.08</v>
      </c>
      <c r="BA75" s="1">
        <v>8.5000000000000006E-2</v>
      </c>
      <c r="BB75" s="1">
        <v>0.09</v>
      </c>
      <c r="BC75" s="1">
        <v>9.5000000000000001E-2</v>
      </c>
      <c r="BD75" s="1">
        <v>0.1</v>
      </c>
      <c r="BE75" s="1">
        <v>0.105</v>
      </c>
      <c r="BF75" s="1">
        <v>0.11</v>
      </c>
      <c r="BG75" s="1">
        <v>0.115</v>
      </c>
      <c r="BH75" s="1">
        <v>0.12</v>
      </c>
      <c r="BI75" s="1">
        <v>0.125</v>
      </c>
      <c r="BJ75" s="1">
        <v>0.13</v>
      </c>
      <c r="BK75" s="1">
        <v>0.13500000000000001</v>
      </c>
      <c r="BL75" s="1">
        <v>0.14000000000000001</v>
      </c>
      <c r="BM75" s="1">
        <v>0.14499999999999999</v>
      </c>
      <c r="BN75" s="1">
        <v>0.15</v>
      </c>
    </row>
    <row r="76" spans="2:66" x14ac:dyDescent="0.2">
      <c r="B76" t="s">
        <v>29</v>
      </c>
      <c r="D76" t="str">
        <f>IF(OR(Main!$D$7="AUD",Main!$D$7="NZD"),T97,T76)</f>
        <v>1 MO</v>
      </c>
      <c r="E76">
        <f>_xll.BDP($E$1&amp;IF(OR(Main!$D$7="AUD",Main!$D$7="NZD"),U97,U76)&amp;" "&amp;Main!$Q$79&amp;" Curncy",Main!$T$79)</f>
        <v>8</v>
      </c>
      <c r="F76">
        <f>_xll.BDP($E$1&amp;IF(OR(Main!$D$7="AUD",Main!$D$7="NZD"),V97,V76)&amp;" "&amp;Main!$Q$79&amp;" Curncy",Main!$T$79)</f>
        <v>20.399999999999999</v>
      </c>
      <c r="G76">
        <f>_xll.BDP($E$1&amp;IF(OR(Main!$D$7="AUD",Main!$D$7="NZD"),W97,W76)&amp;" "&amp;Main!$Q$79&amp;" Curncy",Main!$T$79)</f>
        <v>34.5</v>
      </c>
      <c r="H76">
        <f>_xll.BDP($E$1&amp;IF(OR(Main!$D$7="AUD",Main!$D$7="NZD"),X97,X76)&amp;" "&amp;Main!$Q$79&amp;" Curncy",Main!$T$79)</f>
        <v>49.6</v>
      </c>
      <c r="I76">
        <f>_xll.BDP($E$1&amp;IF(OR(Main!$D$7="AUD",Main!$D$7="NZD"),Y97,Y76)&amp;" "&amp;Main!$Q$79&amp;" Curncy",Main!$T$79)</f>
        <v>66</v>
      </c>
      <c r="J76">
        <f>_xll.BDP($E$1&amp;IF(OR(Main!$D$7="AUD",Main!$D$7="NZD"),Z97,Z76)&amp;" "&amp;Main!$Q$79&amp;" Curncy",Main!$T$79)</f>
        <v>80.400000000000006</v>
      </c>
      <c r="K76">
        <f>_xll.BDP($E$1&amp;IF(OR(Main!$D$7="AUD",Main!$D$7="NZD"),AA97,AA76)&amp;" "&amp;Main!$Q$79&amp;" Curncy",Main!$T$79)</f>
        <v>96.5</v>
      </c>
      <c r="L76">
        <f>_xll.BDP($E$1&amp;IF(OR(Main!$D$7="AUD",Main!$D$7="NZD"),AB97,AB76)&amp;" "&amp;Main!$Q$79&amp;" Curncy",Main!$T$79)</f>
        <v>110</v>
      </c>
      <c r="M76">
        <f>_xll.BDP($E$1&amp;IF(OR(Main!$D$7="AUD",Main!$D$7="NZD"),AC97,AC76)&amp;" "&amp;Main!$Q$79&amp;" Curncy",Main!$T$79)</f>
        <v>125</v>
      </c>
      <c r="N76">
        <f>_xll.BDP($E$1&amp;IF(OR(Main!$D$7="AUD",Main!$D$7="NZD"),AD97,AD76)&amp;" "&amp;Main!$Q$79&amp;" Curncy",Main!$T$79)</f>
        <v>141</v>
      </c>
      <c r="O76">
        <f>_xll.BDP($E$1&amp;IF(OR(Main!$D$7="AUD",Main!$D$7="NZD"),AE97,AE76)&amp;" "&amp;Main!$Q$79&amp;" Curncy",Main!$T$79)</f>
        <v>207</v>
      </c>
      <c r="P76">
        <f>_xll.BDP($E$1&amp;IF(OR(Main!$D$7="AUD",Main!$D$7="NZD"),AF97,AF76)&amp;" "&amp;Main!$Q$79&amp;" Curncy",Main!$T$79)</f>
        <v>270</v>
      </c>
      <c r="Q76">
        <f>_xll.BDP($E$1&amp;IF(OR(Main!$D$7="AUD",Main!$D$7="NZD"),AG97,AG76)&amp;" "&amp;Main!$Q$79&amp;" Curncy",Main!$T$79)</f>
        <v>328</v>
      </c>
      <c r="R76">
        <f>_xll.BDP($E$1&amp;IF(OR(Main!$D$7="AUD",Main!$D$7="NZD"),AH97,AH76)&amp;" "&amp;Main!$Q$79&amp;" Curncy",Main!$T$79)</f>
        <v>382</v>
      </c>
      <c r="T76" t="s">
        <v>54</v>
      </c>
      <c r="U76" t="s">
        <v>2088</v>
      </c>
      <c r="V76" t="s">
        <v>2089</v>
      </c>
      <c r="W76" t="s">
        <v>2090</v>
      </c>
      <c r="X76" t="s">
        <v>2091</v>
      </c>
      <c r="Y76" t="s">
        <v>2092</v>
      </c>
      <c r="Z76" t="s">
        <v>2093</v>
      </c>
      <c r="AA76" t="s">
        <v>2094</v>
      </c>
      <c r="AB76" t="s">
        <v>2095</v>
      </c>
      <c r="AC76" t="s">
        <v>2096</v>
      </c>
      <c r="AD76" t="s">
        <v>2097</v>
      </c>
      <c r="AE76" t="s">
        <v>2098</v>
      </c>
      <c r="AF76" t="s">
        <v>2099</v>
      </c>
      <c r="AG76" t="s">
        <v>2100</v>
      </c>
      <c r="AH76" t="s">
        <v>2101</v>
      </c>
      <c r="AJ76" t="s">
        <v>41</v>
      </c>
      <c r="AK76" t="s">
        <v>625</v>
      </c>
      <c r="AL76" t="s">
        <v>626</v>
      </c>
      <c r="AM76" t="s">
        <v>627</v>
      </c>
      <c r="AN76" t="s">
        <v>628</v>
      </c>
      <c r="AO76" t="s">
        <v>629</v>
      </c>
      <c r="AP76" t="s">
        <v>630</v>
      </c>
      <c r="AQ76" t="s">
        <v>631</v>
      </c>
      <c r="AR76" t="s">
        <v>632</v>
      </c>
      <c r="AS76" t="s">
        <v>633</v>
      </c>
      <c r="AT76" t="s">
        <v>634</v>
      </c>
      <c r="AU76" t="s">
        <v>635</v>
      </c>
      <c r="AV76" t="s">
        <v>636</v>
      </c>
      <c r="AW76" t="s">
        <v>637</v>
      </c>
      <c r="AX76" t="s">
        <v>638</v>
      </c>
      <c r="AY76" t="s">
        <v>639</v>
      </c>
      <c r="AZ76" t="s">
        <v>640</v>
      </c>
      <c r="BA76" t="s">
        <v>641</v>
      </c>
      <c r="BB76" t="s">
        <v>642</v>
      </c>
      <c r="BC76" t="s">
        <v>643</v>
      </c>
      <c r="BD76" t="s">
        <v>644</v>
      </c>
      <c r="BE76" t="s">
        <v>645</v>
      </c>
      <c r="BF76" t="s">
        <v>646</v>
      </c>
      <c r="BG76" t="s">
        <v>647</v>
      </c>
      <c r="BH76" t="s">
        <v>648</v>
      </c>
      <c r="BI76" t="s">
        <v>649</v>
      </c>
      <c r="BJ76" t="s">
        <v>650</v>
      </c>
      <c r="BK76" t="s">
        <v>651</v>
      </c>
      <c r="BL76" t="s">
        <v>652</v>
      </c>
      <c r="BM76" t="s">
        <v>653</v>
      </c>
      <c r="BN76" t="s">
        <v>654</v>
      </c>
    </row>
    <row r="77" spans="2:66" x14ac:dyDescent="0.2">
      <c r="B77" t="s">
        <v>2044</v>
      </c>
      <c r="D77" t="str">
        <f>IF(OR(Main!$D$7="AUD",Main!$D$7="NZD"),T98,T77)</f>
        <v>2 MO</v>
      </c>
      <c r="E77" t="str">
        <f>_xll.BDP($E$1&amp;IF(OR(Main!$D$7="AUD",Main!$D$7="NZD"),U98,U77)&amp;" "&amp;Main!$Q$79&amp;" Curncy",Main!$T$79)</f>
        <v>#N/A N/A</v>
      </c>
      <c r="F77" t="str">
        <f>_xll.BDP($E$1&amp;IF(OR(Main!$D$7="AUD",Main!$D$7="NZD"),V98,V77)&amp;" "&amp;Main!$Q$79&amp;" Curncy",Main!$T$79)</f>
        <v>#N/A N/A</v>
      </c>
      <c r="G77" t="str">
        <f>_xll.BDP($E$1&amp;IF(OR(Main!$D$7="AUD",Main!$D$7="NZD"),W98,W77)&amp;" "&amp;Main!$Q$79&amp;" Curncy",Main!$T$79)</f>
        <v>#N/A N/A</v>
      </c>
      <c r="H77" t="str">
        <f>_xll.BDP($E$1&amp;IF(OR(Main!$D$7="AUD",Main!$D$7="NZD"),X98,X77)&amp;" "&amp;Main!$Q$79&amp;" Curncy",Main!$T$79)</f>
        <v>#N/A N/A</v>
      </c>
      <c r="I77" t="str">
        <f>_xll.BDP($E$1&amp;IF(OR(Main!$D$7="AUD",Main!$D$7="NZD"),Y98,Y77)&amp;" "&amp;Main!$Q$79&amp;" Curncy",Main!$T$79)</f>
        <v>#N/A N/A</v>
      </c>
      <c r="J77" t="str">
        <f>_xll.BDP($E$1&amp;IF(OR(Main!$D$7="AUD",Main!$D$7="NZD"),Z98,Z77)&amp;" "&amp;Main!$Q$79&amp;" Curncy",Main!$T$79)</f>
        <v>#N/A N/A</v>
      </c>
      <c r="K77" t="str">
        <f>_xll.BDP($E$1&amp;IF(OR(Main!$D$7="AUD",Main!$D$7="NZD"),AA98,AA77)&amp;" "&amp;Main!$Q$79&amp;" Curncy",Main!$T$79)</f>
        <v>#N/A N/A</v>
      </c>
      <c r="L77" t="str">
        <f>_xll.BDP($E$1&amp;IF(OR(Main!$D$7="AUD",Main!$D$7="NZD"),AB98,AB77)&amp;" "&amp;Main!$Q$79&amp;" Curncy",Main!$T$79)</f>
        <v>#N/A N/A</v>
      </c>
      <c r="M77" t="str">
        <f>_xll.BDP($E$1&amp;IF(OR(Main!$D$7="AUD",Main!$D$7="NZD"),AC98,AC77)&amp;" "&amp;Main!$Q$79&amp;" Curncy",Main!$T$79)</f>
        <v>#N/A N/A</v>
      </c>
      <c r="N77" t="str">
        <f>_xll.BDP($E$1&amp;IF(OR(Main!$D$7="AUD",Main!$D$7="NZD"),AD98,AD77)&amp;" "&amp;Main!$Q$79&amp;" Curncy",Main!$T$79)</f>
        <v>#N/A N/A</v>
      </c>
      <c r="O77" t="str">
        <f>_xll.BDP($E$1&amp;IF(OR(Main!$D$7="AUD",Main!$D$7="NZD"),AE98,AE77)&amp;" "&amp;Main!$Q$79&amp;" Curncy",Main!$T$79)</f>
        <v>#N/A N/A</v>
      </c>
      <c r="P77" t="str">
        <f>_xll.BDP($E$1&amp;IF(OR(Main!$D$7="AUD",Main!$D$7="NZD"),AF98,AF77)&amp;" "&amp;Main!$Q$79&amp;" Curncy",Main!$T$79)</f>
        <v>#N/A N/A</v>
      </c>
      <c r="Q77" t="str">
        <f>_xll.BDP($E$1&amp;IF(OR(Main!$D$7="AUD",Main!$D$7="NZD"),AG98,AG77)&amp;" "&amp;Main!$Q$79&amp;" Curncy",Main!$T$79)</f>
        <v>#N/A N/A</v>
      </c>
      <c r="R77" t="str">
        <f>_xll.BDP($E$1&amp;IF(OR(Main!$D$7="AUD",Main!$D$7="NZD"),AH98,AH77)&amp;" "&amp;Main!$Q$79&amp;" Curncy",Main!$T$79)</f>
        <v>#N/A N/A</v>
      </c>
      <c r="T77" t="s">
        <v>2087</v>
      </c>
      <c r="U77" t="s">
        <v>2102</v>
      </c>
      <c r="V77" t="s">
        <v>2103</v>
      </c>
      <c r="W77" t="s">
        <v>2104</v>
      </c>
      <c r="X77" t="s">
        <v>2105</v>
      </c>
      <c r="Y77" t="s">
        <v>2106</v>
      </c>
      <c r="Z77" t="s">
        <v>2107</v>
      </c>
      <c r="AA77" t="s">
        <v>2108</v>
      </c>
      <c r="AB77" t="s">
        <v>2109</v>
      </c>
      <c r="AC77" t="s">
        <v>2110</v>
      </c>
      <c r="AD77" t="s">
        <v>2111</v>
      </c>
      <c r="AE77" t="s">
        <v>2112</v>
      </c>
      <c r="AF77" t="s">
        <v>2113</v>
      </c>
      <c r="AG77" t="s">
        <v>2114</v>
      </c>
      <c r="AH77" t="s">
        <v>2115</v>
      </c>
      <c r="AJ77" t="s">
        <v>42</v>
      </c>
      <c r="AK77" t="s">
        <v>655</v>
      </c>
      <c r="AL77" t="s">
        <v>656</v>
      </c>
      <c r="AM77" t="s">
        <v>657</v>
      </c>
      <c r="AN77" t="s">
        <v>658</v>
      </c>
      <c r="AO77" t="s">
        <v>659</v>
      </c>
      <c r="AP77" t="s">
        <v>660</v>
      </c>
      <c r="AQ77" t="s">
        <v>661</v>
      </c>
      <c r="AR77" t="s">
        <v>662</v>
      </c>
      <c r="AS77" t="s">
        <v>663</v>
      </c>
      <c r="AT77" t="s">
        <v>664</v>
      </c>
      <c r="AU77" t="s">
        <v>665</v>
      </c>
      <c r="AV77" t="s">
        <v>666</v>
      </c>
      <c r="AW77" t="s">
        <v>667</v>
      </c>
      <c r="AX77" t="s">
        <v>668</v>
      </c>
      <c r="AY77" t="s">
        <v>669</v>
      </c>
      <c r="AZ77" t="s">
        <v>670</v>
      </c>
      <c r="BA77" t="s">
        <v>671</v>
      </c>
      <c r="BB77" t="s">
        <v>672</v>
      </c>
      <c r="BC77" t="s">
        <v>673</v>
      </c>
      <c r="BD77" t="s">
        <v>674</v>
      </c>
      <c r="BE77" t="s">
        <v>675</v>
      </c>
      <c r="BF77" t="s">
        <v>676</v>
      </c>
      <c r="BG77" t="s">
        <v>677</v>
      </c>
      <c r="BH77" t="s">
        <v>678</v>
      </c>
      <c r="BI77" t="s">
        <v>679</v>
      </c>
      <c r="BJ77" t="s">
        <v>680</v>
      </c>
      <c r="BK77" t="s">
        <v>681</v>
      </c>
      <c r="BL77" t="s">
        <v>682</v>
      </c>
      <c r="BM77" t="s">
        <v>683</v>
      </c>
      <c r="BN77" t="s">
        <v>684</v>
      </c>
    </row>
    <row r="78" spans="2:66" x14ac:dyDescent="0.2">
      <c r="B78" t="s">
        <v>2083</v>
      </c>
      <c r="D78" t="str">
        <f>IF(OR(Main!$D$7="AUD",Main!$D$7="NZD"),T99,T78)</f>
        <v>3 MO</v>
      </c>
      <c r="E78">
        <f>_xll.BDP($E$1&amp;IF(OR(Main!$D$7="AUD",Main!$D$7="NZD"),U99,U78)&amp;" "&amp;Main!$Q$79&amp;" Curncy",Main!$T$79)</f>
        <v>15.3</v>
      </c>
      <c r="F78">
        <f>_xll.BDP($E$1&amp;IF(OR(Main!$D$7="AUD",Main!$D$7="NZD"),V99,V78)&amp;" "&amp;Main!$Q$79&amp;" Curncy",Main!$T$79)</f>
        <v>38.9</v>
      </c>
      <c r="G78">
        <f>_xll.BDP($E$1&amp;IF(OR(Main!$D$7="AUD",Main!$D$7="NZD"),W99,W78)&amp;" "&amp;Main!$Q$79&amp;" Curncy",Main!$T$79)</f>
        <v>67.900000000000006</v>
      </c>
      <c r="H78">
        <f>_xll.BDP($E$1&amp;IF(OR(Main!$D$7="AUD",Main!$D$7="NZD"),X99,X78)&amp;" "&amp;Main!$Q$79&amp;" Curncy",Main!$T$79)</f>
        <v>96</v>
      </c>
      <c r="I78">
        <f>_xll.BDP($E$1&amp;IF(OR(Main!$D$7="AUD",Main!$D$7="NZD"),Y99,Y78)&amp;" "&amp;Main!$Q$79&amp;" Curncy",Main!$T$79)</f>
        <v>126</v>
      </c>
      <c r="J78">
        <f>_xll.BDP($E$1&amp;IF(OR(Main!$D$7="AUD",Main!$D$7="NZD"),Z99,Z78)&amp;" "&amp;Main!$Q$79&amp;" Curncy",Main!$T$79)</f>
        <v>153</v>
      </c>
      <c r="K78">
        <f>_xll.BDP($E$1&amp;IF(OR(Main!$D$7="AUD",Main!$D$7="NZD"),AA99,AA78)&amp;" "&amp;Main!$Q$79&amp;" Curncy",Main!$T$79)</f>
        <v>182</v>
      </c>
      <c r="L78">
        <f>_xll.BDP($E$1&amp;IF(OR(Main!$D$7="AUD",Main!$D$7="NZD"),AB99,AB78)&amp;" "&amp;Main!$Q$79&amp;" Curncy",Main!$T$79)</f>
        <v>209</v>
      </c>
      <c r="M78">
        <f>_xll.BDP($E$1&amp;IF(OR(Main!$D$7="AUD",Main!$D$7="NZD"),AC99,AC78)&amp;" "&amp;Main!$Q$79&amp;" Curncy",Main!$T$79)</f>
        <v>237</v>
      </c>
      <c r="N78">
        <f>_xll.BDP($E$1&amp;IF(OR(Main!$D$7="AUD",Main!$D$7="NZD"),AD99,AD78)&amp;" "&amp;Main!$Q$79&amp;" Curncy",Main!$T$79)</f>
        <v>264</v>
      </c>
      <c r="O78">
        <f>_xll.BDP($E$1&amp;IF(OR(Main!$D$7="AUD",Main!$D$7="NZD"),AE99,AE78)&amp;" "&amp;Main!$Q$79&amp;" Curncy",Main!$T$79)</f>
        <v>384</v>
      </c>
      <c r="P78">
        <f>_xll.BDP($E$1&amp;IF(OR(Main!$D$7="AUD",Main!$D$7="NZD"),AF99,AF78)&amp;" "&amp;Main!$Q$79&amp;" Curncy",Main!$T$79)</f>
        <v>496</v>
      </c>
      <c r="Q78">
        <f>_xll.BDP($E$1&amp;IF(OR(Main!$D$7="AUD",Main!$D$7="NZD"),AG99,AG78)&amp;" "&amp;Main!$Q$79&amp;" Curncy",Main!$T$79)</f>
        <v>602</v>
      </c>
      <c r="R78">
        <f>_xll.BDP($E$1&amp;IF(OR(Main!$D$7="AUD",Main!$D$7="NZD"),AH99,AH78)&amp;" "&amp;Main!$Q$79&amp;" Curncy",Main!$T$79)</f>
        <v>698</v>
      </c>
      <c r="T78" t="s">
        <v>55</v>
      </c>
      <c r="U78" t="s">
        <v>2116</v>
      </c>
      <c r="V78" t="s">
        <v>2117</v>
      </c>
      <c r="W78" t="s">
        <v>2118</v>
      </c>
      <c r="X78" t="s">
        <v>2119</v>
      </c>
      <c r="Y78" t="s">
        <v>2120</v>
      </c>
      <c r="Z78" t="s">
        <v>2121</v>
      </c>
      <c r="AA78" t="s">
        <v>2122</v>
      </c>
      <c r="AB78" t="s">
        <v>2123</v>
      </c>
      <c r="AC78" t="s">
        <v>2124</v>
      </c>
      <c r="AD78" t="s">
        <v>2125</v>
      </c>
      <c r="AE78" t="s">
        <v>2126</v>
      </c>
      <c r="AF78" t="s">
        <v>2127</v>
      </c>
      <c r="AG78" t="s">
        <v>2128</v>
      </c>
      <c r="AH78" t="s">
        <v>2129</v>
      </c>
      <c r="AJ78" t="s">
        <v>43</v>
      </c>
      <c r="AK78" t="s">
        <v>685</v>
      </c>
      <c r="AL78" t="s">
        <v>686</v>
      </c>
      <c r="AM78" t="s">
        <v>687</v>
      </c>
      <c r="AN78" t="s">
        <v>688</v>
      </c>
      <c r="AO78" t="s">
        <v>689</v>
      </c>
      <c r="AP78" t="s">
        <v>690</v>
      </c>
      <c r="AQ78" t="s">
        <v>691</v>
      </c>
      <c r="AR78" t="s">
        <v>692</v>
      </c>
      <c r="AS78" t="s">
        <v>693</v>
      </c>
      <c r="AT78" t="s">
        <v>694</v>
      </c>
      <c r="AU78" t="s">
        <v>695</v>
      </c>
      <c r="AV78" t="s">
        <v>696</v>
      </c>
      <c r="AW78" t="s">
        <v>697</v>
      </c>
      <c r="AX78" t="s">
        <v>698</v>
      </c>
      <c r="AY78" t="s">
        <v>699</v>
      </c>
      <c r="AZ78" t="s">
        <v>700</v>
      </c>
      <c r="BA78" t="s">
        <v>701</v>
      </c>
      <c r="BB78" t="s">
        <v>702</v>
      </c>
      <c r="BC78" t="s">
        <v>703</v>
      </c>
      <c r="BD78" t="s">
        <v>704</v>
      </c>
      <c r="BE78" t="s">
        <v>705</v>
      </c>
      <c r="BF78" t="s">
        <v>706</v>
      </c>
      <c r="BG78" t="s">
        <v>707</v>
      </c>
      <c r="BH78" t="s">
        <v>708</v>
      </c>
      <c r="BI78" t="s">
        <v>709</v>
      </c>
      <c r="BJ78" t="s">
        <v>710</v>
      </c>
      <c r="BK78" t="s">
        <v>711</v>
      </c>
      <c r="BL78" t="s">
        <v>712</v>
      </c>
      <c r="BM78" t="s">
        <v>713</v>
      </c>
      <c r="BN78" t="s">
        <v>714</v>
      </c>
    </row>
    <row r="79" spans="2:66" x14ac:dyDescent="0.2">
      <c r="B79" t="s">
        <v>30</v>
      </c>
      <c r="D79" t="str">
        <f>IF(OR(Main!$D$7="AUD",Main!$D$7="NZD"),T100,T79)</f>
        <v>6 MO</v>
      </c>
      <c r="E79">
        <f>_xll.BDP($E$1&amp;IF(OR(Main!$D$7="AUD",Main!$D$7="NZD"),U100,U79)&amp;" "&amp;Main!$Q$79&amp;" Curncy",Main!$T$79)</f>
        <v>24.5</v>
      </c>
      <c r="F79">
        <f>_xll.BDP($E$1&amp;IF(OR(Main!$D$7="AUD",Main!$D$7="NZD"),V100,V79)&amp;" "&amp;Main!$Q$79&amp;" Curncy",Main!$T$79)</f>
        <v>58.5</v>
      </c>
      <c r="G79">
        <f>_xll.BDP($E$1&amp;IF(OR(Main!$D$7="AUD",Main!$D$7="NZD"),W100,W79)&amp;" "&amp;Main!$Q$79&amp;" Curncy",Main!$T$79)</f>
        <v>101</v>
      </c>
      <c r="H79">
        <f>_xll.BDP($E$1&amp;IF(OR(Main!$D$7="AUD",Main!$D$7="NZD"),X100,X79)&amp;" "&amp;Main!$Q$79&amp;" Curncy",Main!$T$79)</f>
        <v>143</v>
      </c>
      <c r="I79">
        <f>_xll.BDP($E$1&amp;IF(OR(Main!$D$7="AUD",Main!$D$7="NZD"),Y100,Y79)&amp;" "&amp;Main!$Q$79&amp;" Curncy",Main!$T$79)</f>
        <v>185</v>
      </c>
      <c r="J79">
        <f>_xll.BDP($E$1&amp;IF(OR(Main!$D$7="AUD",Main!$D$7="NZD"),Z100,Z79)&amp;" "&amp;Main!$Q$79&amp;" Curncy",Main!$T$79)</f>
        <v>225</v>
      </c>
      <c r="K79">
        <f>_xll.BDP($E$1&amp;IF(OR(Main!$D$7="AUD",Main!$D$7="NZD"),AA100,AA79)&amp;" "&amp;Main!$Q$79&amp;" Curncy",Main!$T$79)</f>
        <v>266</v>
      </c>
      <c r="L79">
        <f>_xll.BDP($E$1&amp;IF(OR(Main!$D$7="AUD",Main!$D$7="NZD"),AB100,AB79)&amp;" "&amp;Main!$Q$79&amp;" Curncy",Main!$T$79)</f>
        <v>305</v>
      </c>
      <c r="M79">
        <f>_xll.BDP($E$1&amp;IF(OR(Main!$D$7="AUD",Main!$D$7="NZD"),AC100,AC79)&amp;" "&amp;Main!$Q$79&amp;" Curncy",Main!$T$79)</f>
        <v>345</v>
      </c>
      <c r="N79">
        <f>_xll.BDP($E$1&amp;IF(OR(Main!$D$7="AUD",Main!$D$7="NZD"),AD100,AD79)&amp;" "&amp;Main!$Q$79&amp;" Curncy",Main!$T$79)</f>
        <v>384</v>
      </c>
      <c r="O79">
        <f>_xll.BDP($E$1&amp;IF(OR(Main!$D$7="AUD",Main!$D$7="NZD"),AE100,AE79)&amp;" "&amp;Main!$Q$79&amp;" Curncy",Main!$T$79)</f>
        <v>557</v>
      </c>
      <c r="P79">
        <f>_xll.BDP($E$1&amp;IF(OR(Main!$D$7="AUD",Main!$D$7="NZD"),AF100,AF79)&amp;" "&amp;Main!$Q$79&amp;" Curncy",Main!$T$79)</f>
        <v>718</v>
      </c>
      <c r="Q79">
        <f>_xll.BDP($E$1&amp;IF(OR(Main!$D$7="AUD",Main!$D$7="NZD"),AG100,AG79)&amp;" "&amp;Main!$Q$79&amp;" Curncy",Main!$T$79)</f>
        <v>865</v>
      </c>
      <c r="R79">
        <f>_xll.BDP($E$1&amp;IF(OR(Main!$D$7="AUD",Main!$D$7="NZD"),AH100,AH79)&amp;" "&amp;Main!$Q$79&amp;" Curncy",Main!$T$79)</f>
        <v>1000</v>
      </c>
      <c r="T79" t="s">
        <v>56</v>
      </c>
      <c r="U79" t="s">
        <v>2130</v>
      </c>
      <c r="V79" t="s">
        <v>2131</v>
      </c>
      <c r="W79" t="s">
        <v>2132</v>
      </c>
      <c r="X79" t="s">
        <v>2133</v>
      </c>
      <c r="Y79" t="s">
        <v>2134</v>
      </c>
      <c r="Z79" t="s">
        <v>2135</v>
      </c>
      <c r="AA79" t="s">
        <v>2136</v>
      </c>
      <c r="AB79" t="s">
        <v>2137</v>
      </c>
      <c r="AC79" t="s">
        <v>2138</v>
      </c>
      <c r="AD79" t="s">
        <v>2139</v>
      </c>
      <c r="AE79" t="s">
        <v>2140</v>
      </c>
      <c r="AF79" t="s">
        <v>2141</v>
      </c>
      <c r="AG79" t="s">
        <v>2142</v>
      </c>
      <c r="AH79" t="s">
        <v>2143</v>
      </c>
      <c r="AJ79" t="s">
        <v>44</v>
      </c>
      <c r="AK79" t="s">
        <v>715</v>
      </c>
      <c r="AL79" t="s">
        <v>716</v>
      </c>
      <c r="AM79" t="s">
        <v>717</v>
      </c>
      <c r="AN79" t="s">
        <v>718</v>
      </c>
      <c r="AO79" t="s">
        <v>719</v>
      </c>
      <c r="AP79" t="s">
        <v>720</v>
      </c>
      <c r="AQ79" t="s">
        <v>721</v>
      </c>
      <c r="AR79" t="s">
        <v>722</v>
      </c>
      <c r="AS79" t="s">
        <v>723</v>
      </c>
      <c r="AT79" t="s">
        <v>724</v>
      </c>
      <c r="AU79" t="s">
        <v>725</v>
      </c>
      <c r="AV79" t="s">
        <v>726</v>
      </c>
      <c r="AW79" t="s">
        <v>727</v>
      </c>
      <c r="AX79" t="s">
        <v>728</v>
      </c>
      <c r="AY79" t="s">
        <v>729</v>
      </c>
      <c r="AZ79" t="s">
        <v>730</v>
      </c>
      <c r="BA79" t="s">
        <v>731</v>
      </c>
      <c r="BB79" t="s">
        <v>732</v>
      </c>
      <c r="BC79" t="s">
        <v>733</v>
      </c>
      <c r="BD79" t="s">
        <v>734</v>
      </c>
      <c r="BE79" t="s">
        <v>735</v>
      </c>
      <c r="BF79" t="s">
        <v>736</v>
      </c>
      <c r="BG79" t="s">
        <v>737</v>
      </c>
      <c r="BH79" t="s">
        <v>738</v>
      </c>
      <c r="BI79" t="s">
        <v>739</v>
      </c>
      <c r="BJ79" t="s">
        <v>740</v>
      </c>
      <c r="BK79" t="s">
        <v>741</v>
      </c>
      <c r="BL79" t="s">
        <v>742</v>
      </c>
      <c r="BM79" t="s">
        <v>743</v>
      </c>
      <c r="BN79" t="s">
        <v>744</v>
      </c>
    </row>
    <row r="80" spans="2:66" x14ac:dyDescent="0.2">
      <c r="B80" t="s">
        <v>2084</v>
      </c>
      <c r="D80" t="str">
        <f>IF(OR(Main!$D$7="AUD",Main!$D$7="NZD"),T101,T80)</f>
        <v>9 MO</v>
      </c>
      <c r="E80" t="str">
        <f>_xll.BDP($E$1&amp;IF(OR(Main!$D$7="AUD",Main!$D$7="NZD"),U101,U80)&amp;" "&amp;Main!$Q$79&amp;" Curncy",Main!$T$79)</f>
        <v>#N/A N/A</v>
      </c>
      <c r="F80" t="str">
        <f>_xll.BDP($E$1&amp;IF(OR(Main!$D$7="AUD",Main!$D$7="NZD"),V101,V80)&amp;" "&amp;Main!$Q$79&amp;" Curncy",Main!$T$79)</f>
        <v>#N/A N/A</v>
      </c>
      <c r="G80" t="str">
        <f>_xll.BDP($E$1&amp;IF(OR(Main!$D$7="AUD",Main!$D$7="NZD"),W101,W80)&amp;" "&amp;Main!$Q$79&amp;" Curncy",Main!$T$79)</f>
        <v>#N/A N/A</v>
      </c>
      <c r="H80" t="str">
        <f>_xll.BDP($E$1&amp;IF(OR(Main!$D$7="AUD",Main!$D$7="NZD"),X101,X80)&amp;" "&amp;Main!$Q$79&amp;" Curncy",Main!$T$79)</f>
        <v>#N/A N/A</v>
      </c>
      <c r="I80" t="str">
        <f>_xll.BDP($E$1&amp;IF(OR(Main!$D$7="AUD",Main!$D$7="NZD"),Y101,Y80)&amp;" "&amp;Main!$Q$79&amp;" Curncy",Main!$T$79)</f>
        <v>#N/A N/A</v>
      </c>
      <c r="J80" t="str">
        <f>_xll.BDP($E$1&amp;IF(OR(Main!$D$7="AUD",Main!$D$7="NZD"),Z101,Z80)&amp;" "&amp;Main!$Q$79&amp;" Curncy",Main!$T$79)</f>
        <v>#N/A N/A</v>
      </c>
      <c r="K80" t="str">
        <f>_xll.BDP($E$1&amp;IF(OR(Main!$D$7="AUD",Main!$D$7="NZD"),AA101,AA80)&amp;" "&amp;Main!$Q$79&amp;" Curncy",Main!$T$79)</f>
        <v>#N/A N/A</v>
      </c>
      <c r="L80" t="str">
        <f>_xll.BDP($E$1&amp;IF(OR(Main!$D$7="AUD",Main!$D$7="NZD"),AB101,AB80)&amp;" "&amp;Main!$Q$79&amp;" Curncy",Main!$T$79)</f>
        <v>#N/A N/A</v>
      </c>
      <c r="M80" t="str">
        <f>_xll.BDP($E$1&amp;IF(OR(Main!$D$7="AUD",Main!$D$7="NZD"),AC101,AC80)&amp;" "&amp;Main!$Q$79&amp;" Curncy",Main!$T$79)</f>
        <v>#N/A N/A</v>
      </c>
      <c r="N80" t="str">
        <f>_xll.BDP($E$1&amp;IF(OR(Main!$D$7="AUD",Main!$D$7="NZD"),AD101,AD80)&amp;" "&amp;Main!$Q$79&amp;" Curncy",Main!$T$79)</f>
        <v>#N/A N/A</v>
      </c>
      <c r="O80" t="str">
        <f>_xll.BDP($E$1&amp;IF(OR(Main!$D$7="AUD",Main!$D$7="NZD"),AE101,AE80)&amp;" "&amp;Main!$Q$79&amp;" Curncy",Main!$T$79)</f>
        <v>#N/A N/A</v>
      </c>
      <c r="P80" t="str">
        <f>_xll.BDP($E$1&amp;IF(OR(Main!$D$7="AUD",Main!$D$7="NZD"),AF101,AF80)&amp;" "&amp;Main!$Q$79&amp;" Curncy",Main!$T$79)</f>
        <v>#N/A N/A</v>
      </c>
      <c r="Q80" t="str">
        <f>_xll.BDP($E$1&amp;IF(OR(Main!$D$7="AUD",Main!$D$7="NZD"),AG101,AG80)&amp;" "&amp;Main!$Q$79&amp;" Curncy",Main!$T$79)</f>
        <v>#N/A N/A</v>
      </c>
      <c r="R80" t="str">
        <f>_xll.BDP($E$1&amp;IF(OR(Main!$D$7="AUD",Main!$D$7="NZD"),AH101,AH80)&amp;" "&amp;Main!$Q$79&amp;" Curncy",Main!$T$79)</f>
        <v>#N/A N/A</v>
      </c>
      <c r="T80" t="s">
        <v>1120</v>
      </c>
      <c r="U80" t="s">
        <v>2144</v>
      </c>
      <c r="V80" t="s">
        <v>2145</v>
      </c>
      <c r="W80" t="s">
        <v>2146</v>
      </c>
      <c r="X80" t="s">
        <v>2147</v>
      </c>
      <c r="Y80" t="s">
        <v>2148</v>
      </c>
      <c r="Z80" t="s">
        <v>2149</v>
      </c>
      <c r="AA80" t="s">
        <v>2150</v>
      </c>
      <c r="AB80" t="s">
        <v>2151</v>
      </c>
      <c r="AC80" t="s">
        <v>2152</v>
      </c>
      <c r="AD80" t="s">
        <v>2153</v>
      </c>
      <c r="AE80" t="s">
        <v>2154</v>
      </c>
      <c r="AF80" t="s">
        <v>2155</v>
      </c>
      <c r="AG80" t="s">
        <v>2156</v>
      </c>
      <c r="AH80" t="s">
        <v>2157</v>
      </c>
      <c r="AJ80" t="s">
        <v>45</v>
      </c>
      <c r="AK80" t="s">
        <v>745</v>
      </c>
      <c r="AL80" t="s">
        <v>746</v>
      </c>
      <c r="AM80" t="s">
        <v>747</v>
      </c>
      <c r="AN80" t="s">
        <v>748</v>
      </c>
      <c r="AO80" t="s">
        <v>749</v>
      </c>
      <c r="AP80" t="s">
        <v>750</v>
      </c>
      <c r="AQ80" t="s">
        <v>751</v>
      </c>
      <c r="AR80" t="s">
        <v>752</v>
      </c>
      <c r="AS80" t="s">
        <v>753</v>
      </c>
      <c r="AT80" t="s">
        <v>754</v>
      </c>
      <c r="AU80" t="s">
        <v>755</v>
      </c>
      <c r="AV80" t="s">
        <v>756</v>
      </c>
      <c r="AW80" t="s">
        <v>757</v>
      </c>
      <c r="AX80" t="s">
        <v>758</v>
      </c>
      <c r="AY80" t="s">
        <v>759</v>
      </c>
      <c r="AZ80" t="s">
        <v>760</v>
      </c>
      <c r="BA80" t="s">
        <v>761</v>
      </c>
      <c r="BB80" t="s">
        <v>762</v>
      </c>
      <c r="BC80" t="s">
        <v>763</v>
      </c>
      <c r="BD80" t="s">
        <v>764</v>
      </c>
      <c r="BE80" t="s">
        <v>765</v>
      </c>
      <c r="BF80" t="s">
        <v>766</v>
      </c>
      <c r="BG80" t="s">
        <v>767</v>
      </c>
      <c r="BH80" t="s">
        <v>768</v>
      </c>
      <c r="BI80" t="s">
        <v>769</v>
      </c>
      <c r="BJ80" t="s">
        <v>770</v>
      </c>
      <c r="BK80" t="s">
        <v>771</v>
      </c>
      <c r="BL80" t="s">
        <v>772</v>
      </c>
      <c r="BM80" t="s">
        <v>773</v>
      </c>
      <c r="BN80" t="s">
        <v>774</v>
      </c>
    </row>
    <row r="81" spans="2:66" x14ac:dyDescent="0.2">
      <c r="B81" t="s">
        <v>2085</v>
      </c>
      <c r="D81" t="str">
        <f>IF(OR(Main!$D$7="AUD",Main!$D$7="NZD"),T102,T81)</f>
        <v>1 YR</v>
      </c>
      <c r="E81">
        <f>_xll.BDP($E$1&amp;IF(OR(Main!$D$7="AUD",Main!$D$7="NZD"),U102,U81)&amp;" "&amp;Main!$Q$79&amp;" Curncy",Main!$T$79)</f>
        <v>40.6</v>
      </c>
      <c r="F81">
        <f>_xll.BDP($E$1&amp;IF(OR(Main!$D$7="AUD",Main!$D$7="NZD"),V102,V81)&amp;" "&amp;Main!$Q$79&amp;" Curncy",Main!$T$79)</f>
        <v>93.4</v>
      </c>
      <c r="G81">
        <f>_xll.BDP($E$1&amp;IF(OR(Main!$D$7="AUD",Main!$D$7="NZD"),W102,W81)&amp;" "&amp;Main!$Q$79&amp;" Curncy",Main!$T$79)</f>
        <v>153</v>
      </c>
      <c r="H81">
        <f>_xll.BDP($E$1&amp;IF(OR(Main!$D$7="AUD",Main!$D$7="NZD"),X102,X81)&amp;" "&amp;Main!$Q$79&amp;" Curncy",Main!$T$79)</f>
        <v>213</v>
      </c>
      <c r="I81">
        <f>_xll.BDP($E$1&amp;IF(OR(Main!$D$7="AUD",Main!$D$7="NZD"),Y102,Y81)&amp;" "&amp;Main!$Q$79&amp;" Curncy",Main!$T$79)</f>
        <v>274</v>
      </c>
      <c r="J81">
        <f>_xll.BDP($E$1&amp;IF(OR(Main!$D$7="AUD",Main!$D$7="NZD"),Z102,Z81)&amp;" "&amp;Main!$Q$79&amp;" Curncy",Main!$T$79)</f>
        <v>333</v>
      </c>
      <c r="K81">
        <f>_xll.BDP($E$1&amp;IF(OR(Main!$D$7="AUD",Main!$D$7="NZD"),AA102,AA81)&amp;" "&amp;Main!$Q$79&amp;" Curncy",Main!$T$79)</f>
        <v>393</v>
      </c>
      <c r="L81">
        <f>_xll.BDP($E$1&amp;IF(OR(Main!$D$7="AUD",Main!$D$7="NZD"),AB102,AB81)&amp;" "&amp;Main!$Q$79&amp;" Curncy",Main!$T$79)</f>
        <v>450</v>
      </c>
      <c r="M81">
        <f>_xll.BDP($E$1&amp;IF(OR(Main!$D$7="AUD",Main!$D$7="NZD"),AC102,AC81)&amp;" "&amp;Main!$Q$79&amp;" Curncy",Main!$T$79)</f>
        <v>508</v>
      </c>
      <c r="N81">
        <f>_xll.BDP($E$1&amp;IF(OR(Main!$D$7="AUD",Main!$D$7="NZD"),AD102,AD81)&amp;" "&amp;Main!$Q$79&amp;" Curncy",Main!$T$79)</f>
        <v>565</v>
      </c>
      <c r="O81">
        <f>_xll.BDP($E$1&amp;IF(OR(Main!$D$7="AUD",Main!$D$7="NZD"),AE102,AE81)&amp;" "&amp;Main!$Q$79&amp;" Curncy",Main!$T$79)</f>
        <v>814</v>
      </c>
      <c r="P81">
        <f>_xll.BDP($E$1&amp;IF(OR(Main!$D$7="AUD",Main!$D$7="NZD"),AF102,AF81)&amp;" "&amp;Main!$Q$79&amp;" Curncy",Main!$T$79)</f>
        <v>1039</v>
      </c>
      <c r="Q81">
        <f>_xll.BDP($E$1&amp;IF(OR(Main!$D$7="AUD",Main!$D$7="NZD"),AG102,AG81)&amp;" "&amp;Main!$Q$79&amp;" Curncy",Main!$T$79)</f>
        <v>1247</v>
      </c>
      <c r="R81">
        <f>_xll.BDP($E$1&amp;IF(OR(Main!$D$7="AUD",Main!$D$7="NZD"),AH102,AH81)&amp;" "&amp;Main!$Q$79&amp;" Curncy",Main!$T$79)</f>
        <v>1438</v>
      </c>
      <c r="T81" t="s">
        <v>41</v>
      </c>
      <c r="U81" t="s">
        <v>2158</v>
      </c>
      <c r="V81" t="s">
        <v>2159</v>
      </c>
      <c r="W81" t="s">
        <v>2160</v>
      </c>
      <c r="X81" t="s">
        <v>2161</v>
      </c>
      <c r="Y81" t="s">
        <v>2162</v>
      </c>
      <c r="Z81" t="s">
        <v>2163</v>
      </c>
      <c r="AA81" t="s">
        <v>2164</v>
      </c>
      <c r="AB81" t="s">
        <v>2165</v>
      </c>
      <c r="AC81" t="s">
        <v>2166</v>
      </c>
      <c r="AD81" t="s">
        <v>2167</v>
      </c>
      <c r="AE81" t="s">
        <v>2168</v>
      </c>
      <c r="AF81" t="s">
        <v>2169</v>
      </c>
      <c r="AG81" t="s">
        <v>2170</v>
      </c>
      <c r="AH81" t="s">
        <v>2171</v>
      </c>
      <c r="AJ81" t="s">
        <v>46</v>
      </c>
      <c r="AK81" t="s">
        <v>775</v>
      </c>
      <c r="AL81" t="s">
        <v>776</v>
      </c>
      <c r="AM81" t="s">
        <v>777</v>
      </c>
      <c r="AN81" t="s">
        <v>778</v>
      </c>
      <c r="AO81" t="s">
        <v>779</v>
      </c>
      <c r="AP81" t="s">
        <v>780</v>
      </c>
      <c r="AQ81" t="s">
        <v>781</v>
      </c>
      <c r="AR81" t="s">
        <v>782</v>
      </c>
      <c r="AS81" t="s">
        <v>783</v>
      </c>
      <c r="AT81" t="s">
        <v>784</v>
      </c>
      <c r="AU81" t="s">
        <v>785</v>
      </c>
      <c r="AV81" t="s">
        <v>786</v>
      </c>
      <c r="AW81" t="s">
        <v>787</v>
      </c>
      <c r="AX81" t="s">
        <v>788</v>
      </c>
      <c r="AY81" t="s">
        <v>789</v>
      </c>
      <c r="AZ81" t="s">
        <v>790</v>
      </c>
      <c r="BA81" t="s">
        <v>791</v>
      </c>
      <c r="BB81" t="s">
        <v>792</v>
      </c>
      <c r="BC81" t="s">
        <v>793</v>
      </c>
      <c r="BD81" t="s">
        <v>794</v>
      </c>
      <c r="BE81" t="s">
        <v>795</v>
      </c>
      <c r="BF81" t="s">
        <v>796</v>
      </c>
      <c r="BG81" t="s">
        <v>797</v>
      </c>
      <c r="BH81" t="s">
        <v>798</v>
      </c>
      <c r="BI81" t="s">
        <v>799</v>
      </c>
      <c r="BJ81" t="s">
        <v>800</v>
      </c>
      <c r="BK81" t="s">
        <v>801</v>
      </c>
      <c r="BL81" t="s">
        <v>802</v>
      </c>
      <c r="BM81" t="s">
        <v>803</v>
      </c>
      <c r="BN81" t="s">
        <v>804</v>
      </c>
    </row>
    <row r="82" spans="2:66" x14ac:dyDescent="0.2">
      <c r="B82" t="s">
        <v>31</v>
      </c>
      <c r="D82" t="str">
        <f>IF(OR(Main!$D$7="AUD",Main!$D$7="NZD"),T103,T82)</f>
        <v>18MO</v>
      </c>
      <c r="E82" t="str">
        <f>_xll.BDP($E$1&amp;IF(OR(Main!$D$7="AUD",Main!$D$7="NZD"),U103,U82)&amp;" "&amp;Main!$Q$79&amp;" Curncy",Main!$T$79)</f>
        <v>#N/A Invalid Security</v>
      </c>
      <c r="F82" t="str">
        <f>_xll.BDP($E$1&amp;IF(OR(Main!$D$7="AUD",Main!$D$7="NZD"),V103,V82)&amp;" "&amp;Main!$Q$79&amp;" Curncy",Main!$T$79)</f>
        <v>#N/A Invalid Security</v>
      </c>
      <c r="G82" t="str">
        <f>_xll.BDP($E$1&amp;IF(OR(Main!$D$7="AUD",Main!$D$7="NZD"),W103,W82)&amp;" "&amp;Main!$Q$79&amp;" Curncy",Main!$T$79)</f>
        <v>#N/A Invalid Security</v>
      </c>
      <c r="H82" t="str">
        <f>_xll.BDP($E$1&amp;IF(OR(Main!$D$7="AUD",Main!$D$7="NZD"),X103,X82)&amp;" "&amp;Main!$Q$79&amp;" Curncy",Main!$T$79)</f>
        <v>#N/A Invalid Security</v>
      </c>
      <c r="I82" t="str">
        <f>_xll.BDP($E$1&amp;IF(OR(Main!$D$7="AUD",Main!$D$7="NZD"),Y103,Y82)&amp;" "&amp;Main!$Q$79&amp;" Curncy",Main!$T$79)</f>
        <v>#N/A Invalid Security</v>
      </c>
      <c r="J82" t="str">
        <f>_xll.BDP($E$1&amp;IF(OR(Main!$D$7="AUD",Main!$D$7="NZD"),Z103,Z82)&amp;" "&amp;Main!$Q$79&amp;" Curncy",Main!$T$79)</f>
        <v>#N/A Invalid Security</v>
      </c>
      <c r="K82" t="str">
        <f>_xll.BDP($E$1&amp;IF(OR(Main!$D$7="AUD",Main!$D$7="NZD"),AA103,AA82)&amp;" "&amp;Main!$Q$79&amp;" Curncy",Main!$T$79)</f>
        <v>#N/A Invalid Security</v>
      </c>
      <c r="L82" t="str">
        <f>_xll.BDP($E$1&amp;IF(OR(Main!$D$7="AUD",Main!$D$7="NZD"),AB103,AB82)&amp;" "&amp;Main!$Q$79&amp;" Curncy",Main!$T$79)</f>
        <v>#N/A Invalid Security</v>
      </c>
      <c r="M82" t="str">
        <f>_xll.BDP($E$1&amp;IF(OR(Main!$D$7="AUD",Main!$D$7="NZD"),AC103,AC82)&amp;" "&amp;Main!$Q$79&amp;" Curncy",Main!$T$79)</f>
        <v>#N/A Invalid Security</v>
      </c>
      <c r="N82" t="str">
        <f>_xll.BDP($E$1&amp;IF(OR(Main!$D$7="AUD",Main!$D$7="NZD"),AD103,AD82)&amp;" "&amp;Main!$Q$79&amp;" Curncy",Main!$T$79)</f>
        <v>#N/A Invalid Security</v>
      </c>
      <c r="O82" t="str">
        <f>_xll.BDP($E$1&amp;IF(OR(Main!$D$7="AUD",Main!$D$7="NZD"),AE103,AE82)&amp;" "&amp;Main!$Q$79&amp;" Curncy",Main!$T$79)</f>
        <v>#N/A Invalid Security</v>
      </c>
      <c r="P82" t="str">
        <f>_xll.BDP($E$1&amp;IF(OR(Main!$D$7="AUD",Main!$D$7="NZD"),AF103,AF82)&amp;" "&amp;Main!$Q$79&amp;" Curncy",Main!$T$79)</f>
        <v>#N/A Invalid Security</v>
      </c>
      <c r="Q82" t="str">
        <f>_xll.BDP($E$1&amp;IF(OR(Main!$D$7="AUD",Main!$D$7="NZD"),AG103,AG82)&amp;" "&amp;Main!$Q$79&amp;" Curncy",Main!$T$79)</f>
        <v>#N/A Invalid Security</v>
      </c>
      <c r="R82" t="str">
        <f>_xll.BDP($E$1&amp;IF(OR(Main!$D$7="AUD",Main!$D$7="NZD"),AH103,AH82)&amp;" "&amp;Main!$Q$79&amp;" Curncy",Main!$T$79)</f>
        <v>#N/A Invalid Security</v>
      </c>
      <c r="T82" t="s">
        <v>2478</v>
      </c>
      <c r="U82" t="s">
        <v>2172</v>
      </c>
      <c r="V82" t="s">
        <v>2173</v>
      </c>
      <c r="W82" t="s">
        <v>2174</v>
      </c>
      <c r="X82" t="s">
        <v>2175</v>
      </c>
      <c r="Y82" t="s">
        <v>2176</v>
      </c>
      <c r="Z82" t="s">
        <v>2177</v>
      </c>
      <c r="AA82" t="s">
        <v>2178</v>
      </c>
      <c r="AB82" t="s">
        <v>2179</v>
      </c>
      <c r="AC82" t="s">
        <v>2180</v>
      </c>
      <c r="AD82" t="s">
        <v>2181</v>
      </c>
      <c r="AE82" t="s">
        <v>2182</v>
      </c>
      <c r="AF82" t="s">
        <v>2183</v>
      </c>
      <c r="AG82" t="s">
        <v>2184</v>
      </c>
      <c r="AH82" t="s">
        <v>2185</v>
      </c>
      <c r="AJ82" t="s">
        <v>47</v>
      </c>
      <c r="AK82" t="s">
        <v>805</v>
      </c>
      <c r="AL82" t="s">
        <v>806</v>
      </c>
      <c r="AM82" t="s">
        <v>807</v>
      </c>
      <c r="AN82" t="s">
        <v>808</v>
      </c>
      <c r="AO82" t="s">
        <v>809</v>
      </c>
      <c r="AP82" t="s">
        <v>810</v>
      </c>
      <c r="AQ82" t="s">
        <v>811</v>
      </c>
      <c r="AR82" t="s">
        <v>812</v>
      </c>
      <c r="AS82" t="s">
        <v>813</v>
      </c>
      <c r="AT82" t="s">
        <v>814</v>
      </c>
      <c r="AU82" t="s">
        <v>815</v>
      </c>
      <c r="AV82" t="s">
        <v>816</v>
      </c>
      <c r="AW82" t="s">
        <v>817</v>
      </c>
      <c r="AX82" t="s">
        <v>818</v>
      </c>
      <c r="AY82" t="s">
        <v>819</v>
      </c>
      <c r="AZ82" t="s">
        <v>820</v>
      </c>
      <c r="BA82" t="s">
        <v>821</v>
      </c>
      <c r="BB82" t="s">
        <v>822</v>
      </c>
      <c r="BC82" t="s">
        <v>823</v>
      </c>
      <c r="BD82" t="s">
        <v>824</v>
      </c>
      <c r="BE82" t="s">
        <v>825</v>
      </c>
      <c r="BF82" t="s">
        <v>826</v>
      </c>
      <c r="BG82" t="s">
        <v>827</v>
      </c>
      <c r="BH82" t="s">
        <v>828</v>
      </c>
      <c r="BI82" t="s">
        <v>829</v>
      </c>
      <c r="BJ82" t="s">
        <v>830</v>
      </c>
      <c r="BK82" t="s">
        <v>831</v>
      </c>
      <c r="BL82" t="s">
        <v>832</v>
      </c>
      <c r="BM82" t="s">
        <v>833</v>
      </c>
      <c r="BN82" t="s">
        <v>834</v>
      </c>
    </row>
    <row r="83" spans="2:66" x14ac:dyDescent="0.2">
      <c r="B83" t="s">
        <v>32</v>
      </c>
      <c r="D83" t="str">
        <f>IF(OR(Main!$D$7="AUD",Main!$D$7="NZD"),T104,T83)</f>
        <v>2 YR</v>
      </c>
      <c r="E83">
        <f>_xll.BDP($E$1&amp;IF(OR(Main!$D$7="AUD",Main!$D$7="NZD"),U104,U83)&amp;" "&amp;Main!$Q$79&amp;" Curncy",Main!$T$79)</f>
        <v>70.599999999999994</v>
      </c>
      <c r="F83">
        <f>_xll.BDP($E$1&amp;IF(OR(Main!$D$7="AUD",Main!$D$7="NZD"),V104,V83)&amp;" "&amp;Main!$Q$79&amp;" Curncy",Main!$T$79)</f>
        <v>151</v>
      </c>
      <c r="G83">
        <f>_xll.BDP($E$1&amp;IF(OR(Main!$D$7="AUD",Main!$D$7="NZD"),W104,W83)&amp;" "&amp;Main!$Q$79&amp;" Curncy",Main!$T$79)</f>
        <v>234</v>
      </c>
      <c r="H83">
        <f>_xll.BDP($E$1&amp;IF(OR(Main!$D$7="AUD",Main!$D$7="NZD"),X104,X83)&amp;" "&amp;Main!$Q$79&amp;" Curncy",Main!$T$79)</f>
        <v>320</v>
      </c>
      <c r="I83">
        <f>_xll.BDP($E$1&amp;IF(OR(Main!$D$7="AUD",Main!$D$7="NZD"),Y104,Y83)&amp;" "&amp;Main!$Q$79&amp;" Curncy",Main!$T$79)</f>
        <v>405</v>
      </c>
      <c r="J83">
        <f>_xll.BDP($E$1&amp;IF(OR(Main!$D$7="AUD",Main!$D$7="NZD"),Z104,Z83)&amp;" "&amp;Main!$Q$79&amp;" Curncy",Main!$T$79)</f>
        <v>489</v>
      </c>
      <c r="K83">
        <f>_xll.BDP($E$1&amp;IF(OR(Main!$D$7="AUD",Main!$D$7="NZD"),AA104,AA83)&amp;" "&amp;Main!$Q$79&amp;" Curncy",Main!$T$79)</f>
        <v>575</v>
      </c>
      <c r="L83">
        <f>_xll.BDP($E$1&amp;IF(OR(Main!$D$7="AUD",Main!$D$7="NZD"),AB104,AB83)&amp;" "&amp;Main!$Q$79&amp;" Curncy",Main!$T$79)</f>
        <v>658</v>
      </c>
      <c r="M83">
        <f>_xll.BDP($E$1&amp;IF(OR(Main!$D$7="AUD",Main!$D$7="NZD"),AC104,AC83)&amp;" "&amp;Main!$Q$79&amp;" Curncy",Main!$T$79)</f>
        <v>740</v>
      </c>
      <c r="N83">
        <f>_xll.BDP($E$1&amp;IF(OR(Main!$D$7="AUD",Main!$D$7="NZD"),AD104,AD83)&amp;" "&amp;Main!$Q$79&amp;" Curncy",Main!$T$79)</f>
        <v>822</v>
      </c>
      <c r="O83">
        <f>_xll.BDP($E$1&amp;IF(OR(Main!$D$7="AUD",Main!$D$7="NZD"),AE104,AE83)&amp;" "&amp;Main!$Q$79&amp;" Curncy",Main!$T$79)</f>
        <v>1171</v>
      </c>
      <c r="P83">
        <f>_xll.BDP($E$1&amp;IF(OR(Main!$D$7="AUD",Main!$D$7="NZD"),AF104,AF83)&amp;" "&amp;Main!$Q$79&amp;" Curncy",Main!$T$79)</f>
        <v>1478</v>
      </c>
      <c r="Q83">
        <f>_xll.BDP($E$1&amp;IF(OR(Main!$D$7="AUD",Main!$D$7="NZD"),AG104,AG83)&amp;" "&amp;Main!$Q$79&amp;" Curncy",Main!$T$79)</f>
        <v>1766</v>
      </c>
      <c r="R83">
        <f>_xll.BDP($E$1&amp;IF(OR(Main!$D$7="AUD",Main!$D$7="NZD"),AH104,AH83)&amp;" "&amp;Main!$Q$79&amp;" Curncy",Main!$T$79)</f>
        <v>2031</v>
      </c>
      <c r="T83" t="s">
        <v>42</v>
      </c>
      <c r="U83" t="s">
        <v>2186</v>
      </c>
      <c r="V83" t="s">
        <v>2187</v>
      </c>
      <c r="W83" t="s">
        <v>2188</v>
      </c>
      <c r="X83" t="s">
        <v>2189</v>
      </c>
      <c r="Y83" t="s">
        <v>2190</v>
      </c>
      <c r="Z83" t="s">
        <v>2191</v>
      </c>
      <c r="AA83" t="s">
        <v>2192</v>
      </c>
      <c r="AB83" t="s">
        <v>2193</v>
      </c>
      <c r="AC83" t="s">
        <v>2194</v>
      </c>
      <c r="AD83" t="s">
        <v>2195</v>
      </c>
      <c r="AE83" t="s">
        <v>2196</v>
      </c>
      <c r="AF83" t="s">
        <v>2197</v>
      </c>
      <c r="AG83" t="s">
        <v>2198</v>
      </c>
      <c r="AH83" t="s">
        <v>2199</v>
      </c>
      <c r="AJ83" t="s">
        <v>48</v>
      </c>
      <c r="AK83" t="s">
        <v>835</v>
      </c>
      <c r="AL83" t="s">
        <v>836</v>
      </c>
      <c r="AM83" t="s">
        <v>837</v>
      </c>
      <c r="AN83" t="s">
        <v>838</v>
      </c>
      <c r="AO83" t="s">
        <v>839</v>
      </c>
      <c r="AP83" t="s">
        <v>840</v>
      </c>
      <c r="AQ83" t="s">
        <v>841</v>
      </c>
      <c r="AR83" t="s">
        <v>842</v>
      </c>
      <c r="AS83" t="s">
        <v>843</v>
      </c>
      <c r="AT83" t="s">
        <v>844</v>
      </c>
      <c r="AU83" t="s">
        <v>845</v>
      </c>
      <c r="AV83" t="s">
        <v>846</v>
      </c>
      <c r="AW83" t="s">
        <v>847</v>
      </c>
      <c r="AX83" t="s">
        <v>848</v>
      </c>
      <c r="AY83" t="s">
        <v>849</v>
      </c>
      <c r="AZ83" t="s">
        <v>850</v>
      </c>
      <c r="BA83" t="s">
        <v>851</v>
      </c>
      <c r="BB83" t="s">
        <v>852</v>
      </c>
      <c r="BC83" t="s">
        <v>853</v>
      </c>
      <c r="BD83" t="s">
        <v>854</v>
      </c>
      <c r="BE83" t="s">
        <v>855</v>
      </c>
      <c r="BF83" t="s">
        <v>856</v>
      </c>
      <c r="BG83" t="s">
        <v>857</v>
      </c>
      <c r="BH83" t="s">
        <v>858</v>
      </c>
      <c r="BI83" t="s">
        <v>859</v>
      </c>
      <c r="BJ83" t="s">
        <v>860</v>
      </c>
      <c r="BK83" t="s">
        <v>861</v>
      </c>
      <c r="BL83" t="s">
        <v>862</v>
      </c>
      <c r="BM83" t="s">
        <v>863</v>
      </c>
      <c r="BN83" t="s">
        <v>864</v>
      </c>
    </row>
    <row r="84" spans="2:66" x14ac:dyDescent="0.2">
      <c r="B84" t="s">
        <v>33</v>
      </c>
      <c r="D84" t="str">
        <f>IF(OR(Main!$D$7="AUD",Main!$D$7="NZD"),T105,T84)</f>
        <v>3 YR</v>
      </c>
      <c r="E84">
        <f>_xll.BDP($E$1&amp;IF(OR(Main!$D$7="AUD",Main!$D$7="NZD"),U105,U84)&amp;" "&amp;Main!$Q$79&amp;" Curncy",Main!$T$79)</f>
        <v>98.5</v>
      </c>
      <c r="F84">
        <f>_xll.BDP($E$1&amp;IF(OR(Main!$D$7="AUD",Main!$D$7="NZD"),V105,V84)&amp;" "&amp;Main!$Q$79&amp;" Curncy",Main!$T$79)</f>
        <v>200</v>
      </c>
      <c r="G84">
        <f>_xll.BDP($E$1&amp;IF(OR(Main!$D$7="AUD",Main!$D$7="NZD"),W105,W84)&amp;" "&amp;Main!$Q$79&amp;" Curncy",Main!$T$79)</f>
        <v>303</v>
      </c>
      <c r="H84">
        <f>_xll.BDP($E$1&amp;IF(OR(Main!$D$7="AUD",Main!$D$7="NZD"),X105,X84)&amp;" "&amp;Main!$Q$79&amp;" Curncy",Main!$T$79)</f>
        <v>406</v>
      </c>
      <c r="I84">
        <f>_xll.BDP($E$1&amp;IF(OR(Main!$D$7="AUD",Main!$D$7="NZD"),Y105,Y84)&amp;" "&amp;Main!$Q$79&amp;" Curncy",Main!$T$79)</f>
        <v>511</v>
      </c>
      <c r="J84">
        <f>_xll.BDP($E$1&amp;IF(OR(Main!$D$7="AUD",Main!$D$7="NZD"),Z105,Z84)&amp;" "&amp;Main!$Q$79&amp;" Curncy",Main!$T$79)</f>
        <v>612</v>
      </c>
      <c r="K84">
        <f>_xll.BDP($E$1&amp;IF(OR(Main!$D$7="AUD",Main!$D$7="NZD"),AA105,AA84)&amp;" "&amp;Main!$Q$79&amp;" Curncy",Main!$T$79)</f>
        <v>713</v>
      </c>
      <c r="L84">
        <f>_xll.BDP($E$1&amp;IF(OR(Main!$D$7="AUD",Main!$D$7="NZD"),AB105,AB84)&amp;" "&amp;Main!$Q$79&amp;" Curncy",Main!$T$79)</f>
        <v>814</v>
      </c>
      <c r="M84">
        <f>_xll.BDP($E$1&amp;IF(OR(Main!$D$7="AUD",Main!$D$7="NZD"),AC105,AC84)&amp;" "&amp;Main!$Q$79&amp;" Curncy",Main!$T$79)</f>
        <v>914</v>
      </c>
      <c r="N84">
        <f>_xll.BDP($E$1&amp;IF(OR(Main!$D$7="AUD",Main!$D$7="NZD"),AD105,AD84)&amp;" "&amp;Main!$Q$79&amp;" Curncy",Main!$T$79)</f>
        <v>1013</v>
      </c>
      <c r="O84">
        <f>_xll.BDP($E$1&amp;IF(OR(Main!$D$7="AUD",Main!$D$7="NZD"),AE105,AE84)&amp;" "&amp;Main!$Q$79&amp;" Curncy",Main!$T$79)</f>
        <v>1424</v>
      </c>
      <c r="P84">
        <f>_xll.BDP($E$1&amp;IF(OR(Main!$D$7="AUD",Main!$D$7="NZD"),AF105,AF84)&amp;" "&amp;Main!$Q$79&amp;" Curncy",Main!$T$79)</f>
        <v>1783</v>
      </c>
      <c r="Q84">
        <f>_xll.BDP($E$1&amp;IF(OR(Main!$D$7="AUD",Main!$D$7="NZD"),AG105,AG84)&amp;" "&amp;Main!$Q$79&amp;" Curncy",Main!$T$79)</f>
        <v>2122</v>
      </c>
      <c r="R84">
        <f>_xll.BDP($E$1&amp;IF(OR(Main!$D$7="AUD",Main!$D$7="NZD"),AH105,AH84)&amp;" "&amp;Main!$Q$79&amp;" Curncy",Main!$T$79)</f>
        <v>2436</v>
      </c>
      <c r="T84" t="s">
        <v>43</v>
      </c>
      <c r="U84" t="s">
        <v>2200</v>
      </c>
      <c r="V84" t="s">
        <v>2201</v>
      </c>
      <c r="W84" t="s">
        <v>2202</v>
      </c>
      <c r="X84" t="s">
        <v>2203</v>
      </c>
      <c r="Y84" t="s">
        <v>2204</v>
      </c>
      <c r="Z84" t="s">
        <v>2205</v>
      </c>
      <c r="AA84" t="s">
        <v>2206</v>
      </c>
      <c r="AB84" t="s">
        <v>2207</v>
      </c>
      <c r="AC84" t="s">
        <v>2208</v>
      </c>
      <c r="AD84" t="s">
        <v>2209</v>
      </c>
      <c r="AE84" t="s">
        <v>2210</v>
      </c>
      <c r="AF84" t="s">
        <v>2211</v>
      </c>
      <c r="AG84" t="s">
        <v>2212</v>
      </c>
      <c r="AH84" t="s">
        <v>2213</v>
      </c>
      <c r="AJ84" t="s">
        <v>49</v>
      </c>
      <c r="AK84" t="s">
        <v>865</v>
      </c>
      <c r="AL84" t="s">
        <v>866</v>
      </c>
      <c r="AM84" t="s">
        <v>867</v>
      </c>
      <c r="AN84" t="s">
        <v>868</v>
      </c>
      <c r="AO84" t="s">
        <v>869</v>
      </c>
      <c r="AP84" t="s">
        <v>870</v>
      </c>
      <c r="AQ84" t="s">
        <v>871</v>
      </c>
      <c r="AR84" t="s">
        <v>872</v>
      </c>
      <c r="AS84" t="s">
        <v>873</v>
      </c>
      <c r="AT84" t="s">
        <v>874</v>
      </c>
      <c r="AU84" t="s">
        <v>875</v>
      </c>
      <c r="AV84" t="s">
        <v>876</v>
      </c>
      <c r="AW84" t="s">
        <v>877</v>
      </c>
      <c r="AX84" t="s">
        <v>878</v>
      </c>
      <c r="AY84" t="s">
        <v>879</v>
      </c>
      <c r="AZ84" t="s">
        <v>880</v>
      </c>
      <c r="BA84" t="s">
        <v>881</v>
      </c>
      <c r="BB84" t="s">
        <v>882</v>
      </c>
      <c r="BC84" t="s">
        <v>883</v>
      </c>
      <c r="BD84" t="s">
        <v>884</v>
      </c>
      <c r="BE84" t="s">
        <v>885</v>
      </c>
      <c r="BF84" t="s">
        <v>886</v>
      </c>
      <c r="BG84" t="s">
        <v>887</v>
      </c>
      <c r="BH84" t="s">
        <v>888</v>
      </c>
      <c r="BI84" t="s">
        <v>889</v>
      </c>
      <c r="BJ84" t="s">
        <v>890</v>
      </c>
      <c r="BK84" t="s">
        <v>891</v>
      </c>
      <c r="BL84" t="s">
        <v>892</v>
      </c>
      <c r="BM84" t="s">
        <v>893</v>
      </c>
      <c r="BN84" t="s">
        <v>894</v>
      </c>
    </row>
    <row r="85" spans="2:66" x14ac:dyDescent="0.2">
      <c r="B85" t="s">
        <v>2086</v>
      </c>
      <c r="D85" t="str">
        <f>IF(OR(Main!$D$7="AUD",Main!$D$7="NZD"),T106,T85)</f>
        <v>4 YR</v>
      </c>
      <c r="E85">
        <f>_xll.BDP($E$1&amp;IF(OR(Main!$D$7="AUD",Main!$D$7="NZD"),U106,U85)&amp;" "&amp;Main!$Q$79&amp;" Curncy",Main!$T$79)</f>
        <v>122</v>
      </c>
      <c r="F85">
        <f>_xll.BDP($E$1&amp;IF(OR(Main!$D$7="AUD",Main!$D$7="NZD"),V106,V85)&amp;" "&amp;Main!$Q$79&amp;" Curncy",Main!$T$79)</f>
        <v>244</v>
      </c>
      <c r="G85">
        <f>_xll.BDP($E$1&amp;IF(OR(Main!$D$7="AUD",Main!$D$7="NZD"),W106,W85)&amp;" "&amp;Main!$Q$79&amp;" Curncy",Main!$T$79)</f>
        <v>364</v>
      </c>
      <c r="H85">
        <f>_xll.BDP($E$1&amp;IF(OR(Main!$D$7="AUD",Main!$D$7="NZD"),X106,X85)&amp;" "&amp;Main!$Q$79&amp;" Curncy",Main!$T$79)</f>
        <v>483</v>
      </c>
      <c r="I85">
        <f>_xll.BDP($E$1&amp;IF(OR(Main!$D$7="AUD",Main!$D$7="NZD"),Y106,Y85)&amp;" "&amp;Main!$Q$79&amp;" Curncy",Main!$T$79)</f>
        <v>601</v>
      </c>
      <c r="J85">
        <f>_xll.BDP($E$1&amp;IF(OR(Main!$D$7="AUD",Main!$D$7="NZD"),Z106,Z85)&amp;" "&amp;Main!$Q$79&amp;" Curncy",Main!$T$79)</f>
        <v>718</v>
      </c>
      <c r="K85">
        <f>_xll.BDP($E$1&amp;IF(OR(Main!$D$7="AUD",Main!$D$7="NZD"),AA106,AA85)&amp;" "&amp;Main!$Q$79&amp;" Curncy",Main!$T$79)</f>
        <v>834</v>
      </c>
      <c r="L85">
        <f>_xll.BDP($E$1&amp;IF(OR(Main!$D$7="AUD",Main!$D$7="NZD"),AB106,AB85)&amp;" "&amp;Main!$Q$79&amp;" Curncy",Main!$T$79)</f>
        <v>947</v>
      </c>
      <c r="M85">
        <f>_xll.BDP($E$1&amp;IF(OR(Main!$D$7="AUD",Main!$D$7="NZD"),AC106,AC85)&amp;" "&amp;Main!$Q$79&amp;" Curncy",Main!$T$79)</f>
        <v>1059</v>
      </c>
      <c r="N85">
        <f>_xll.BDP($E$1&amp;IF(OR(Main!$D$7="AUD",Main!$D$7="NZD"),AD106,AD85)&amp;" "&amp;Main!$Q$79&amp;" Curncy",Main!$T$79)</f>
        <v>1170</v>
      </c>
      <c r="O85">
        <f>_xll.BDP($E$1&amp;IF(OR(Main!$D$7="AUD",Main!$D$7="NZD"),AE106,AE85)&amp;" "&amp;Main!$Q$79&amp;" Curncy",Main!$T$79)</f>
        <v>1619</v>
      </c>
      <c r="P85">
        <f>_xll.BDP($E$1&amp;IF(OR(Main!$D$7="AUD",Main!$D$7="NZD"),AF106,AF85)&amp;" "&amp;Main!$Q$79&amp;" Curncy",Main!$T$79)</f>
        <v>2016</v>
      </c>
      <c r="Q85">
        <f>_xll.BDP($E$1&amp;IF(OR(Main!$D$7="AUD",Main!$D$7="NZD"),AG106,AG85)&amp;" "&amp;Main!$Q$79&amp;" Curncy",Main!$T$79)</f>
        <v>2392</v>
      </c>
      <c r="R85">
        <f>_xll.BDP($E$1&amp;IF(OR(Main!$D$7="AUD",Main!$D$7="NZD"),AH106,AH85)&amp;" "&amp;Main!$Q$79&amp;" Curncy",Main!$T$79)</f>
        <v>2740</v>
      </c>
      <c r="T85" t="s">
        <v>44</v>
      </c>
      <c r="U85" t="s">
        <v>2214</v>
      </c>
      <c r="V85" t="s">
        <v>2215</v>
      </c>
      <c r="W85" t="s">
        <v>2216</v>
      </c>
      <c r="X85" t="s">
        <v>2217</v>
      </c>
      <c r="Y85" t="s">
        <v>2218</v>
      </c>
      <c r="Z85" t="s">
        <v>2219</v>
      </c>
      <c r="AA85" t="s">
        <v>2220</v>
      </c>
      <c r="AB85" t="s">
        <v>2221</v>
      </c>
      <c r="AC85" t="s">
        <v>2222</v>
      </c>
      <c r="AD85" t="s">
        <v>2223</v>
      </c>
      <c r="AE85" t="s">
        <v>2224</v>
      </c>
      <c r="AF85" t="s">
        <v>2225</v>
      </c>
      <c r="AG85" t="s">
        <v>2226</v>
      </c>
      <c r="AH85" t="s">
        <v>2227</v>
      </c>
      <c r="AJ85" t="s">
        <v>50</v>
      </c>
      <c r="AK85" t="s">
        <v>895</v>
      </c>
      <c r="AL85" t="s">
        <v>896</v>
      </c>
      <c r="AM85" t="s">
        <v>897</v>
      </c>
      <c r="AN85" t="s">
        <v>898</v>
      </c>
      <c r="AO85" t="s">
        <v>899</v>
      </c>
      <c r="AP85" t="s">
        <v>900</v>
      </c>
      <c r="AQ85" t="s">
        <v>901</v>
      </c>
      <c r="AR85" t="s">
        <v>902</v>
      </c>
      <c r="AS85" t="s">
        <v>903</v>
      </c>
      <c r="AT85" t="s">
        <v>904</v>
      </c>
      <c r="AU85" t="s">
        <v>905</v>
      </c>
      <c r="AV85" t="s">
        <v>906</v>
      </c>
      <c r="AW85" t="s">
        <v>907</v>
      </c>
      <c r="AX85" t="s">
        <v>908</v>
      </c>
      <c r="AY85" t="s">
        <v>909</v>
      </c>
      <c r="AZ85" t="s">
        <v>910</v>
      </c>
      <c r="BA85" t="s">
        <v>911</v>
      </c>
      <c r="BB85" t="s">
        <v>912</v>
      </c>
      <c r="BC85" t="s">
        <v>913</v>
      </c>
      <c r="BD85" t="s">
        <v>914</v>
      </c>
      <c r="BE85" t="s">
        <v>915</v>
      </c>
      <c r="BF85" t="s">
        <v>916</v>
      </c>
      <c r="BG85" t="s">
        <v>917</v>
      </c>
      <c r="BH85" t="s">
        <v>918</v>
      </c>
      <c r="BI85" t="s">
        <v>919</v>
      </c>
      <c r="BJ85" t="s">
        <v>920</v>
      </c>
      <c r="BK85" t="s">
        <v>921</v>
      </c>
      <c r="BL85" t="s">
        <v>922</v>
      </c>
      <c r="BM85" t="s">
        <v>923</v>
      </c>
      <c r="BN85" t="s">
        <v>924</v>
      </c>
    </row>
    <row r="86" spans="2:66" x14ac:dyDescent="0.2">
      <c r="B86" t="s">
        <v>2043</v>
      </c>
      <c r="D86" t="str">
        <f>IF(OR(Main!$D$7="AUD",Main!$D$7="NZD"),T107,T86)</f>
        <v>5 YR</v>
      </c>
      <c r="E86">
        <f>_xll.BDP($E$1&amp;IF(OR(Main!$D$7="AUD",Main!$D$7="NZD"),U107,U86)&amp;" "&amp;Main!$Q$79&amp;" Curncy",Main!$T$79)</f>
        <v>139</v>
      </c>
      <c r="F86">
        <f>_xll.BDP($E$1&amp;IF(OR(Main!$D$7="AUD",Main!$D$7="NZD"),V107,V86)&amp;" "&amp;Main!$Q$79&amp;" Curncy",Main!$T$79)</f>
        <v>278</v>
      </c>
      <c r="G86">
        <f>_xll.BDP($E$1&amp;IF(OR(Main!$D$7="AUD",Main!$D$7="NZD"),W107,W86)&amp;" "&amp;Main!$Q$79&amp;" Curncy",Main!$T$79)</f>
        <v>415</v>
      </c>
      <c r="H86">
        <f>_xll.BDP($E$1&amp;IF(OR(Main!$D$7="AUD",Main!$D$7="NZD"),X107,X86)&amp;" "&amp;Main!$Q$79&amp;" Curncy",Main!$T$79)</f>
        <v>549</v>
      </c>
      <c r="I86">
        <f>_xll.BDP($E$1&amp;IF(OR(Main!$D$7="AUD",Main!$D$7="NZD"),Y107,Y86)&amp;" "&amp;Main!$Q$79&amp;" Curncy",Main!$T$79)</f>
        <v>681</v>
      </c>
      <c r="J86">
        <f>_xll.BDP($E$1&amp;IF(OR(Main!$D$7="AUD",Main!$D$7="NZD"),Z107,Z86)&amp;" "&amp;Main!$Q$79&amp;" Curncy",Main!$T$79)</f>
        <v>809</v>
      </c>
      <c r="K86">
        <f>_xll.BDP($E$1&amp;IF(OR(Main!$D$7="AUD",Main!$D$7="NZD"),AA107,AA86)&amp;" "&amp;Main!$Q$79&amp;" Curncy",Main!$T$79)</f>
        <v>936</v>
      </c>
      <c r="L86">
        <f>_xll.BDP($E$1&amp;IF(OR(Main!$D$7="AUD",Main!$D$7="NZD"),AB107,AB86)&amp;" "&amp;Main!$Q$79&amp;" Curncy",Main!$T$79)</f>
        <v>1060</v>
      </c>
      <c r="M86">
        <f>_xll.BDP($E$1&amp;IF(OR(Main!$D$7="AUD",Main!$D$7="NZD"),AC107,AC86)&amp;" "&amp;Main!$Q$79&amp;" Curncy",Main!$T$79)</f>
        <v>1183</v>
      </c>
      <c r="N86">
        <f>_xll.BDP($E$1&amp;IF(OR(Main!$D$7="AUD",Main!$D$7="NZD"),AD107,AD86)&amp;" "&amp;Main!$Q$79&amp;" Curncy",Main!$T$79)</f>
        <v>1303</v>
      </c>
      <c r="O86">
        <f>_xll.BDP($E$1&amp;IF(OR(Main!$D$7="AUD",Main!$D$7="NZD"),AE107,AE86)&amp;" "&amp;Main!$Q$79&amp;" Curncy",Main!$T$79)</f>
        <v>1781</v>
      </c>
      <c r="P86">
        <f>_xll.BDP($E$1&amp;IF(OR(Main!$D$7="AUD",Main!$D$7="NZD"),AF107,AF86)&amp;" "&amp;Main!$Q$79&amp;" Curncy",Main!$T$79)</f>
        <v>2202</v>
      </c>
      <c r="Q86">
        <f>_xll.BDP($E$1&amp;IF(OR(Main!$D$7="AUD",Main!$D$7="NZD"),AG107,AG86)&amp;" "&amp;Main!$Q$79&amp;" Curncy",Main!$T$79)</f>
        <v>2610</v>
      </c>
      <c r="R86">
        <f>_xll.BDP($E$1&amp;IF(OR(Main!$D$7="AUD",Main!$D$7="NZD"),AH107,AH86)&amp;" "&amp;Main!$Q$79&amp;" Curncy",Main!$T$79)</f>
        <v>2985</v>
      </c>
      <c r="T86" t="s">
        <v>45</v>
      </c>
      <c r="U86" t="s">
        <v>2228</v>
      </c>
      <c r="V86" t="s">
        <v>2229</v>
      </c>
      <c r="W86" t="s">
        <v>2230</v>
      </c>
      <c r="X86" t="s">
        <v>2231</v>
      </c>
      <c r="Y86" t="s">
        <v>2232</v>
      </c>
      <c r="Z86" t="s">
        <v>2233</v>
      </c>
      <c r="AA86" t="s">
        <v>2234</v>
      </c>
      <c r="AB86" t="s">
        <v>2235</v>
      </c>
      <c r="AC86" t="s">
        <v>2236</v>
      </c>
      <c r="AD86" t="s">
        <v>2237</v>
      </c>
      <c r="AE86" t="s">
        <v>2238</v>
      </c>
      <c r="AF86" t="s">
        <v>2239</v>
      </c>
      <c r="AG86" t="s">
        <v>2240</v>
      </c>
      <c r="AH86" t="s">
        <v>2241</v>
      </c>
      <c r="AJ86" t="s">
        <v>319</v>
      </c>
      <c r="AK86" t="s">
        <v>925</v>
      </c>
      <c r="AL86" t="s">
        <v>926</v>
      </c>
      <c r="AM86" t="s">
        <v>927</v>
      </c>
      <c r="AN86" t="s">
        <v>928</v>
      </c>
      <c r="AO86" t="s">
        <v>929</v>
      </c>
      <c r="AP86" t="s">
        <v>930</v>
      </c>
      <c r="AQ86" t="s">
        <v>931</v>
      </c>
      <c r="AR86" t="s">
        <v>932</v>
      </c>
      <c r="AS86" t="s">
        <v>933</v>
      </c>
      <c r="AT86" t="s">
        <v>934</v>
      </c>
      <c r="AU86" t="s">
        <v>935</v>
      </c>
      <c r="AV86" t="s">
        <v>936</v>
      </c>
      <c r="AW86" t="s">
        <v>937</v>
      </c>
      <c r="AX86" t="s">
        <v>938</v>
      </c>
      <c r="AY86" t="s">
        <v>939</v>
      </c>
      <c r="AZ86" t="s">
        <v>940</v>
      </c>
      <c r="BA86" t="s">
        <v>941</v>
      </c>
      <c r="BB86" t="s">
        <v>942</v>
      </c>
      <c r="BC86" t="s">
        <v>943</v>
      </c>
      <c r="BD86" t="s">
        <v>944</v>
      </c>
      <c r="BE86" t="s">
        <v>945</v>
      </c>
      <c r="BF86" t="s">
        <v>946</v>
      </c>
      <c r="BG86" t="s">
        <v>947</v>
      </c>
      <c r="BH86" t="s">
        <v>948</v>
      </c>
      <c r="BI86" t="s">
        <v>949</v>
      </c>
      <c r="BJ86" t="s">
        <v>950</v>
      </c>
      <c r="BK86" t="s">
        <v>951</v>
      </c>
      <c r="BL86" t="s">
        <v>952</v>
      </c>
      <c r="BM86" t="s">
        <v>953</v>
      </c>
      <c r="BN86" t="s">
        <v>954</v>
      </c>
    </row>
    <row r="87" spans="2:66" x14ac:dyDescent="0.2">
      <c r="B87" t="s">
        <v>2470</v>
      </c>
      <c r="D87" t="str">
        <f>IF(OR(Main!$D$7="AUD",Main!$D$7="NZD"),T108,T87)</f>
        <v>7 YR</v>
      </c>
      <c r="E87">
        <f>_xll.BDP($E$1&amp;IF(OR(Main!$D$7="AUD",Main!$D$7="NZD"),U108,U87)&amp;" "&amp;Main!$Q$79&amp;" Curncy",Main!$T$79)</f>
        <v>168</v>
      </c>
      <c r="F87">
        <f>_xll.BDP($E$1&amp;IF(OR(Main!$D$7="AUD",Main!$D$7="NZD"),V108,V87)&amp;" "&amp;Main!$Q$79&amp;" Curncy",Main!$T$79)</f>
        <v>331</v>
      </c>
      <c r="G87">
        <f>_xll.BDP($E$1&amp;IF(OR(Main!$D$7="AUD",Main!$D$7="NZD"),W108,W87)&amp;" "&amp;Main!$Q$79&amp;" Curncy",Main!$T$79)</f>
        <v>490</v>
      </c>
      <c r="H87">
        <f>_xll.BDP($E$1&amp;IF(OR(Main!$D$7="AUD",Main!$D$7="NZD"),X108,X87)&amp;" "&amp;Main!$Q$79&amp;" Curncy",Main!$T$79)</f>
        <v>647</v>
      </c>
      <c r="I87">
        <f>_xll.BDP($E$1&amp;IF(OR(Main!$D$7="AUD",Main!$D$7="NZD"),Y108,Y87)&amp;" "&amp;Main!$Q$79&amp;" Curncy",Main!$T$79)</f>
        <v>800</v>
      </c>
      <c r="J87">
        <f>_xll.BDP($E$1&amp;IF(OR(Main!$D$7="AUD",Main!$D$7="NZD"),Z108,Z87)&amp;" "&amp;Main!$Q$79&amp;" Curncy",Main!$T$79)</f>
        <v>947</v>
      </c>
      <c r="K87">
        <f>_xll.BDP($E$1&amp;IF(OR(Main!$D$7="AUD",Main!$D$7="NZD"),AA108,AA87)&amp;" "&amp;Main!$Q$79&amp;" Curncy",Main!$T$79)</f>
        <v>1092</v>
      </c>
      <c r="L87">
        <f>_xll.BDP($E$1&amp;IF(OR(Main!$D$7="AUD",Main!$D$7="NZD"),AB108,AB87)&amp;" "&amp;Main!$Q$79&amp;" Curncy",Main!$T$79)</f>
        <v>1231</v>
      </c>
      <c r="M87">
        <f>_xll.BDP($E$1&amp;IF(OR(Main!$D$7="AUD",Main!$D$7="NZD"),AC108,AC87)&amp;" "&amp;Main!$Q$79&amp;" Curncy",Main!$T$79)</f>
        <v>1365</v>
      </c>
      <c r="N87">
        <f>_xll.BDP($E$1&amp;IF(OR(Main!$D$7="AUD",Main!$D$7="NZD"),AD108,AD87)&amp;" "&amp;Main!$Q$79&amp;" Curncy",Main!$T$79)</f>
        <v>1497</v>
      </c>
      <c r="O87">
        <f>_xll.BDP($E$1&amp;IF(OR(Main!$D$7="AUD",Main!$D$7="NZD"),AE108,AE87)&amp;" "&amp;Main!$Q$79&amp;" Curncy",Main!$T$79)</f>
        <v>2022</v>
      </c>
      <c r="P87">
        <f>_xll.BDP($E$1&amp;IF(OR(Main!$D$7="AUD",Main!$D$7="NZD"),AF108,AF87)&amp;" "&amp;Main!$Q$79&amp;" Curncy",Main!$T$79)</f>
        <v>2488</v>
      </c>
      <c r="Q87">
        <f>_xll.BDP($E$1&amp;IF(OR(Main!$D$7="AUD",Main!$D$7="NZD"),AG108,AG87)&amp;" "&amp;Main!$Q$79&amp;" Curncy",Main!$T$79)</f>
        <v>2948</v>
      </c>
      <c r="R87">
        <f>_xll.BDP($E$1&amp;IF(OR(Main!$D$7="AUD",Main!$D$7="NZD"),AH108,AH87)&amp;" "&amp;Main!$Q$79&amp;" Curncy",Main!$T$79)</f>
        <v>3367</v>
      </c>
      <c r="T87" t="s">
        <v>47</v>
      </c>
      <c r="U87" t="s">
        <v>2242</v>
      </c>
      <c r="V87" t="s">
        <v>2243</v>
      </c>
      <c r="W87" t="s">
        <v>2244</v>
      </c>
      <c r="X87" t="s">
        <v>2245</v>
      </c>
      <c r="Y87" t="s">
        <v>2246</v>
      </c>
      <c r="Z87" t="s">
        <v>2247</v>
      </c>
      <c r="AA87" t="s">
        <v>2248</v>
      </c>
      <c r="AB87" t="s">
        <v>2249</v>
      </c>
      <c r="AC87" t="s">
        <v>2250</v>
      </c>
      <c r="AD87" t="s">
        <v>2251</v>
      </c>
      <c r="AE87" t="s">
        <v>2252</v>
      </c>
      <c r="AF87" t="s">
        <v>2253</v>
      </c>
      <c r="AG87" t="s">
        <v>2254</v>
      </c>
      <c r="AH87" t="s">
        <v>2255</v>
      </c>
      <c r="AJ87" t="s">
        <v>52</v>
      </c>
      <c r="AK87" t="s">
        <v>955</v>
      </c>
      <c r="AL87" t="s">
        <v>956</v>
      </c>
      <c r="AM87" t="s">
        <v>957</v>
      </c>
      <c r="AN87" t="s">
        <v>958</v>
      </c>
      <c r="AO87" t="s">
        <v>959</v>
      </c>
      <c r="AP87" t="s">
        <v>960</v>
      </c>
      <c r="AQ87" t="s">
        <v>961</v>
      </c>
      <c r="AR87" t="s">
        <v>962</v>
      </c>
      <c r="AS87" t="s">
        <v>963</v>
      </c>
      <c r="AT87" t="s">
        <v>964</v>
      </c>
      <c r="AU87" t="s">
        <v>965</v>
      </c>
      <c r="AV87" t="s">
        <v>966</v>
      </c>
      <c r="AW87" t="s">
        <v>967</v>
      </c>
      <c r="AX87" t="s">
        <v>968</v>
      </c>
      <c r="AY87" t="s">
        <v>969</v>
      </c>
      <c r="AZ87" t="s">
        <v>970</v>
      </c>
      <c r="BA87" t="s">
        <v>971</v>
      </c>
      <c r="BB87" t="s">
        <v>972</v>
      </c>
      <c r="BC87" t="s">
        <v>973</v>
      </c>
      <c r="BD87" t="s">
        <v>974</v>
      </c>
      <c r="BE87" t="s">
        <v>975</v>
      </c>
      <c r="BF87" t="s">
        <v>976</v>
      </c>
      <c r="BG87" t="s">
        <v>977</v>
      </c>
      <c r="BH87" t="s">
        <v>978</v>
      </c>
      <c r="BI87" t="s">
        <v>979</v>
      </c>
      <c r="BJ87" t="s">
        <v>980</v>
      </c>
      <c r="BK87" t="s">
        <v>981</v>
      </c>
      <c r="BL87" t="s">
        <v>982</v>
      </c>
      <c r="BM87" t="s">
        <v>983</v>
      </c>
      <c r="BN87" t="s">
        <v>984</v>
      </c>
    </row>
    <row r="88" spans="2:66" x14ac:dyDescent="0.2">
      <c r="B88" t="s">
        <v>2486</v>
      </c>
      <c r="D88" t="str">
        <f>IF(OR(Main!$D$7="AUD",Main!$D$7="NZD"),T109,T88)</f>
        <v>10 YR</v>
      </c>
      <c r="E88">
        <f>_xll.BDP($E$1&amp;IF(OR(Main!$D$7="AUD",Main!$D$7="NZD"),U109,U88)&amp;" "&amp;Main!$Q$79&amp;" Curncy",Main!$T$79)</f>
        <v>193</v>
      </c>
      <c r="F88">
        <f>_xll.BDP($E$1&amp;IF(OR(Main!$D$7="AUD",Main!$D$7="NZD"),V109,V88)&amp;" "&amp;Main!$Q$79&amp;" Curncy",Main!$T$79)</f>
        <v>379</v>
      </c>
      <c r="G88">
        <f>_xll.BDP($E$1&amp;IF(OR(Main!$D$7="AUD",Main!$D$7="NZD"),W109,W88)&amp;" "&amp;Main!$Q$79&amp;" Curncy",Main!$T$79)</f>
        <v>562</v>
      </c>
      <c r="H88">
        <f>_xll.BDP($E$1&amp;IF(OR(Main!$D$7="AUD",Main!$D$7="NZD"),X109,X88)&amp;" "&amp;Main!$Q$79&amp;" Curncy",Main!$T$79)</f>
        <v>740</v>
      </c>
      <c r="I88">
        <f>_xll.BDP($E$1&amp;IF(OR(Main!$D$7="AUD",Main!$D$7="NZD"),Y109,Y88)&amp;" "&amp;Main!$Q$79&amp;" Curncy",Main!$T$79)</f>
        <v>914</v>
      </c>
      <c r="J88">
        <f>_xll.BDP($E$1&amp;IF(OR(Main!$D$7="AUD",Main!$D$7="NZD"),Z109,Z88)&amp;" "&amp;Main!$Q$79&amp;" Curncy",Main!$T$79)</f>
        <v>1082</v>
      </c>
      <c r="K88">
        <f>_xll.BDP($E$1&amp;IF(OR(Main!$D$7="AUD",Main!$D$7="NZD"),AA109,AA88)&amp;" "&amp;Main!$Q$79&amp;" Curncy",Main!$T$79)</f>
        <v>1242</v>
      </c>
      <c r="L88">
        <f>_xll.BDP($E$1&amp;IF(OR(Main!$D$7="AUD",Main!$D$7="NZD"),AB109,AB88)&amp;" "&amp;Main!$Q$79&amp;" Curncy",Main!$T$79)</f>
        <v>1396</v>
      </c>
      <c r="M88">
        <f>_xll.BDP($E$1&amp;IF(OR(Main!$D$7="AUD",Main!$D$7="NZD"),AC109,AC88)&amp;" "&amp;Main!$Q$79&amp;" Curncy",Main!$T$79)</f>
        <v>1544</v>
      </c>
      <c r="N88">
        <f>_xll.BDP($E$1&amp;IF(OR(Main!$D$7="AUD",Main!$D$7="NZD"),AD109,AD88)&amp;" "&amp;Main!$Q$79&amp;" Curncy",Main!$T$79)</f>
        <v>1688</v>
      </c>
      <c r="O88" t="str">
        <f>_xll.BDP($E$1&amp;IF(OR(Main!$D$7="AUD",Main!$D$7="NZD"),AE109,AE88)&amp;" "&amp;Main!$Q$79&amp;" Curncy",Main!$T$79)</f>
        <v>#N/A Invalid Security</v>
      </c>
      <c r="P88" t="str">
        <f>_xll.BDP($E$1&amp;IF(OR(Main!$D$7="AUD",Main!$D$7="NZD"),AF109,AF88)&amp;" "&amp;Main!$Q$79&amp;" Curncy",Main!$T$79)</f>
        <v>#N/A N/A</v>
      </c>
      <c r="Q88" t="str">
        <f>_xll.BDP($E$1&amp;IF(OR(Main!$D$7="AUD",Main!$D$7="NZD"),AG109,AG88)&amp;" "&amp;Main!$Q$79&amp;" Curncy",Main!$T$79)</f>
        <v>#N/A Invalid Security</v>
      </c>
      <c r="R88" t="str">
        <f>_xll.BDP($E$1&amp;IF(OR(Main!$D$7="AUD",Main!$D$7="NZD"),AH109,AH88)&amp;" "&amp;Main!$Q$79&amp;" Curncy",Main!$T$79)</f>
        <v>#N/A N/A</v>
      </c>
      <c r="T88" t="s">
        <v>50</v>
      </c>
      <c r="U88" t="s">
        <v>2256</v>
      </c>
      <c r="V88" t="s">
        <v>2257</v>
      </c>
      <c r="W88" t="s">
        <v>2258</v>
      </c>
      <c r="X88" t="s">
        <v>2259</v>
      </c>
      <c r="Y88" t="s">
        <v>2260</v>
      </c>
      <c r="Z88" t="s">
        <v>2261</v>
      </c>
      <c r="AA88" t="s">
        <v>2262</v>
      </c>
      <c r="AB88" t="s">
        <v>2263</v>
      </c>
      <c r="AC88" t="s">
        <v>2264</v>
      </c>
      <c r="AD88" t="s">
        <v>2265</v>
      </c>
      <c r="AE88" t="s">
        <v>2266</v>
      </c>
      <c r="AF88" t="s">
        <v>2267</v>
      </c>
      <c r="AG88" t="s">
        <v>2268</v>
      </c>
      <c r="AH88" t="s">
        <v>2269</v>
      </c>
      <c r="AJ88" t="s">
        <v>53</v>
      </c>
      <c r="AK88" t="s">
        <v>985</v>
      </c>
      <c r="AL88" t="s">
        <v>986</v>
      </c>
      <c r="AM88" t="s">
        <v>987</v>
      </c>
      <c r="AN88" t="s">
        <v>988</v>
      </c>
      <c r="AO88" t="s">
        <v>989</v>
      </c>
      <c r="AP88" t="s">
        <v>990</v>
      </c>
      <c r="AQ88" t="s">
        <v>991</v>
      </c>
      <c r="AR88" t="s">
        <v>992</v>
      </c>
      <c r="AS88" t="s">
        <v>993</v>
      </c>
      <c r="AT88" t="s">
        <v>994</v>
      </c>
      <c r="AU88" t="s">
        <v>995</v>
      </c>
      <c r="AV88" t="s">
        <v>996</v>
      </c>
      <c r="AW88" t="s">
        <v>997</v>
      </c>
      <c r="AX88" t="s">
        <v>998</v>
      </c>
      <c r="AY88" t="s">
        <v>999</v>
      </c>
      <c r="AZ88" t="s">
        <v>1000</v>
      </c>
      <c r="BA88" t="s">
        <v>1001</v>
      </c>
      <c r="BB88" t="s">
        <v>1002</v>
      </c>
      <c r="BC88" t="s">
        <v>1003</v>
      </c>
      <c r="BD88" t="s">
        <v>1004</v>
      </c>
      <c r="BE88" t="s">
        <v>1005</v>
      </c>
      <c r="BF88" t="s">
        <v>1006</v>
      </c>
      <c r="BG88" t="s">
        <v>1007</v>
      </c>
      <c r="BH88" t="s">
        <v>1008</v>
      </c>
      <c r="BI88" t="s">
        <v>1009</v>
      </c>
      <c r="BJ88" t="s">
        <v>1010</v>
      </c>
      <c r="BK88" t="s">
        <v>1011</v>
      </c>
      <c r="BL88" t="s">
        <v>1012</v>
      </c>
      <c r="BM88" t="s">
        <v>1013</v>
      </c>
      <c r="BN88" t="s">
        <v>1014</v>
      </c>
    </row>
    <row r="89" spans="2:66" x14ac:dyDescent="0.2">
      <c r="D89" t="str">
        <f>IF(OR(Main!$D$7="AUD",Main!$D$7="NZD"),T110,T89)</f>
        <v>15 YR</v>
      </c>
      <c r="E89">
        <f>_xll.BDP($E$1&amp;IF(OR(Main!$D$7="AUD",Main!$D$7="NZD"),U110,U89)&amp;" "&amp;Main!$Q$79&amp;" Curncy",Main!$T$79)</f>
        <v>207</v>
      </c>
      <c r="F89">
        <f>_xll.BDP($E$1&amp;IF(OR(Main!$D$7="AUD",Main!$D$7="NZD"),V110,V89)&amp;" "&amp;Main!$Q$79&amp;" Curncy",Main!$T$79)</f>
        <v>409</v>
      </c>
      <c r="G89">
        <f>_xll.BDP($E$1&amp;IF(OR(Main!$D$7="AUD",Main!$D$7="NZD"),W110,W89)&amp;" "&amp;Main!$Q$79&amp;" Curncy",Main!$T$79)</f>
        <v>607</v>
      </c>
      <c r="H89">
        <f>_xll.BDP($E$1&amp;IF(OR(Main!$D$7="AUD",Main!$D$7="NZD"),X110,X89)&amp;" "&amp;Main!$Q$79&amp;" Curncy",Main!$T$79)</f>
        <v>800</v>
      </c>
      <c r="I89">
        <f>_xll.BDP($E$1&amp;IF(OR(Main!$D$7="AUD",Main!$D$7="NZD"),Y110,Y89)&amp;" "&amp;Main!$Q$79&amp;" Curncy",Main!$T$79)</f>
        <v>989</v>
      </c>
      <c r="J89">
        <f>_xll.BDP($E$1&amp;IF(OR(Main!$D$7="AUD",Main!$D$7="NZD"),Z110,Z89)&amp;" "&amp;Main!$Q$79&amp;" Curncy",Main!$T$79)</f>
        <v>1170</v>
      </c>
      <c r="K89">
        <f>_xll.BDP($E$1&amp;IF(OR(Main!$D$7="AUD",Main!$D$7="NZD"),AA110,AA89)&amp;" "&amp;Main!$Q$79&amp;" Curncy",Main!$T$79)</f>
        <v>1347</v>
      </c>
      <c r="L89">
        <f>_xll.BDP($E$1&amp;IF(OR(Main!$D$7="AUD",Main!$D$7="NZD"),AB110,AB89)&amp;" "&amp;Main!$Q$79&amp;" Curncy",Main!$T$79)</f>
        <v>1516</v>
      </c>
      <c r="M89">
        <f>_xll.BDP($E$1&amp;IF(OR(Main!$D$7="AUD",Main!$D$7="NZD"),AC110,AC89)&amp;" "&amp;Main!$Q$79&amp;" Curncy",Main!$T$79)</f>
        <v>1679</v>
      </c>
      <c r="N89" t="str">
        <f>_xll.BDP($E$1&amp;IF(OR(Main!$D$7="AUD",Main!$D$7="NZD"),AD110,AD89)&amp;" "&amp;Main!$Q$79&amp;" Curncy",Main!$T$79)</f>
        <v>#N/A N/A</v>
      </c>
      <c r="O89" t="str">
        <f>_xll.BDP($E$1&amp;IF(OR(Main!$D$7="AUD",Main!$D$7="NZD"),AE110,AE89)&amp;" "&amp;Main!$Q$79&amp;" Curncy",Main!$T$79)</f>
        <v>#N/A Invalid Security</v>
      </c>
      <c r="P89" t="str">
        <f>_xll.BDP($E$1&amp;IF(OR(Main!$D$7="AUD",Main!$D$7="NZD"),AF110,AF89)&amp;" "&amp;Main!$Q$79&amp;" Curncy",Main!$T$79)</f>
        <v>#N/A N/A</v>
      </c>
      <c r="Q89" t="str">
        <f>_xll.BDP($E$1&amp;IF(OR(Main!$D$7="AUD",Main!$D$7="NZD"),AG110,AG89)&amp;" "&amp;Main!$Q$79&amp;" Curncy",Main!$T$79)</f>
        <v>#N/A Invalid Security</v>
      </c>
      <c r="R89" t="str">
        <f>_xll.BDP($E$1&amp;IF(OR(Main!$D$7="AUD",Main!$D$7="NZD"),AH110,AH89)&amp;" "&amp;Main!$Q$79&amp;" Curncy",Main!$T$79)</f>
        <v>#N/A N/A</v>
      </c>
      <c r="T89" t="s">
        <v>52</v>
      </c>
      <c r="U89" t="s">
        <v>2270</v>
      </c>
      <c r="V89" t="s">
        <v>2271</v>
      </c>
      <c r="W89" t="s">
        <v>2272</v>
      </c>
      <c r="X89" t="s">
        <v>2273</v>
      </c>
      <c r="Y89" t="s">
        <v>2274</v>
      </c>
      <c r="Z89" t="s">
        <v>2275</v>
      </c>
      <c r="AA89" t="s">
        <v>2276</v>
      </c>
      <c r="AB89" t="s">
        <v>2277</v>
      </c>
      <c r="AC89" t="s">
        <v>2278</v>
      </c>
      <c r="AD89" t="s">
        <v>2279</v>
      </c>
      <c r="AE89" t="s">
        <v>2280</v>
      </c>
      <c r="AF89" t="s">
        <v>2281</v>
      </c>
      <c r="AG89" t="s">
        <v>2282</v>
      </c>
      <c r="AH89" t="s">
        <v>2283</v>
      </c>
      <c r="AJ89" t="s">
        <v>297</v>
      </c>
      <c r="AK89" t="s">
        <v>1015</v>
      </c>
      <c r="AL89" t="s">
        <v>1016</v>
      </c>
      <c r="AM89" t="s">
        <v>1017</v>
      </c>
      <c r="AN89" t="s">
        <v>1018</v>
      </c>
      <c r="AO89" t="s">
        <v>1019</v>
      </c>
      <c r="AP89" t="s">
        <v>1020</v>
      </c>
      <c r="AQ89" t="s">
        <v>1021</v>
      </c>
      <c r="AR89" t="s">
        <v>1022</v>
      </c>
      <c r="AS89" t="s">
        <v>1023</v>
      </c>
      <c r="AT89" t="s">
        <v>1024</v>
      </c>
      <c r="AU89" t="s">
        <v>1025</v>
      </c>
      <c r="AV89" t="s">
        <v>1026</v>
      </c>
      <c r="AW89" t="s">
        <v>1027</v>
      </c>
      <c r="AX89" t="s">
        <v>1028</v>
      </c>
      <c r="AY89" t="s">
        <v>1029</v>
      </c>
      <c r="AZ89" t="s">
        <v>1030</v>
      </c>
      <c r="BA89" t="s">
        <v>1031</v>
      </c>
      <c r="BB89" t="s">
        <v>1032</v>
      </c>
      <c r="BC89" t="s">
        <v>1033</v>
      </c>
      <c r="BD89" t="s">
        <v>1034</v>
      </c>
      <c r="BE89" t="s">
        <v>1035</v>
      </c>
      <c r="BF89" t="s">
        <v>1036</v>
      </c>
      <c r="BG89" t="s">
        <v>1037</v>
      </c>
      <c r="BH89" t="s">
        <v>1038</v>
      </c>
      <c r="BI89" t="s">
        <v>1039</v>
      </c>
      <c r="BJ89" t="s">
        <v>1040</v>
      </c>
      <c r="BK89" t="s">
        <v>1041</v>
      </c>
      <c r="BL89" t="s">
        <v>1042</v>
      </c>
      <c r="BM89" t="s">
        <v>1043</v>
      </c>
      <c r="BN89" t="s">
        <v>1044</v>
      </c>
    </row>
    <row r="90" spans="2:66" x14ac:dyDescent="0.2">
      <c r="D90" t="str">
        <f>IF(OR(Main!$D$7="AUD",Main!$D$7="NZD"),T111,T90)</f>
        <v>20 YR</v>
      </c>
      <c r="E90">
        <f>_xll.BDP($E$1&amp;IF(OR(Main!$D$7="AUD",Main!$D$7="NZD"),U111,U90)&amp;" "&amp;Main!$Q$79&amp;" Curncy",Main!$T$79)</f>
        <v>212</v>
      </c>
      <c r="F90">
        <f>_xll.BDP($E$1&amp;IF(OR(Main!$D$7="AUD",Main!$D$7="NZD"),V111,V90)&amp;" "&amp;Main!$Q$79&amp;" Curncy",Main!$T$79)</f>
        <v>417</v>
      </c>
      <c r="G90">
        <f>_xll.BDP($E$1&amp;IF(OR(Main!$D$7="AUD",Main!$D$7="NZD"),W111,W90)&amp;" "&amp;Main!$Q$79&amp;" Curncy",Main!$T$79)</f>
        <v>619</v>
      </c>
      <c r="H90">
        <f>_xll.BDP($E$1&amp;IF(OR(Main!$D$7="AUD",Main!$D$7="NZD"),X111,X90)&amp;" "&amp;Main!$Q$79&amp;" Curncy",Main!$T$79)</f>
        <v>817</v>
      </c>
      <c r="I90">
        <f>_xll.BDP($E$1&amp;IF(OR(Main!$D$7="AUD",Main!$D$7="NZD"),Y111,Y90)&amp;" "&amp;Main!$Q$79&amp;" Curncy",Main!$T$79)</f>
        <v>1013</v>
      </c>
      <c r="J90">
        <f>_xll.BDP($E$1&amp;IF(OR(Main!$D$7="AUD",Main!$D$7="NZD"),Z111,Z90)&amp;" "&amp;Main!$Q$79&amp;" Curncy",Main!$T$79)</f>
        <v>1199</v>
      </c>
      <c r="K90">
        <f>_xll.BDP($E$1&amp;IF(OR(Main!$D$7="AUD",Main!$D$7="NZD"),AA111,AA90)&amp;" "&amp;Main!$Q$79&amp;" Curncy",Main!$T$79)</f>
        <v>1381</v>
      </c>
      <c r="L90">
        <f>_xll.BDP($E$1&amp;IF(OR(Main!$D$7="AUD",Main!$D$7="NZD"),AB111,AB90)&amp;" "&amp;Main!$Q$79&amp;" Curncy",Main!$T$79)</f>
        <v>1558</v>
      </c>
      <c r="M90">
        <f>_xll.BDP($E$1&amp;IF(OR(Main!$D$7="AUD",Main!$D$7="NZD"),AC111,AC90)&amp;" "&amp;Main!$Q$79&amp;" Curncy",Main!$T$79)</f>
        <v>1728</v>
      </c>
      <c r="N90">
        <f>_xll.BDP($E$1&amp;IF(OR(Main!$D$7="AUD",Main!$D$7="NZD"),AD111,AD90)&amp;" "&amp;Main!$Q$79&amp;" Curncy",Main!$T$79)</f>
        <v>1894</v>
      </c>
      <c r="O90" t="str">
        <f>_xll.BDP($E$1&amp;IF(OR(Main!$D$7="AUD",Main!$D$7="NZD"),AE111,AE90)&amp;" "&amp;Main!$Q$79&amp;" Curncy",Main!$T$79)</f>
        <v>#N/A Invalid Security</v>
      </c>
      <c r="P90" t="str">
        <f>_xll.BDP($E$1&amp;IF(OR(Main!$D$7="AUD",Main!$D$7="NZD"),AF111,AF90)&amp;" "&amp;Main!$Q$79&amp;" Curncy",Main!$T$79)</f>
        <v>#N/A N/A</v>
      </c>
      <c r="Q90" t="str">
        <f>_xll.BDP($E$1&amp;IF(OR(Main!$D$7="AUD",Main!$D$7="NZD"),AG111,AG90)&amp;" "&amp;Main!$Q$79&amp;" Curncy",Main!$T$79)</f>
        <v>#N/A Invalid Security</v>
      </c>
      <c r="R90" t="str">
        <f>_xll.BDP($E$1&amp;IF(OR(Main!$D$7="AUD",Main!$D$7="NZD"),AH111,AH90)&amp;" "&amp;Main!$Q$79&amp;" Curncy",Main!$T$79)</f>
        <v>#N/A N/A</v>
      </c>
      <c r="T90" t="s">
        <v>53</v>
      </c>
      <c r="U90" t="s">
        <v>2284</v>
      </c>
      <c r="V90" t="s">
        <v>2285</v>
      </c>
      <c r="W90" t="s">
        <v>2286</v>
      </c>
      <c r="X90" t="s">
        <v>2287</v>
      </c>
      <c r="Y90" t="s">
        <v>2288</v>
      </c>
      <c r="Z90" t="s">
        <v>2289</v>
      </c>
      <c r="AA90" t="s">
        <v>2290</v>
      </c>
      <c r="AB90" t="s">
        <v>2291</v>
      </c>
      <c r="AC90" t="s">
        <v>2292</v>
      </c>
      <c r="AD90" t="s">
        <v>2293</v>
      </c>
      <c r="AE90" t="s">
        <v>2294</v>
      </c>
      <c r="AF90" t="s">
        <v>2295</v>
      </c>
      <c r="AG90" t="s">
        <v>2296</v>
      </c>
      <c r="AH90" t="s">
        <v>2297</v>
      </c>
      <c r="AJ90" t="s">
        <v>318</v>
      </c>
      <c r="AK90" t="s">
        <v>1045</v>
      </c>
      <c r="AL90" t="s">
        <v>1046</v>
      </c>
      <c r="AM90" t="s">
        <v>1047</v>
      </c>
      <c r="AN90" t="s">
        <v>1048</v>
      </c>
      <c r="AO90" t="s">
        <v>1049</v>
      </c>
      <c r="AP90" t="s">
        <v>1050</v>
      </c>
      <c r="AQ90" t="s">
        <v>1051</v>
      </c>
      <c r="AR90" t="s">
        <v>1052</v>
      </c>
      <c r="AS90" t="s">
        <v>1053</v>
      </c>
      <c r="AT90" t="s">
        <v>1054</v>
      </c>
      <c r="AU90" t="s">
        <v>1055</v>
      </c>
      <c r="AV90" t="s">
        <v>1056</v>
      </c>
      <c r="AW90" t="s">
        <v>1057</v>
      </c>
      <c r="AX90" t="s">
        <v>1058</v>
      </c>
      <c r="AY90" t="s">
        <v>1059</v>
      </c>
      <c r="AZ90" t="s">
        <v>1060</v>
      </c>
      <c r="BA90" t="s">
        <v>1061</v>
      </c>
      <c r="BB90" t="s">
        <v>1062</v>
      </c>
      <c r="BC90" t="s">
        <v>1063</v>
      </c>
      <c r="BD90" t="s">
        <v>1064</v>
      </c>
      <c r="BE90" t="s">
        <v>1065</v>
      </c>
      <c r="BF90" t="s">
        <v>1066</v>
      </c>
      <c r="BG90" t="s">
        <v>1067</v>
      </c>
      <c r="BH90" t="s">
        <v>1068</v>
      </c>
      <c r="BI90" t="s">
        <v>1069</v>
      </c>
      <c r="BJ90" t="s">
        <v>1070</v>
      </c>
      <c r="BK90" t="s">
        <v>1071</v>
      </c>
      <c r="BL90" t="s">
        <v>1072</v>
      </c>
      <c r="BM90" t="s">
        <v>1073</v>
      </c>
      <c r="BN90" t="s">
        <v>1074</v>
      </c>
    </row>
    <row r="91" spans="2:66" x14ac:dyDescent="0.2">
      <c r="D91" t="str">
        <f>IF(OR(Main!$D$7="AUD",Main!$D$7="NZD"),T112,T91)</f>
        <v>25 YR</v>
      </c>
      <c r="E91">
        <f>_xll.BDP($E$1&amp;IF(OR(Main!$D$7="AUD",Main!$D$7="NZD"),U112,U91)&amp;" "&amp;Main!$Q$79&amp;" Curncy",Main!$T$79)</f>
        <v>219</v>
      </c>
      <c r="F91">
        <f>_xll.BDP($E$1&amp;IF(OR(Main!$D$7="AUD",Main!$D$7="NZD"),V112,V91)&amp;" "&amp;Main!$Q$79&amp;" Curncy",Main!$T$79)</f>
        <v>432</v>
      </c>
      <c r="G91">
        <f>_xll.BDP($E$1&amp;IF(OR(Main!$D$7="AUD",Main!$D$7="NZD"),W112,W91)&amp;" "&amp;Main!$Q$79&amp;" Curncy",Main!$T$79)</f>
        <v>644</v>
      </c>
      <c r="H91">
        <f>_xll.BDP($E$1&amp;IF(OR(Main!$D$7="AUD",Main!$D$7="NZD"),X112,X91)&amp;" "&amp;Main!$Q$79&amp;" Curncy",Main!$T$79)</f>
        <v>848</v>
      </c>
      <c r="I91">
        <f>_xll.BDP($E$1&amp;IF(OR(Main!$D$7="AUD",Main!$D$7="NZD"),Y112,Y91)&amp;" "&amp;Main!$Q$79&amp;" Curncy",Main!$T$79)</f>
        <v>1049</v>
      </c>
      <c r="J91">
        <f>_xll.BDP($E$1&amp;IF(OR(Main!$D$7="AUD",Main!$D$7="NZD"),Z112,Z91)&amp;" "&amp;Main!$Q$79&amp;" Curncy",Main!$T$79)</f>
        <v>1247</v>
      </c>
      <c r="K91">
        <f>_xll.BDP($E$1&amp;IF(OR(Main!$D$7="AUD",Main!$D$7="NZD"),AA112,AA91)&amp;" "&amp;Main!$Q$79&amp;" Curncy",Main!$T$79)</f>
        <v>1441</v>
      </c>
      <c r="L91">
        <f>_xll.BDP($E$1&amp;IF(OR(Main!$D$7="AUD",Main!$D$7="NZD"),AB112,AB91)&amp;" "&amp;Main!$Q$79&amp;" Curncy",Main!$T$79)</f>
        <v>1633</v>
      </c>
      <c r="M91">
        <f>_xll.BDP($E$1&amp;IF(OR(Main!$D$7="AUD",Main!$D$7="NZD"),AC112,AC91)&amp;" "&amp;Main!$Q$79&amp;" Curncy",Main!$T$79)</f>
        <v>1820</v>
      </c>
      <c r="N91">
        <f>_xll.BDP($E$1&amp;IF(OR(Main!$D$7="AUD",Main!$D$7="NZD"),AD112,AD91)&amp;" "&amp;Main!$Q$79&amp;" Curncy",Main!$T$79)</f>
        <v>2003</v>
      </c>
      <c r="O91">
        <f>_xll.BDP($E$1&amp;IF(OR(Main!$D$7="AUD",Main!$D$7="NZD"),AE112,AE91)&amp;" "&amp;Main!$Q$79&amp;" Curncy",Main!$T$79)</f>
        <v>2763</v>
      </c>
      <c r="P91">
        <f>_xll.BDP($E$1&amp;IF(OR(Main!$D$7="AUD",Main!$D$7="NZD"),AF112,AF91)&amp;" "&amp;Main!$Q$79&amp;" Curncy",Main!$T$79)</f>
        <v>3460</v>
      </c>
      <c r="Q91">
        <f>_xll.BDP($E$1&amp;IF(OR(Main!$D$7="AUD",Main!$D$7="NZD"),AG112,AG91)&amp;" "&amp;Main!$Q$79&amp;" Curncy",Main!$T$79)</f>
        <v>4140</v>
      </c>
      <c r="R91">
        <f>_xll.BDP($E$1&amp;IF(OR(Main!$D$7="AUD",Main!$D$7="NZD"),AH112,AH91)&amp;" "&amp;Main!$Q$79&amp;" Curncy",Main!$T$79)</f>
        <v>4770</v>
      </c>
      <c r="T91" t="s">
        <v>297</v>
      </c>
      <c r="U91" t="s">
        <v>2298</v>
      </c>
      <c r="V91" t="s">
        <v>2299</v>
      </c>
      <c r="W91" t="s">
        <v>2300</v>
      </c>
      <c r="X91" t="s">
        <v>2301</v>
      </c>
      <c r="Y91" t="s">
        <v>2302</v>
      </c>
      <c r="Z91" t="s">
        <v>2303</v>
      </c>
      <c r="AA91" t="s">
        <v>2304</v>
      </c>
      <c r="AB91" t="s">
        <v>2305</v>
      </c>
      <c r="AC91" t="s">
        <v>2306</v>
      </c>
      <c r="AD91" t="s">
        <v>2307</v>
      </c>
      <c r="AE91" t="s">
        <v>2308</v>
      </c>
      <c r="AF91" t="s">
        <v>2309</v>
      </c>
      <c r="AG91" t="s">
        <v>2310</v>
      </c>
      <c r="AH91" t="s">
        <v>2311</v>
      </c>
    </row>
    <row r="92" spans="2:66" x14ac:dyDescent="0.2">
      <c r="D92" t="str">
        <f>IF(OR(Main!$D$7="AUD",Main!$D$7="NZD"),T113,T92)</f>
        <v>30 YR</v>
      </c>
      <c r="E92">
        <f>_xll.BDP($E$1&amp;IF(OR(Main!$D$7="AUD",Main!$D$7="NZD"),U113,U92)&amp;" "&amp;Main!$Q$79&amp;" Curncy",Main!$T$79)</f>
        <v>227</v>
      </c>
      <c r="F92">
        <f>_xll.BDP($E$1&amp;IF(OR(Main!$D$7="AUD",Main!$D$7="NZD"),V113,V92)&amp;" "&amp;Main!$Q$79&amp;" Curncy",Main!$T$79)</f>
        <v>451</v>
      </c>
      <c r="G92">
        <f>_xll.BDP($E$1&amp;IF(OR(Main!$D$7="AUD",Main!$D$7="NZD"),W113,W92)&amp;" "&amp;Main!$Q$79&amp;" Curncy",Main!$T$79)</f>
        <v>670</v>
      </c>
      <c r="H92">
        <f>_xll.BDP($E$1&amp;IF(OR(Main!$D$7="AUD",Main!$D$7="NZD"),X113,X92)&amp;" "&amp;Main!$Q$79&amp;" Curncy",Main!$T$79)</f>
        <v>884</v>
      </c>
      <c r="I92">
        <f>_xll.BDP($E$1&amp;IF(OR(Main!$D$7="AUD",Main!$D$7="NZD"),Y113,Y92)&amp;" "&amp;Main!$Q$79&amp;" Curncy",Main!$T$79)</f>
        <v>1095</v>
      </c>
      <c r="J92">
        <f>_xll.BDP($E$1&amp;IF(OR(Main!$D$7="AUD",Main!$D$7="NZD"),Z113,Z92)&amp;" "&amp;Main!$Q$79&amp;" Curncy",Main!$T$79)</f>
        <v>1306</v>
      </c>
      <c r="K92">
        <f>_xll.BDP($E$1&amp;IF(OR(Main!$D$7="AUD",Main!$D$7="NZD"),AA113,AA92)&amp;" "&amp;Main!$Q$79&amp;" Curncy",Main!$T$79)</f>
        <v>1514</v>
      </c>
      <c r="L92">
        <f>_xll.BDP($E$1&amp;IF(OR(Main!$D$7="AUD",Main!$D$7="NZD"),AB113,AB92)&amp;" "&amp;Main!$Q$79&amp;" Curncy",Main!$T$79)</f>
        <v>1720</v>
      </c>
      <c r="M92">
        <f>_xll.BDP($E$1&amp;IF(OR(Main!$D$7="AUD",Main!$D$7="NZD"),AC113,AC92)&amp;" "&amp;Main!$Q$79&amp;" Curncy",Main!$T$79)</f>
        <v>1922</v>
      </c>
      <c r="N92">
        <f>_xll.BDP($E$1&amp;IF(OR(Main!$D$7="AUD",Main!$D$7="NZD"),AD113,AD92)&amp;" "&amp;Main!$Q$79&amp;" Curncy",Main!$T$79)</f>
        <v>2122</v>
      </c>
      <c r="O92">
        <f>_xll.BDP($E$1&amp;IF(OR(Main!$D$7="AUD",Main!$D$7="NZD"),AE113,AE92)&amp;" "&amp;Main!$Q$79&amp;" Curncy",Main!$T$79)</f>
        <v>2965</v>
      </c>
      <c r="P92">
        <f>_xll.BDP($E$1&amp;IF(OR(Main!$D$7="AUD",Main!$D$7="NZD"),AF113,AF92)&amp;" "&amp;Main!$Q$79&amp;" Curncy",Main!$T$79)</f>
        <v>3741</v>
      </c>
      <c r="Q92">
        <f>_xll.BDP($E$1&amp;IF(OR(Main!$D$7="AUD",Main!$D$7="NZD"),AG113,AG92)&amp;" "&amp;Main!$Q$79&amp;" Curncy",Main!$T$79)</f>
        <v>4486</v>
      </c>
      <c r="R92">
        <f>_xll.BDP($E$1&amp;IF(OR(Main!$D$7="AUD",Main!$D$7="NZD"),AH113,AH92)&amp;" "&amp;Main!$Q$79&amp;" Curncy",Main!$T$79)</f>
        <v>5182</v>
      </c>
      <c r="T92" t="s">
        <v>318</v>
      </c>
      <c r="U92" t="s">
        <v>2312</v>
      </c>
      <c r="V92" t="s">
        <v>2313</v>
      </c>
      <c r="W92" t="s">
        <v>2314</v>
      </c>
      <c r="X92" t="s">
        <v>2315</v>
      </c>
      <c r="Y92" t="s">
        <v>2316</v>
      </c>
      <c r="Z92" t="s">
        <v>2317</v>
      </c>
      <c r="AA92" t="s">
        <v>2318</v>
      </c>
      <c r="AB92" t="s">
        <v>2319</v>
      </c>
      <c r="AC92" t="s">
        <v>2320</v>
      </c>
      <c r="AD92" t="s">
        <v>2321</v>
      </c>
      <c r="AE92" t="s">
        <v>2322</v>
      </c>
      <c r="AF92" t="s">
        <v>2323</v>
      </c>
      <c r="AG92" t="s">
        <v>2324</v>
      </c>
      <c r="AH92" t="s">
        <v>2325</v>
      </c>
      <c r="AJ92" t="s">
        <v>51</v>
      </c>
      <c r="AK92" t="s">
        <v>24</v>
      </c>
    </row>
    <row r="93" spans="2:66" x14ac:dyDescent="0.2">
      <c r="AJ93" t="s">
        <v>39</v>
      </c>
      <c r="AK93" t="s">
        <v>41</v>
      </c>
      <c r="AL93" t="s">
        <v>42</v>
      </c>
      <c r="AM93" t="s">
        <v>43</v>
      </c>
      <c r="AN93" t="s">
        <v>44</v>
      </c>
      <c r="AO93" t="s">
        <v>45</v>
      </c>
      <c r="AP93" t="s">
        <v>46</v>
      </c>
      <c r="AQ93" t="s">
        <v>47</v>
      </c>
      <c r="AR93" t="s">
        <v>48</v>
      </c>
      <c r="AS93" t="s">
        <v>49</v>
      </c>
      <c r="AT93" t="s">
        <v>50</v>
      </c>
      <c r="AU93" t="s">
        <v>319</v>
      </c>
      <c r="AV93" t="s">
        <v>52</v>
      </c>
      <c r="AW93" t="s">
        <v>53</v>
      </c>
      <c r="AX93" t="s">
        <v>297</v>
      </c>
      <c r="AY93" t="s">
        <v>318</v>
      </c>
    </row>
    <row r="94" spans="2:66" x14ac:dyDescent="0.2">
      <c r="AJ94" t="s">
        <v>54</v>
      </c>
      <c r="AK94" t="s">
        <v>1075</v>
      </c>
      <c r="AL94" t="s">
        <v>1076</v>
      </c>
      <c r="AM94" t="s">
        <v>1077</v>
      </c>
      <c r="AN94" t="s">
        <v>1078</v>
      </c>
      <c r="AO94" t="s">
        <v>1079</v>
      </c>
      <c r="AP94" t="s">
        <v>1080</v>
      </c>
      <c r="AQ94" t="s">
        <v>1081</v>
      </c>
      <c r="AR94" t="s">
        <v>1082</v>
      </c>
      <c r="AS94" t="s">
        <v>1083</v>
      </c>
      <c r="AT94" t="s">
        <v>1084</v>
      </c>
      <c r="AU94" t="s">
        <v>1085</v>
      </c>
      <c r="AV94" t="s">
        <v>1086</v>
      </c>
      <c r="AW94" t="s">
        <v>1087</v>
      </c>
      <c r="AX94" t="s">
        <v>1088</v>
      </c>
      <c r="AY94" t="s">
        <v>1089</v>
      </c>
    </row>
    <row r="95" spans="2:66" x14ac:dyDescent="0.2">
      <c r="AJ95" t="s">
        <v>55</v>
      </c>
      <c r="AK95" t="s">
        <v>1090</v>
      </c>
      <c r="AL95" t="s">
        <v>1091</v>
      </c>
      <c r="AM95" t="s">
        <v>1092</v>
      </c>
      <c r="AN95" t="s">
        <v>1093</v>
      </c>
      <c r="AO95" t="s">
        <v>1094</v>
      </c>
      <c r="AP95" t="s">
        <v>1095</v>
      </c>
      <c r="AQ95" t="s">
        <v>1096</v>
      </c>
      <c r="AR95" t="s">
        <v>1097</v>
      </c>
      <c r="AS95" t="s">
        <v>1098</v>
      </c>
      <c r="AT95" t="s">
        <v>1099</v>
      </c>
      <c r="AU95" t="s">
        <v>1100</v>
      </c>
      <c r="AV95" t="s">
        <v>1101</v>
      </c>
      <c r="AW95" t="s">
        <v>1102</v>
      </c>
      <c r="AX95" t="s">
        <v>1103</v>
      </c>
      <c r="AY95" t="s">
        <v>1104</v>
      </c>
    </row>
    <row r="96" spans="2:66" x14ac:dyDescent="0.2">
      <c r="U96" t="s">
        <v>41</v>
      </c>
      <c r="V96" t="s">
        <v>42</v>
      </c>
      <c r="W96" t="s">
        <v>43</v>
      </c>
      <c r="X96" t="s">
        <v>44</v>
      </c>
      <c r="Y96" t="s">
        <v>45</v>
      </c>
      <c r="Z96" t="s">
        <v>47</v>
      </c>
      <c r="AA96" t="s">
        <v>50</v>
      </c>
      <c r="AJ96" t="s">
        <v>56</v>
      </c>
      <c r="AK96" t="s">
        <v>1105</v>
      </c>
      <c r="AL96" t="s">
        <v>1106</v>
      </c>
      <c r="AM96" t="s">
        <v>1107</v>
      </c>
      <c r="AN96" t="s">
        <v>1108</v>
      </c>
      <c r="AO96" t="s">
        <v>1109</v>
      </c>
      <c r="AP96" t="s">
        <v>1110</v>
      </c>
      <c r="AQ96" t="s">
        <v>1111</v>
      </c>
      <c r="AR96" t="s">
        <v>1112</v>
      </c>
      <c r="AS96" t="s">
        <v>1113</v>
      </c>
      <c r="AT96" t="s">
        <v>1114</v>
      </c>
      <c r="AU96" t="s">
        <v>1115</v>
      </c>
      <c r="AV96" t="s">
        <v>1116</v>
      </c>
      <c r="AW96" t="s">
        <v>1117</v>
      </c>
      <c r="AX96" t="s">
        <v>1118</v>
      </c>
      <c r="AY96" t="s">
        <v>1119</v>
      </c>
    </row>
    <row r="97" spans="20:51" x14ac:dyDescent="0.2">
      <c r="T97" t="s">
        <v>54</v>
      </c>
      <c r="U97" t="s">
        <v>2404</v>
      </c>
      <c r="V97" t="s">
        <v>2405</v>
      </c>
      <c r="W97" t="s">
        <v>2406</v>
      </c>
      <c r="X97" t="s">
        <v>2407</v>
      </c>
      <c r="Y97" t="s">
        <v>2408</v>
      </c>
      <c r="Z97" t="s">
        <v>2409</v>
      </c>
      <c r="AA97" t="s">
        <v>2333</v>
      </c>
      <c r="AJ97" t="s">
        <v>1120</v>
      </c>
      <c r="AK97" t="s">
        <v>1121</v>
      </c>
      <c r="AL97" t="s">
        <v>1122</v>
      </c>
      <c r="AM97" t="s">
        <v>1123</v>
      </c>
      <c r="AN97" t="s">
        <v>1124</v>
      </c>
      <c r="AO97" t="s">
        <v>1125</v>
      </c>
      <c r="AP97" t="s">
        <v>1126</v>
      </c>
      <c r="AQ97" t="s">
        <v>1127</v>
      </c>
      <c r="AR97" t="s">
        <v>1128</v>
      </c>
      <c r="AS97" t="s">
        <v>1129</v>
      </c>
      <c r="AT97" t="s">
        <v>1130</v>
      </c>
      <c r="AU97" t="s">
        <v>1131</v>
      </c>
      <c r="AV97" t="s">
        <v>1132</v>
      </c>
      <c r="AW97" t="s">
        <v>1133</v>
      </c>
      <c r="AX97" t="s">
        <v>1134</v>
      </c>
      <c r="AY97" t="s">
        <v>1135</v>
      </c>
    </row>
    <row r="98" spans="20:51" x14ac:dyDescent="0.2">
      <c r="T98" t="s">
        <v>2087</v>
      </c>
      <c r="U98" t="s">
        <v>2410</v>
      </c>
      <c r="V98" t="s">
        <v>2411</v>
      </c>
      <c r="W98" t="s">
        <v>2412</v>
      </c>
      <c r="X98" t="s">
        <v>2413</v>
      </c>
      <c r="Y98" t="s">
        <v>2414</v>
      </c>
      <c r="Z98" t="s">
        <v>2415</v>
      </c>
      <c r="AA98" t="s">
        <v>2340</v>
      </c>
      <c r="AJ98" t="s">
        <v>41</v>
      </c>
      <c r="AK98" t="s">
        <v>1136</v>
      </c>
      <c r="AL98" t="s">
        <v>1137</v>
      </c>
      <c r="AM98" t="s">
        <v>1138</v>
      </c>
      <c r="AN98" t="s">
        <v>1139</v>
      </c>
      <c r="AO98" t="s">
        <v>1140</v>
      </c>
      <c r="AP98" t="s">
        <v>1141</v>
      </c>
      <c r="AQ98" t="s">
        <v>1142</v>
      </c>
      <c r="AR98" t="s">
        <v>1143</v>
      </c>
      <c r="AS98" t="s">
        <v>1144</v>
      </c>
      <c r="AT98" t="s">
        <v>1145</v>
      </c>
      <c r="AU98" t="s">
        <v>1146</v>
      </c>
      <c r="AV98" t="s">
        <v>1147</v>
      </c>
      <c r="AW98" t="s">
        <v>1148</v>
      </c>
      <c r="AX98" t="s">
        <v>1149</v>
      </c>
      <c r="AY98" t="s">
        <v>1150</v>
      </c>
    </row>
    <row r="99" spans="20:51" x14ac:dyDescent="0.2">
      <c r="T99" t="s">
        <v>55</v>
      </c>
      <c r="U99" t="s">
        <v>2416</v>
      </c>
      <c r="V99" t="s">
        <v>2417</v>
      </c>
      <c r="W99" t="s">
        <v>2418</v>
      </c>
      <c r="X99" t="s">
        <v>2419</v>
      </c>
      <c r="Y99" t="s">
        <v>2420</v>
      </c>
      <c r="Z99" t="s">
        <v>2421</v>
      </c>
      <c r="AA99" t="s">
        <v>2347</v>
      </c>
      <c r="AJ99" t="s">
        <v>42</v>
      </c>
      <c r="AK99" t="s">
        <v>1151</v>
      </c>
      <c r="AL99" t="s">
        <v>1152</v>
      </c>
      <c r="AM99" t="s">
        <v>1153</v>
      </c>
      <c r="AN99" t="s">
        <v>1154</v>
      </c>
      <c r="AO99" t="s">
        <v>1155</v>
      </c>
      <c r="AP99" t="s">
        <v>1156</v>
      </c>
      <c r="AQ99" t="s">
        <v>1157</v>
      </c>
      <c r="AR99" t="s">
        <v>1158</v>
      </c>
      <c r="AS99" t="s">
        <v>1159</v>
      </c>
      <c r="AT99" t="s">
        <v>1160</v>
      </c>
      <c r="AU99" t="s">
        <v>1161</v>
      </c>
      <c r="AV99" t="s">
        <v>1162</v>
      </c>
      <c r="AW99" t="s">
        <v>1163</v>
      </c>
      <c r="AX99" t="s">
        <v>1164</v>
      </c>
      <c r="AY99" t="s">
        <v>1165</v>
      </c>
    </row>
    <row r="100" spans="20:51" x14ac:dyDescent="0.2">
      <c r="T100" t="s">
        <v>56</v>
      </c>
      <c r="U100" t="s">
        <v>2422</v>
      </c>
      <c r="V100" t="s">
        <v>2423</v>
      </c>
      <c r="W100" t="s">
        <v>2424</v>
      </c>
      <c r="X100" t="s">
        <v>2425</v>
      </c>
      <c r="Y100" t="s">
        <v>2426</v>
      </c>
      <c r="Z100" t="s">
        <v>2427</v>
      </c>
      <c r="AA100" t="s">
        <v>2354</v>
      </c>
      <c r="AJ100" t="s">
        <v>43</v>
      </c>
      <c r="AK100" t="s">
        <v>1166</v>
      </c>
      <c r="AL100" t="s">
        <v>1167</v>
      </c>
      <c r="AM100" t="s">
        <v>1168</v>
      </c>
      <c r="AN100" t="s">
        <v>1169</v>
      </c>
      <c r="AO100" t="s">
        <v>1170</v>
      </c>
      <c r="AP100" t="s">
        <v>1171</v>
      </c>
      <c r="AQ100" t="s">
        <v>1172</v>
      </c>
      <c r="AR100" t="s">
        <v>1173</v>
      </c>
      <c r="AS100" t="s">
        <v>1174</v>
      </c>
      <c r="AT100" t="s">
        <v>1175</v>
      </c>
      <c r="AU100" t="s">
        <v>1176</v>
      </c>
      <c r="AV100" t="s">
        <v>1177</v>
      </c>
      <c r="AW100" t="s">
        <v>1178</v>
      </c>
      <c r="AX100" t="s">
        <v>1179</v>
      </c>
      <c r="AY100" t="s">
        <v>1180</v>
      </c>
    </row>
    <row r="101" spans="20:51" x14ac:dyDescent="0.2">
      <c r="T101" t="s">
        <v>1120</v>
      </c>
      <c r="U101" t="s">
        <v>2471</v>
      </c>
      <c r="V101" t="s">
        <v>2472</v>
      </c>
      <c r="W101" t="s">
        <v>2473</v>
      </c>
      <c r="X101" t="s">
        <v>2474</v>
      </c>
      <c r="Y101" t="s">
        <v>2475</v>
      </c>
      <c r="Z101" t="s">
        <v>2476</v>
      </c>
      <c r="AA101" t="s">
        <v>2477</v>
      </c>
      <c r="AJ101" t="s">
        <v>44</v>
      </c>
      <c r="AK101" t="s">
        <v>1181</v>
      </c>
      <c r="AL101" t="s">
        <v>1182</v>
      </c>
      <c r="AM101" t="s">
        <v>1183</v>
      </c>
      <c r="AN101" t="s">
        <v>1184</v>
      </c>
      <c r="AO101" t="s">
        <v>1185</v>
      </c>
      <c r="AP101" t="s">
        <v>1186</v>
      </c>
      <c r="AQ101" t="s">
        <v>1187</v>
      </c>
      <c r="AR101" t="s">
        <v>1188</v>
      </c>
      <c r="AS101" t="s">
        <v>1189</v>
      </c>
      <c r="AT101" t="s">
        <v>1190</v>
      </c>
      <c r="AU101" t="s">
        <v>1191</v>
      </c>
      <c r="AV101" t="s">
        <v>1192</v>
      </c>
      <c r="AW101" t="s">
        <v>1193</v>
      </c>
      <c r="AX101" t="s">
        <v>1194</v>
      </c>
      <c r="AY101" t="s">
        <v>1195</v>
      </c>
    </row>
    <row r="102" spans="20:51" x14ac:dyDescent="0.2">
      <c r="T102" t="s">
        <v>41</v>
      </c>
      <c r="U102" t="s">
        <v>2428</v>
      </c>
      <c r="V102" t="s">
        <v>2429</v>
      </c>
      <c r="W102" t="s">
        <v>2430</v>
      </c>
      <c r="X102" t="s">
        <v>2431</v>
      </c>
      <c r="Y102" t="s">
        <v>2432</v>
      </c>
      <c r="Z102" t="s">
        <v>2433</v>
      </c>
      <c r="AA102" t="s">
        <v>2361</v>
      </c>
      <c r="AJ102" t="s">
        <v>45</v>
      </c>
      <c r="AK102" t="s">
        <v>1196</v>
      </c>
      <c r="AL102" t="s">
        <v>1197</v>
      </c>
      <c r="AM102" t="s">
        <v>1198</v>
      </c>
      <c r="AN102" t="s">
        <v>1199</v>
      </c>
      <c r="AO102" t="s">
        <v>1200</v>
      </c>
      <c r="AP102" t="s">
        <v>1201</v>
      </c>
      <c r="AQ102" t="s">
        <v>1202</v>
      </c>
      <c r="AR102" t="s">
        <v>1203</v>
      </c>
      <c r="AS102" t="s">
        <v>1204</v>
      </c>
      <c r="AT102" t="s">
        <v>1205</v>
      </c>
      <c r="AU102" t="s">
        <v>1206</v>
      </c>
      <c r="AV102" t="s">
        <v>1207</v>
      </c>
      <c r="AW102" t="s">
        <v>1208</v>
      </c>
      <c r="AX102" t="s">
        <v>1209</v>
      </c>
      <c r="AY102" t="s">
        <v>1210</v>
      </c>
    </row>
    <row r="103" spans="20:51" x14ac:dyDescent="0.2">
      <c r="T103" t="s">
        <v>2478</v>
      </c>
      <c r="U103" t="s">
        <v>2479</v>
      </c>
      <c r="V103" t="s">
        <v>2480</v>
      </c>
      <c r="W103" t="s">
        <v>2481</v>
      </c>
      <c r="X103" t="s">
        <v>2482</v>
      </c>
      <c r="Y103" t="s">
        <v>2483</v>
      </c>
      <c r="Z103" t="s">
        <v>2484</v>
      </c>
      <c r="AA103" t="s">
        <v>2485</v>
      </c>
      <c r="AJ103" t="s">
        <v>46</v>
      </c>
      <c r="AK103" t="s">
        <v>1211</v>
      </c>
      <c r="AL103" t="s">
        <v>1212</v>
      </c>
      <c r="AM103" t="s">
        <v>1213</v>
      </c>
      <c r="AN103" t="s">
        <v>1214</v>
      </c>
      <c r="AO103" t="s">
        <v>1215</v>
      </c>
      <c r="AP103" t="s">
        <v>1216</v>
      </c>
      <c r="AQ103" t="s">
        <v>1217</v>
      </c>
      <c r="AR103" t="s">
        <v>1218</v>
      </c>
      <c r="AS103" t="s">
        <v>1219</v>
      </c>
      <c r="AT103" t="s">
        <v>1220</v>
      </c>
      <c r="AU103" t="s">
        <v>1221</v>
      </c>
      <c r="AV103" t="s">
        <v>1222</v>
      </c>
      <c r="AW103" t="s">
        <v>1223</v>
      </c>
      <c r="AX103" t="s">
        <v>1224</v>
      </c>
      <c r="AY103" t="s">
        <v>1225</v>
      </c>
    </row>
    <row r="104" spans="20:51" x14ac:dyDescent="0.2">
      <c r="T104" t="s">
        <v>42</v>
      </c>
      <c r="U104" t="s">
        <v>2434</v>
      </c>
      <c r="V104" t="s">
        <v>2435</v>
      </c>
      <c r="W104" t="s">
        <v>2436</v>
      </c>
      <c r="X104" t="s">
        <v>2437</v>
      </c>
      <c r="Y104" t="s">
        <v>2438</v>
      </c>
      <c r="Z104" t="s">
        <v>2439</v>
      </c>
      <c r="AA104" t="s">
        <v>2368</v>
      </c>
      <c r="AJ104" t="s">
        <v>47</v>
      </c>
      <c r="AK104" t="s">
        <v>1226</v>
      </c>
      <c r="AL104" t="s">
        <v>1227</v>
      </c>
      <c r="AM104" t="s">
        <v>1228</v>
      </c>
      <c r="AN104" t="s">
        <v>1229</v>
      </c>
      <c r="AO104" t="s">
        <v>1230</v>
      </c>
      <c r="AP104" t="s">
        <v>1231</v>
      </c>
      <c r="AQ104" t="s">
        <v>1232</v>
      </c>
      <c r="AR104" t="s">
        <v>1233</v>
      </c>
      <c r="AS104" t="s">
        <v>1234</v>
      </c>
      <c r="AT104" t="s">
        <v>1235</v>
      </c>
      <c r="AU104" t="s">
        <v>1236</v>
      </c>
      <c r="AV104" t="s">
        <v>1237</v>
      </c>
      <c r="AW104" t="s">
        <v>1238</v>
      </c>
      <c r="AX104" t="s">
        <v>1239</v>
      </c>
      <c r="AY104" t="s">
        <v>1240</v>
      </c>
    </row>
    <row r="105" spans="20:51" x14ac:dyDescent="0.2">
      <c r="T105" t="s">
        <v>43</v>
      </c>
      <c r="U105" t="s">
        <v>2440</v>
      </c>
      <c r="V105" t="s">
        <v>2441</v>
      </c>
      <c r="W105" t="s">
        <v>2442</v>
      </c>
      <c r="X105" t="s">
        <v>2443</v>
      </c>
      <c r="Y105" t="s">
        <v>2444</v>
      </c>
      <c r="Z105" t="s">
        <v>2445</v>
      </c>
      <c r="AA105" t="s">
        <v>2375</v>
      </c>
      <c r="AJ105" t="s">
        <v>48</v>
      </c>
      <c r="AK105" t="s">
        <v>1241</v>
      </c>
      <c r="AL105" t="s">
        <v>1242</v>
      </c>
      <c r="AM105" t="s">
        <v>1243</v>
      </c>
      <c r="AN105" t="s">
        <v>1244</v>
      </c>
      <c r="AO105" t="s">
        <v>1245</v>
      </c>
      <c r="AP105" t="s">
        <v>1246</v>
      </c>
      <c r="AQ105" t="s">
        <v>1247</v>
      </c>
      <c r="AR105" t="s">
        <v>1248</v>
      </c>
      <c r="AS105" t="s">
        <v>1249</v>
      </c>
      <c r="AT105" t="s">
        <v>1250</v>
      </c>
      <c r="AU105" t="s">
        <v>1251</v>
      </c>
      <c r="AV105" t="s">
        <v>1252</v>
      </c>
      <c r="AW105" t="s">
        <v>1253</v>
      </c>
      <c r="AX105" t="s">
        <v>1254</v>
      </c>
      <c r="AY105" t="s">
        <v>1255</v>
      </c>
    </row>
    <row r="106" spans="20:51" x14ac:dyDescent="0.2">
      <c r="T106" t="s">
        <v>44</v>
      </c>
      <c r="U106" t="s">
        <v>2446</v>
      </c>
      <c r="V106" t="s">
        <v>2447</v>
      </c>
      <c r="W106" t="s">
        <v>2448</v>
      </c>
      <c r="X106" t="s">
        <v>2449</v>
      </c>
      <c r="Y106" t="s">
        <v>2450</v>
      </c>
      <c r="Z106" t="s">
        <v>2451</v>
      </c>
      <c r="AA106" t="s">
        <v>2382</v>
      </c>
      <c r="AJ106" t="s">
        <v>49</v>
      </c>
      <c r="AK106" t="s">
        <v>1256</v>
      </c>
      <c r="AL106" t="s">
        <v>1257</v>
      </c>
      <c r="AM106" t="s">
        <v>1258</v>
      </c>
      <c r="AN106" t="s">
        <v>1259</v>
      </c>
      <c r="AO106" t="s">
        <v>1260</v>
      </c>
      <c r="AP106" t="s">
        <v>1261</v>
      </c>
      <c r="AQ106" t="s">
        <v>1262</v>
      </c>
      <c r="AR106" t="s">
        <v>1263</v>
      </c>
      <c r="AS106" t="s">
        <v>1264</v>
      </c>
      <c r="AT106" t="s">
        <v>1265</v>
      </c>
      <c r="AU106" t="s">
        <v>1266</v>
      </c>
      <c r="AV106" t="s">
        <v>1267</v>
      </c>
      <c r="AW106" t="s">
        <v>1268</v>
      </c>
      <c r="AX106" t="s">
        <v>1269</v>
      </c>
      <c r="AY106" t="s">
        <v>1270</v>
      </c>
    </row>
    <row r="107" spans="20:51" x14ac:dyDescent="0.2">
      <c r="T107" t="s">
        <v>45</v>
      </c>
      <c r="U107" t="s">
        <v>2452</v>
      </c>
      <c r="V107" t="s">
        <v>2453</v>
      </c>
      <c r="W107" t="s">
        <v>2454</v>
      </c>
      <c r="X107" t="s">
        <v>2455</v>
      </c>
      <c r="Y107" t="s">
        <v>2456</v>
      </c>
      <c r="Z107" t="s">
        <v>2457</v>
      </c>
      <c r="AA107" t="s">
        <v>2389</v>
      </c>
      <c r="AJ107" t="s">
        <v>50</v>
      </c>
      <c r="AK107" t="s">
        <v>1271</v>
      </c>
      <c r="AL107" t="s">
        <v>1272</v>
      </c>
      <c r="AM107" t="s">
        <v>1273</v>
      </c>
      <c r="AN107" t="s">
        <v>1274</v>
      </c>
      <c r="AO107" t="s">
        <v>1275</v>
      </c>
      <c r="AP107" t="s">
        <v>1276</v>
      </c>
      <c r="AQ107" t="s">
        <v>1277</v>
      </c>
      <c r="AR107" t="s">
        <v>1278</v>
      </c>
      <c r="AS107" t="s">
        <v>1279</v>
      </c>
      <c r="AT107" t="s">
        <v>1280</v>
      </c>
      <c r="AU107" t="s">
        <v>1281</v>
      </c>
      <c r="AV107" t="s">
        <v>1282</v>
      </c>
      <c r="AW107" t="s">
        <v>1283</v>
      </c>
      <c r="AX107" t="s">
        <v>1284</v>
      </c>
      <c r="AY107" t="s">
        <v>1285</v>
      </c>
    </row>
    <row r="108" spans="20:51" x14ac:dyDescent="0.2">
      <c r="T108" t="s">
        <v>47</v>
      </c>
      <c r="U108" t="s">
        <v>2458</v>
      </c>
      <c r="V108" t="s">
        <v>2459</v>
      </c>
      <c r="W108" t="s">
        <v>2460</v>
      </c>
      <c r="X108" t="s">
        <v>2461</v>
      </c>
      <c r="Y108" t="s">
        <v>2462</v>
      </c>
      <c r="Z108" t="s">
        <v>2463</v>
      </c>
      <c r="AA108" t="s">
        <v>2396</v>
      </c>
      <c r="AJ108" t="s">
        <v>319</v>
      </c>
      <c r="AK108" t="s">
        <v>494</v>
      </c>
      <c r="AL108" t="s">
        <v>495</v>
      </c>
      <c r="AM108" t="s">
        <v>496</v>
      </c>
      <c r="AN108" t="s">
        <v>497</v>
      </c>
      <c r="AO108" t="s">
        <v>498</v>
      </c>
      <c r="AP108" t="s">
        <v>499</v>
      </c>
      <c r="AQ108" t="s">
        <v>500</v>
      </c>
      <c r="AR108" t="s">
        <v>501</v>
      </c>
      <c r="AS108" t="s">
        <v>502</v>
      </c>
      <c r="AT108" t="s">
        <v>503</v>
      </c>
      <c r="AU108" t="s">
        <v>504</v>
      </c>
      <c r="AV108" t="s">
        <v>505</v>
      </c>
      <c r="AW108" t="s">
        <v>506</v>
      </c>
      <c r="AX108" t="s">
        <v>507</v>
      </c>
      <c r="AY108" t="s">
        <v>508</v>
      </c>
    </row>
    <row r="109" spans="20:51" x14ac:dyDescent="0.2">
      <c r="T109" t="s">
        <v>50</v>
      </c>
      <c r="U109" t="s">
        <v>2464</v>
      </c>
      <c r="V109" t="s">
        <v>2465</v>
      </c>
      <c r="W109" t="s">
        <v>2466</v>
      </c>
      <c r="X109" t="s">
        <v>2467</v>
      </c>
      <c r="Y109" t="s">
        <v>2468</v>
      </c>
      <c r="Z109" t="s">
        <v>2469</v>
      </c>
      <c r="AA109" t="s">
        <v>2403</v>
      </c>
      <c r="AJ109" t="s">
        <v>52</v>
      </c>
      <c r="AK109" t="s">
        <v>509</v>
      </c>
      <c r="AL109" t="s">
        <v>510</v>
      </c>
      <c r="AM109" t="s">
        <v>511</v>
      </c>
      <c r="AN109" t="s">
        <v>512</v>
      </c>
      <c r="AO109" t="s">
        <v>513</v>
      </c>
      <c r="AP109" t="s">
        <v>514</v>
      </c>
      <c r="AQ109" t="s">
        <v>515</v>
      </c>
      <c r="AR109" t="s">
        <v>516</v>
      </c>
      <c r="AS109" t="s">
        <v>517</v>
      </c>
      <c r="AT109" t="s">
        <v>518</v>
      </c>
      <c r="AU109" t="s">
        <v>519</v>
      </c>
      <c r="AV109" t="s">
        <v>520</v>
      </c>
      <c r="AW109" t="s">
        <v>521</v>
      </c>
      <c r="AX109" t="s">
        <v>522</v>
      </c>
      <c r="AY109" t="s">
        <v>523</v>
      </c>
    </row>
    <row r="110" spans="20:51" x14ac:dyDescent="0.2">
      <c r="AJ110" t="s">
        <v>53</v>
      </c>
      <c r="AK110" t="s">
        <v>524</v>
      </c>
      <c r="AL110" t="s">
        <v>525</v>
      </c>
      <c r="AM110" t="s">
        <v>526</v>
      </c>
      <c r="AN110" t="s">
        <v>527</v>
      </c>
      <c r="AO110" t="s">
        <v>528</v>
      </c>
      <c r="AP110" t="s">
        <v>529</v>
      </c>
      <c r="AQ110" t="s">
        <v>530</v>
      </c>
      <c r="AR110" t="s">
        <v>531</v>
      </c>
      <c r="AS110" t="s">
        <v>532</v>
      </c>
      <c r="AT110" t="s">
        <v>533</v>
      </c>
      <c r="AU110" t="s">
        <v>534</v>
      </c>
      <c r="AV110" t="s">
        <v>535</v>
      </c>
      <c r="AW110" t="s">
        <v>536</v>
      </c>
      <c r="AX110" t="s">
        <v>537</v>
      </c>
      <c r="AY110" t="s">
        <v>538</v>
      </c>
    </row>
    <row r="111" spans="20:51" x14ac:dyDescent="0.2">
      <c r="AJ111" t="s">
        <v>297</v>
      </c>
      <c r="AK111" t="s">
        <v>539</v>
      </c>
      <c r="AL111" t="s">
        <v>540</v>
      </c>
      <c r="AM111" t="s">
        <v>541</v>
      </c>
      <c r="AN111" t="s">
        <v>542</v>
      </c>
      <c r="AO111" t="s">
        <v>543</v>
      </c>
      <c r="AP111" t="s">
        <v>544</v>
      </c>
      <c r="AQ111" t="s">
        <v>545</v>
      </c>
      <c r="AR111" t="s">
        <v>546</v>
      </c>
      <c r="AS111" t="s">
        <v>547</v>
      </c>
      <c r="AT111" t="s">
        <v>548</v>
      </c>
      <c r="AU111" t="s">
        <v>549</v>
      </c>
      <c r="AV111" t="s">
        <v>550</v>
      </c>
      <c r="AW111" t="s">
        <v>551</v>
      </c>
      <c r="AX111" t="s">
        <v>552</v>
      </c>
      <c r="AY111" t="s">
        <v>553</v>
      </c>
    </row>
    <row r="112" spans="20:51" x14ac:dyDescent="0.2">
      <c r="AJ112" t="s">
        <v>318</v>
      </c>
      <c r="AK112" t="s">
        <v>554</v>
      </c>
      <c r="AL112" t="s">
        <v>555</v>
      </c>
      <c r="AM112" t="s">
        <v>556</v>
      </c>
      <c r="AN112" t="s">
        <v>557</v>
      </c>
      <c r="AO112" t="s">
        <v>558</v>
      </c>
      <c r="AP112" t="s">
        <v>559</v>
      </c>
      <c r="AQ112" t="s">
        <v>560</v>
      </c>
      <c r="AR112" t="s">
        <v>561</v>
      </c>
      <c r="AS112" t="s">
        <v>562</v>
      </c>
      <c r="AT112" t="s">
        <v>563</v>
      </c>
      <c r="AU112" t="s">
        <v>564</v>
      </c>
      <c r="AV112" t="s">
        <v>565</v>
      </c>
      <c r="AW112" t="s">
        <v>566</v>
      </c>
      <c r="AX112" t="s">
        <v>567</v>
      </c>
      <c r="AY112" t="s">
        <v>568</v>
      </c>
    </row>
    <row r="115" spans="20:66" x14ac:dyDescent="0.2">
      <c r="U115" t="s">
        <v>41</v>
      </c>
      <c r="V115" t="s">
        <v>42</v>
      </c>
      <c r="W115" t="s">
        <v>43</v>
      </c>
      <c r="X115" t="s">
        <v>44</v>
      </c>
      <c r="Y115" t="s">
        <v>45</v>
      </c>
      <c r="Z115" t="s">
        <v>47</v>
      </c>
      <c r="AA115" t="s">
        <v>50</v>
      </c>
      <c r="AJ115" t="s">
        <v>38</v>
      </c>
      <c r="AK115" t="s">
        <v>25</v>
      </c>
    </row>
    <row r="116" spans="20:66" x14ac:dyDescent="0.2">
      <c r="T116" t="s">
        <v>54</v>
      </c>
      <c r="U116" t="s">
        <v>2327</v>
      </c>
      <c r="V116" t="s">
        <v>2328</v>
      </c>
      <c r="W116" t="s">
        <v>2329</v>
      </c>
      <c r="X116" t="s">
        <v>2330</v>
      </c>
      <c r="Y116" t="s">
        <v>2331</v>
      </c>
      <c r="Z116" t="s">
        <v>2332</v>
      </c>
      <c r="AA116" t="s">
        <v>2333</v>
      </c>
      <c r="AJ116" t="s">
        <v>39</v>
      </c>
      <c r="AK116" t="s">
        <v>40</v>
      </c>
      <c r="AL116" s="1">
        <v>0.01</v>
      </c>
      <c r="AM116" s="1">
        <v>1.4999999999999999E-2</v>
      </c>
      <c r="AN116" s="1">
        <v>0.02</v>
      </c>
      <c r="AO116" s="1">
        <v>2.5000000000000001E-2</v>
      </c>
      <c r="AP116" s="1">
        <v>0.03</v>
      </c>
      <c r="AQ116" s="1">
        <v>3.5000000000000003E-2</v>
      </c>
      <c r="AR116" s="1">
        <v>0.04</v>
      </c>
      <c r="AS116" s="1">
        <v>4.4999999999999998E-2</v>
      </c>
      <c r="AT116" s="1">
        <v>0.05</v>
      </c>
      <c r="AU116" s="1">
        <v>5.5E-2</v>
      </c>
      <c r="AV116" s="1">
        <v>0.06</v>
      </c>
      <c r="AW116" s="1">
        <v>6.5000000000000002E-2</v>
      </c>
      <c r="AX116" s="1">
        <v>7.0000000000000007E-2</v>
      </c>
      <c r="AY116" s="1">
        <v>7.4999999999999997E-2</v>
      </c>
      <c r="AZ116" s="1">
        <v>0.08</v>
      </c>
      <c r="BA116" s="1">
        <v>8.5000000000000006E-2</v>
      </c>
      <c r="BB116" s="1">
        <v>0.09</v>
      </c>
      <c r="BC116" s="1">
        <v>9.5000000000000001E-2</v>
      </c>
      <c r="BD116" s="1">
        <v>0.1</v>
      </c>
      <c r="BE116" s="1">
        <v>0.105</v>
      </c>
      <c r="BF116" s="1">
        <v>0.11</v>
      </c>
      <c r="BG116" s="1">
        <v>0.115</v>
      </c>
      <c r="BH116" s="1">
        <v>0.12</v>
      </c>
      <c r="BI116" s="1">
        <v>0.125</v>
      </c>
      <c r="BJ116" s="1">
        <v>0.13</v>
      </c>
      <c r="BK116" s="1">
        <v>0.13500000000000001</v>
      </c>
      <c r="BL116" s="1">
        <v>0.14000000000000001</v>
      </c>
      <c r="BM116" s="1">
        <v>0.14499999999999999</v>
      </c>
      <c r="BN116" s="1">
        <v>0.15</v>
      </c>
    </row>
    <row r="117" spans="20:66" x14ac:dyDescent="0.2">
      <c r="T117" t="s">
        <v>2087</v>
      </c>
      <c r="U117" t="s">
        <v>2334</v>
      </c>
      <c r="V117" t="s">
        <v>2335</v>
      </c>
      <c r="W117" t="s">
        <v>2336</v>
      </c>
      <c r="X117" t="s">
        <v>2337</v>
      </c>
      <c r="Y117" t="s">
        <v>2338</v>
      </c>
      <c r="Z117" t="s">
        <v>2339</v>
      </c>
      <c r="AA117" t="s">
        <v>2340</v>
      </c>
      <c r="AJ117" t="s">
        <v>41</v>
      </c>
      <c r="AK117" t="s">
        <v>1286</v>
      </c>
      <c r="AL117" t="s">
        <v>1287</v>
      </c>
      <c r="AM117" t="s">
        <v>1288</v>
      </c>
      <c r="AN117" t="s">
        <v>1289</v>
      </c>
      <c r="AO117" t="s">
        <v>1290</v>
      </c>
      <c r="AP117" t="s">
        <v>1291</v>
      </c>
      <c r="AQ117" t="s">
        <v>1292</v>
      </c>
      <c r="AR117" t="s">
        <v>1293</v>
      </c>
      <c r="AS117" t="s">
        <v>1294</v>
      </c>
      <c r="AT117" t="s">
        <v>1295</v>
      </c>
      <c r="AU117" t="s">
        <v>1296</v>
      </c>
      <c r="AV117" t="s">
        <v>1297</v>
      </c>
      <c r="AW117" t="s">
        <v>1298</v>
      </c>
      <c r="AX117" t="s">
        <v>1299</v>
      </c>
      <c r="AY117" t="s">
        <v>1300</v>
      </c>
      <c r="AZ117" t="s">
        <v>1301</v>
      </c>
      <c r="BA117" t="s">
        <v>1302</v>
      </c>
      <c r="BB117" t="s">
        <v>1303</v>
      </c>
      <c r="BC117" t="s">
        <v>1304</v>
      </c>
      <c r="BD117" t="s">
        <v>1305</v>
      </c>
      <c r="BE117" t="s">
        <v>1306</v>
      </c>
      <c r="BF117" t="s">
        <v>1307</v>
      </c>
      <c r="BG117" t="s">
        <v>1308</v>
      </c>
      <c r="BH117" t="s">
        <v>1309</v>
      </c>
      <c r="BI117" t="s">
        <v>1310</v>
      </c>
      <c r="BJ117" t="s">
        <v>1311</v>
      </c>
      <c r="BK117" t="s">
        <v>1312</v>
      </c>
      <c r="BL117" t="s">
        <v>1313</v>
      </c>
      <c r="BM117" t="s">
        <v>1314</v>
      </c>
      <c r="BN117" t="s">
        <v>1315</v>
      </c>
    </row>
    <row r="118" spans="20:66" x14ac:dyDescent="0.2">
      <c r="T118" t="s">
        <v>55</v>
      </c>
      <c r="U118" t="s">
        <v>2341</v>
      </c>
      <c r="V118" t="s">
        <v>2342</v>
      </c>
      <c r="W118" t="s">
        <v>2343</v>
      </c>
      <c r="X118" t="s">
        <v>2344</v>
      </c>
      <c r="Y118" t="s">
        <v>2345</v>
      </c>
      <c r="Z118" t="s">
        <v>2346</v>
      </c>
      <c r="AA118" t="s">
        <v>2347</v>
      </c>
      <c r="AJ118" t="s">
        <v>42</v>
      </c>
      <c r="AK118" t="s">
        <v>1316</v>
      </c>
      <c r="AL118" t="s">
        <v>1317</v>
      </c>
      <c r="AM118" t="s">
        <v>1318</v>
      </c>
      <c r="AN118" t="s">
        <v>1319</v>
      </c>
      <c r="AO118" t="s">
        <v>1320</v>
      </c>
      <c r="AP118" t="s">
        <v>1321</v>
      </c>
      <c r="AQ118" t="s">
        <v>1322</v>
      </c>
      <c r="AR118" t="s">
        <v>1323</v>
      </c>
      <c r="AS118" t="s">
        <v>1324</v>
      </c>
      <c r="AT118" t="s">
        <v>1325</v>
      </c>
      <c r="AU118" t="s">
        <v>1326</v>
      </c>
      <c r="AV118" t="s">
        <v>1327</v>
      </c>
      <c r="AW118" t="s">
        <v>1328</v>
      </c>
      <c r="AX118" t="s">
        <v>1329</v>
      </c>
      <c r="AY118" t="s">
        <v>1330</v>
      </c>
      <c r="AZ118" t="s">
        <v>1331</v>
      </c>
      <c r="BA118" t="s">
        <v>1332</v>
      </c>
      <c r="BB118" t="s">
        <v>1333</v>
      </c>
      <c r="BC118" t="s">
        <v>1334</v>
      </c>
      <c r="BD118" t="s">
        <v>1335</v>
      </c>
      <c r="BE118" t="s">
        <v>1336</v>
      </c>
      <c r="BF118" t="s">
        <v>1337</v>
      </c>
      <c r="BG118" t="s">
        <v>1338</v>
      </c>
      <c r="BH118" t="s">
        <v>1339</v>
      </c>
      <c r="BI118" t="s">
        <v>1340</v>
      </c>
      <c r="BJ118" t="s">
        <v>1341</v>
      </c>
      <c r="BK118" t="s">
        <v>1342</v>
      </c>
      <c r="BL118" t="s">
        <v>1343</v>
      </c>
      <c r="BM118" t="s">
        <v>1344</v>
      </c>
      <c r="BN118" t="s">
        <v>1345</v>
      </c>
    </row>
    <row r="119" spans="20:66" x14ac:dyDescent="0.2">
      <c r="T119" t="s">
        <v>56</v>
      </c>
      <c r="U119" t="s">
        <v>2348</v>
      </c>
      <c r="V119" t="s">
        <v>2349</v>
      </c>
      <c r="W119" t="s">
        <v>2350</v>
      </c>
      <c r="X119" t="s">
        <v>2351</v>
      </c>
      <c r="Y119" t="s">
        <v>2352</v>
      </c>
      <c r="Z119" t="s">
        <v>2353</v>
      </c>
      <c r="AA119" t="s">
        <v>2354</v>
      </c>
      <c r="AJ119" t="s">
        <v>43</v>
      </c>
      <c r="AK119" t="s">
        <v>1346</v>
      </c>
      <c r="AL119" t="s">
        <v>1347</v>
      </c>
      <c r="AM119" t="s">
        <v>1348</v>
      </c>
      <c r="AN119" t="s">
        <v>1349</v>
      </c>
      <c r="AO119" t="s">
        <v>1350</v>
      </c>
      <c r="AP119" t="s">
        <v>1351</v>
      </c>
      <c r="AQ119" t="s">
        <v>1352</v>
      </c>
      <c r="AR119" t="s">
        <v>1353</v>
      </c>
      <c r="AS119" t="s">
        <v>1354</v>
      </c>
      <c r="AT119" t="s">
        <v>1355</v>
      </c>
      <c r="AU119" t="s">
        <v>1356</v>
      </c>
      <c r="AV119" t="s">
        <v>1357</v>
      </c>
      <c r="AW119" t="s">
        <v>1358</v>
      </c>
      <c r="AX119" t="s">
        <v>1359</v>
      </c>
      <c r="AY119" t="s">
        <v>1360</v>
      </c>
      <c r="AZ119" t="s">
        <v>1361</v>
      </c>
      <c r="BA119" t="s">
        <v>1362</v>
      </c>
      <c r="BB119" t="s">
        <v>1363</v>
      </c>
      <c r="BC119" t="s">
        <v>1364</v>
      </c>
      <c r="BD119" t="s">
        <v>1365</v>
      </c>
      <c r="BE119" t="s">
        <v>1366</v>
      </c>
      <c r="BF119" t="s">
        <v>1367</v>
      </c>
      <c r="BG119" t="s">
        <v>1368</v>
      </c>
      <c r="BH119" t="s">
        <v>1369</v>
      </c>
      <c r="BI119" t="s">
        <v>1370</v>
      </c>
      <c r="BJ119" t="s">
        <v>1371</v>
      </c>
      <c r="BK119" t="s">
        <v>1372</v>
      </c>
      <c r="BL119" t="s">
        <v>1373</v>
      </c>
      <c r="BM119" t="s">
        <v>1374</v>
      </c>
      <c r="BN119" t="s">
        <v>1375</v>
      </c>
    </row>
    <row r="120" spans="20:66" x14ac:dyDescent="0.2">
      <c r="T120" t="s">
        <v>41</v>
      </c>
      <c r="U120" t="s">
        <v>2355</v>
      </c>
      <c r="V120" t="s">
        <v>2356</v>
      </c>
      <c r="W120" t="s">
        <v>2357</v>
      </c>
      <c r="X120" t="s">
        <v>2358</v>
      </c>
      <c r="Y120" t="s">
        <v>2359</v>
      </c>
      <c r="Z120" t="s">
        <v>2360</v>
      </c>
      <c r="AA120" t="s">
        <v>2361</v>
      </c>
      <c r="AJ120" t="s">
        <v>44</v>
      </c>
      <c r="AK120" t="s">
        <v>1376</v>
      </c>
      <c r="AL120" t="s">
        <v>1377</v>
      </c>
      <c r="AM120" t="s">
        <v>1378</v>
      </c>
      <c r="AN120" t="s">
        <v>1379</v>
      </c>
      <c r="AO120" t="s">
        <v>1380</v>
      </c>
      <c r="AP120" t="s">
        <v>1381</v>
      </c>
      <c r="AQ120" t="s">
        <v>1382</v>
      </c>
      <c r="AR120" t="s">
        <v>1383</v>
      </c>
      <c r="AS120" t="s">
        <v>1384</v>
      </c>
      <c r="AT120" t="s">
        <v>1385</v>
      </c>
      <c r="AU120" t="s">
        <v>1386</v>
      </c>
      <c r="AV120" t="s">
        <v>1387</v>
      </c>
      <c r="AW120" t="s">
        <v>1388</v>
      </c>
      <c r="AX120" t="s">
        <v>1389</v>
      </c>
      <c r="AY120" t="s">
        <v>1390</v>
      </c>
      <c r="AZ120" t="s">
        <v>1391</v>
      </c>
      <c r="BA120" t="s">
        <v>1392</v>
      </c>
      <c r="BB120" t="s">
        <v>1393</v>
      </c>
      <c r="BC120" t="s">
        <v>1394</v>
      </c>
      <c r="BD120" t="s">
        <v>1395</v>
      </c>
      <c r="BE120" t="s">
        <v>1396</v>
      </c>
      <c r="BF120" t="s">
        <v>1397</v>
      </c>
      <c r="BG120" t="s">
        <v>1398</v>
      </c>
      <c r="BH120" t="s">
        <v>1399</v>
      </c>
      <c r="BI120" t="s">
        <v>1400</v>
      </c>
      <c r="BJ120" t="s">
        <v>1401</v>
      </c>
      <c r="BK120" t="s">
        <v>1402</v>
      </c>
      <c r="BL120" t="s">
        <v>1403</v>
      </c>
      <c r="BM120" t="s">
        <v>1404</v>
      </c>
      <c r="BN120" t="s">
        <v>1405</v>
      </c>
    </row>
    <row r="121" spans="20:66" x14ac:dyDescent="0.2">
      <c r="T121" t="s">
        <v>42</v>
      </c>
      <c r="U121" t="s">
        <v>2362</v>
      </c>
      <c r="V121" t="s">
        <v>2363</v>
      </c>
      <c r="W121" t="s">
        <v>2364</v>
      </c>
      <c r="X121" t="s">
        <v>2365</v>
      </c>
      <c r="Y121" t="s">
        <v>2366</v>
      </c>
      <c r="Z121" t="s">
        <v>2367</v>
      </c>
      <c r="AA121" t="s">
        <v>2368</v>
      </c>
      <c r="AJ121" t="s">
        <v>45</v>
      </c>
      <c r="AK121" t="s">
        <v>1406</v>
      </c>
      <c r="AL121" t="s">
        <v>1407</v>
      </c>
      <c r="AM121" t="s">
        <v>1408</v>
      </c>
      <c r="AN121" t="s">
        <v>1409</v>
      </c>
      <c r="AO121" t="s">
        <v>1410</v>
      </c>
      <c r="AP121" t="s">
        <v>1411</v>
      </c>
      <c r="AQ121" t="s">
        <v>1412</v>
      </c>
      <c r="AR121" t="s">
        <v>1413</v>
      </c>
      <c r="AS121" t="s">
        <v>1414</v>
      </c>
      <c r="AT121" t="s">
        <v>1415</v>
      </c>
      <c r="AU121" t="s">
        <v>1416</v>
      </c>
      <c r="AV121" t="s">
        <v>1417</v>
      </c>
      <c r="AW121" t="s">
        <v>1418</v>
      </c>
      <c r="AX121" t="s">
        <v>1419</v>
      </c>
      <c r="AY121" t="s">
        <v>1420</v>
      </c>
      <c r="AZ121" t="s">
        <v>1421</v>
      </c>
      <c r="BA121" t="s">
        <v>1422</v>
      </c>
      <c r="BB121" t="s">
        <v>1423</v>
      </c>
      <c r="BC121" t="s">
        <v>1424</v>
      </c>
      <c r="BD121" t="s">
        <v>1425</v>
      </c>
      <c r="BE121" t="s">
        <v>1426</v>
      </c>
      <c r="BF121" t="s">
        <v>1427</v>
      </c>
      <c r="BG121" t="s">
        <v>1428</v>
      </c>
      <c r="BH121" t="s">
        <v>1429</v>
      </c>
      <c r="BI121" t="s">
        <v>1430</v>
      </c>
      <c r="BJ121" t="s">
        <v>1431</v>
      </c>
      <c r="BK121" t="s">
        <v>1432</v>
      </c>
      <c r="BL121" t="s">
        <v>1433</v>
      </c>
      <c r="BM121" t="s">
        <v>1434</v>
      </c>
      <c r="BN121" t="s">
        <v>1435</v>
      </c>
    </row>
    <row r="122" spans="20:66" x14ac:dyDescent="0.2">
      <c r="T122" t="s">
        <v>43</v>
      </c>
      <c r="U122" t="s">
        <v>2369</v>
      </c>
      <c r="V122" t="s">
        <v>2370</v>
      </c>
      <c r="W122" t="s">
        <v>2371</v>
      </c>
      <c r="X122" t="s">
        <v>2372</v>
      </c>
      <c r="Y122" t="s">
        <v>2373</v>
      </c>
      <c r="Z122" t="s">
        <v>2374</v>
      </c>
      <c r="AA122" t="s">
        <v>2375</v>
      </c>
      <c r="AJ122" t="s">
        <v>46</v>
      </c>
      <c r="AK122" t="s">
        <v>1436</v>
      </c>
      <c r="AL122" t="s">
        <v>1437</v>
      </c>
      <c r="AM122" t="s">
        <v>1438</v>
      </c>
      <c r="AN122" t="s">
        <v>1439</v>
      </c>
      <c r="AO122" t="s">
        <v>1440</v>
      </c>
      <c r="AP122" t="s">
        <v>1441</v>
      </c>
      <c r="AQ122" t="s">
        <v>1442</v>
      </c>
      <c r="AR122" t="s">
        <v>1443</v>
      </c>
      <c r="AS122" t="s">
        <v>1444</v>
      </c>
      <c r="AT122" t="s">
        <v>1445</v>
      </c>
      <c r="AU122" t="s">
        <v>1446</v>
      </c>
      <c r="AV122" t="s">
        <v>1447</v>
      </c>
      <c r="AW122" t="s">
        <v>1448</v>
      </c>
      <c r="AX122" t="s">
        <v>1449</v>
      </c>
      <c r="AY122" t="s">
        <v>1450</v>
      </c>
      <c r="AZ122" t="s">
        <v>1451</v>
      </c>
      <c r="BA122" t="s">
        <v>1452</v>
      </c>
      <c r="BB122" t="s">
        <v>1453</v>
      </c>
      <c r="BC122" t="s">
        <v>1454</v>
      </c>
      <c r="BD122" t="s">
        <v>1455</v>
      </c>
      <c r="BE122" t="s">
        <v>1456</v>
      </c>
      <c r="BF122" t="s">
        <v>1457</v>
      </c>
      <c r="BG122" t="s">
        <v>1458</v>
      </c>
      <c r="BH122" t="s">
        <v>1459</v>
      </c>
      <c r="BI122" t="s">
        <v>1460</v>
      </c>
      <c r="BJ122" t="s">
        <v>1461</v>
      </c>
      <c r="BK122" t="s">
        <v>1462</v>
      </c>
      <c r="BL122" t="s">
        <v>1463</v>
      </c>
      <c r="BM122" t="s">
        <v>1464</v>
      </c>
      <c r="BN122" t="s">
        <v>1465</v>
      </c>
    </row>
    <row r="123" spans="20:66" x14ac:dyDescent="0.2">
      <c r="T123" t="s">
        <v>44</v>
      </c>
      <c r="U123" t="s">
        <v>2376</v>
      </c>
      <c r="V123" t="s">
        <v>2377</v>
      </c>
      <c r="W123" t="s">
        <v>2378</v>
      </c>
      <c r="X123" t="s">
        <v>2379</v>
      </c>
      <c r="Y123" t="s">
        <v>2380</v>
      </c>
      <c r="Z123" t="s">
        <v>2381</v>
      </c>
      <c r="AA123" t="s">
        <v>2382</v>
      </c>
      <c r="AJ123" t="s">
        <v>47</v>
      </c>
      <c r="AK123" t="s">
        <v>1466</v>
      </c>
      <c r="AL123" t="s">
        <v>1467</v>
      </c>
      <c r="AM123" t="s">
        <v>1468</v>
      </c>
      <c r="AN123" t="s">
        <v>1469</v>
      </c>
      <c r="AO123" t="s">
        <v>1470</v>
      </c>
      <c r="AP123" t="s">
        <v>1471</v>
      </c>
      <c r="AQ123" t="s">
        <v>1472</v>
      </c>
      <c r="AR123" t="s">
        <v>1473</v>
      </c>
      <c r="AS123" t="s">
        <v>1474</v>
      </c>
      <c r="AT123" t="s">
        <v>1475</v>
      </c>
      <c r="AU123" t="s">
        <v>1476</v>
      </c>
      <c r="AV123" t="s">
        <v>1477</v>
      </c>
      <c r="AW123" t="s">
        <v>1478</v>
      </c>
      <c r="AX123" t="s">
        <v>1479</v>
      </c>
      <c r="AY123" t="s">
        <v>1480</v>
      </c>
      <c r="AZ123" t="s">
        <v>1481</v>
      </c>
      <c r="BA123" t="s">
        <v>1482</v>
      </c>
      <c r="BB123" t="s">
        <v>1483</v>
      </c>
      <c r="BC123" t="s">
        <v>1484</v>
      </c>
      <c r="BD123" t="s">
        <v>1485</v>
      </c>
      <c r="BE123" t="s">
        <v>1486</v>
      </c>
      <c r="BF123" t="s">
        <v>1487</v>
      </c>
      <c r="BG123" t="s">
        <v>1488</v>
      </c>
      <c r="BH123" t="s">
        <v>1489</v>
      </c>
      <c r="BI123" t="s">
        <v>1490</v>
      </c>
      <c r="BJ123" t="s">
        <v>1491</v>
      </c>
      <c r="BK123" t="s">
        <v>1492</v>
      </c>
      <c r="BL123" t="s">
        <v>1493</v>
      </c>
      <c r="BM123" t="s">
        <v>1494</v>
      </c>
      <c r="BN123" t="s">
        <v>1495</v>
      </c>
    </row>
    <row r="124" spans="20:66" x14ac:dyDescent="0.2">
      <c r="T124" t="s">
        <v>45</v>
      </c>
      <c r="U124" t="s">
        <v>2383</v>
      </c>
      <c r="V124" t="s">
        <v>2384</v>
      </c>
      <c r="W124" t="s">
        <v>2385</v>
      </c>
      <c r="X124" t="s">
        <v>2386</v>
      </c>
      <c r="Y124" t="s">
        <v>2387</v>
      </c>
      <c r="Z124" t="s">
        <v>2388</v>
      </c>
      <c r="AA124" t="s">
        <v>2389</v>
      </c>
      <c r="AJ124" t="s">
        <v>48</v>
      </c>
      <c r="AK124" t="s">
        <v>1496</v>
      </c>
      <c r="AL124" t="s">
        <v>1497</v>
      </c>
      <c r="AM124" t="s">
        <v>1498</v>
      </c>
      <c r="AN124" t="s">
        <v>1499</v>
      </c>
      <c r="AO124" t="s">
        <v>1500</v>
      </c>
      <c r="AP124" t="s">
        <v>1501</v>
      </c>
      <c r="AQ124" t="s">
        <v>1502</v>
      </c>
      <c r="AR124" t="s">
        <v>1503</v>
      </c>
      <c r="AS124" t="s">
        <v>1504</v>
      </c>
      <c r="AT124" t="s">
        <v>1505</v>
      </c>
      <c r="AU124" t="s">
        <v>1506</v>
      </c>
      <c r="AV124" t="s">
        <v>1507</v>
      </c>
      <c r="AW124" t="s">
        <v>1508</v>
      </c>
      <c r="AX124" t="s">
        <v>1509</v>
      </c>
      <c r="AY124" t="s">
        <v>1510</v>
      </c>
      <c r="AZ124" t="s">
        <v>1511</v>
      </c>
      <c r="BA124" t="s">
        <v>1512</v>
      </c>
      <c r="BB124" t="s">
        <v>1513</v>
      </c>
      <c r="BC124" t="s">
        <v>1514</v>
      </c>
      <c r="BD124" t="s">
        <v>1515</v>
      </c>
      <c r="BE124" t="s">
        <v>1516</v>
      </c>
      <c r="BF124" t="s">
        <v>1517</v>
      </c>
      <c r="BG124" t="s">
        <v>1518</v>
      </c>
      <c r="BH124" t="s">
        <v>1519</v>
      </c>
      <c r="BI124" t="s">
        <v>1520</v>
      </c>
      <c r="BJ124" t="s">
        <v>1521</v>
      </c>
      <c r="BK124" t="s">
        <v>1522</v>
      </c>
      <c r="BL124" t="s">
        <v>1523</v>
      </c>
      <c r="BM124" t="s">
        <v>1524</v>
      </c>
      <c r="BN124" t="s">
        <v>1525</v>
      </c>
    </row>
    <row r="125" spans="20:66" x14ac:dyDescent="0.2">
      <c r="T125" t="s">
        <v>47</v>
      </c>
      <c r="U125" t="s">
        <v>2390</v>
      </c>
      <c r="V125" t="s">
        <v>2391</v>
      </c>
      <c r="W125" t="s">
        <v>2392</v>
      </c>
      <c r="X125" t="s">
        <v>2393</v>
      </c>
      <c r="Y125" t="s">
        <v>2394</v>
      </c>
      <c r="Z125" t="s">
        <v>2395</v>
      </c>
      <c r="AA125" t="s">
        <v>2396</v>
      </c>
      <c r="AJ125" t="s">
        <v>49</v>
      </c>
      <c r="AK125" t="s">
        <v>1526</v>
      </c>
      <c r="AL125" t="s">
        <v>1527</v>
      </c>
      <c r="AM125" t="s">
        <v>1528</v>
      </c>
      <c r="AN125" t="s">
        <v>1529</v>
      </c>
      <c r="AO125" t="s">
        <v>1530</v>
      </c>
      <c r="AP125" t="s">
        <v>1531</v>
      </c>
      <c r="AQ125" t="s">
        <v>1532</v>
      </c>
      <c r="AR125" t="s">
        <v>1533</v>
      </c>
      <c r="AS125" t="s">
        <v>1534</v>
      </c>
      <c r="AT125" t="s">
        <v>1535</v>
      </c>
      <c r="AU125" t="s">
        <v>1536</v>
      </c>
      <c r="AV125" t="s">
        <v>1537</v>
      </c>
      <c r="AW125" t="s">
        <v>1538</v>
      </c>
      <c r="AX125" t="s">
        <v>1539</v>
      </c>
      <c r="AY125" t="s">
        <v>1540</v>
      </c>
      <c r="AZ125" t="s">
        <v>1541</v>
      </c>
      <c r="BA125" t="s">
        <v>1542</v>
      </c>
      <c r="BB125" t="s">
        <v>1543</v>
      </c>
      <c r="BC125" t="s">
        <v>1544</v>
      </c>
      <c r="BD125" t="s">
        <v>1545</v>
      </c>
      <c r="BE125" t="s">
        <v>1546</v>
      </c>
      <c r="BF125" t="s">
        <v>1547</v>
      </c>
      <c r="BG125" t="s">
        <v>1548</v>
      </c>
      <c r="BH125" t="s">
        <v>1549</v>
      </c>
      <c r="BI125" t="s">
        <v>1550</v>
      </c>
      <c r="BJ125" t="s">
        <v>1551</v>
      </c>
      <c r="BK125" t="s">
        <v>1552</v>
      </c>
      <c r="BL125" t="s">
        <v>1553</v>
      </c>
      <c r="BM125" t="s">
        <v>1554</v>
      </c>
      <c r="BN125" t="s">
        <v>1555</v>
      </c>
    </row>
    <row r="126" spans="20:66" x14ac:dyDescent="0.2">
      <c r="T126" t="s">
        <v>50</v>
      </c>
      <c r="U126" t="s">
        <v>2397</v>
      </c>
      <c r="V126" t="s">
        <v>2398</v>
      </c>
      <c r="W126" t="s">
        <v>2399</v>
      </c>
      <c r="X126" t="s">
        <v>2400</v>
      </c>
      <c r="Y126" t="s">
        <v>2401</v>
      </c>
      <c r="Z126" t="s">
        <v>2402</v>
      </c>
      <c r="AA126" t="s">
        <v>2403</v>
      </c>
      <c r="AJ126" t="s">
        <v>50</v>
      </c>
      <c r="AK126" t="s">
        <v>1556</v>
      </c>
      <c r="AL126" t="s">
        <v>1557</v>
      </c>
      <c r="AM126" t="s">
        <v>1558</v>
      </c>
      <c r="AN126" t="s">
        <v>1559</v>
      </c>
      <c r="AO126" t="s">
        <v>1560</v>
      </c>
      <c r="AP126" t="s">
        <v>1561</v>
      </c>
      <c r="AQ126" t="s">
        <v>1562</v>
      </c>
      <c r="AR126" t="s">
        <v>1563</v>
      </c>
      <c r="AS126" t="s">
        <v>1564</v>
      </c>
      <c r="AT126" t="s">
        <v>1565</v>
      </c>
      <c r="AU126" t="s">
        <v>1566</v>
      </c>
      <c r="AV126" t="s">
        <v>1567</v>
      </c>
      <c r="AW126" t="s">
        <v>1568</v>
      </c>
      <c r="AX126" t="s">
        <v>1569</v>
      </c>
      <c r="AY126" t="s">
        <v>1570</v>
      </c>
      <c r="AZ126" t="s">
        <v>1571</v>
      </c>
      <c r="BA126" t="s">
        <v>1572</v>
      </c>
      <c r="BB126" t="s">
        <v>1573</v>
      </c>
      <c r="BC126" t="s">
        <v>1574</v>
      </c>
      <c r="BD126" t="s">
        <v>1575</v>
      </c>
      <c r="BE126" t="s">
        <v>1576</v>
      </c>
      <c r="BF126" t="s">
        <v>1577</v>
      </c>
      <c r="BG126" t="s">
        <v>1578</v>
      </c>
      <c r="BH126" t="s">
        <v>1579</v>
      </c>
      <c r="BI126" t="s">
        <v>1580</v>
      </c>
      <c r="BJ126" t="s">
        <v>1581</v>
      </c>
      <c r="BK126" t="s">
        <v>1582</v>
      </c>
      <c r="BL126" t="s">
        <v>1583</v>
      </c>
      <c r="BM126" t="s">
        <v>1584</v>
      </c>
      <c r="BN126" t="s">
        <v>1585</v>
      </c>
    </row>
    <row r="127" spans="20:66" x14ac:dyDescent="0.2">
      <c r="AJ127" t="s">
        <v>319</v>
      </c>
      <c r="AK127" t="s">
        <v>1586</v>
      </c>
      <c r="AL127" t="s">
        <v>1587</v>
      </c>
      <c r="AM127" t="s">
        <v>1588</v>
      </c>
      <c r="AN127" t="s">
        <v>1589</v>
      </c>
      <c r="AO127" t="s">
        <v>1590</v>
      </c>
      <c r="AP127" t="s">
        <v>1591</v>
      </c>
      <c r="AQ127" t="s">
        <v>1592</v>
      </c>
      <c r="AR127" t="s">
        <v>1593</v>
      </c>
      <c r="AS127" t="s">
        <v>1594</v>
      </c>
      <c r="AT127" t="s">
        <v>1595</v>
      </c>
      <c r="AU127" t="s">
        <v>1596</v>
      </c>
      <c r="AV127" t="s">
        <v>1597</v>
      </c>
      <c r="AW127" t="s">
        <v>1598</v>
      </c>
      <c r="AX127" t="s">
        <v>1599</v>
      </c>
      <c r="AY127" t="s">
        <v>1600</v>
      </c>
      <c r="AZ127" t="s">
        <v>1601</v>
      </c>
      <c r="BA127" t="s">
        <v>1602</v>
      </c>
      <c r="BB127" t="s">
        <v>1603</v>
      </c>
      <c r="BC127" t="s">
        <v>1604</v>
      </c>
      <c r="BD127" t="s">
        <v>1605</v>
      </c>
      <c r="BE127" t="s">
        <v>1606</v>
      </c>
      <c r="BF127" t="s">
        <v>1607</v>
      </c>
      <c r="BG127" t="s">
        <v>1608</v>
      </c>
      <c r="BH127" t="s">
        <v>1609</v>
      </c>
      <c r="BI127" t="s">
        <v>1610</v>
      </c>
      <c r="BJ127" t="s">
        <v>1611</v>
      </c>
      <c r="BK127" t="s">
        <v>1612</v>
      </c>
      <c r="BL127" t="s">
        <v>1613</v>
      </c>
      <c r="BM127" t="s">
        <v>1614</v>
      </c>
      <c r="BN127" t="s">
        <v>1615</v>
      </c>
    </row>
    <row r="128" spans="20:66" x14ac:dyDescent="0.2">
      <c r="AJ128" t="s">
        <v>52</v>
      </c>
      <c r="AK128" t="s">
        <v>1616</v>
      </c>
      <c r="AL128" t="s">
        <v>1617</v>
      </c>
      <c r="AM128" t="s">
        <v>1618</v>
      </c>
      <c r="AN128" t="s">
        <v>1619</v>
      </c>
      <c r="AO128" t="s">
        <v>1620</v>
      </c>
      <c r="AP128" t="s">
        <v>1621</v>
      </c>
      <c r="AQ128" t="s">
        <v>1622</v>
      </c>
      <c r="AR128" t="s">
        <v>1623</v>
      </c>
      <c r="AS128" t="s">
        <v>1624</v>
      </c>
      <c r="AT128" t="s">
        <v>1625</v>
      </c>
      <c r="AU128" t="s">
        <v>1626</v>
      </c>
      <c r="AV128" t="s">
        <v>1627</v>
      </c>
      <c r="AW128" t="s">
        <v>1628</v>
      </c>
      <c r="AX128" t="s">
        <v>1629</v>
      </c>
      <c r="AY128" t="s">
        <v>1630</v>
      </c>
      <c r="AZ128" t="s">
        <v>1631</v>
      </c>
      <c r="BA128" t="s">
        <v>1632</v>
      </c>
      <c r="BB128" t="s">
        <v>1633</v>
      </c>
      <c r="BC128" t="s">
        <v>1634</v>
      </c>
      <c r="BD128" t="s">
        <v>1635</v>
      </c>
      <c r="BE128" t="s">
        <v>1636</v>
      </c>
      <c r="BF128" t="s">
        <v>1637</v>
      </c>
      <c r="BG128" t="s">
        <v>1638</v>
      </c>
      <c r="BH128" t="s">
        <v>1639</v>
      </c>
      <c r="BI128" t="s">
        <v>1640</v>
      </c>
      <c r="BJ128" t="s">
        <v>1641</v>
      </c>
      <c r="BK128" t="s">
        <v>1642</v>
      </c>
      <c r="BL128" t="s">
        <v>1643</v>
      </c>
      <c r="BM128" t="s">
        <v>1644</v>
      </c>
      <c r="BN128" t="s">
        <v>1645</v>
      </c>
    </row>
    <row r="129" spans="36:66" x14ac:dyDescent="0.2">
      <c r="AJ129" t="s">
        <v>53</v>
      </c>
      <c r="AK129" t="s">
        <v>1646</v>
      </c>
      <c r="AL129" t="s">
        <v>1647</v>
      </c>
      <c r="AM129" t="s">
        <v>1648</v>
      </c>
      <c r="AN129" t="s">
        <v>1649</v>
      </c>
      <c r="AO129" t="s">
        <v>1650</v>
      </c>
      <c r="AP129" t="s">
        <v>1651</v>
      </c>
      <c r="AQ129" t="s">
        <v>1652</v>
      </c>
      <c r="AR129" t="s">
        <v>1653</v>
      </c>
      <c r="AS129" t="s">
        <v>1654</v>
      </c>
      <c r="AT129" t="s">
        <v>1655</v>
      </c>
      <c r="AU129" t="s">
        <v>1656</v>
      </c>
      <c r="AV129" t="s">
        <v>1657</v>
      </c>
      <c r="AW129" t="s">
        <v>1658</v>
      </c>
      <c r="AX129" t="s">
        <v>1659</v>
      </c>
      <c r="AY129" t="s">
        <v>1660</v>
      </c>
      <c r="AZ129" t="s">
        <v>1661</v>
      </c>
      <c r="BA129" t="s">
        <v>1662</v>
      </c>
      <c r="BB129" t="s">
        <v>1663</v>
      </c>
      <c r="BC129" t="s">
        <v>1664</v>
      </c>
      <c r="BD129" t="s">
        <v>1665</v>
      </c>
      <c r="BE129" t="s">
        <v>1666</v>
      </c>
      <c r="BF129" t="s">
        <v>1667</v>
      </c>
      <c r="BG129" t="s">
        <v>1668</v>
      </c>
      <c r="BH129" t="s">
        <v>1669</v>
      </c>
      <c r="BI129" t="s">
        <v>1670</v>
      </c>
      <c r="BJ129" t="s">
        <v>1671</v>
      </c>
      <c r="BK129" t="s">
        <v>1672</v>
      </c>
      <c r="BL129" t="s">
        <v>1673</v>
      </c>
      <c r="BM129" t="s">
        <v>1674</v>
      </c>
      <c r="BN129" t="s">
        <v>1675</v>
      </c>
    </row>
    <row r="130" spans="36:66" x14ac:dyDescent="0.2">
      <c r="AJ130" t="s">
        <v>297</v>
      </c>
      <c r="AK130" t="s">
        <v>1676</v>
      </c>
      <c r="AL130" t="s">
        <v>1677</v>
      </c>
      <c r="AM130" t="s">
        <v>1678</v>
      </c>
      <c r="AN130" t="s">
        <v>1679</v>
      </c>
      <c r="AO130" t="s">
        <v>1680</v>
      </c>
      <c r="AP130" t="s">
        <v>1681</v>
      </c>
      <c r="AQ130" t="s">
        <v>1682</v>
      </c>
      <c r="AR130" t="s">
        <v>1683</v>
      </c>
      <c r="AS130" t="s">
        <v>1684</v>
      </c>
      <c r="AT130" t="s">
        <v>1685</v>
      </c>
      <c r="AU130" t="s">
        <v>1686</v>
      </c>
      <c r="AV130" t="s">
        <v>1687</v>
      </c>
      <c r="AW130" t="s">
        <v>1688</v>
      </c>
      <c r="AX130" t="s">
        <v>1689</v>
      </c>
      <c r="AY130" t="s">
        <v>1690</v>
      </c>
      <c r="AZ130" t="s">
        <v>1691</v>
      </c>
      <c r="BA130" t="s">
        <v>1692</v>
      </c>
      <c r="BB130" t="s">
        <v>1693</v>
      </c>
      <c r="BC130" t="s">
        <v>1694</v>
      </c>
      <c r="BD130" t="s">
        <v>1695</v>
      </c>
      <c r="BE130" t="s">
        <v>1696</v>
      </c>
      <c r="BF130" t="s">
        <v>1697</v>
      </c>
      <c r="BG130" t="s">
        <v>1698</v>
      </c>
      <c r="BH130" t="s">
        <v>1699</v>
      </c>
      <c r="BI130" t="s">
        <v>1700</v>
      </c>
      <c r="BJ130" t="s">
        <v>1701</v>
      </c>
      <c r="BK130" t="s">
        <v>1702</v>
      </c>
      <c r="BL130" t="s">
        <v>1703</v>
      </c>
      <c r="BM130" t="s">
        <v>1704</v>
      </c>
      <c r="BN130" t="s">
        <v>1705</v>
      </c>
    </row>
    <row r="131" spans="36:66" x14ac:dyDescent="0.2">
      <c r="AJ131" t="s">
        <v>318</v>
      </c>
      <c r="AK131" t="s">
        <v>1706</v>
      </c>
      <c r="AL131" t="s">
        <v>1707</v>
      </c>
      <c r="AM131" t="s">
        <v>1708</v>
      </c>
      <c r="AN131" t="s">
        <v>1709</v>
      </c>
      <c r="AO131" t="s">
        <v>1710</v>
      </c>
      <c r="AP131" t="s">
        <v>1711</v>
      </c>
      <c r="AQ131" t="s">
        <v>1712</v>
      </c>
      <c r="AR131" t="s">
        <v>1713</v>
      </c>
      <c r="AS131" t="s">
        <v>1714</v>
      </c>
      <c r="AT131" t="s">
        <v>1715</v>
      </c>
      <c r="AU131" t="s">
        <v>1716</v>
      </c>
      <c r="AV131" t="s">
        <v>1717</v>
      </c>
      <c r="AW131" t="s">
        <v>1718</v>
      </c>
      <c r="AX131" t="s">
        <v>1719</v>
      </c>
      <c r="AY131" t="s">
        <v>1720</v>
      </c>
      <c r="AZ131" t="s">
        <v>1721</v>
      </c>
      <c r="BA131" t="s">
        <v>1722</v>
      </c>
      <c r="BB131" t="s">
        <v>1723</v>
      </c>
      <c r="BC131" t="s">
        <v>1724</v>
      </c>
      <c r="BD131" t="s">
        <v>1725</v>
      </c>
      <c r="BE131" t="s">
        <v>1726</v>
      </c>
      <c r="BF131" t="s">
        <v>1727</v>
      </c>
      <c r="BG131" t="s">
        <v>1728</v>
      </c>
      <c r="BH131" t="s">
        <v>1729</v>
      </c>
      <c r="BI131" t="s">
        <v>1730</v>
      </c>
      <c r="BJ131" t="s">
        <v>1731</v>
      </c>
      <c r="BK131" t="s">
        <v>1732</v>
      </c>
      <c r="BL131" t="s">
        <v>1733</v>
      </c>
      <c r="BM131" t="s">
        <v>1734</v>
      </c>
      <c r="BN131" t="s">
        <v>1735</v>
      </c>
    </row>
    <row r="133" spans="36:66" x14ac:dyDescent="0.2">
      <c r="AJ133" t="s">
        <v>51</v>
      </c>
      <c r="AK133" t="s">
        <v>25</v>
      </c>
    </row>
    <row r="134" spans="36:66" x14ac:dyDescent="0.2">
      <c r="AJ134" t="s">
        <v>39</v>
      </c>
      <c r="AK134" t="s">
        <v>41</v>
      </c>
      <c r="AL134" t="s">
        <v>42</v>
      </c>
      <c r="AM134" t="s">
        <v>43</v>
      </c>
      <c r="AN134" t="s">
        <v>44</v>
      </c>
      <c r="AO134" t="s">
        <v>45</v>
      </c>
      <c r="AP134" t="s">
        <v>46</v>
      </c>
      <c r="AQ134" t="s">
        <v>47</v>
      </c>
      <c r="AR134" t="s">
        <v>48</v>
      </c>
      <c r="AS134" t="s">
        <v>49</v>
      </c>
      <c r="AT134" t="s">
        <v>50</v>
      </c>
      <c r="AU134" t="s">
        <v>319</v>
      </c>
      <c r="AV134" t="s">
        <v>52</v>
      </c>
      <c r="AW134" t="s">
        <v>53</v>
      </c>
      <c r="AX134" t="s">
        <v>297</v>
      </c>
      <c r="AY134" t="s">
        <v>318</v>
      </c>
    </row>
    <row r="135" spans="36:66" x14ac:dyDescent="0.2">
      <c r="AJ135" t="s">
        <v>54</v>
      </c>
      <c r="AK135" t="s">
        <v>1736</v>
      </c>
      <c r="AL135" t="s">
        <v>1737</v>
      </c>
      <c r="AM135" t="s">
        <v>1738</v>
      </c>
      <c r="AN135" t="s">
        <v>1739</v>
      </c>
      <c r="AO135" t="s">
        <v>1740</v>
      </c>
      <c r="AP135" t="s">
        <v>1741</v>
      </c>
      <c r="AQ135" t="s">
        <v>1742</v>
      </c>
      <c r="AR135" t="s">
        <v>1743</v>
      </c>
      <c r="AS135" t="s">
        <v>1744</v>
      </c>
      <c r="AT135" t="s">
        <v>1745</v>
      </c>
      <c r="AU135" t="s">
        <v>1746</v>
      </c>
      <c r="AV135" t="s">
        <v>1747</v>
      </c>
      <c r="AW135" t="s">
        <v>1748</v>
      </c>
      <c r="AX135" t="s">
        <v>1749</v>
      </c>
      <c r="AY135" t="s">
        <v>1750</v>
      </c>
    </row>
    <row r="136" spans="36:66" x14ac:dyDescent="0.2">
      <c r="AJ136" t="s">
        <v>55</v>
      </c>
      <c r="AK136" t="s">
        <v>1751</v>
      </c>
      <c r="AL136" t="s">
        <v>1752</v>
      </c>
      <c r="AM136" t="s">
        <v>1753</v>
      </c>
      <c r="AN136" t="s">
        <v>1754</v>
      </c>
      <c r="AO136" t="s">
        <v>1755</v>
      </c>
      <c r="AP136" t="s">
        <v>1756</v>
      </c>
      <c r="AQ136" t="s">
        <v>1757</v>
      </c>
      <c r="AR136" t="s">
        <v>1758</v>
      </c>
      <c r="AS136" t="s">
        <v>1759</v>
      </c>
      <c r="AT136" t="s">
        <v>1760</v>
      </c>
      <c r="AU136" t="s">
        <v>1761</v>
      </c>
      <c r="AV136" t="s">
        <v>1762</v>
      </c>
      <c r="AW136" t="s">
        <v>1763</v>
      </c>
      <c r="AX136" t="s">
        <v>1764</v>
      </c>
      <c r="AY136" t="s">
        <v>1765</v>
      </c>
    </row>
    <row r="137" spans="36:66" x14ac:dyDescent="0.2">
      <c r="AJ137" t="s">
        <v>56</v>
      </c>
      <c r="AK137" t="s">
        <v>1766</v>
      </c>
      <c r="AL137" t="s">
        <v>1767</v>
      </c>
      <c r="AM137" t="s">
        <v>1768</v>
      </c>
      <c r="AN137" t="s">
        <v>1769</v>
      </c>
      <c r="AO137" t="s">
        <v>1770</v>
      </c>
      <c r="AP137" t="s">
        <v>1771</v>
      </c>
      <c r="AQ137" t="s">
        <v>1772</v>
      </c>
      <c r="AR137" t="s">
        <v>1773</v>
      </c>
      <c r="AS137" t="s">
        <v>1774</v>
      </c>
      <c r="AT137" t="s">
        <v>1775</v>
      </c>
      <c r="AU137" t="s">
        <v>1776</v>
      </c>
      <c r="AV137" t="s">
        <v>1777</v>
      </c>
      <c r="AW137" t="s">
        <v>1778</v>
      </c>
      <c r="AX137" t="s">
        <v>1779</v>
      </c>
      <c r="AY137" t="s">
        <v>1780</v>
      </c>
    </row>
    <row r="138" spans="36:66" x14ac:dyDescent="0.2">
      <c r="AJ138" t="s">
        <v>1120</v>
      </c>
      <c r="AK138" t="s">
        <v>1781</v>
      </c>
      <c r="AL138" t="s">
        <v>1782</v>
      </c>
      <c r="AM138" t="s">
        <v>1783</v>
      </c>
      <c r="AN138" t="s">
        <v>1784</v>
      </c>
      <c r="AO138" t="s">
        <v>1785</v>
      </c>
      <c r="AP138" t="s">
        <v>1786</v>
      </c>
      <c r="AQ138" t="s">
        <v>1787</v>
      </c>
      <c r="AR138" t="s">
        <v>1788</v>
      </c>
      <c r="AS138" t="s">
        <v>1789</v>
      </c>
      <c r="AT138" t="s">
        <v>1790</v>
      </c>
      <c r="AU138" t="s">
        <v>1791</v>
      </c>
      <c r="AV138" t="s">
        <v>1792</v>
      </c>
      <c r="AW138" t="s">
        <v>1793</v>
      </c>
      <c r="AX138" t="s">
        <v>1794</v>
      </c>
      <c r="AY138" t="s">
        <v>1795</v>
      </c>
    </row>
    <row r="139" spans="36:66" x14ac:dyDescent="0.2">
      <c r="AJ139" t="s">
        <v>41</v>
      </c>
      <c r="AK139" t="s">
        <v>1796</v>
      </c>
      <c r="AL139" t="s">
        <v>1797</v>
      </c>
      <c r="AM139" t="s">
        <v>1798</v>
      </c>
      <c r="AN139" t="s">
        <v>1799</v>
      </c>
      <c r="AO139" t="s">
        <v>1800</v>
      </c>
      <c r="AP139" t="s">
        <v>1801</v>
      </c>
      <c r="AQ139" t="s">
        <v>1802</v>
      </c>
      <c r="AR139" t="s">
        <v>1803</v>
      </c>
      <c r="AS139" t="s">
        <v>1804</v>
      </c>
      <c r="AT139" t="s">
        <v>1805</v>
      </c>
      <c r="AU139" t="s">
        <v>1806</v>
      </c>
      <c r="AV139" t="s">
        <v>1807</v>
      </c>
      <c r="AW139" t="s">
        <v>1808</v>
      </c>
      <c r="AX139" t="s">
        <v>1809</v>
      </c>
      <c r="AY139" t="s">
        <v>1810</v>
      </c>
    </row>
    <row r="140" spans="36:66" x14ac:dyDescent="0.2">
      <c r="AJ140" t="s">
        <v>42</v>
      </c>
      <c r="AK140" t="s">
        <v>1811</v>
      </c>
      <c r="AL140" t="s">
        <v>1812</v>
      </c>
      <c r="AM140" t="s">
        <v>1813</v>
      </c>
      <c r="AN140" t="s">
        <v>1814</v>
      </c>
      <c r="AO140" t="s">
        <v>1815</v>
      </c>
      <c r="AP140" t="s">
        <v>1816</v>
      </c>
      <c r="AQ140" t="s">
        <v>1817</v>
      </c>
      <c r="AR140" t="s">
        <v>1818</v>
      </c>
      <c r="AS140" t="s">
        <v>1819</v>
      </c>
      <c r="AT140" t="s">
        <v>1820</v>
      </c>
      <c r="AU140" t="s">
        <v>1821</v>
      </c>
      <c r="AV140" t="s">
        <v>1822</v>
      </c>
      <c r="AW140" t="s">
        <v>1823</v>
      </c>
      <c r="AX140" t="s">
        <v>1824</v>
      </c>
      <c r="AY140" t="s">
        <v>1825</v>
      </c>
    </row>
    <row r="141" spans="36:66" x14ac:dyDescent="0.2">
      <c r="AJ141" t="s">
        <v>43</v>
      </c>
      <c r="AK141" t="s">
        <v>1826</v>
      </c>
      <c r="AL141" t="s">
        <v>1827</v>
      </c>
      <c r="AM141" t="s">
        <v>1828</v>
      </c>
      <c r="AN141" t="s">
        <v>1829</v>
      </c>
      <c r="AO141" t="s">
        <v>1830</v>
      </c>
      <c r="AP141" t="s">
        <v>1831</v>
      </c>
      <c r="AQ141" t="s">
        <v>1832</v>
      </c>
      <c r="AR141" t="s">
        <v>1833</v>
      </c>
      <c r="AS141" t="s">
        <v>1834</v>
      </c>
      <c r="AT141" t="s">
        <v>1835</v>
      </c>
      <c r="AU141" t="s">
        <v>1836</v>
      </c>
      <c r="AV141" t="s">
        <v>1837</v>
      </c>
      <c r="AW141" t="s">
        <v>1838</v>
      </c>
      <c r="AX141" t="s">
        <v>1839</v>
      </c>
      <c r="AY141" t="s">
        <v>1840</v>
      </c>
    </row>
    <row r="142" spans="36:66" x14ac:dyDescent="0.2">
      <c r="AJ142" t="s">
        <v>44</v>
      </c>
      <c r="AK142" t="s">
        <v>1841</v>
      </c>
      <c r="AL142" t="s">
        <v>1842</v>
      </c>
      <c r="AM142" t="s">
        <v>1843</v>
      </c>
      <c r="AN142" t="s">
        <v>1844</v>
      </c>
      <c r="AO142" t="s">
        <v>1845</v>
      </c>
      <c r="AP142" t="s">
        <v>1846</v>
      </c>
      <c r="AQ142" t="s">
        <v>1847</v>
      </c>
      <c r="AR142" t="s">
        <v>1848</v>
      </c>
      <c r="AS142" t="s">
        <v>1849</v>
      </c>
      <c r="AT142" t="s">
        <v>1850</v>
      </c>
      <c r="AU142" t="s">
        <v>1851</v>
      </c>
      <c r="AV142" t="s">
        <v>1852</v>
      </c>
      <c r="AW142" t="s">
        <v>1853</v>
      </c>
      <c r="AX142" t="s">
        <v>1854</v>
      </c>
      <c r="AY142" t="s">
        <v>1855</v>
      </c>
    </row>
    <row r="143" spans="36:66" x14ac:dyDescent="0.2">
      <c r="AJ143" t="s">
        <v>45</v>
      </c>
      <c r="AK143" t="s">
        <v>1856</v>
      </c>
      <c r="AL143" t="s">
        <v>1857</v>
      </c>
      <c r="AM143" t="s">
        <v>1858</v>
      </c>
      <c r="AN143" t="s">
        <v>1859</v>
      </c>
      <c r="AO143" t="s">
        <v>1860</v>
      </c>
      <c r="AP143" t="s">
        <v>1861</v>
      </c>
      <c r="AQ143" t="s">
        <v>1862</v>
      </c>
      <c r="AR143" t="s">
        <v>1863</v>
      </c>
      <c r="AS143" t="s">
        <v>1864</v>
      </c>
      <c r="AT143" t="s">
        <v>1865</v>
      </c>
      <c r="AU143" t="s">
        <v>1866</v>
      </c>
      <c r="AV143" t="s">
        <v>1867</v>
      </c>
      <c r="AW143" t="s">
        <v>1868</v>
      </c>
      <c r="AX143" t="s">
        <v>1869</v>
      </c>
      <c r="AY143" t="s">
        <v>1870</v>
      </c>
    </row>
    <row r="144" spans="36:66" x14ac:dyDescent="0.2">
      <c r="AJ144" t="s">
        <v>46</v>
      </c>
      <c r="AK144" t="s">
        <v>1871</v>
      </c>
      <c r="AL144" t="s">
        <v>1872</v>
      </c>
      <c r="AM144" t="s">
        <v>1873</v>
      </c>
      <c r="AN144" t="s">
        <v>1874</v>
      </c>
      <c r="AO144" t="s">
        <v>1875</v>
      </c>
      <c r="AP144" t="s">
        <v>1876</v>
      </c>
      <c r="AQ144" t="s">
        <v>1877</v>
      </c>
      <c r="AR144" t="s">
        <v>1878</v>
      </c>
      <c r="AS144" t="s">
        <v>1879</v>
      </c>
      <c r="AT144" t="s">
        <v>1880</v>
      </c>
      <c r="AU144" t="s">
        <v>1881</v>
      </c>
      <c r="AV144" t="s">
        <v>1882</v>
      </c>
      <c r="AW144" t="s">
        <v>1883</v>
      </c>
      <c r="AX144" t="s">
        <v>1884</v>
      </c>
      <c r="AY144" t="s">
        <v>1885</v>
      </c>
    </row>
    <row r="145" spans="36:51" x14ac:dyDescent="0.2">
      <c r="AJ145" t="s">
        <v>47</v>
      </c>
      <c r="AK145" t="s">
        <v>1886</v>
      </c>
      <c r="AL145" t="s">
        <v>1887</v>
      </c>
      <c r="AM145" t="s">
        <v>1888</v>
      </c>
      <c r="AN145" t="s">
        <v>1889</v>
      </c>
      <c r="AO145" t="s">
        <v>1890</v>
      </c>
      <c r="AP145" t="s">
        <v>1891</v>
      </c>
      <c r="AQ145" t="s">
        <v>1892</v>
      </c>
      <c r="AR145" t="s">
        <v>1893</v>
      </c>
      <c r="AS145" t="s">
        <v>1894</v>
      </c>
      <c r="AT145" t="s">
        <v>1895</v>
      </c>
      <c r="AU145" t="s">
        <v>1896</v>
      </c>
      <c r="AV145" t="s">
        <v>1897</v>
      </c>
      <c r="AW145" t="s">
        <v>1898</v>
      </c>
      <c r="AX145" t="s">
        <v>1899</v>
      </c>
      <c r="AY145" t="s">
        <v>1900</v>
      </c>
    </row>
    <row r="146" spans="36:51" x14ac:dyDescent="0.2">
      <c r="AJ146" t="s">
        <v>48</v>
      </c>
      <c r="AK146" t="s">
        <v>1901</v>
      </c>
      <c r="AL146" t="s">
        <v>1902</v>
      </c>
      <c r="AM146" t="s">
        <v>1903</v>
      </c>
      <c r="AN146" t="s">
        <v>1904</v>
      </c>
      <c r="AO146" t="s">
        <v>1905</v>
      </c>
      <c r="AP146" t="s">
        <v>1906</v>
      </c>
      <c r="AQ146" t="s">
        <v>1907</v>
      </c>
      <c r="AR146" t="s">
        <v>1908</v>
      </c>
      <c r="AS146" t="s">
        <v>1909</v>
      </c>
      <c r="AT146" t="s">
        <v>1910</v>
      </c>
      <c r="AU146" t="s">
        <v>1911</v>
      </c>
      <c r="AV146" t="s">
        <v>1912</v>
      </c>
      <c r="AW146" t="s">
        <v>1913</v>
      </c>
      <c r="AX146" t="s">
        <v>1914</v>
      </c>
      <c r="AY146" t="s">
        <v>1915</v>
      </c>
    </row>
    <row r="147" spans="36:51" x14ac:dyDescent="0.2">
      <c r="AJ147" t="s">
        <v>49</v>
      </c>
      <c r="AK147" t="s">
        <v>1916</v>
      </c>
      <c r="AL147" t="s">
        <v>1917</v>
      </c>
      <c r="AM147" t="s">
        <v>1918</v>
      </c>
      <c r="AN147" t="s">
        <v>1919</v>
      </c>
      <c r="AO147" t="s">
        <v>1920</v>
      </c>
      <c r="AP147" t="s">
        <v>1921</v>
      </c>
      <c r="AQ147" t="s">
        <v>1922</v>
      </c>
      <c r="AR147" t="s">
        <v>1923</v>
      </c>
      <c r="AS147" t="s">
        <v>1924</v>
      </c>
      <c r="AT147" t="s">
        <v>1925</v>
      </c>
      <c r="AU147" t="s">
        <v>1926</v>
      </c>
      <c r="AV147" t="s">
        <v>1927</v>
      </c>
      <c r="AW147" t="s">
        <v>1928</v>
      </c>
      <c r="AX147" t="s">
        <v>1929</v>
      </c>
      <c r="AY147" t="s">
        <v>1930</v>
      </c>
    </row>
    <row r="148" spans="36:51" x14ac:dyDescent="0.2">
      <c r="AJ148" t="s">
        <v>50</v>
      </c>
      <c r="AK148" t="s">
        <v>1931</v>
      </c>
      <c r="AL148" t="s">
        <v>1932</v>
      </c>
      <c r="AM148" t="s">
        <v>1933</v>
      </c>
      <c r="AN148" t="s">
        <v>1934</v>
      </c>
      <c r="AO148" t="s">
        <v>1935</v>
      </c>
      <c r="AP148" t="s">
        <v>1936</v>
      </c>
      <c r="AQ148" t="s">
        <v>1937</v>
      </c>
      <c r="AR148" t="s">
        <v>1938</v>
      </c>
      <c r="AS148" t="s">
        <v>1939</v>
      </c>
      <c r="AT148" t="s">
        <v>1940</v>
      </c>
      <c r="AU148" t="s">
        <v>1941</v>
      </c>
      <c r="AV148" t="s">
        <v>1942</v>
      </c>
      <c r="AW148" t="s">
        <v>1943</v>
      </c>
      <c r="AX148" t="s">
        <v>1944</v>
      </c>
      <c r="AY148" t="s">
        <v>1945</v>
      </c>
    </row>
    <row r="149" spans="36:51" x14ac:dyDescent="0.2">
      <c r="AJ149" t="s">
        <v>319</v>
      </c>
      <c r="AK149" t="s">
        <v>1946</v>
      </c>
      <c r="AL149" t="s">
        <v>1947</v>
      </c>
      <c r="AM149" t="s">
        <v>1948</v>
      </c>
      <c r="AN149" t="s">
        <v>1949</v>
      </c>
      <c r="AO149" t="s">
        <v>1950</v>
      </c>
      <c r="AP149" t="s">
        <v>1951</v>
      </c>
      <c r="AQ149" t="s">
        <v>1952</v>
      </c>
      <c r="AR149" t="s">
        <v>1953</v>
      </c>
      <c r="AS149" t="s">
        <v>1954</v>
      </c>
      <c r="AT149" t="s">
        <v>1955</v>
      </c>
      <c r="AU149" t="s">
        <v>1956</v>
      </c>
      <c r="AV149" t="s">
        <v>1957</v>
      </c>
      <c r="AW149" t="s">
        <v>1958</v>
      </c>
      <c r="AX149" t="s">
        <v>1959</v>
      </c>
      <c r="AY149" t="s">
        <v>1960</v>
      </c>
    </row>
    <row r="150" spans="36:51" x14ac:dyDescent="0.2">
      <c r="AJ150" t="s">
        <v>52</v>
      </c>
      <c r="AK150" t="s">
        <v>1961</v>
      </c>
      <c r="AL150" t="s">
        <v>1962</v>
      </c>
      <c r="AM150" t="s">
        <v>1963</v>
      </c>
      <c r="AN150" t="s">
        <v>1964</v>
      </c>
      <c r="AO150" t="s">
        <v>1965</v>
      </c>
      <c r="AP150" t="s">
        <v>1966</v>
      </c>
      <c r="AQ150" t="s">
        <v>1967</v>
      </c>
      <c r="AR150" t="s">
        <v>1968</v>
      </c>
      <c r="AS150" t="s">
        <v>1969</v>
      </c>
      <c r="AT150" t="s">
        <v>1970</v>
      </c>
      <c r="AU150" t="s">
        <v>1971</v>
      </c>
      <c r="AV150" t="s">
        <v>1972</v>
      </c>
      <c r="AW150" t="s">
        <v>1973</v>
      </c>
      <c r="AX150" t="s">
        <v>1974</v>
      </c>
      <c r="AY150" t="s">
        <v>1975</v>
      </c>
    </row>
    <row r="151" spans="36:51" x14ac:dyDescent="0.2">
      <c r="AJ151" t="s">
        <v>53</v>
      </c>
      <c r="AK151" t="s">
        <v>1976</v>
      </c>
      <c r="AL151" t="s">
        <v>1977</v>
      </c>
      <c r="AM151" t="s">
        <v>1978</v>
      </c>
      <c r="AN151" t="s">
        <v>1979</v>
      </c>
      <c r="AO151" t="s">
        <v>1980</v>
      </c>
      <c r="AP151" t="s">
        <v>1981</v>
      </c>
      <c r="AQ151" t="s">
        <v>1982</v>
      </c>
      <c r="AR151" t="s">
        <v>1983</v>
      </c>
      <c r="AS151" t="s">
        <v>1984</v>
      </c>
      <c r="AT151" t="s">
        <v>1985</v>
      </c>
      <c r="AU151" t="s">
        <v>1986</v>
      </c>
      <c r="AV151" t="s">
        <v>1987</v>
      </c>
      <c r="AW151" t="s">
        <v>1988</v>
      </c>
      <c r="AX151" t="s">
        <v>1989</v>
      </c>
      <c r="AY151" t="s">
        <v>1990</v>
      </c>
    </row>
    <row r="152" spans="36:51" x14ac:dyDescent="0.2">
      <c r="AJ152" t="s">
        <v>297</v>
      </c>
      <c r="AK152" t="s">
        <v>1991</v>
      </c>
      <c r="AL152" t="s">
        <v>1992</v>
      </c>
      <c r="AM152" t="s">
        <v>1993</v>
      </c>
      <c r="AN152" t="s">
        <v>1994</v>
      </c>
      <c r="AO152" t="s">
        <v>1995</v>
      </c>
      <c r="AP152" t="s">
        <v>1996</v>
      </c>
      <c r="AQ152" t="s">
        <v>1997</v>
      </c>
      <c r="AR152" t="s">
        <v>1998</v>
      </c>
      <c r="AS152" t="s">
        <v>1999</v>
      </c>
      <c r="AT152" t="s">
        <v>2000</v>
      </c>
      <c r="AU152" t="s">
        <v>2001</v>
      </c>
      <c r="AV152" t="s">
        <v>2002</v>
      </c>
      <c r="AW152" t="s">
        <v>2003</v>
      </c>
      <c r="AX152" t="s">
        <v>2004</v>
      </c>
      <c r="AY152" t="s">
        <v>2005</v>
      </c>
    </row>
    <row r="153" spans="36:51" x14ac:dyDescent="0.2">
      <c r="AJ153" t="s">
        <v>318</v>
      </c>
      <c r="AK153" t="s">
        <v>2006</v>
      </c>
      <c r="AL153" t="s">
        <v>2007</v>
      </c>
      <c r="AM153" t="s">
        <v>2008</v>
      </c>
      <c r="AN153" t="s">
        <v>2009</v>
      </c>
      <c r="AO153" t="s">
        <v>2010</v>
      </c>
      <c r="AP153" t="s">
        <v>2011</v>
      </c>
      <c r="AQ153" t="s">
        <v>2012</v>
      </c>
      <c r="AR153" t="s">
        <v>2013</v>
      </c>
      <c r="AS153" t="s">
        <v>2014</v>
      </c>
      <c r="AT153" t="s">
        <v>2015</v>
      </c>
      <c r="AU153" t="s">
        <v>2016</v>
      </c>
      <c r="AV153" t="s">
        <v>2017</v>
      </c>
      <c r="AW153" t="s">
        <v>2018</v>
      </c>
      <c r="AX153" t="s">
        <v>2019</v>
      </c>
      <c r="AY153" t="s">
        <v>2020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44" sqref="C44"/>
    </sheetView>
  </sheetViews>
  <sheetFormatPr defaultRowHeight="12.75" x14ac:dyDescent="0.2"/>
  <sheetData>
    <row r="1" spans="1:1" x14ac:dyDescent="0.2">
      <c r="A1" t="str">
        <f>RTD("bloomberg.ccyreader","","#track","DBG","XVLA","2.1.0.0","Openfile")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B1:X61"/>
  <sheetViews>
    <sheetView showGridLines="0" showRowColHeaders="0" zoomScale="85" zoomScaleNormal="85" workbookViewId="0">
      <pane ySplit="5" topLeftCell="A6" activePane="bottomLeft" state="frozenSplit"/>
      <selection pane="bottomLeft" activeCell="A6" sqref="A6"/>
    </sheetView>
  </sheetViews>
  <sheetFormatPr defaultRowHeight="12.75" x14ac:dyDescent="0.2"/>
  <cols>
    <col min="1" max="1" width="1.7109375" customWidth="1"/>
  </cols>
  <sheetData>
    <row r="1" spans="2:24" ht="5.0999999999999996" customHeight="1" x14ac:dyDescent="0.2"/>
    <row r="2" spans="2:24" ht="15" customHeight="1" x14ac:dyDescent="0.2"/>
    <row r="3" spans="2:24" ht="15" customHeight="1" x14ac:dyDescent="0.2"/>
    <row r="4" spans="2:24" ht="15" customHeight="1" x14ac:dyDescent="0.2"/>
    <row r="5" spans="2:24" ht="5.0999999999999996" customHeight="1" x14ac:dyDescent="0.2"/>
    <row r="6" spans="2:24" x14ac:dyDescent="0.2">
      <c r="B6" s="61"/>
      <c r="C6" s="57"/>
      <c r="D6" s="59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62"/>
      <c r="T6" s="57"/>
      <c r="U6" s="58"/>
      <c r="V6" s="57"/>
      <c r="W6" s="57"/>
      <c r="X6" s="57"/>
    </row>
    <row r="7" spans="2:24" x14ac:dyDescent="0.2"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</row>
    <row r="8" spans="2:24" x14ac:dyDescent="0.2"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</row>
    <row r="9" spans="2:24" x14ac:dyDescent="0.2"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</row>
    <row r="10" spans="2:24" x14ac:dyDescent="0.2">
      <c r="B10" s="58"/>
      <c r="C10" s="57"/>
      <c r="S10" s="60"/>
      <c r="T10" s="57"/>
      <c r="U10" s="57"/>
      <c r="V10" s="57"/>
      <c r="W10" s="57"/>
      <c r="X10" s="57"/>
    </row>
    <row r="11" spans="2:24" x14ac:dyDescent="0.2">
      <c r="B11" s="57"/>
      <c r="C11" s="57"/>
      <c r="S11" s="57"/>
      <c r="T11" s="57"/>
      <c r="U11" s="57"/>
      <c r="V11" s="57"/>
      <c r="W11" s="57"/>
      <c r="X11" s="57"/>
    </row>
    <row r="12" spans="2:24" x14ac:dyDescent="0.2">
      <c r="B12" s="57"/>
      <c r="C12" s="57"/>
      <c r="S12" s="57"/>
      <c r="T12" s="57"/>
      <c r="U12" s="57"/>
      <c r="V12" s="57"/>
      <c r="W12" s="57"/>
      <c r="X12" s="57"/>
    </row>
    <row r="13" spans="2:24" x14ac:dyDescent="0.2">
      <c r="B13" s="57"/>
      <c r="C13" s="57"/>
      <c r="S13" s="57"/>
      <c r="T13" s="57"/>
      <c r="U13" s="57"/>
      <c r="V13" s="57"/>
      <c r="W13" s="57"/>
      <c r="X13" s="57"/>
    </row>
    <row r="14" spans="2:24" x14ac:dyDescent="0.2">
      <c r="B14" s="57"/>
      <c r="C14" s="57"/>
      <c r="S14" s="57"/>
      <c r="T14" s="57"/>
      <c r="U14" s="57"/>
      <c r="V14" s="57"/>
      <c r="W14" s="57"/>
      <c r="X14" s="57"/>
    </row>
    <row r="15" spans="2:24" x14ac:dyDescent="0.2">
      <c r="B15" s="57"/>
      <c r="C15" s="57"/>
      <c r="S15" s="57"/>
      <c r="T15" s="57"/>
      <c r="U15" s="57"/>
      <c r="V15" s="57"/>
      <c r="W15" s="57"/>
      <c r="X15" s="57"/>
    </row>
    <row r="16" spans="2:24" x14ac:dyDescent="0.2">
      <c r="B16" s="57"/>
      <c r="C16" s="57"/>
      <c r="S16" s="57"/>
      <c r="T16" s="57"/>
      <c r="U16" s="57"/>
      <c r="V16" s="57"/>
      <c r="W16" s="57"/>
      <c r="X16" s="57"/>
    </row>
    <row r="17" spans="2:24" x14ac:dyDescent="0.2">
      <c r="B17" s="57"/>
      <c r="C17" s="57"/>
      <c r="S17" s="57"/>
      <c r="T17" s="57"/>
      <c r="U17" s="57"/>
      <c r="V17" s="57"/>
      <c r="W17" s="57"/>
      <c r="X17" s="57"/>
    </row>
    <row r="18" spans="2:24" x14ac:dyDescent="0.2">
      <c r="B18" s="57"/>
      <c r="C18" s="57"/>
      <c r="S18" s="57"/>
      <c r="T18" s="57"/>
      <c r="U18" s="57"/>
      <c r="V18" s="57"/>
      <c r="W18" s="57"/>
      <c r="X18" s="57"/>
    </row>
    <row r="19" spans="2:24" x14ac:dyDescent="0.2">
      <c r="B19" s="57"/>
      <c r="C19" s="57"/>
      <c r="S19" s="57"/>
      <c r="T19" s="57"/>
      <c r="U19" s="57"/>
      <c r="V19" s="57"/>
      <c r="W19" s="57"/>
      <c r="X19" s="57"/>
    </row>
    <row r="20" spans="2:24" x14ac:dyDescent="0.2">
      <c r="B20" s="57"/>
      <c r="C20" s="57"/>
      <c r="S20" s="57"/>
      <c r="T20" s="57"/>
      <c r="U20" s="57"/>
      <c r="V20" s="57"/>
      <c r="W20" s="57"/>
      <c r="X20" s="57"/>
    </row>
    <row r="21" spans="2:24" x14ac:dyDescent="0.2">
      <c r="B21" s="57"/>
      <c r="C21" s="57"/>
      <c r="S21" s="57"/>
      <c r="T21" s="57"/>
      <c r="U21" s="57"/>
      <c r="V21" s="57"/>
      <c r="W21" s="57"/>
      <c r="X21" s="57"/>
    </row>
    <row r="22" spans="2:24" x14ac:dyDescent="0.2">
      <c r="B22" s="57"/>
      <c r="C22" s="57"/>
      <c r="S22" s="57"/>
      <c r="T22" s="57"/>
      <c r="U22" s="57"/>
      <c r="V22" s="57"/>
      <c r="W22" s="57"/>
      <c r="X22" s="57"/>
    </row>
    <row r="23" spans="2:24" x14ac:dyDescent="0.2">
      <c r="B23" s="57"/>
      <c r="C23" s="57"/>
      <c r="S23" s="57"/>
      <c r="T23" s="57"/>
      <c r="U23" s="57"/>
      <c r="V23" s="57"/>
      <c r="W23" s="57"/>
      <c r="X23" s="57"/>
    </row>
    <row r="24" spans="2:24" x14ac:dyDescent="0.2">
      <c r="B24" s="57"/>
      <c r="C24" s="57"/>
      <c r="S24" s="57"/>
      <c r="T24" s="57"/>
      <c r="U24" s="57"/>
      <c r="V24" s="57"/>
      <c r="W24" s="57"/>
      <c r="X24" s="57"/>
    </row>
    <row r="25" spans="2:24" x14ac:dyDescent="0.2">
      <c r="B25" s="57"/>
      <c r="C25" s="57"/>
      <c r="S25" s="57"/>
      <c r="T25" s="57"/>
      <c r="U25" s="57"/>
      <c r="V25" s="57"/>
      <c r="W25" s="57"/>
      <c r="X25" s="57"/>
    </row>
    <row r="26" spans="2:24" x14ac:dyDescent="0.2">
      <c r="B26" s="57"/>
      <c r="C26" s="57"/>
      <c r="S26" s="57"/>
      <c r="T26" s="57"/>
      <c r="U26" s="57"/>
      <c r="V26" s="57"/>
      <c r="W26" s="57"/>
      <c r="X26" s="57"/>
    </row>
    <row r="27" spans="2:24" x14ac:dyDescent="0.2">
      <c r="B27" s="57"/>
      <c r="C27" s="57"/>
      <c r="S27" s="57"/>
      <c r="T27" s="57"/>
      <c r="U27" s="57"/>
      <c r="V27" s="57"/>
      <c r="W27" s="57"/>
      <c r="X27" s="57"/>
    </row>
    <row r="28" spans="2:24" x14ac:dyDescent="0.2">
      <c r="B28" s="57"/>
      <c r="C28" s="57"/>
      <c r="S28" s="57"/>
      <c r="T28" s="57"/>
      <c r="U28" s="57"/>
      <c r="V28" s="57"/>
      <c r="W28" s="57"/>
      <c r="X28" s="57"/>
    </row>
    <row r="29" spans="2:24" x14ac:dyDescent="0.2">
      <c r="B29" s="57"/>
      <c r="C29" s="57"/>
      <c r="S29" s="57"/>
      <c r="T29" s="57"/>
      <c r="U29" s="57"/>
      <c r="V29" s="57"/>
      <c r="W29" s="57"/>
      <c r="X29" s="57"/>
    </row>
    <row r="30" spans="2:24" x14ac:dyDescent="0.2">
      <c r="B30" s="57"/>
      <c r="C30" s="57"/>
      <c r="S30" s="57"/>
      <c r="T30" s="57"/>
      <c r="U30" s="57"/>
      <c r="V30" s="57"/>
      <c r="W30" s="57"/>
      <c r="X30" s="57"/>
    </row>
    <row r="31" spans="2:24" x14ac:dyDescent="0.2">
      <c r="B31" s="57"/>
      <c r="C31" s="57"/>
      <c r="S31" s="57"/>
      <c r="T31" s="57"/>
      <c r="U31" s="57"/>
      <c r="V31" s="57"/>
      <c r="W31" s="57"/>
      <c r="X31" s="57"/>
    </row>
    <row r="32" spans="2:24" x14ac:dyDescent="0.2">
      <c r="B32" s="57"/>
      <c r="C32" s="57"/>
      <c r="S32" s="57"/>
      <c r="T32" s="57"/>
      <c r="U32" s="57"/>
      <c r="V32" s="57"/>
      <c r="W32" s="57"/>
      <c r="X32" s="57"/>
    </row>
    <row r="33" spans="2:24" x14ac:dyDescent="0.2">
      <c r="B33" s="57"/>
      <c r="C33" s="57"/>
      <c r="S33" s="57"/>
      <c r="T33" s="57"/>
      <c r="U33" s="57"/>
      <c r="V33" s="57"/>
      <c r="W33" s="57"/>
      <c r="X33" s="57"/>
    </row>
    <row r="34" spans="2:24" x14ac:dyDescent="0.2">
      <c r="B34" s="57"/>
      <c r="C34" s="57"/>
      <c r="S34" s="57"/>
      <c r="T34" s="57"/>
      <c r="U34" s="57"/>
      <c r="V34" s="57"/>
      <c r="W34" s="57"/>
      <c r="X34" s="57"/>
    </row>
    <row r="35" spans="2:24" x14ac:dyDescent="0.2">
      <c r="B35" s="57"/>
      <c r="C35" s="57"/>
      <c r="S35" s="57"/>
      <c r="T35" s="57"/>
      <c r="U35" s="57"/>
      <c r="V35" s="57"/>
      <c r="W35" s="57"/>
      <c r="X35" s="57"/>
    </row>
    <row r="36" spans="2:24" x14ac:dyDescent="0.2">
      <c r="B36" s="57"/>
      <c r="C36" s="57"/>
      <c r="S36" s="57"/>
      <c r="T36" s="57"/>
      <c r="U36" s="57"/>
      <c r="V36" s="57"/>
      <c r="W36" s="57"/>
      <c r="X36" s="57"/>
    </row>
    <row r="37" spans="2:24" x14ac:dyDescent="0.2">
      <c r="B37" s="57"/>
      <c r="C37" s="57"/>
      <c r="S37" s="57"/>
      <c r="T37" s="57"/>
      <c r="U37" s="57"/>
      <c r="V37" s="57"/>
      <c r="W37" s="57"/>
      <c r="X37" s="57"/>
    </row>
    <row r="38" spans="2:24" x14ac:dyDescent="0.2">
      <c r="B38" s="57"/>
      <c r="C38" s="57"/>
      <c r="S38" s="57"/>
      <c r="T38" s="57"/>
      <c r="U38" s="57"/>
      <c r="V38" s="57"/>
      <c r="W38" s="57"/>
      <c r="X38" s="57"/>
    </row>
    <row r="39" spans="2:24" x14ac:dyDescent="0.2">
      <c r="B39" s="57"/>
      <c r="C39" s="57"/>
      <c r="S39" s="57"/>
      <c r="T39" s="57"/>
      <c r="U39" s="57"/>
      <c r="V39" s="57"/>
      <c r="W39" s="57"/>
      <c r="X39" s="57"/>
    </row>
    <row r="40" spans="2:24" x14ac:dyDescent="0.2">
      <c r="B40" s="57"/>
      <c r="C40" s="57"/>
      <c r="S40" s="57"/>
      <c r="T40" s="57"/>
      <c r="U40" s="57"/>
      <c r="V40" s="57"/>
      <c r="W40" s="57"/>
      <c r="X40" s="57"/>
    </row>
    <row r="41" spans="2:24" x14ac:dyDescent="0.2">
      <c r="B41" s="57"/>
      <c r="C41" s="57"/>
      <c r="S41" s="57"/>
      <c r="T41" s="57"/>
      <c r="U41" s="57"/>
      <c r="V41" s="57"/>
      <c r="W41" s="57"/>
      <c r="X41" s="57"/>
    </row>
    <row r="42" spans="2:24" x14ac:dyDescent="0.2">
      <c r="B42" s="57"/>
      <c r="C42" s="57"/>
      <c r="S42" s="57"/>
      <c r="T42" s="57"/>
      <c r="U42" s="57"/>
      <c r="V42" s="57"/>
      <c r="W42" s="57"/>
      <c r="X42" s="57"/>
    </row>
    <row r="43" spans="2:24" x14ac:dyDescent="0.2">
      <c r="B43" s="57"/>
      <c r="C43" s="57"/>
      <c r="S43" s="57"/>
      <c r="T43" s="57"/>
      <c r="U43" s="57"/>
      <c r="V43" s="57"/>
      <c r="W43" s="57"/>
      <c r="X43" s="57"/>
    </row>
    <row r="44" spans="2:24" x14ac:dyDescent="0.2">
      <c r="B44" s="57"/>
      <c r="C44" s="57"/>
      <c r="S44" s="57"/>
      <c r="T44" s="57"/>
      <c r="U44" s="57"/>
      <c r="V44" s="57"/>
      <c r="W44" s="57"/>
      <c r="X44" s="57"/>
    </row>
    <row r="45" spans="2:24" x14ac:dyDescent="0.2">
      <c r="B45" s="57"/>
      <c r="C45" s="57"/>
      <c r="S45" s="57"/>
      <c r="T45" s="57"/>
      <c r="U45" s="57"/>
      <c r="V45" s="57"/>
      <c r="W45" s="57"/>
      <c r="X45" s="57"/>
    </row>
    <row r="46" spans="2:24" x14ac:dyDescent="0.2">
      <c r="B46" s="57"/>
      <c r="C46" s="57"/>
      <c r="S46" s="57"/>
      <c r="T46" s="57"/>
      <c r="U46" s="57"/>
      <c r="V46" s="57"/>
      <c r="W46" s="57"/>
      <c r="X46" s="57"/>
    </row>
    <row r="47" spans="2:24" x14ac:dyDescent="0.2">
      <c r="B47" s="57"/>
      <c r="C47" s="57"/>
      <c r="S47" s="57"/>
      <c r="T47" s="57"/>
      <c r="U47" s="57"/>
      <c r="V47" s="57"/>
      <c r="W47" s="57"/>
      <c r="X47" s="57"/>
    </row>
    <row r="48" spans="2:24" x14ac:dyDescent="0.2">
      <c r="B48" s="57"/>
      <c r="C48" s="57"/>
      <c r="S48" s="57"/>
      <c r="T48" s="57"/>
      <c r="U48" s="57"/>
      <c r="V48" s="57"/>
      <c r="W48" s="57"/>
      <c r="X48" s="57"/>
    </row>
    <row r="49" spans="2:24" x14ac:dyDescent="0.2">
      <c r="B49" s="64"/>
      <c r="C49" s="57"/>
      <c r="D49" s="63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65"/>
      <c r="T49" s="57"/>
      <c r="U49" s="57"/>
      <c r="V49" s="57"/>
      <c r="W49" s="57"/>
      <c r="X49" s="57"/>
    </row>
    <row r="50" spans="2:24" x14ac:dyDescent="0.2"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</row>
    <row r="51" spans="2:24" x14ac:dyDescent="0.2"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</row>
    <row r="52" spans="2:24" x14ac:dyDescent="0.2"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</row>
    <row r="53" spans="2:24" x14ac:dyDescent="0.2">
      <c r="B53" s="59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6"/>
      <c r="V53" s="57"/>
      <c r="W53" s="57"/>
      <c r="X53" s="57"/>
    </row>
    <row r="54" spans="2:24" x14ac:dyDescent="0.2"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</row>
    <row r="55" spans="2:24" x14ac:dyDescent="0.2"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</row>
    <row r="56" spans="2:24" x14ac:dyDescent="0.2"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</row>
    <row r="57" spans="2:24" x14ac:dyDescent="0.2"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</row>
    <row r="58" spans="2:24" x14ac:dyDescent="0.2"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</row>
    <row r="59" spans="2:24" x14ac:dyDescent="0.2"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</row>
    <row r="60" spans="2:24" x14ac:dyDescent="0.2"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</row>
    <row r="61" spans="2:24" x14ac:dyDescent="0.2"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</row>
  </sheetData>
  <mergeCells count="11">
    <mergeCell ref="S49:T52"/>
    <mergeCell ref="U53:X61"/>
    <mergeCell ref="U6:X52"/>
    <mergeCell ref="B53:T61"/>
    <mergeCell ref="B10:C48"/>
    <mergeCell ref="S10:T48"/>
    <mergeCell ref="D6:R9"/>
    <mergeCell ref="B6:C9"/>
    <mergeCell ref="S6:T9"/>
    <mergeCell ref="D49:R52"/>
    <mergeCell ref="B49:C5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Data</vt:lpstr>
      <vt:lpstr>Help</vt:lpstr>
      <vt:lpstr>ALLQ</vt:lpstr>
      <vt:lpstr>Curncy</vt:lpstr>
      <vt:lpstr>DataSource</vt:lpstr>
      <vt:lpstr>HLPBRD_IB</vt:lpstr>
      <vt:lpstr>HLPBRD_IR</vt:lpstr>
      <vt:lpstr>HLPBRD_OBR</vt:lpstr>
      <vt:lpstr>MarketSide</vt:lpstr>
      <vt:lpstr>Term</vt:lpstr>
      <vt:lpstr>TYPE</vt:lpstr>
    </vt:vector>
  </TitlesOfParts>
  <Company>Bloomberg LP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 User</dc:creator>
  <cp:lastModifiedBy>Nicholas Burgess</cp:lastModifiedBy>
  <dcterms:created xsi:type="dcterms:W3CDTF">2010-05-06T01:36:36Z</dcterms:created>
  <dcterms:modified xsi:type="dcterms:W3CDTF">2016-10-11T09:53:46Z</dcterms:modified>
</cp:coreProperties>
</file>