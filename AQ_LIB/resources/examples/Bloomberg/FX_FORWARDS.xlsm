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rp.bloomberg.com\ny-dfs\Users\gyu\2-FX Related\XFRC\"/>
    </mc:Choice>
  </mc:AlternateContent>
  <bookViews>
    <workbookView xWindow="360" yWindow="75" windowWidth="16140" windowHeight="8325" tabRatio="686"/>
  </bookViews>
  <sheets>
    <sheet name="FXTK-Forwards (1)" sheetId="26" r:id="rId1"/>
    <sheet name="FXTK-Forwards (2)" sheetId="28" r:id="rId2"/>
    <sheet name="FXTK-Forward Dates" sheetId="29" r:id="rId3"/>
    <sheet name="FXTK-Swaps" sheetId="30" r:id="rId4"/>
    <sheet name="Help Page" sheetId="24" r:id="rId5"/>
  </sheets>
  <functionGroups builtInGroupCount="18"/>
  <definedNames>
    <definedName name="Input_Range_BrokenDates" localSheetId="0">'FXTK-Forwards (1)'!$B$15:$E$34</definedName>
    <definedName name="Input_Range_BrokenDates">#REF!</definedName>
    <definedName name="Input_Range_Forwards" localSheetId="1">'FXTK-Forwards (2)'!$B$11:$D$526</definedName>
    <definedName name="Input_Range_Forwards">#REF!</definedName>
    <definedName name="Input_Range_Swaps" localSheetId="3">'FXTK-Swaps'!$B$10:$F$45</definedName>
    <definedName name="Input_Range_Swaps">#REF!</definedName>
    <definedName name="Input_Source_BrokenDates" localSheetId="0">'FXTK-Forwards (1)'!$C$7</definedName>
    <definedName name="Input_Source_BrokenDates">#REF!</definedName>
    <definedName name="Input_Source_Forwards" localSheetId="1">'FXTK-Forwards (2)'!$C$7</definedName>
    <definedName name="Input_Source_Forwards">#REF!</definedName>
  </definedNames>
  <calcPr calcId="152511"/>
</workbook>
</file>

<file path=xl/calcChain.xml><?xml version="1.0" encoding="utf-8"?>
<calcChain xmlns="http://schemas.openxmlformats.org/spreadsheetml/2006/main">
  <c r="S44" i="30" l="1"/>
  <c r="S41" i="30"/>
  <c r="S38" i="30"/>
  <c r="S35" i="30"/>
  <c r="S32" i="30"/>
  <c r="S29" i="30"/>
  <c r="S26" i="30"/>
  <c r="S23" i="30"/>
  <c r="S20" i="30"/>
  <c r="S17" i="30"/>
  <c r="S14" i="30"/>
  <c r="S11" i="30"/>
  <c r="B120" i="29"/>
  <c r="B11" i="29"/>
  <c r="M11" i="29"/>
  <c r="G19" i="26"/>
  <c r="G15" i="28"/>
  <c r="G13" i="28"/>
  <c r="G20" i="28"/>
  <c r="G25" i="26"/>
  <c r="G11" i="28"/>
  <c r="G18" i="28"/>
  <c r="G17" i="26"/>
  <c r="G21" i="26"/>
  <c r="G18" i="26"/>
  <c r="G22" i="26"/>
  <c r="G24" i="26"/>
  <c r="G23" i="26"/>
  <c r="G14" i="28"/>
  <c r="D96" i="29"/>
  <c r="G26" i="26"/>
  <c r="G27" i="26"/>
  <c r="G22" i="28"/>
  <c r="G17" i="28"/>
  <c r="G21" i="28"/>
  <c r="G16" i="28"/>
  <c r="G12" i="28"/>
  <c r="G20" i="26"/>
  <c r="G16" i="26"/>
  <c r="G19" i="28"/>
  <c r="D9" i="29"/>
  <c r="C21" i="30"/>
  <c r="C45" i="30"/>
  <c r="C39" i="30"/>
  <c r="C30" i="30"/>
  <c r="C36" i="30"/>
  <c r="G15" i="26"/>
  <c r="C42" i="30"/>
  <c r="C27" i="30"/>
  <c r="C33" i="30"/>
  <c r="C12" i="30"/>
  <c r="C18" i="30"/>
  <c r="C15" i="30"/>
  <c r="C24" i="30"/>
  <c r="O9" i="29"/>
  <c r="J7" i="26"/>
  <c r="T23" i="30"/>
  <c r="T17" i="30"/>
  <c r="T11" i="30"/>
  <c r="T12" i="30"/>
  <c r="T14" i="30"/>
  <c r="T18" i="30"/>
  <c r="T32" i="30"/>
  <c r="T15" i="30"/>
  <c r="T24" i="30"/>
  <c r="T33" i="30"/>
  <c r="T45" i="30"/>
  <c r="T44" i="30"/>
  <c r="T26" i="30"/>
  <c r="T27" i="30"/>
  <c r="T42" i="30"/>
  <c r="T41" i="30"/>
  <c r="T35" i="30"/>
  <c r="T36" i="30"/>
  <c r="T30" i="30"/>
  <c r="T29" i="30"/>
  <c r="T39" i="30"/>
  <c r="T38" i="30"/>
  <c r="T21" i="30"/>
  <c r="T20" i="30"/>
  <c r="U23" i="30" l="1"/>
  <c r="G23" i="30" s="1"/>
  <c r="U42" i="30"/>
  <c r="G42" i="30" s="1"/>
  <c r="U41" i="30"/>
  <c r="G41" i="30" s="1"/>
  <c r="U29" i="30"/>
  <c r="G29" i="30" s="1"/>
  <c r="U18" i="30"/>
  <c r="G18" i="30" s="1"/>
  <c r="U30" i="30"/>
  <c r="G30" i="30" s="1"/>
  <c r="U14" i="30"/>
  <c r="G14" i="30" s="1"/>
  <c r="U26" i="30"/>
  <c r="G26" i="30" s="1"/>
  <c r="U38" i="30"/>
  <c r="G38" i="30" s="1"/>
  <c r="U15" i="30"/>
  <c r="G15" i="30" s="1"/>
  <c r="U27" i="30"/>
  <c r="G27" i="30" s="1"/>
  <c r="U45" i="30"/>
  <c r="G45" i="30" s="1"/>
  <c r="U17" i="30"/>
  <c r="G17" i="30" s="1"/>
  <c r="U35" i="30"/>
  <c r="G35" i="30" s="1"/>
  <c r="U24" i="30"/>
  <c r="G24" i="30" s="1"/>
  <c r="U36" i="30"/>
  <c r="G36" i="30" s="1"/>
  <c r="U20" i="30"/>
  <c r="G20" i="30" s="1"/>
  <c r="U32" i="30"/>
  <c r="G32" i="30" s="1"/>
  <c r="U44" i="30"/>
  <c r="G44" i="30" s="1"/>
  <c r="U21" i="30"/>
  <c r="G21" i="30" s="1"/>
  <c r="U33" i="30"/>
  <c r="G33" i="30" s="1"/>
  <c r="U39" i="30"/>
  <c r="G39" i="30" s="1"/>
  <c r="U12" i="30"/>
  <c r="G12" i="30" s="1"/>
  <c r="U11" i="30"/>
  <c r="G11" i="30" s="1"/>
  <c r="U30" i="28"/>
  <c r="M30" i="28"/>
  <c r="O29" i="28"/>
  <c r="Q28" i="28"/>
  <c r="S27" i="28"/>
  <c r="U26" i="28"/>
  <c r="M26" i="28"/>
  <c r="O25" i="28"/>
  <c r="Q24" i="28"/>
  <c r="S23" i="28"/>
  <c r="T30" i="28"/>
  <c r="L30" i="28"/>
  <c r="N29" i="28"/>
  <c r="P28" i="28"/>
  <c r="R27" i="28"/>
  <c r="T26" i="28"/>
  <c r="L26" i="28"/>
  <c r="N25" i="28"/>
  <c r="P24" i="28"/>
  <c r="R23" i="28"/>
  <c r="R29" i="28"/>
  <c r="N27" i="28"/>
  <c r="R25" i="28"/>
  <c r="L24" i="28"/>
  <c r="Q29" i="28"/>
  <c r="O26" i="28"/>
  <c r="S24" i="28"/>
  <c r="P29" i="28"/>
  <c r="L27" i="28"/>
  <c r="P25" i="28"/>
  <c r="L23" i="28"/>
  <c r="S30" i="28"/>
  <c r="U29" i="28"/>
  <c r="M29" i="28"/>
  <c r="O28" i="28"/>
  <c r="Q27" i="28"/>
  <c r="S26" i="28"/>
  <c r="U25" i="28"/>
  <c r="M25" i="28"/>
  <c r="O24" i="28"/>
  <c r="Q23" i="28"/>
  <c r="R30" i="28"/>
  <c r="T29" i="28"/>
  <c r="L29" i="28"/>
  <c r="N28" i="28"/>
  <c r="P27" i="28"/>
  <c r="R26" i="28"/>
  <c r="T25" i="28"/>
  <c r="L25" i="28"/>
  <c r="N24" i="28"/>
  <c r="P23" i="28"/>
  <c r="Q30" i="28"/>
  <c r="S29" i="28"/>
  <c r="U28" i="28"/>
  <c r="M28" i="28"/>
  <c r="O27" i="28"/>
  <c r="Q26" i="28"/>
  <c r="S25" i="28"/>
  <c r="U24" i="28"/>
  <c r="M24" i="28"/>
  <c r="O23" i="28"/>
  <c r="P30" i="28"/>
  <c r="T28" i="28"/>
  <c r="L28" i="28"/>
  <c r="P26" i="28"/>
  <c r="T24" i="28"/>
  <c r="N23" i="28"/>
  <c r="O30" i="28"/>
  <c r="S28" i="28"/>
  <c r="U27" i="28"/>
  <c r="M27" i="28"/>
  <c r="Q25" i="28"/>
  <c r="U23" i="28"/>
  <c r="M23" i="28"/>
  <c r="N30" i="28"/>
  <c r="R28" i="28"/>
  <c r="T27" i="28"/>
  <c r="N26" i="28"/>
  <c r="R24" i="28"/>
  <c r="T23" i="28"/>
  <c r="G30" i="28"/>
  <c r="L24" i="30"/>
  <c r="M24" i="30"/>
  <c r="H23" i="30"/>
  <c r="J23" i="30"/>
  <c r="K23" i="30"/>
  <c r="I23" i="30"/>
  <c r="L39" i="30"/>
  <c r="K38" i="30"/>
  <c r="M39" i="30"/>
  <c r="H38" i="30"/>
  <c r="J38" i="30"/>
  <c r="I38" i="30"/>
  <c r="H20" i="30"/>
  <c r="K20" i="30"/>
  <c r="L21" i="30"/>
  <c r="M21" i="30"/>
  <c r="I20" i="30"/>
  <c r="J20" i="30"/>
  <c r="H11" i="30"/>
  <c r="M45" i="30"/>
  <c r="J41" i="30"/>
  <c r="M42" i="30"/>
  <c r="H41" i="30"/>
  <c r="L42" i="30"/>
  <c r="K41" i="30"/>
  <c r="I41" i="30"/>
  <c r="I11" i="30"/>
  <c r="K45" i="30"/>
  <c r="K30" i="30"/>
  <c r="H30" i="30"/>
  <c r="J30" i="30"/>
  <c r="I30" i="30"/>
  <c r="H44" i="30"/>
  <c r="H24" i="30"/>
  <c r="K24" i="30"/>
  <c r="I24" i="30"/>
  <c r="J24" i="30"/>
  <c r="K44" i="30"/>
  <c r="J26" i="30"/>
  <c r="I26" i="30"/>
  <c r="H26" i="30"/>
  <c r="M27" i="30"/>
  <c r="K26" i="30"/>
  <c r="L27" i="30"/>
  <c r="L45" i="30"/>
  <c r="K42" i="30"/>
  <c r="H42" i="30"/>
  <c r="J42" i="30"/>
  <c r="I42" i="30"/>
  <c r="H15" i="30"/>
  <c r="K15" i="30"/>
  <c r="I15" i="30"/>
  <c r="J15" i="30"/>
  <c r="J32" i="30"/>
  <c r="K32" i="30"/>
  <c r="M33" i="30"/>
  <c r="L33" i="30"/>
  <c r="I32" i="30"/>
  <c r="H32" i="30"/>
  <c r="H30" i="28"/>
  <c r="L12" i="30"/>
  <c r="H45" i="30"/>
  <c r="H27" i="30"/>
  <c r="J27" i="30"/>
  <c r="I27" i="30"/>
  <c r="K27" i="30"/>
  <c r="H12" i="30"/>
  <c r="I45" i="30"/>
  <c r="I44" i="30"/>
  <c r="K35" i="30"/>
  <c r="L36" i="30"/>
  <c r="I35" i="30"/>
  <c r="M36" i="30"/>
  <c r="J35" i="30"/>
  <c r="H35" i="30"/>
  <c r="J44" i="30"/>
  <c r="J11" i="30"/>
  <c r="J36" i="30"/>
  <c r="K36" i="30"/>
  <c r="H36" i="30"/>
  <c r="I36" i="30"/>
  <c r="K11" i="30"/>
  <c r="K29" i="30"/>
  <c r="M30" i="30"/>
  <c r="L30" i="30"/>
  <c r="I29" i="30"/>
  <c r="J29" i="30"/>
  <c r="H29" i="30"/>
  <c r="I21" i="30"/>
  <c r="J21" i="30"/>
  <c r="H21" i="30"/>
  <c r="K21" i="30"/>
  <c r="K12" i="30"/>
  <c r="M12" i="30"/>
  <c r="J45" i="30"/>
  <c r="H18" i="30"/>
  <c r="J18" i="30"/>
  <c r="I18" i="30"/>
  <c r="K18" i="30"/>
  <c r="J17" i="30"/>
  <c r="H17" i="30"/>
  <c r="M18" i="30"/>
  <c r="L18" i="30"/>
  <c r="K17" i="30"/>
  <c r="I17" i="30"/>
  <c r="I33" i="30"/>
  <c r="K33" i="30"/>
  <c r="H33" i="30"/>
  <c r="J33" i="30"/>
  <c r="J12" i="30"/>
  <c r="J39" i="30"/>
  <c r="I39" i="30"/>
  <c r="K39" i="30"/>
  <c r="H39" i="30"/>
  <c r="I12" i="30"/>
  <c r="K14" i="30"/>
  <c r="H14" i="30"/>
  <c r="I14" i="30"/>
  <c r="M15" i="30"/>
  <c r="J14" i="30"/>
  <c r="L15" i="30"/>
  <c r="I30" i="28" l="1"/>
  <c r="J30" i="28" s="1"/>
  <c r="V30" i="28"/>
  <c r="F30" i="28"/>
  <c r="G29" i="28"/>
  <c r="Y30" i="28"/>
  <c r="H29" i="28"/>
  <c r="I29" i="28" l="1"/>
  <c r="J29" i="28" s="1"/>
  <c r="V29" i="28"/>
  <c r="F29" i="28"/>
  <c r="G28" i="28"/>
  <c r="Y29" i="28"/>
  <c r="H28" i="28"/>
  <c r="I28" i="28" l="1"/>
  <c r="J28" i="28" s="1"/>
  <c r="V28" i="28"/>
  <c r="F28" i="28"/>
  <c r="G27" i="28"/>
  <c r="H27" i="28"/>
  <c r="Y28" i="28"/>
  <c r="I27" i="28" l="1"/>
  <c r="J27" i="28" s="1"/>
  <c r="V27" i="28"/>
  <c r="F27" i="28"/>
  <c r="G26" i="28"/>
  <c r="Y27" i="28"/>
  <c r="H26" i="28"/>
  <c r="I26" i="28" l="1"/>
  <c r="J26" i="28" s="1"/>
  <c r="V26" i="28"/>
  <c r="F26" i="28"/>
  <c r="G25" i="28"/>
  <c r="H25" i="28"/>
  <c r="Y26" i="28"/>
  <c r="I25" i="28" l="1"/>
  <c r="J25" i="28" s="1"/>
  <c r="V25" i="28"/>
  <c r="F25" i="28"/>
  <c r="G24" i="28"/>
  <c r="H24" i="28"/>
  <c r="Y25" i="28"/>
  <c r="I24" i="28" l="1"/>
  <c r="J24" i="28" s="1"/>
  <c r="V24" i="28"/>
  <c r="F24" i="28"/>
  <c r="G23" i="28"/>
  <c r="Y24" i="28"/>
  <c r="H23" i="28"/>
  <c r="I23" i="28" l="1"/>
  <c r="J23" i="28" s="1"/>
  <c r="V23" i="28"/>
  <c r="F23" i="28"/>
  <c r="Y23" i="28"/>
  <c r="H22" i="28"/>
  <c r="L22" i="28"/>
  <c r="M22" i="28"/>
  <c r="N22" i="28"/>
  <c r="I22" i="28" l="1"/>
  <c r="J22" i="28" s="1"/>
  <c r="V22" i="28"/>
  <c r="F22" i="28"/>
  <c r="R22" i="28"/>
  <c r="N21" i="28"/>
  <c r="U22" i="28"/>
  <c r="Y22" i="28"/>
  <c r="T22" i="28"/>
  <c r="Q22" i="28"/>
  <c r="H21" i="28"/>
  <c r="L21" i="28"/>
  <c r="S22" i="28"/>
  <c r="M21" i="28"/>
  <c r="O22" i="28"/>
  <c r="P22" i="28"/>
  <c r="I21" i="28" l="1"/>
  <c r="J21" i="28" s="1"/>
  <c r="V21" i="28"/>
  <c r="F21" i="28"/>
  <c r="T21" i="28"/>
  <c r="L20" i="28"/>
  <c r="Q21" i="28"/>
  <c r="P21" i="28"/>
  <c r="U21" i="28"/>
  <c r="H20" i="28"/>
  <c r="Y21" i="28"/>
  <c r="O21" i="28"/>
  <c r="M20" i="28"/>
  <c r="R21" i="28"/>
  <c r="S21" i="28"/>
  <c r="N20" i="28"/>
  <c r="I20" i="28" l="1"/>
  <c r="J20" i="28" s="1"/>
  <c r="V20" i="28"/>
  <c r="F20" i="28"/>
  <c r="S20" i="28"/>
  <c r="Q20" i="28"/>
  <c r="N19" i="28"/>
  <c r="O20" i="28"/>
  <c r="Y20" i="28"/>
  <c r="P20" i="28"/>
  <c r="U20" i="28"/>
  <c r="M19" i="28"/>
  <c r="R20" i="28"/>
  <c r="T20" i="28"/>
  <c r="H19" i="28"/>
  <c r="L19" i="28"/>
  <c r="I19" i="28" l="1"/>
  <c r="J19" i="28" s="1"/>
  <c r="V19" i="28"/>
  <c r="F19" i="28"/>
  <c r="P19" i="28"/>
  <c r="Q19" i="28"/>
  <c r="L18" i="28"/>
  <c r="M18" i="28"/>
  <c r="S19" i="28"/>
  <c r="N18" i="28"/>
  <c r="U19" i="28"/>
  <c r="R19" i="28"/>
  <c r="H18" i="28"/>
  <c r="Y19" i="28"/>
  <c r="T19" i="28"/>
  <c r="O19" i="28"/>
  <c r="I18" i="28" l="1"/>
  <c r="J18" i="28" s="1"/>
  <c r="V18" i="28"/>
  <c r="F18" i="28"/>
  <c r="O18" i="28"/>
  <c r="R18" i="28"/>
  <c r="P18" i="28"/>
  <c r="Y18" i="28"/>
  <c r="U18" i="28"/>
  <c r="L17" i="28"/>
  <c r="H17" i="28"/>
  <c r="T18" i="28"/>
  <c r="Q18" i="28"/>
  <c r="M17" i="28"/>
  <c r="N17" i="28"/>
  <c r="S18" i="28"/>
  <c r="I17" i="28" l="1"/>
  <c r="J17" i="28" s="1"/>
  <c r="V17" i="28"/>
  <c r="F17" i="28"/>
  <c r="R17" i="28"/>
  <c r="T17" i="28"/>
  <c r="Y17" i="28"/>
  <c r="P17" i="28"/>
  <c r="H16" i="28"/>
  <c r="O17" i="28"/>
  <c r="M16" i="28"/>
  <c r="Q17" i="28"/>
  <c r="N16" i="28"/>
  <c r="U17" i="28"/>
  <c r="L16" i="28"/>
  <c r="S17" i="28"/>
  <c r="I16" i="28" l="1"/>
  <c r="J16" i="28" s="1"/>
  <c r="V16" i="28"/>
  <c r="F16" i="28"/>
  <c r="P16" i="28"/>
  <c r="S16" i="28"/>
  <c r="U16" i="28"/>
  <c r="R16" i="28"/>
  <c r="L15" i="28"/>
  <c r="N15" i="28"/>
  <c r="Q16" i="28"/>
  <c r="Y16" i="28"/>
  <c r="H15" i="28"/>
  <c r="O16" i="28"/>
  <c r="T16" i="28"/>
  <c r="M15" i="28"/>
  <c r="I15" i="28" l="1"/>
  <c r="J15" i="28" s="1"/>
  <c r="V15" i="28"/>
  <c r="F15" i="28"/>
  <c r="Q15" i="28"/>
  <c r="T15" i="28"/>
  <c r="S15" i="28"/>
  <c r="O15" i="28"/>
  <c r="U15" i="28"/>
  <c r="N14" i="28"/>
  <c r="M14" i="28"/>
  <c r="Y15" i="28"/>
  <c r="H14" i="28"/>
  <c r="L14" i="28"/>
  <c r="P15" i="28"/>
  <c r="R15" i="28"/>
  <c r="I14" i="28" l="1"/>
  <c r="J14" i="28" s="1"/>
  <c r="V14" i="28"/>
  <c r="F14" i="28"/>
  <c r="P14" i="28"/>
  <c r="O14" i="28"/>
  <c r="S14" i="28"/>
  <c r="N13" i="28"/>
  <c r="Y14" i="28"/>
  <c r="U14" i="28"/>
  <c r="H13" i="28"/>
  <c r="Q14" i="28"/>
  <c r="L13" i="28"/>
  <c r="M13" i="28"/>
  <c r="T14" i="28"/>
  <c r="R14" i="28"/>
  <c r="I13" i="28" l="1"/>
  <c r="J13" i="28" s="1"/>
  <c r="V13" i="28"/>
  <c r="F13" i="28"/>
  <c r="P13" i="28"/>
  <c r="R13" i="28"/>
  <c r="Q13" i="28"/>
  <c r="Y13" i="28"/>
  <c r="U13" i="28"/>
  <c r="O13" i="28"/>
  <c r="L12" i="28"/>
  <c r="S13" i="28"/>
  <c r="T13" i="28"/>
  <c r="H12" i="28"/>
  <c r="N12" i="28"/>
  <c r="M12" i="28"/>
  <c r="I12" i="28" l="1"/>
  <c r="J12" i="28" s="1"/>
  <c r="V12" i="28"/>
  <c r="F12" i="28"/>
  <c r="N11" i="28"/>
  <c r="Y12" i="28"/>
  <c r="P12" i="28"/>
  <c r="H11" i="28"/>
  <c r="L11" i="28"/>
  <c r="Q12" i="28"/>
  <c r="S12" i="28"/>
  <c r="O12" i="28"/>
  <c r="U12" i="28"/>
  <c r="T12" i="28"/>
  <c r="R12" i="28"/>
  <c r="M11" i="28"/>
  <c r="I11" i="28" l="1"/>
  <c r="J11" i="28" s="1"/>
  <c r="V11" i="28"/>
  <c r="F11" i="28"/>
  <c r="P11" i="28"/>
  <c r="U11" i="28"/>
  <c r="Y11" i="28"/>
  <c r="S11" i="28"/>
  <c r="Q11" i="28"/>
  <c r="T11" i="28"/>
  <c r="O11" i="28"/>
  <c r="R11" i="28"/>
  <c r="F34" i="26" l="1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6" i="26"/>
  <c r="F15" i="26"/>
  <c r="Q34" i="26"/>
  <c r="P34" i="26"/>
  <c r="O34" i="26"/>
  <c r="N34" i="26"/>
  <c r="M34" i="26"/>
  <c r="L34" i="26"/>
  <c r="K34" i="26"/>
  <c r="J34" i="26"/>
  <c r="Q33" i="26"/>
  <c r="P33" i="26"/>
  <c r="O33" i="26"/>
  <c r="N33" i="26"/>
  <c r="M33" i="26"/>
  <c r="L33" i="26"/>
  <c r="K33" i="26"/>
  <c r="J33" i="26"/>
  <c r="Q32" i="26"/>
  <c r="P32" i="26"/>
  <c r="O32" i="26"/>
  <c r="N32" i="26"/>
  <c r="M32" i="26"/>
  <c r="L32" i="26"/>
  <c r="K32" i="26"/>
  <c r="J32" i="26"/>
  <c r="Q31" i="26"/>
  <c r="P31" i="26"/>
  <c r="O31" i="26"/>
  <c r="N31" i="26"/>
  <c r="M31" i="26"/>
  <c r="L31" i="26"/>
  <c r="K31" i="26"/>
  <c r="J31" i="26"/>
  <c r="Q30" i="26"/>
  <c r="P30" i="26"/>
  <c r="O30" i="26"/>
  <c r="N30" i="26"/>
  <c r="M30" i="26"/>
  <c r="L30" i="26"/>
  <c r="K30" i="26"/>
  <c r="J30" i="26"/>
  <c r="Q29" i="26"/>
  <c r="P29" i="26"/>
  <c r="O29" i="26"/>
  <c r="N29" i="26"/>
  <c r="M29" i="26"/>
  <c r="L29" i="26"/>
  <c r="K29" i="26"/>
  <c r="J29" i="26"/>
  <c r="Q28" i="26"/>
  <c r="P28" i="26"/>
  <c r="O28" i="26"/>
  <c r="N28" i="26"/>
  <c r="M28" i="26"/>
  <c r="L28" i="26"/>
  <c r="K28" i="26"/>
  <c r="J28" i="26"/>
  <c r="I34" i="26"/>
  <c r="I33" i="26"/>
  <c r="I32" i="26"/>
  <c r="I31" i="26"/>
  <c r="I30" i="26"/>
  <c r="I29" i="26"/>
  <c r="I28" i="26"/>
  <c r="H34" i="26"/>
  <c r="G34" i="26"/>
  <c r="H33" i="26"/>
  <c r="G33" i="26"/>
  <c r="H32" i="26"/>
  <c r="G32" i="26"/>
  <c r="H31" i="26"/>
  <c r="G31" i="26"/>
  <c r="H30" i="26"/>
  <c r="G30" i="26"/>
  <c r="H29" i="26"/>
  <c r="G29" i="26"/>
  <c r="H28" i="26"/>
  <c r="G28" i="26"/>
  <c r="H12" i="26"/>
  <c r="K12" i="26"/>
  <c r="J12" i="26"/>
  <c r="N12" i="26"/>
  <c r="I12" i="26"/>
  <c r="Q12" i="26"/>
  <c r="M12" i="26"/>
  <c r="O12" i="26"/>
  <c r="L12" i="26"/>
  <c r="P12" i="26"/>
  <c r="O11" i="26" l="1"/>
  <c r="O10" i="26" s="1"/>
  <c r="I11" i="26"/>
  <c r="I10" i="26" s="1"/>
  <c r="H11" i="26"/>
  <c r="H10" i="26" s="1"/>
  <c r="J11" i="26"/>
  <c r="J10" i="26" s="1"/>
  <c r="K11" i="26"/>
  <c r="K10" i="26" s="1"/>
  <c r="P11" i="26"/>
  <c r="P10" i="26" s="1"/>
  <c r="Q11" i="26"/>
  <c r="Q10" i="26" s="1"/>
  <c r="L11" i="26"/>
  <c r="L10" i="26" s="1"/>
  <c r="M11" i="26"/>
  <c r="M10" i="26" s="1"/>
  <c r="N11" i="26"/>
  <c r="N10" i="26" s="1"/>
  <c r="O96" i="29"/>
  <c r="M96" i="29"/>
  <c r="O26" i="26"/>
  <c r="O16" i="26"/>
  <c r="M21" i="26"/>
  <c r="L25" i="26"/>
  <c r="L17" i="26"/>
  <c r="I16" i="26"/>
  <c r="N23" i="26"/>
  <c r="N18" i="26"/>
  <c r="J17" i="26"/>
  <c r="J18" i="26"/>
  <c r="H26" i="26"/>
  <c r="Q18" i="26"/>
  <c r="K15" i="26"/>
  <c r="M25" i="26"/>
  <c r="J20" i="26"/>
  <c r="Q15" i="26"/>
  <c r="I21" i="26"/>
  <c r="Q17" i="26"/>
  <c r="I20" i="26"/>
  <c r="Q24" i="26"/>
  <c r="P22" i="26"/>
  <c r="M15" i="26"/>
  <c r="I19" i="26"/>
  <c r="J26" i="26"/>
  <c r="Q16" i="26"/>
  <c r="O25" i="26"/>
  <c r="M19" i="26"/>
  <c r="M23" i="26"/>
  <c r="L27" i="26"/>
  <c r="L18" i="26"/>
  <c r="I27" i="26"/>
  <c r="N22" i="26"/>
  <c r="N24" i="26"/>
  <c r="J27" i="26"/>
  <c r="J24" i="26"/>
  <c r="H25" i="26"/>
  <c r="Q27" i="26"/>
  <c r="Q25" i="26"/>
  <c r="K27" i="26"/>
  <c r="P21" i="26"/>
  <c r="P23" i="26"/>
  <c r="M22" i="26"/>
  <c r="I17" i="26"/>
  <c r="N16" i="26"/>
  <c r="H27" i="26"/>
  <c r="P19" i="26"/>
  <c r="O22" i="26"/>
  <c r="I18" i="26"/>
  <c r="J16" i="26"/>
  <c r="K26" i="26"/>
  <c r="P25" i="26"/>
  <c r="M17" i="26"/>
  <c r="L22" i="26"/>
  <c r="J19" i="26"/>
  <c r="H24" i="26"/>
  <c r="P18" i="26"/>
  <c r="O18" i="26"/>
  <c r="L26" i="26"/>
  <c r="I22" i="26"/>
  <c r="H22" i="26"/>
  <c r="K25" i="26"/>
  <c r="O17" i="26"/>
  <c r="M24" i="26"/>
  <c r="M16" i="26"/>
  <c r="L21" i="26"/>
  <c r="L23" i="26"/>
  <c r="I25" i="26"/>
  <c r="N21" i="26"/>
  <c r="N19" i="26"/>
  <c r="J21" i="26"/>
  <c r="H15" i="26"/>
  <c r="H17" i="26"/>
  <c r="Q19" i="26"/>
  <c r="Q23" i="26"/>
  <c r="K23" i="26"/>
  <c r="P27" i="26"/>
  <c r="P15" i="26"/>
  <c r="O15" i="26"/>
  <c r="I26" i="26"/>
  <c r="H21" i="26"/>
  <c r="K24" i="26"/>
  <c r="O23" i="26"/>
  <c r="M27" i="26"/>
  <c r="N17" i="26"/>
  <c r="H18" i="26"/>
  <c r="P26" i="26"/>
  <c r="O19" i="26"/>
  <c r="I23" i="26"/>
  <c r="J22" i="26"/>
  <c r="K22" i="26"/>
  <c r="J23" i="26"/>
  <c r="K17" i="26"/>
  <c r="O27" i="26"/>
  <c r="O24" i="26"/>
  <c r="M26" i="26"/>
  <c r="L15" i="26"/>
  <c r="L16" i="26"/>
  <c r="I15" i="26"/>
  <c r="I24" i="26"/>
  <c r="N26" i="26"/>
  <c r="J15" i="26"/>
  <c r="J25" i="26"/>
  <c r="H19" i="26"/>
  <c r="Q21" i="26"/>
  <c r="Q22" i="26"/>
  <c r="K18" i="26"/>
  <c r="K20" i="26"/>
  <c r="P24" i="26"/>
  <c r="Q20" i="26"/>
  <c r="K16" i="26"/>
  <c r="P16" i="26"/>
  <c r="L24" i="26"/>
  <c r="N25" i="26"/>
  <c r="Q26" i="26"/>
  <c r="P20" i="26"/>
  <c r="M20" i="26"/>
  <c r="L19" i="26"/>
  <c r="N15" i="26"/>
  <c r="H20" i="26"/>
  <c r="K19" i="26"/>
  <c r="O21" i="26"/>
  <c r="M18" i="26"/>
  <c r="N20" i="26"/>
  <c r="H23" i="26"/>
  <c r="K21" i="26"/>
  <c r="O20" i="26"/>
  <c r="L20" i="26"/>
  <c r="N27" i="26"/>
  <c r="H16" i="26"/>
  <c r="P17" i="26"/>
  <c r="S9" i="29" l="1"/>
  <c r="H9" i="29"/>
  <c r="R44" i="30"/>
  <c r="R41" i="30"/>
  <c r="R38" i="30"/>
  <c r="R35" i="30"/>
  <c r="R32" i="30"/>
  <c r="R29" i="30"/>
  <c r="R26" i="30"/>
  <c r="R23" i="30"/>
  <c r="R20" i="30"/>
  <c r="R17" i="30"/>
  <c r="R14" i="30"/>
  <c r="R11" i="30"/>
  <c r="G119" i="29"/>
  <c r="B119" i="29"/>
  <c r="G118" i="29"/>
  <c r="B118" i="29"/>
  <c r="G117" i="29"/>
  <c r="B117" i="29"/>
  <c r="G116" i="29"/>
  <c r="B116" i="29"/>
  <c r="G115" i="29"/>
  <c r="B115" i="29"/>
  <c r="G114" i="29"/>
  <c r="B114" i="29"/>
  <c r="G113" i="29"/>
  <c r="B113" i="29"/>
  <c r="G112" i="29"/>
  <c r="B112" i="29"/>
  <c r="G111" i="29"/>
  <c r="B111" i="29"/>
  <c r="G110" i="29"/>
  <c r="B110" i="29"/>
  <c r="G109" i="29"/>
  <c r="B109" i="29"/>
  <c r="G108" i="29"/>
  <c r="B108" i="29"/>
  <c r="G107" i="29"/>
  <c r="B107" i="29"/>
  <c r="G106" i="29"/>
  <c r="B106" i="29"/>
  <c r="G105" i="29"/>
  <c r="B105" i="29"/>
  <c r="G104" i="29"/>
  <c r="B104" i="29"/>
  <c r="G103" i="29"/>
  <c r="B103" i="29"/>
  <c r="H102" i="29"/>
  <c r="G102" i="29"/>
  <c r="B102" i="29"/>
  <c r="G101" i="29"/>
  <c r="B101" i="29"/>
  <c r="H100" i="29"/>
  <c r="G100" i="29"/>
  <c r="B100" i="29"/>
  <c r="R91" i="29"/>
  <c r="M91" i="29"/>
  <c r="G91" i="29"/>
  <c r="R90" i="29"/>
  <c r="M90" i="29"/>
  <c r="G90" i="29"/>
  <c r="R89" i="29"/>
  <c r="M89" i="29"/>
  <c r="G89" i="29"/>
  <c r="R88" i="29"/>
  <c r="M88" i="29"/>
  <c r="G88" i="29"/>
  <c r="R87" i="29"/>
  <c r="M87" i="29"/>
  <c r="G87" i="29"/>
  <c r="R86" i="29"/>
  <c r="M86" i="29"/>
  <c r="G86" i="29"/>
  <c r="R85" i="29"/>
  <c r="M85" i="29"/>
  <c r="G85" i="29"/>
  <c r="R84" i="29"/>
  <c r="M84" i="29"/>
  <c r="G84" i="29"/>
  <c r="R83" i="29"/>
  <c r="M83" i="29"/>
  <c r="G83" i="29"/>
  <c r="R82" i="29"/>
  <c r="M82" i="29"/>
  <c r="G82" i="29"/>
  <c r="R81" i="29"/>
  <c r="M81" i="29"/>
  <c r="G81" i="29"/>
  <c r="R80" i="29"/>
  <c r="M80" i="29"/>
  <c r="G80" i="29"/>
  <c r="R79" i="29"/>
  <c r="M79" i="29"/>
  <c r="G79" i="29"/>
  <c r="R78" i="29"/>
  <c r="M78" i="29"/>
  <c r="G78" i="29"/>
  <c r="R77" i="29"/>
  <c r="M77" i="29"/>
  <c r="G77" i="29"/>
  <c r="R76" i="29"/>
  <c r="M76" i="29"/>
  <c r="G76" i="29"/>
  <c r="R75" i="29"/>
  <c r="M75" i="29"/>
  <c r="G75" i="29"/>
  <c r="S74" i="29"/>
  <c r="R74" i="29"/>
  <c r="M74" i="29"/>
  <c r="H74" i="29"/>
  <c r="G74" i="29"/>
  <c r="R73" i="29"/>
  <c r="M73" i="29"/>
  <c r="G73" i="29"/>
  <c r="T87" i="29"/>
  <c r="I76" i="29"/>
  <c r="O26" i="30"/>
  <c r="O35" i="30"/>
  <c r="O14" i="30"/>
  <c r="T85" i="29"/>
  <c r="X82" i="29"/>
  <c r="X91" i="29"/>
  <c r="I87" i="29"/>
  <c r="P11" i="30"/>
  <c r="I91" i="29"/>
  <c r="X73" i="29"/>
  <c r="O44" i="30"/>
  <c r="T74" i="29"/>
  <c r="P7" i="29"/>
  <c r="I90" i="29"/>
  <c r="X78" i="29"/>
  <c r="P35" i="30"/>
  <c r="O38" i="30"/>
  <c r="I117" i="29"/>
  <c r="R27" i="30"/>
  <c r="I82" i="29"/>
  <c r="O29" i="30"/>
  <c r="T73" i="29"/>
  <c r="X75" i="29"/>
  <c r="I75" i="29"/>
  <c r="W73" i="29"/>
  <c r="W84" i="29"/>
  <c r="R15" i="30"/>
  <c r="X89" i="29"/>
  <c r="X87" i="29"/>
  <c r="T84" i="29"/>
  <c r="X85" i="29"/>
  <c r="I86" i="29"/>
  <c r="T76" i="29"/>
  <c r="T91" i="29"/>
  <c r="I73" i="29"/>
  <c r="I104" i="29"/>
  <c r="I100" i="29"/>
  <c r="I81" i="29"/>
  <c r="P32" i="30"/>
  <c r="W89" i="29"/>
  <c r="F94" i="29"/>
  <c r="W83" i="29"/>
  <c r="I102" i="29"/>
  <c r="P17" i="30"/>
  <c r="I107" i="29"/>
  <c r="I101" i="29"/>
  <c r="I108" i="29"/>
  <c r="R36" i="30"/>
  <c r="R18" i="30"/>
  <c r="W82" i="29"/>
  <c r="I79" i="29"/>
  <c r="R12" i="30"/>
  <c r="I105" i="29"/>
  <c r="T79" i="29"/>
  <c r="I115" i="29"/>
  <c r="W76" i="29"/>
  <c r="P41" i="30"/>
  <c r="R45" i="30"/>
  <c r="P14" i="30"/>
  <c r="X83" i="29"/>
  <c r="W90" i="29"/>
  <c r="X88" i="29"/>
  <c r="X76" i="29"/>
  <c r="W79" i="29"/>
  <c r="O17" i="30"/>
  <c r="O20" i="30"/>
  <c r="O32" i="30"/>
  <c r="W77" i="29"/>
  <c r="I84" i="29"/>
  <c r="T88" i="29"/>
  <c r="T86" i="29"/>
  <c r="T80" i="29"/>
  <c r="I80" i="29"/>
  <c r="W88" i="29"/>
  <c r="T75" i="29"/>
  <c r="X80" i="29"/>
  <c r="I74" i="29"/>
  <c r="W87" i="29"/>
  <c r="O41" i="30"/>
  <c r="T90" i="29"/>
  <c r="I89" i="29"/>
  <c r="O23" i="30"/>
  <c r="X90" i="29"/>
  <c r="I114" i="29"/>
  <c r="W86" i="29"/>
  <c r="W81" i="29"/>
  <c r="I119" i="29"/>
  <c r="I109" i="29"/>
  <c r="X81" i="29"/>
  <c r="I78" i="29"/>
  <c r="I85" i="29"/>
  <c r="T78" i="29"/>
  <c r="R24" i="30"/>
  <c r="P38" i="30"/>
  <c r="X79" i="29"/>
  <c r="X86" i="29"/>
  <c r="T83" i="29"/>
  <c r="I106" i="29"/>
  <c r="R30" i="30"/>
  <c r="T81" i="29"/>
  <c r="X84" i="29"/>
  <c r="I116" i="29"/>
  <c r="E7" i="29"/>
  <c r="P44" i="30"/>
  <c r="O11" i="30"/>
  <c r="R33" i="30"/>
  <c r="W74" i="29"/>
  <c r="T77" i="29"/>
  <c r="R39" i="30"/>
  <c r="R42" i="30"/>
  <c r="I83" i="29"/>
  <c r="P23" i="30"/>
  <c r="I88" i="29"/>
  <c r="I111" i="29"/>
  <c r="I113" i="29"/>
  <c r="R21" i="30"/>
  <c r="T89" i="29"/>
  <c r="W78" i="29"/>
  <c r="P26" i="30"/>
  <c r="X74" i="29"/>
  <c r="W85" i="29"/>
  <c r="I112" i="29"/>
  <c r="I118" i="29"/>
  <c r="I103" i="29"/>
  <c r="I110" i="29"/>
  <c r="W80" i="29"/>
  <c r="I77" i="29"/>
  <c r="W91" i="29"/>
  <c r="P20" i="30"/>
  <c r="X77" i="29"/>
  <c r="T82" i="29"/>
  <c r="W75" i="29"/>
  <c r="P29" i="30"/>
  <c r="S73" i="29" l="1"/>
  <c r="U73" i="29" s="1"/>
  <c r="J100" i="29"/>
  <c r="H101" i="29"/>
  <c r="J101" i="29" s="1"/>
  <c r="S86" i="29"/>
  <c r="U86" i="29" s="1"/>
  <c r="S78" i="29"/>
  <c r="U78" i="29" s="1"/>
  <c r="S81" i="29"/>
  <c r="U81" i="29" s="1"/>
  <c r="S88" i="29"/>
  <c r="U88" i="29" s="1"/>
  <c r="S89" i="29"/>
  <c r="U89" i="29" s="1"/>
  <c r="S91" i="29"/>
  <c r="U91" i="29" s="1"/>
  <c r="S84" i="29"/>
  <c r="U84" i="29" s="1"/>
  <c r="S76" i="29"/>
  <c r="U76" i="29" s="1"/>
  <c r="U74" i="29"/>
  <c r="S87" i="29"/>
  <c r="U87" i="29" s="1"/>
  <c r="S79" i="29"/>
  <c r="U79" i="29" s="1"/>
  <c r="S83" i="29"/>
  <c r="U83" i="29" s="1"/>
  <c r="S75" i="29"/>
  <c r="U75" i="29" s="1"/>
  <c r="S90" i="29"/>
  <c r="U90" i="29" s="1"/>
  <c r="S82" i="29"/>
  <c r="U82" i="29" s="1"/>
  <c r="S85" i="29"/>
  <c r="U85" i="29" s="1"/>
  <c r="S77" i="29"/>
  <c r="U77" i="29" s="1"/>
  <c r="S80" i="29"/>
  <c r="U80" i="29" s="1"/>
  <c r="H84" i="29"/>
  <c r="J84" i="29" s="1"/>
  <c r="H76" i="29"/>
  <c r="J76" i="29" s="1"/>
  <c r="J74" i="29"/>
  <c r="H79" i="29"/>
  <c r="J79" i="29" s="1"/>
  <c r="H87" i="29"/>
  <c r="J87" i="29" s="1"/>
  <c r="H89" i="29"/>
  <c r="J89" i="29" s="1"/>
  <c r="H90" i="29"/>
  <c r="J90" i="29" s="1"/>
  <c r="H82" i="29"/>
  <c r="J82" i="29" s="1"/>
  <c r="H85" i="29"/>
  <c r="J85" i="29" s="1"/>
  <c r="H77" i="29"/>
  <c r="J77" i="29" s="1"/>
  <c r="H78" i="29"/>
  <c r="J78" i="29" s="1"/>
  <c r="H81" i="29"/>
  <c r="J81" i="29" s="1"/>
  <c r="H88" i="29"/>
  <c r="J88" i="29" s="1"/>
  <c r="H80" i="29"/>
  <c r="J80" i="29" s="1"/>
  <c r="H91" i="29"/>
  <c r="J91" i="29" s="1"/>
  <c r="H83" i="29"/>
  <c r="J83" i="29" s="1"/>
  <c r="H75" i="29"/>
  <c r="J75" i="29" s="1"/>
  <c r="H86" i="29"/>
  <c r="J86" i="29" s="1"/>
  <c r="H73" i="29"/>
  <c r="J73" i="29" s="1"/>
  <c r="H118" i="29"/>
  <c r="J118" i="29" s="1"/>
  <c r="H114" i="29"/>
  <c r="J114" i="29" s="1"/>
  <c r="H110" i="29"/>
  <c r="J110" i="29" s="1"/>
  <c r="H106" i="29"/>
  <c r="J106" i="29" s="1"/>
  <c r="H103" i="29"/>
  <c r="J103" i="29" s="1"/>
  <c r="H117" i="29"/>
  <c r="J117" i="29" s="1"/>
  <c r="H113" i="29"/>
  <c r="J113" i="29" s="1"/>
  <c r="J102" i="29"/>
  <c r="H119" i="29"/>
  <c r="J119" i="29" s="1"/>
  <c r="H115" i="29"/>
  <c r="J115" i="29" s="1"/>
  <c r="H111" i="29"/>
  <c r="J111" i="29" s="1"/>
  <c r="H107" i="29"/>
  <c r="J107" i="29" s="1"/>
  <c r="H116" i="29"/>
  <c r="J116" i="29" s="1"/>
  <c r="H112" i="29"/>
  <c r="J112" i="29" s="1"/>
  <c r="H108" i="29"/>
  <c r="J108" i="29" s="1"/>
  <c r="H104" i="29"/>
  <c r="J104" i="29" s="1"/>
  <c r="H109" i="29"/>
  <c r="J109" i="29" s="1"/>
  <c r="H105" i="29"/>
  <c r="J105" i="29" s="1"/>
  <c r="V84" i="29"/>
  <c r="K88" i="29"/>
  <c r="K102" i="29"/>
  <c r="K114" i="29"/>
  <c r="K107" i="29"/>
  <c r="K83" i="29"/>
  <c r="K109" i="29"/>
  <c r="V76" i="29"/>
  <c r="V87" i="29"/>
  <c r="K86" i="29"/>
  <c r="K73" i="29"/>
  <c r="K112" i="29"/>
  <c r="K85" i="29"/>
  <c r="V78" i="29"/>
  <c r="K78" i="29"/>
  <c r="K91" i="29"/>
  <c r="V88" i="29"/>
  <c r="K106" i="29"/>
  <c r="K115" i="29"/>
  <c r="V77" i="29"/>
  <c r="K87" i="29"/>
  <c r="K101" i="29"/>
  <c r="V85" i="29"/>
  <c r="K118" i="29"/>
  <c r="V89" i="29"/>
  <c r="K117" i="29"/>
  <c r="K103" i="29"/>
  <c r="V82" i="29"/>
  <c r="V86" i="29"/>
  <c r="K77" i="29"/>
  <c r="V79" i="29"/>
  <c r="K84" i="29"/>
  <c r="K75" i="29"/>
  <c r="V80" i="29"/>
  <c r="K105" i="29"/>
  <c r="V73" i="29"/>
  <c r="K104" i="29"/>
  <c r="V74" i="29"/>
  <c r="V81" i="29"/>
  <c r="K113" i="29"/>
  <c r="K89" i="29"/>
  <c r="K116" i="29"/>
  <c r="V75" i="29"/>
  <c r="K74" i="29"/>
  <c r="V83" i="29"/>
  <c r="K90" i="29"/>
  <c r="K100" i="29"/>
  <c r="K80" i="29"/>
  <c r="K110" i="29"/>
  <c r="K108" i="29"/>
  <c r="K119" i="29"/>
  <c r="K76" i="29"/>
  <c r="V90" i="29"/>
  <c r="K81" i="29"/>
  <c r="V91" i="29"/>
  <c r="K111" i="29"/>
  <c r="K82" i="29"/>
  <c r="K79" i="29"/>
</calcChain>
</file>

<file path=xl/comments1.xml><?xml version="1.0" encoding="utf-8"?>
<comments xmlns="http://schemas.openxmlformats.org/spreadsheetml/2006/main">
  <authors>
    <author>Raghu</author>
  </authors>
  <commentList>
    <comment ref="G9" authorId="0" shapeId="0">
      <text>
        <r>
          <rPr>
            <sz val="8"/>
            <color indexed="81"/>
            <rFont val="Tahoma"/>
            <family val="2"/>
          </rPr>
          <t>If the trade date is a Saturday or Sunday, it will be adjusted to the most recent past trading day.</t>
        </r>
      </text>
    </comment>
  </commentList>
</comments>
</file>

<file path=xl/sharedStrings.xml><?xml version="1.0" encoding="utf-8"?>
<sst xmlns="http://schemas.openxmlformats.org/spreadsheetml/2006/main" count="497" uniqueCount="189">
  <si>
    <t>EURUSD</t>
  </si>
  <si>
    <t>USDCAD</t>
  </si>
  <si>
    <t>Currency Pair</t>
  </si>
  <si>
    <t>Maturity Date</t>
  </si>
  <si>
    <t>Spot Bid</t>
  </si>
  <si>
    <t>Spot Offer</t>
  </si>
  <si>
    <t>Fwd Points Bid</t>
  </si>
  <si>
    <t>Fwd Points Offer</t>
  </si>
  <si>
    <t>All-in Bid</t>
  </si>
  <si>
    <t>All-in Offer</t>
  </si>
  <si>
    <t>Spot Mid</t>
  </si>
  <si>
    <t>All-in Mid</t>
  </si>
  <si>
    <t>Source:</t>
  </si>
  <si>
    <t>BGN</t>
  </si>
  <si>
    <t>* Choose a source or type in your own bank.</t>
  </si>
  <si>
    <t>Fwd Points Mid</t>
  </si>
  <si>
    <t>Days</t>
  </si>
  <si>
    <t>Trade Date</t>
  </si>
  <si>
    <t>Adjusted Trade Date</t>
  </si>
  <si>
    <t>Ticker for Spot Settlement</t>
  </si>
  <si>
    <t>AUDUSD</t>
  </si>
  <si>
    <t>Ticker</t>
  </si>
  <si>
    <t>Settle Date</t>
  </si>
  <si>
    <t>2. If you need more rows, simply copy the formulas to new rows.</t>
  </si>
  <si>
    <t>2. Run XDSH &lt;go&gt; for dynamic and customizable currency monitoring</t>
  </si>
  <si>
    <t>1. Run FRD&lt;GO&gt; to check Forwards and broken dates.</t>
  </si>
  <si>
    <t>This spreadsheet demonstrates how you can build simple BDP formulas to retrieve broken date forwards, all in rates and calculate forward points.</t>
  </si>
  <si>
    <t>USDJPY</t>
  </si>
  <si>
    <t>Field</t>
  </si>
  <si>
    <t>Forward Type</t>
  </si>
  <si>
    <t>Maturity Dates</t>
  </si>
  <si>
    <t>AUDGBP</t>
  </si>
  <si>
    <t>AUDNZD</t>
  </si>
  <si>
    <t>AUDEUR</t>
  </si>
  <si>
    <t>AUDCAD</t>
  </si>
  <si>
    <t>AUDTHB</t>
  </si>
  <si>
    <t>USDTHB</t>
  </si>
  <si>
    <t>USDKRW</t>
  </si>
  <si>
    <t>USDCNY</t>
  </si>
  <si>
    <t>USDINR</t>
  </si>
  <si>
    <t>USDIDR</t>
  </si>
  <si>
    <t>Regular</t>
  </si>
  <si>
    <t>NDF</t>
  </si>
  <si>
    <t>Type</t>
  </si>
  <si>
    <t>Date</t>
  </si>
  <si>
    <t>Code</t>
  </si>
  <si>
    <t>Pricing Date</t>
  </si>
  <si>
    <t>for Trade</t>
  </si>
  <si>
    <t>Type Code</t>
  </si>
  <si>
    <t>Forward Period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</si>
  <si>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</si>
  <si>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</si>
  <si>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</si>
  <si>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</si>
  <si>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</si>
  <si>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</si>
  <si>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</si>
  <si>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</si>
  <si>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</si>
  <si>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</si>
  <si>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</si>
  <si>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</si>
  <si>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</si>
  <si>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</si>
  <si>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</si>
  <si>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</si>
  <si>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</si>
  <si>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</si>
  <si>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Start Date</t>
  </si>
  <si>
    <t>020212</t>
  </si>
  <si>
    <t>Business Days</t>
  </si>
  <si>
    <t>/USD Calculation</t>
  </si>
  <si>
    <t>EUR</t>
  </si>
  <si>
    <t>USD/ Calculation</t>
  </si>
  <si>
    <t>JPY</t>
  </si>
  <si>
    <t>Cross Currency</t>
  </si>
  <si>
    <t>020213</t>
  </si>
  <si>
    <t>CCY Pair</t>
  </si>
  <si>
    <t>Dates</t>
  </si>
  <si>
    <t xml:space="preserve">Points Bid </t>
  </si>
  <si>
    <t>Points Ask</t>
  </si>
  <si>
    <t>Forwards Bid</t>
  </si>
  <si>
    <t>Forwards Ask</t>
  </si>
  <si>
    <t>Swap Bid</t>
  </si>
  <si>
    <t>Swap Offer</t>
  </si>
  <si>
    <t>Spot Ask</t>
  </si>
  <si>
    <t>GBPUSD</t>
  </si>
  <si>
    <t>USDCHF</t>
  </si>
  <si>
    <t>USDDKK</t>
  </si>
  <si>
    <t>USDNOK</t>
  </si>
  <si>
    <t>USDSEK</t>
  </si>
  <si>
    <t>EURJPY</t>
  </si>
  <si>
    <t>EURGBP</t>
  </si>
  <si>
    <t>USDTRY</t>
  </si>
  <si>
    <t>1. Input the currency pair, field, forward type and pricing date.</t>
  </si>
  <si>
    <t>2. Put maturity dates as well as pricing source.</t>
  </si>
  <si>
    <t>'Forwards (1)' Sheet:</t>
  </si>
  <si>
    <t>'Forwards (2)' Sheet:</t>
  </si>
  <si>
    <t>'Forward Dates' Sheet:</t>
  </si>
  <si>
    <t>1. Input the currency pair for /USD calculation, USD/ calculation and cross pairs.</t>
  </si>
  <si>
    <t>2. Input pricing dates to get maturity dates for the forward curve.</t>
  </si>
  <si>
    <t>1. Input the currency pair, forward type, maturity date and pricing date.</t>
  </si>
  <si>
    <t>'Swaps' Sheet:</t>
  </si>
  <si>
    <t>1. Input pricing date, currency pair, forward type, original forwards date, and new delivery date to calculate swaps.</t>
  </si>
  <si>
    <t>EUR/USD R TN@090111 Curncy</t>
  </si>
  <si>
    <t>EUR/USD R @090111 Curncy</t>
  </si>
  <si>
    <t>EUR/USD R SN@090111 Curncy</t>
  </si>
  <si>
    <t>EUR/USD R 1W@090111 Curncy</t>
  </si>
  <si>
    <t>EUR/USD R 2W@090111 Curncy</t>
  </si>
  <si>
    <t>EUR/USD R 3W@090111 Curncy</t>
  </si>
  <si>
    <t>EUR/USD R 1M@090111 Curncy</t>
  </si>
  <si>
    <t>EUR/USD R 2M@090111 Curncy</t>
  </si>
  <si>
    <t>EUR/USD R 3M@090111 Curncy</t>
  </si>
  <si>
    <t>EUR/USD R 4M@090111 Curncy</t>
  </si>
  <si>
    <t>EUR/USD R 5M@090111 Curncy</t>
  </si>
  <si>
    <t>EUR/USD R 6M@090111 Curncy</t>
  </si>
  <si>
    <t>EUR/USD R 7M@090111 Curncy</t>
  </si>
  <si>
    <t>EUR/USD R 8M@090111 Curncy</t>
  </si>
  <si>
    <t>EUR/USD R 9M@090111 Curncy</t>
  </si>
  <si>
    <t>EUR/USD R 10M@090111 Curncy</t>
  </si>
  <si>
    <t>EUR/USD R 11M@090111 Curncy</t>
  </si>
  <si>
    <t>EUR/USD R 12M@090111 Curncy</t>
  </si>
  <si>
    <t>EUR/USD R 020212@090111 Curncy</t>
  </si>
  <si>
    <t>How to use</t>
  </si>
  <si>
    <t>Related Functions on the Bloomberg terminal</t>
  </si>
  <si>
    <t>Price</t>
  </si>
  <si>
    <t>BID</t>
  </si>
  <si>
    <t>ASK</t>
  </si>
  <si>
    <t>Offshore</t>
  </si>
  <si>
    <t>* Price in Outright or in Points</t>
  </si>
  <si>
    <t>1Y</t>
  </si>
  <si>
    <t>IM1</t>
  </si>
  <si>
    <t>IM2</t>
  </si>
  <si>
    <t>AskPoints</t>
  </si>
  <si>
    <t>BidOutright</t>
  </si>
  <si>
    <t>AskOutright</t>
  </si>
  <si>
    <t>SP</t>
  </si>
  <si>
    <t>15M</t>
  </si>
  <si>
    <t>18M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</si>
  <si>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</si>
  <si>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</si>
  <si>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</si>
  <si>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</si>
  <si>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</si>
  <si>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</si>
  <si>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</si>
  <si>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</si>
  <si>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</si>
  <si>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</si>
  <si>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</si>
  <si>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</si>
  <si>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</si>
  <si>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SettlementDate</t>
  </si>
  <si>
    <t>BidPoints</t>
  </si>
  <si>
    <t>Show IMM Dates</t>
  </si>
  <si>
    <t>Yes</t>
  </si>
  <si>
    <t>IM3</t>
  </si>
  <si>
    <t>IM4</t>
  </si>
  <si>
    <t>21M</t>
  </si>
  <si>
    <t>IMM Date</t>
  </si>
  <si>
    <t>via</t>
  </si>
  <si>
    <t>USD</t>
  </si>
  <si>
    <t>1st Currency Market</t>
  </si>
  <si>
    <t>2nd Currency Market</t>
  </si>
  <si>
    <t>BIDPOINTS</t>
  </si>
  <si>
    <t>ASKPOINTS</t>
  </si>
  <si>
    <t>FARBIDPOINTS</t>
  </si>
  <si>
    <t>FARASKPOINTS</t>
  </si>
  <si>
    <t>BIDOUTRIGHT</t>
  </si>
  <si>
    <t>ASKOUTRIGHT</t>
  </si>
  <si>
    <t>JAN</t>
  </si>
  <si>
    <t>BFEB</t>
  </si>
  <si>
    <t>FEB</t>
  </si>
  <si>
    <t>BMAR</t>
  </si>
  <si>
    <t>MAR</t>
  </si>
  <si>
    <t>BAPR</t>
  </si>
  <si>
    <t>Points</t>
  </si>
  <si>
    <t>1) to get Settlement Date</t>
  </si>
  <si>
    <t>2) determine Sa or Su</t>
  </si>
  <si>
    <t>3) actual settle date</t>
  </si>
  <si>
    <t>Pricing Dt</t>
  </si>
  <si>
    <t>settlement</t>
  </si>
  <si>
    <t>date</t>
  </si>
  <si>
    <t>Sat or Sun</t>
  </si>
  <si>
    <t>Actual</t>
  </si>
  <si>
    <t>True PD</t>
  </si>
  <si>
    <t>Curncy ticker with date</t>
  </si>
  <si>
    <t>Market type</t>
  </si>
  <si>
    <t>True 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</si>
</sst>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"/>
    <numFmt numFmtId="165" formatCode="0.000000"/>
    <numFmt numFmtId="166" formatCode="0.00000"/>
    <numFmt numFmtId="167" formatCode="dd\ mmmyy"/>
    <numFmt numFmtId="168" formatCode="dd\ mmmyy\ hh:mm"/>
    <numFmt numFmtId="169" formatCode="m/d/yyyy;@"/>
  </numFmts>
  <fonts count="32" x14ac:knownFonts="1">
    <font>
      <sz val="10"/>
      <name val="Arial"/>
    </font>
    <font>
      <sz val="10"/>
      <name val="Arial"/>
      <family val="2"/>
    </font>
    <font>
      <sz val="9"/>
      <name val="Tahoma"/>
      <family val="2"/>
    </font>
    <font>
      <b/>
      <sz val="12"/>
      <color indexed="61"/>
      <name val="Tahoma"/>
      <family val="2"/>
    </font>
    <font>
      <b/>
      <sz val="9"/>
      <color indexed="12"/>
      <name val="Tahoma"/>
      <family val="2"/>
    </font>
    <font>
      <b/>
      <sz val="9"/>
      <name val="Tahoma"/>
      <family val="2"/>
    </font>
    <font>
      <b/>
      <sz val="9"/>
      <color indexed="42"/>
      <name val="Tahoma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sz val="8"/>
      <color indexed="9"/>
      <name val="Arial"/>
      <family val="2"/>
    </font>
    <font>
      <sz val="8"/>
      <color indexed="81"/>
      <name val="Tahoma"/>
      <family val="2"/>
    </font>
    <font>
      <b/>
      <sz val="11"/>
      <color indexed="9"/>
      <name val="Arial"/>
      <family val="2"/>
    </font>
    <font>
      <sz val="10"/>
      <color indexed="9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0"/>
      <name val="Arial"/>
      <family val="2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Calibri"/>
      <family val="2"/>
    </font>
    <font>
      <b/>
      <sz val="10"/>
      <color rgb="FF000000"/>
      <name val="Arial"/>
      <family val="2"/>
    </font>
    <font>
      <b/>
      <sz val="11"/>
      <color rgb="FFFFFFFF"/>
      <name val="Arial"/>
      <family val="2"/>
    </font>
    <font>
      <b/>
      <sz val="11"/>
      <color indexed="56"/>
      <name val="Calibri"/>
      <family val="2"/>
      <scheme val="minor"/>
    </font>
    <font>
      <sz val="10"/>
      <color theme="0"/>
      <name val="Arial"/>
      <family val="2"/>
    </font>
    <font>
      <b/>
      <sz val="10"/>
      <color theme="3"/>
      <name val="Arial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1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libri"/>
      <family val="2"/>
    </font>
    <font>
      <b/>
      <sz val="11"/>
      <color rgb="FFFF0000"/>
      <name val="Calibri"/>
      <family val="2"/>
    </font>
    <font>
      <b/>
      <i/>
      <sz val="10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gradientFill>
        <stop position="0">
          <color rgb="FF1F497D"/>
        </stop>
        <stop position="0.5">
          <color rgb="FF4F81BD"/>
        </stop>
        <stop position="1">
          <color rgb="FF1F497D"/>
        </stop>
      </gradientFill>
    </fill>
    <fill>
      <gradientFill>
        <stop position="0">
          <color rgb="FF8DB4E2"/>
        </stop>
        <stop position="0.5">
          <color rgb="FFC5D9F1"/>
        </stop>
        <stop position="1">
          <color rgb="FF8DB4E2"/>
        </stop>
      </gradientFill>
    </fill>
    <fill>
      <gradientFill>
        <stop position="0">
          <color rgb="FFB8CCE4"/>
        </stop>
        <stop position="0.5">
          <color rgb="FFDCE6F1"/>
        </stop>
        <stop position="1">
          <color rgb="FFB8CCE4"/>
        </stop>
      </gradientFill>
    </fill>
    <fill>
      <gradientFill>
        <stop position="0">
          <color rgb="FFFCD5B4"/>
        </stop>
        <stop position="0.5">
          <color rgb="FFFDE9D9"/>
        </stop>
        <stop position="1">
          <color rgb="FFFCD5B4"/>
        </stop>
      </gradientFill>
    </fill>
    <fill>
      <gradientFill type="path">
        <stop position="0">
          <color rgb="FFB8CCE4"/>
        </stop>
        <stop position="1">
          <color rgb="FFFFFFFF"/>
        </stop>
      </gradientFill>
    </fill>
    <fill>
      <gradientFill degree="180">
        <stop position="0">
          <color rgb="FFFFFFFF"/>
        </stop>
        <stop position="1">
          <color rgb="FFB8CCE4"/>
        </stop>
      </gradientFill>
    </fill>
    <fill>
      <gradientFill degree="270">
        <stop position="0">
          <color rgb="FFFFFFFF"/>
        </stop>
        <stop position="1">
          <color rgb="FFB8CCE4"/>
        </stop>
      </gradientFill>
    </fill>
    <fill>
      <gradientFill degree="180">
        <stop position="0">
          <color rgb="FFB8CCE4"/>
        </stop>
        <stop position="1">
          <color rgb="FFFFFFFF"/>
        </stop>
      </gradientFill>
    </fill>
    <fill>
      <gradientFill type="path" left="1" right="1" top="1" bottom="1">
        <stop position="0">
          <color rgb="FFFFFFFF"/>
        </stop>
        <stop position="1">
          <color rgb="FFB8CCE4"/>
        </stop>
      </gradientFill>
    </fill>
    <fill>
      <gradientFill type="path" top="1">
        <stop position="0">
          <color rgb="FFFFFFFF"/>
        </stop>
        <stop position="1">
          <color rgb="FFB8CCE4"/>
        </stop>
      </gradientFill>
    </fill>
    <fill>
      <gradientFill degree="270">
        <stop position="0">
          <color rgb="FFB8CCE4"/>
        </stop>
        <stop position="1">
          <color rgb="FFFFFFFF"/>
        </stop>
      </gradientFill>
    </fill>
    <fill>
      <gradientFill type="path" left="1">
        <stop position="0">
          <color rgb="FFFFFFFF"/>
        </stop>
        <stop position="1">
          <color rgb="FFB8CCE4"/>
        </stop>
      </gradientFill>
    </fill>
    <fill>
      <gradientFill type="path">
        <stop position="0">
          <color rgb="FFFFFFFF"/>
        </stop>
        <stop position="1">
          <color rgb="FFB8CCE4"/>
        </stop>
      </gradientFill>
    </fill>
    <fill>
      <patternFill patternType="solid">
        <fgColor theme="4" tint="0.79998168889431442"/>
        <bgColor indexed="64"/>
      </patternFill>
    </fill>
    <fill>
      <gradientFill>
        <stop position="0">
          <color theme="4" tint="0.59999389629810485"/>
        </stop>
        <stop position="0.5">
          <color theme="4" tint="0.80001220740379042"/>
        </stop>
        <stop position="1">
          <color theme="4" tint="0.59999389629810485"/>
        </stop>
      </gradientFill>
    </fill>
    <fill>
      <gradientFill>
        <stop position="0">
          <color theme="9" tint="0.40000610370189521"/>
        </stop>
        <stop position="0.5">
          <color theme="9" tint="0.59999389629810485"/>
        </stop>
        <stop position="1">
          <color theme="9" tint="0.40000610370189521"/>
        </stop>
      </gradientFill>
    </fill>
    <fill>
      <gradientFill>
        <stop position="0">
          <color theme="9" tint="0.40000610370189521"/>
        </stop>
        <stop position="0.5">
          <color theme="9" tint="0.80001220740379042"/>
        </stop>
        <stop position="1">
          <color theme="9" tint="0.40000610370189521"/>
        </stop>
      </gradientFill>
    </fill>
    <fill>
      <patternFill patternType="solid">
        <fgColor rgb="FFFFFF00"/>
        <bgColor indexed="64"/>
      </patternFill>
    </fill>
    <fill>
      <patternFill patternType="solid">
        <fgColor rgb="FFFFFF00"/>
        <bgColor auto="1"/>
      </patternFill>
    </fill>
  </fills>
  <borders count="121">
    <border>
      <left/>
      <right/>
      <top/>
      <bottom/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3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9"/>
      </left>
      <right style="thin">
        <color indexed="8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8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9"/>
      </right>
      <top style="thin">
        <color indexed="9"/>
      </top>
      <bottom style="thin">
        <color indexed="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8"/>
      </bottom>
      <diagonal/>
    </border>
    <border>
      <left style="thin">
        <color indexed="9"/>
      </left>
      <right style="thin">
        <color indexed="8"/>
      </right>
      <top style="thin">
        <color indexed="9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8"/>
      </right>
      <top style="thin">
        <color indexed="63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/>
      <right style="thin">
        <color indexed="9"/>
      </right>
      <top/>
      <bottom/>
      <diagonal/>
    </border>
    <border>
      <left/>
      <right/>
      <top style="thin">
        <color indexed="63"/>
      </top>
      <bottom/>
      <diagonal/>
    </border>
    <border>
      <left/>
      <right style="thin">
        <color indexed="9"/>
      </right>
      <top style="thin">
        <color indexed="63"/>
      </top>
      <bottom/>
      <diagonal/>
    </border>
    <border>
      <left/>
      <right style="thin">
        <color indexed="9"/>
      </right>
      <top/>
      <bottom style="thin">
        <color indexed="8"/>
      </bottom>
      <diagonal/>
    </border>
    <border>
      <left style="thin">
        <color indexed="9"/>
      </left>
      <right style="thin">
        <color indexed="9"/>
      </right>
      <top/>
      <bottom style="thin">
        <color indexed="8"/>
      </bottom>
      <diagonal/>
    </border>
    <border>
      <left style="thin">
        <color indexed="9"/>
      </left>
      <right/>
      <top/>
      <bottom style="thin">
        <color indexed="8"/>
      </bottom>
      <diagonal/>
    </border>
    <border>
      <left/>
      <right style="thin">
        <color theme="0"/>
      </right>
      <top style="thin">
        <color indexed="63"/>
      </top>
      <bottom/>
      <diagonal/>
    </border>
    <border>
      <left/>
      <right style="thin">
        <color theme="0"/>
      </right>
      <top/>
      <bottom style="thin">
        <color indexed="8"/>
      </bottom>
      <diagonal/>
    </border>
    <border>
      <left style="thin">
        <color theme="0"/>
      </left>
      <right style="thin">
        <color theme="0"/>
      </right>
      <top style="thin">
        <color indexed="63"/>
      </top>
      <bottom/>
      <diagonal/>
    </border>
    <border>
      <left style="thin">
        <color theme="0"/>
      </left>
      <right style="thin">
        <color theme="0"/>
      </right>
      <top/>
      <bottom style="thin">
        <color indexed="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theme="0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3"/>
      </top>
      <bottom/>
      <diagonal/>
    </border>
    <border>
      <left style="thin">
        <color indexed="9"/>
      </left>
      <right style="thin">
        <color indexed="64"/>
      </right>
      <top/>
      <bottom style="thin">
        <color indexed="8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theme="0" tint="-0.499984740745262"/>
      </bottom>
      <diagonal/>
    </border>
    <border>
      <left/>
      <right/>
      <top style="thin">
        <color theme="0" tint="-0.24994659260841701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thin">
        <color theme="0" tint="-0.24994659260841701"/>
      </top>
      <bottom style="medium">
        <color theme="0" tint="-0.499984740745262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9"/>
      </left>
      <right style="thin">
        <color indexed="64"/>
      </right>
      <top style="thin">
        <color indexed="8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/>
      <bottom style="thin">
        <color indexed="8"/>
      </bottom>
      <diagonal/>
    </border>
    <border>
      <left style="thin">
        <color theme="0"/>
      </left>
      <right style="thin">
        <color indexed="9"/>
      </right>
      <top/>
      <bottom style="thin">
        <color indexed="8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indexed="8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 style="thin">
        <color indexed="8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8"/>
      </right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3"/>
      </left>
      <right/>
      <top/>
      <bottom style="thin">
        <color theme="0"/>
      </bottom>
      <diagonal/>
    </border>
    <border>
      <left/>
      <right style="thin">
        <color indexed="8"/>
      </right>
      <top/>
      <bottom style="thin">
        <color theme="0"/>
      </bottom>
      <diagonal/>
    </border>
    <border>
      <left style="thin">
        <color indexed="63"/>
      </left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8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64"/>
      </right>
      <top/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3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indexed="9"/>
      </left>
      <right style="thin">
        <color indexed="64"/>
      </right>
      <top style="thin">
        <color indexed="63"/>
      </top>
      <bottom style="thin">
        <color indexed="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9"/>
      </top>
      <bottom style="thin">
        <color indexed="9"/>
      </bottom>
      <diagonal/>
    </border>
    <border>
      <left style="thin">
        <color indexed="8"/>
      </left>
      <right/>
      <top style="thin">
        <color indexed="9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9"/>
      </bottom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9"/>
      </top>
      <bottom style="thin">
        <color indexed="8"/>
      </bottom>
      <diagonal/>
    </border>
    <border>
      <left style="thin">
        <color indexed="64"/>
      </left>
      <right/>
      <top style="thin">
        <color indexed="63"/>
      </top>
      <bottom/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/>
      <diagonal/>
    </border>
    <border>
      <left style="thin">
        <color indexed="63"/>
      </left>
      <right style="thin">
        <color indexed="63"/>
      </right>
      <top/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8"/>
      </top>
      <bottom style="thin">
        <color indexed="9"/>
      </bottom>
      <diagonal/>
    </border>
    <border>
      <left style="thin">
        <color indexed="63"/>
      </left>
      <right style="thin">
        <color indexed="63"/>
      </right>
      <top style="thin">
        <color indexed="9"/>
      </top>
      <bottom style="thin">
        <color indexed="9"/>
      </bottom>
      <diagonal/>
    </border>
    <border>
      <left style="thin">
        <color indexed="63"/>
      </left>
      <right style="thin">
        <color indexed="63"/>
      </right>
      <top style="thin">
        <color indexed="9"/>
      </top>
      <bottom style="thin">
        <color indexed="8"/>
      </bottom>
      <diagonal/>
    </border>
    <border>
      <left style="thin">
        <color theme="0"/>
      </left>
      <right style="thin">
        <color indexed="8"/>
      </right>
      <top style="thin">
        <color indexed="64"/>
      </top>
      <bottom style="thin">
        <color indexed="8"/>
      </bottom>
      <diagonal/>
    </border>
  </borders>
  <cellStyleXfs count="22">
    <xf numFmtId="0" fontId="0" fillId="0" borderId="0"/>
    <xf numFmtId="0" fontId="2" fillId="2" borderId="0"/>
    <xf numFmtId="0" fontId="3" fillId="3" borderId="0">
      <alignment vertical="center"/>
    </xf>
    <xf numFmtId="0" fontId="4" fillId="4" borderId="0"/>
    <xf numFmtId="0" fontId="4" fillId="4" borderId="0"/>
    <xf numFmtId="0" fontId="5" fillId="4" borderId="1">
      <alignment horizontal="left"/>
    </xf>
    <xf numFmtId="167" fontId="2" fillId="0" borderId="0" applyFont="0" applyFill="0" applyBorder="0" applyAlignment="0" applyProtection="0"/>
    <xf numFmtId="168" fontId="5" fillId="4" borderId="0" applyFont="0" applyFill="0" applyBorder="0" applyAlignment="0" applyProtection="0">
      <alignment vertical="center"/>
    </xf>
    <xf numFmtId="0" fontId="6" fillId="5" borderId="0"/>
    <xf numFmtId="0" fontId="7" fillId="2" borderId="0"/>
    <xf numFmtId="0" fontId="8" fillId="6" borderId="2">
      <protection locked="0"/>
    </xf>
    <xf numFmtId="0" fontId="7" fillId="2" borderId="0"/>
    <xf numFmtId="0" fontId="1" fillId="0" borderId="0"/>
    <xf numFmtId="0" fontId="1" fillId="0" borderId="0"/>
    <xf numFmtId="0" fontId="1" fillId="0" borderId="0"/>
    <xf numFmtId="0" fontId="5" fillId="2" borderId="0"/>
    <xf numFmtId="0" fontId="5" fillId="4" borderId="0"/>
    <xf numFmtId="0" fontId="4" fillId="7" borderId="0"/>
    <xf numFmtId="0" fontId="5" fillId="4" borderId="0"/>
    <xf numFmtId="0" fontId="2" fillId="4" borderId="0"/>
    <xf numFmtId="0" fontId="5" fillId="4" borderId="0"/>
    <xf numFmtId="0" fontId="9" fillId="5" borderId="0" applyBorder="0"/>
  </cellStyleXfs>
  <cellXfs count="310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1" fillId="0" borderId="0" xfId="0" applyFont="1" applyAlignment="1">
      <alignment horizontal="left" indent="2"/>
    </xf>
    <xf numFmtId="0" fontId="0" fillId="0" borderId="0" xfId="0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14" fillId="0" borderId="0" xfId="0" applyFont="1"/>
    <xf numFmtId="0" fontId="14" fillId="0" borderId="0" xfId="0" applyNumberFormat="1" applyFont="1"/>
    <xf numFmtId="2" fontId="14" fillId="0" borderId="0" xfId="0" applyNumberFormat="1" applyFont="1"/>
    <xf numFmtId="0" fontId="1" fillId="0" borderId="0" xfId="0" applyFont="1" applyAlignment="1">
      <alignment horizontal="left" indent="1"/>
    </xf>
    <xf numFmtId="0" fontId="15" fillId="0" borderId="0" xfId="0" quotePrefix="1" applyFont="1" applyAlignment="1">
      <alignment horizontal="left" indent="1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4" fillId="0" borderId="0" xfId="0" applyNumberFormat="1" applyFont="1" applyFill="1" applyBorder="1"/>
    <xf numFmtId="14" fontId="18" fillId="10" borderId="7" xfId="0" applyNumberFormat="1" applyFont="1" applyFill="1" applyBorder="1" applyAlignment="1">
      <alignment vertical="top"/>
    </xf>
    <xf numFmtId="1" fontId="18" fillId="10" borderId="7" xfId="0" applyNumberFormat="1" applyFont="1" applyFill="1" applyBorder="1" applyAlignment="1">
      <alignment vertical="top"/>
    </xf>
    <xf numFmtId="14" fontId="18" fillId="11" borderId="7" xfId="0" applyNumberFormat="1" applyFont="1" applyFill="1" applyBorder="1" applyAlignment="1">
      <alignment vertical="top"/>
    </xf>
    <xf numFmtId="1" fontId="18" fillId="11" borderId="7" xfId="0" applyNumberFormat="1" applyFont="1" applyFill="1" applyBorder="1" applyAlignment="1">
      <alignment vertical="top"/>
    </xf>
    <xf numFmtId="2" fontId="18" fillId="10" borderId="7" xfId="0" applyNumberFormat="1" applyFont="1" applyFill="1" applyBorder="1" applyAlignment="1">
      <alignment vertical="top"/>
    </xf>
    <xf numFmtId="2" fontId="18" fillId="11" borderId="7" xfId="0" applyNumberFormat="1" applyFont="1" applyFill="1" applyBorder="1" applyAlignment="1">
      <alignment vertical="top"/>
    </xf>
    <xf numFmtId="164" fontId="18" fillId="10" borderId="7" xfId="0" applyNumberFormat="1" applyFont="1" applyFill="1" applyBorder="1" applyAlignment="1">
      <alignment vertical="top"/>
    </xf>
    <xf numFmtId="165" fontId="18" fillId="10" borderId="7" xfId="0" applyNumberFormat="1" applyFont="1" applyFill="1" applyBorder="1" applyAlignment="1">
      <alignment vertical="top"/>
    </xf>
    <xf numFmtId="166" fontId="18" fillId="10" borderId="7" xfId="0" applyNumberFormat="1" applyFont="1" applyFill="1" applyBorder="1" applyAlignment="1">
      <alignment vertical="top"/>
    </xf>
    <xf numFmtId="164" fontId="18" fillId="11" borderId="7" xfId="0" applyNumberFormat="1" applyFont="1" applyFill="1" applyBorder="1" applyAlignment="1">
      <alignment vertical="top"/>
    </xf>
    <xf numFmtId="165" fontId="18" fillId="11" borderId="7" xfId="0" applyNumberFormat="1" applyFont="1" applyFill="1" applyBorder="1" applyAlignment="1">
      <alignment vertical="top"/>
    </xf>
    <xf numFmtId="166" fontId="18" fillId="11" borderId="7" xfId="0" applyNumberFormat="1" applyFont="1" applyFill="1" applyBorder="1" applyAlignment="1">
      <alignment vertical="top"/>
    </xf>
    <xf numFmtId="164" fontId="18" fillId="10" borderId="10" xfId="0" applyNumberFormat="1" applyFont="1" applyFill="1" applyBorder="1" applyAlignment="1">
      <alignment vertical="top"/>
    </xf>
    <xf numFmtId="164" fontId="18" fillId="10" borderId="11" xfId="0" applyNumberFormat="1" applyFont="1" applyFill="1" applyBorder="1" applyAlignment="1">
      <alignment vertical="top"/>
    </xf>
    <xf numFmtId="164" fontId="18" fillId="11" borderId="13" xfId="0" applyNumberFormat="1" applyFont="1" applyFill="1" applyBorder="1" applyAlignment="1">
      <alignment vertical="top"/>
    </xf>
    <xf numFmtId="164" fontId="18" fillId="10" borderId="13" xfId="0" applyNumberFormat="1" applyFont="1" applyFill="1" applyBorder="1" applyAlignment="1">
      <alignment vertical="top"/>
    </xf>
    <xf numFmtId="0" fontId="17" fillId="0" borderId="0" xfId="0" applyFont="1" applyFill="1" applyBorder="1" applyAlignment="1">
      <alignment horizontal="center" vertical="center"/>
    </xf>
    <xf numFmtId="169" fontId="19" fillId="12" borderId="9" xfId="0" applyNumberFormat="1" applyFont="1" applyFill="1" applyBorder="1" applyAlignment="1">
      <alignment vertical="top"/>
    </xf>
    <xf numFmtId="169" fontId="13" fillId="8" borderId="0" xfId="0" applyNumberFormat="1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169" fontId="19" fillId="12" borderId="19" xfId="0" applyNumberFormat="1" applyFont="1" applyFill="1" applyBorder="1" applyAlignment="1">
      <alignment vertical="top"/>
    </xf>
    <xf numFmtId="0" fontId="17" fillId="9" borderId="20" xfId="0" applyFont="1" applyFill="1" applyBorder="1" applyAlignment="1">
      <alignment horizontal="center" vertical="center"/>
    </xf>
    <xf numFmtId="0" fontId="18" fillId="10" borderId="10" xfId="0" applyNumberFormat="1" applyFont="1" applyFill="1" applyBorder="1" applyAlignment="1">
      <alignment vertical="top"/>
    </xf>
    <xf numFmtId="0" fontId="18" fillId="10" borderId="11" xfId="0" applyNumberFormat="1" applyFont="1" applyFill="1" applyBorder="1" applyAlignment="1">
      <alignment vertical="top"/>
    </xf>
    <xf numFmtId="0" fontId="18" fillId="10" borderId="12" xfId="0" applyNumberFormat="1" applyFont="1" applyFill="1" applyBorder="1" applyAlignment="1">
      <alignment vertical="top"/>
    </xf>
    <xf numFmtId="0" fontId="18" fillId="11" borderId="15" xfId="0" applyNumberFormat="1" applyFont="1" applyFill="1" applyBorder="1" applyAlignment="1">
      <alignment vertical="top"/>
    </xf>
    <xf numFmtId="0" fontId="18" fillId="11" borderId="16" xfId="0" applyNumberFormat="1" applyFont="1" applyFill="1" applyBorder="1" applyAlignment="1">
      <alignment vertical="top"/>
    </xf>
    <xf numFmtId="2" fontId="18" fillId="11" borderId="16" xfId="0" applyNumberFormat="1" applyFont="1" applyFill="1" applyBorder="1" applyAlignment="1">
      <alignment vertical="top"/>
    </xf>
    <xf numFmtId="2" fontId="18" fillId="11" borderId="17" xfId="0" applyNumberFormat="1" applyFont="1" applyFill="1" applyBorder="1" applyAlignment="1">
      <alignment vertical="top"/>
    </xf>
    <xf numFmtId="2" fontId="18" fillId="11" borderId="15" xfId="0" applyNumberFormat="1" applyFont="1" applyFill="1" applyBorder="1" applyAlignment="1">
      <alignment vertical="top"/>
    </xf>
    <xf numFmtId="14" fontId="18" fillId="10" borderId="11" xfId="0" applyNumberFormat="1" applyFont="1" applyFill="1" applyBorder="1" applyAlignment="1">
      <alignment vertical="top"/>
    </xf>
    <xf numFmtId="1" fontId="18" fillId="10" borderId="11" xfId="0" applyNumberFormat="1" applyFont="1" applyFill="1" applyBorder="1" applyAlignment="1">
      <alignment vertical="top"/>
    </xf>
    <xf numFmtId="14" fontId="18" fillId="10" borderId="21" xfId="0" applyNumberFormat="1" applyFont="1" applyFill="1" applyBorder="1" applyAlignment="1">
      <alignment vertical="top"/>
    </xf>
    <xf numFmtId="0" fontId="20" fillId="12" borderId="9" xfId="0" applyFont="1" applyFill="1" applyBorder="1" applyAlignment="1">
      <alignment vertical="top"/>
    </xf>
    <xf numFmtId="2" fontId="18" fillId="10" borderId="11" xfId="0" applyNumberFormat="1" applyFont="1" applyFill="1" applyBorder="1" applyAlignment="1">
      <alignment vertical="top"/>
    </xf>
    <xf numFmtId="14" fontId="20" fillId="12" borderId="9" xfId="0" applyNumberFormat="1" applyFont="1" applyFill="1" applyBorder="1" applyAlignment="1">
      <alignment vertical="top"/>
    </xf>
    <xf numFmtId="164" fontId="18" fillId="11" borderId="11" xfId="0" applyNumberFormat="1" applyFont="1" applyFill="1" applyBorder="1" applyAlignment="1">
      <alignment vertical="top"/>
    </xf>
    <xf numFmtId="165" fontId="18" fillId="11" borderId="11" xfId="0" applyNumberFormat="1" applyFont="1" applyFill="1" applyBorder="1" applyAlignment="1">
      <alignment vertical="top"/>
    </xf>
    <xf numFmtId="166" fontId="18" fillId="11" borderId="11" xfId="0" applyNumberFormat="1" applyFont="1" applyFill="1" applyBorder="1" applyAlignment="1">
      <alignment vertical="top"/>
    </xf>
    <xf numFmtId="0" fontId="18" fillId="11" borderId="11" xfId="0" applyFont="1" applyFill="1" applyBorder="1" applyAlignment="1">
      <alignment vertical="top"/>
    </xf>
    <xf numFmtId="14" fontId="18" fillId="11" borderId="12" xfId="0" applyNumberFormat="1" applyFont="1" applyFill="1" applyBorder="1" applyAlignment="1">
      <alignment vertical="top"/>
    </xf>
    <xf numFmtId="14" fontId="18" fillId="10" borderId="14" xfId="0" applyNumberFormat="1" applyFont="1" applyFill="1" applyBorder="1" applyAlignment="1">
      <alignment vertical="top"/>
    </xf>
    <xf numFmtId="14" fontId="18" fillId="11" borderId="14" xfId="0" applyNumberFormat="1" applyFont="1" applyFill="1" applyBorder="1" applyAlignment="1">
      <alignment vertical="top"/>
    </xf>
    <xf numFmtId="164" fontId="18" fillId="10" borderId="16" xfId="0" applyNumberFormat="1" applyFont="1" applyFill="1" applyBorder="1" applyAlignment="1">
      <alignment vertical="top"/>
    </xf>
    <xf numFmtId="165" fontId="18" fillId="10" borderId="16" xfId="0" applyNumberFormat="1" applyFont="1" applyFill="1" applyBorder="1" applyAlignment="1">
      <alignment vertical="top"/>
    </xf>
    <xf numFmtId="166" fontId="18" fillId="10" borderId="16" xfId="0" applyNumberFormat="1" applyFont="1" applyFill="1" applyBorder="1" applyAlignment="1">
      <alignment vertical="top"/>
    </xf>
    <xf numFmtId="14" fontId="18" fillId="10" borderId="17" xfId="0" applyNumberFormat="1" applyFont="1" applyFill="1" applyBorder="1" applyAlignment="1">
      <alignment vertical="top"/>
    </xf>
    <xf numFmtId="0" fontId="16" fillId="9" borderId="27" xfId="0" applyFont="1" applyFill="1" applyBorder="1" applyAlignment="1">
      <alignment horizontal="center" vertical="center" wrapText="1"/>
    </xf>
    <xf numFmtId="0" fontId="16" fillId="9" borderId="28" xfId="0" applyFont="1" applyFill="1" applyBorder="1" applyAlignment="1">
      <alignment horizontal="center" vertical="center" wrapText="1"/>
    </xf>
    <xf numFmtId="0" fontId="0" fillId="0" borderId="29" xfId="0" applyBorder="1"/>
    <xf numFmtId="0" fontId="20" fillId="12" borderId="9" xfId="0" applyFont="1" applyFill="1" applyBorder="1" applyAlignment="1">
      <alignment horizontal="right" vertical="top"/>
    </xf>
    <xf numFmtId="0" fontId="0" fillId="0" borderId="32" xfId="0" applyBorder="1"/>
    <xf numFmtId="0" fontId="17" fillId="9" borderId="34" xfId="0" applyFont="1" applyFill="1" applyBorder="1" applyAlignment="1">
      <alignment horizontal="center" vertical="center"/>
    </xf>
    <xf numFmtId="169" fontId="19" fillId="12" borderId="33" xfId="0" applyNumberFormat="1" applyFont="1" applyFill="1" applyBorder="1" applyAlignment="1">
      <alignment vertical="top"/>
    </xf>
    <xf numFmtId="0" fontId="17" fillId="9" borderId="35" xfId="0" applyFont="1" applyFill="1" applyBorder="1" applyAlignment="1">
      <alignment horizontal="center" vertical="center"/>
    </xf>
    <xf numFmtId="169" fontId="19" fillId="12" borderId="36" xfId="0" applyNumberFormat="1" applyFont="1" applyFill="1" applyBorder="1" applyAlignment="1">
      <alignment vertical="top"/>
    </xf>
    <xf numFmtId="0" fontId="23" fillId="0" borderId="0" xfId="0" applyFont="1"/>
    <xf numFmtId="14" fontId="18" fillId="11" borderId="48" xfId="0" applyNumberFormat="1" applyFont="1" applyFill="1" applyBorder="1" applyAlignment="1">
      <alignment vertical="top"/>
    </xf>
    <xf numFmtId="14" fontId="18" fillId="10" borderId="47" xfId="0" applyNumberFormat="1" applyFont="1" applyFill="1" applyBorder="1" applyAlignment="1">
      <alignment vertical="top"/>
    </xf>
    <xf numFmtId="0" fontId="22" fillId="22" borderId="52" xfId="0" applyFont="1" applyFill="1" applyBorder="1"/>
    <xf numFmtId="0" fontId="22" fillId="22" borderId="53" xfId="0" applyFont="1" applyFill="1" applyBorder="1"/>
    <xf numFmtId="0" fontId="25" fillId="22" borderId="51" xfId="0" applyFont="1" applyFill="1" applyBorder="1" applyAlignment="1">
      <alignment horizontal="left" indent="1"/>
    </xf>
    <xf numFmtId="0" fontId="22" fillId="0" borderId="0" xfId="0" applyFont="1" applyBorder="1"/>
    <xf numFmtId="14" fontId="20" fillId="12" borderId="54" xfId="0" applyNumberFormat="1" applyFont="1" applyFill="1" applyBorder="1" applyAlignment="1">
      <alignment horizontal="center" vertical="center"/>
    </xf>
    <xf numFmtId="0" fontId="20" fillId="12" borderId="58" xfId="0" applyFont="1" applyFill="1" applyBorder="1" applyAlignment="1">
      <alignment vertical="top"/>
    </xf>
    <xf numFmtId="164" fontId="18" fillId="10" borderId="59" xfId="0" applyNumberFormat="1" applyFont="1" applyFill="1" applyBorder="1" applyAlignment="1">
      <alignment vertical="top"/>
    </xf>
    <xf numFmtId="164" fontId="18" fillId="11" borderId="60" xfId="0" applyNumberFormat="1" applyFont="1" applyFill="1" applyBorder="1" applyAlignment="1">
      <alignment vertical="top"/>
    </xf>
    <xf numFmtId="164" fontId="18" fillId="10" borderId="60" xfId="0" applyNumberFormat="1" applyFont="1" applyFill="1" applyBorder="1" applyAlignment="1">
      <alignment vertical="top"/>
    </xf>
    <xf numFmtId="0" fontId="20" fillId="12" borderId="61" xfId="0" applyFont="1" applyFill="1" applyBorder="1" applyAlignment="1">
      <alignment vertical="top"/>
    </xf>
    <xf numFmtId="0" fontId="20" fillId="12" borderId="31" xfId="0" applyFont="1" applyFill="1" applyBorder="1" applyAlignment="1">
      <alignment vertical="top"/>
    </xf>
    <xf numFmtId="164" fontId="18" fillId="11" borderId="62" xfId="0" applyNumberFormat="1" applyFont="1" applyFill="1" applyBorder="1" applyAlignment="1">
      <alignment vertical="top"/>
    </xf>
    <xf numFmtId="164" fontId="18" fillId="11" borderId="63" xfId="0" applyNumberFormat="1" applyFont="1" applyFill="1" applyBorder="1" applyAlignment="1">
      <alignment vertical="top"/>
    </xf>
    <xf numFmtId="164" fontId="18" fillId="11" borderId="64" xfId="0" applyNumberFormat="1" applyFont="1" applyFill="1" applyBorder="1" applyAlignment="1">
      <alignment vertical="top"/>
    </xf>
    <xf numFmtId="0" fontId="20" fillId="12" borderId="9" xfId="0" applyFont="1" applyFill="1" applyBorder="1" applyAlignment="1">
      <alignment horizontal="center" vertical="top"/>
    </xf>
    <xf numFmtId="0" fontId="20" fillId="12" borderId="9" xfId="0" applyFont="1" applyFill="1" applyBorder="1" applyAlignment="1">
      <alignment horizontal="center" vertical="center"/>
    </xf>
    <xf numFmtId="14" fontId="20" fillId="12" borderId="31" xfId="0" applyNumberFormat="1" applyFont="1" applyFill="1" applyBorder="1" applyAlignment="1">
      <alignment horizontal="center" vertical="top"/>
    </xf>
    <xf numFmtId="0" fontId="20" fillId="12" borderId="26" xfId="0" applyFont="1" applyFill="1" applyBorder="1" applyAlignment="1">
      <alignment horizontal="center" vertical="top"/>
    </xf>
    <xf numFmtId="14" fontId="20" fillId="12" borderId="3" xfId="0" applyNumberFormat="1" applyFont="1" applyFill="1" applyBorder="1" applyAlignment="1">
      <alignment horizontal="center" vertical="top"/>
    </xf>
    <xf numFmtId="1" fontId="18" fillId="10" borderId="59" xfId="0" applyNumberFormat="1" applyFont="1" applyFill="1" applyBorder="1" applyAlignment="1">
      <alignment vertical="top"/>
    </xf>
    <xf numFmtId="1" fontId="18" fillId="11" borderId="60" xfId="0" applyNumberFormat="1" applyFont="1" applyFill="1" applyBorder="1" applyAlignment="1">
      <alignment vertical="top"/>
    </xf>
    <xf numFmtId="1" fontId="18" fillId="10" borderId="60" xfId="0" applyNumberFormat="1" applyFont="1" applyFill="1" applyBorder="1" applyAlignment="1">
      <alignment vertical="top"/>
    </xf>
    <xf numFmtId="0" fontId="20" fillId="12" borderId="31" xfId="0" quotePrefix="1" applyFont="1" applyFill="1" applyBorder="1" applyAlignment="1">
      <alignment horizontal="right" vertical="top"/>
    </xf>
    <xf numFmtId="14" fontId="18" fillId="11" borderId="86" xfId="0" applyNumberFormat="1" applyFont="1" applyFill="1" applyBorder="1" applyAlignment="1">
      <alignment vertical="top"/>
    </xf>
    <xf numFmtId="14" fontId="18" fillId="11" borderId="63" xfId="0" applyNumberFormat="1" applyFont="1" applyFill="1" applyBorder="1" applyAlignment="1">
      <alignment vertical="top"/>
    </xf>
    <xf numFmtId="1" fontId="18" fillId="11" borderId="63" xfId="0" applyNumberFormat="1" applyFont="1" applyFill="1" applyBorder="1" applyAlignment="1">
      <alignment vertical="top"/>
    </xf>
    <xf numFmtId="1" fontId="18" fillId="11" borderId="64" xfId="0" applyNumberFormat="1" applyFont="1" applyFill="1" applyBorder="1" applyAlignment="1">
      <alignment vertical="top"/>
    </xf>
    <xf numFmtId="2" fontId="18" fillId="10" borderId="59" xfId="0" applyNumberFormat="1" applyFont="1" applyFill="1" applyBorder="1" applyAlignment="1">
      <alignment vertical="top"/>
    </xf>
    <xf numFmtId="2" fontId="18" fillId="11" borderId="60" xfId="0" applyNumberFormat="1" applyFont="1" applyFill="1" applyBorder="1" applyAlignment="1">
      <alignment vertical="top"/>
    </xf>
    <xf numFmtId="2" fontId="18" fillId="10" borderId="60" xfId="0" applyNumberFormat="1" applyFont="1" applyFill="1" applyBorder="1" applyAlignment="1">
      <alignment vertical="top"/>
    </xf>
    <xf numFmtId="2" fontId="18" fillId="11" borderId="63" xfId="0" applyNumberFormat="1" applyFont="1" applyFill="1" applyBorder="1" applyAlignment="1">
      <alignment vertical="top"/>
    </xf>
    <xf numFmtId="2" fontId="18" fillId="11" borderId="64" xfId="0" applyNumberFormat="1" applyFont="1" applyFill="1" applyBorder="1" applyAlignment="1">
      <alignment vertical="top"/>
    </xf>
    <xf numFmtId="0" fontId="0" fillId="0" borderId="0" xfId="0" applyBorder="1"/>
    <xf numFmtId="169" fontId="19" fillId="24" borderId="9" xfId="0" applyNumberFormat="1" applyFont="1" applyFill="1" applyBorder="1" applyAlignment="1">
      <alignment vertical="top"/>
    </xf>
    <xf numFmtId="169" fontId="19" fillId="24" borderId="19" xfId="0" applyNumberFormat="1" applyFont="1" applyFill="1" applyBorder="1" applyAlignment="1">
      <alignment vertical="top"/>
    </xf>
    <xf numFmtId="0" fontId="20" fillId="25" borderId="9" xfId="0" applyFont="1" applyFill="1" applyBorder="1" applyAlignment="1">
      <alignment vertical="top"/>
    </xf>
    <xf numFmtId="0" fontId="20" fillId="25" borderId="9" xfId="0" applyFont="1" applyFill="1" applyBorder="1" applyAlignment="1">
      <alignment horizontal="right" vertical="top"/>
    </xf>
    <xf numFmtId="0" fontId="20" fillId="24" borderId="9" xfId="0" applyFont="1" applyFill="1" applyBorder="1" applyAlignment="1">
      <alignment vertical="top"/>
    </xf>
    <xf numFmtId="0" fontId="20" fillId="24" borderId="9" xfId="0" applyFont="1" applyFill="1" applyBorder="1" applyAlignment="1">
      <alignment horizontal="right" vertical="top"/>
    </xf>
    <xf numFmtId="14" fontId="20" fillId="24" borderId="9" xfId="0" applyNumberFormat="1" applyFont="1" applyFill="1" applyBorder="1" applyAlignment="1">
      <alignment vertical="top"/>
    </xf>
    <xf numFmtId="0" fontId="20" fillId="24" borderId="58" xfId="0" applyFont="1" applyFill="1" applyBorder="1" applyAlignment="1">
      <alignment vertical="top"/>
    </xf>
    <xf numFmtId="0" fontId="20" fillId="12" borderId="54" xfId="0" applyNumberFormat="1" applyFont="1" applyFill="1" applyBorder="1" applyAlignment="1">
      <alignment horizontal="center" vertical="center"/>
    </xf>
    <xf numFmtId="0" fontId="20" fillId="12" borderId="57" xfId="0" applyNumberFormat="1" applyFont="1" applyFill="1" applyBorder="1" applyAlignment="1">
      <alignment horizontal="center" vertical="center"/>
    </xf>
    <xf numFmtId="0" fontId="0" fillId="26" borderId="0" xfId="0" applyFill="1"/>
    <xf numFmtId="0" fontId="1" fillId="26" borderId="0" xfId="0" applyFont="1" applyFill="1"/>
    <xf numFmtId="14" fontId="18" fillId="11" borderId="8" xfId="0" applyNumberFormat="1" applyFont="1" applyFill="1" applyBorder="1" applyAlignment="1">
      <alignment vertical="top"/>
    </xf>
    <xf numFmtId="14" fontId="18" fillId="10" borderId="8" xfId="0" applyNumberFormat="1" applyFont="1" applyFill="1" applyBorder="1" applyAlignment="1">
      <alignment vertical="top"/>
    </xf>
    <xf numFmtId="1" fontId="18" fillId="10" borderId="72" xfId="0" applyNumberFormat="1" applyFont="1" applyFill="1" applyBorder="1" applyAlignment="1">
      <alignment vertical="top"/>
    </xf>
    <xf numFmtId="1" fontId="18" fillId="10" borderId="69" xfId="0" applyNumberFormat="1" applyFont="1" applyFill="1" applyBorder="1" applyAlignment="1">
      <alignment vertical="top"/>
    </xf>
    <xf numFmtId="1" fontId="18" fillId="10" borderId="70" xfId="0" applyNumberFormat="1" applyFont="1" applyFill="1" applyBorder="1" applyAlignment="1">
      <alignment vertical="top"/>
    </xf>
    <xf numFmtId="14" fontId="0" fillId="0" borderId="0" xfId="0" applyNumberFormat="1"/>
    <xf numFmtId="14" fontId="0" fillId="26" borderId="0" xfId="0" applyNumberFormat="1" applyFill="1"/>
    <xf numFmtId="1" fontId="0" fillId="0" borderId="0" xfId="0" applyNumberFormat="1"/>
    <xf numFmtId="1" fontId="18" fillId="11" borderId="59" xfId="0" applyNumberFormat="1" applyFont="1" applyFill="1" applyBorder="1" applyAlignment="1">
      <alignment horizontal="right" vertical="top"/>
    </xf>
    <xf numFmtId="1" fontId="18" fillId="10" borderId="60" xfId="0" applyNumberFormat="1" applyFont="1" applyFill="1" applyBorder="1" applyAlignment="1">
      <alignment horizontal="right" vertical="top"/>
    </xf>
    <xf numFmtId="1" fontId="18" fillId="11" borderId="60" xfId="0" applyNumberFormat="1" applyFont="1" applyFill="1" applyBorder="1" applyAlignment="1">
      <alignment horizontal="right" vertical="top"/>
    </xf>
    <xf numFmtId="1" fontId="18" fillId="10" borderId="87" xfId="0" applyNumberFormat="1" applyFont="1" applyFill="1" applyBorder="1" applyAlignment="1">
      <alignment horizontal="right" vertical="top"/>
    </xf>
    <xf numFmtId="1" fontId="18" fillId="10" borderId="72" xfId="0" applyNumberFormat="1" applyFont="1" applyFill="1" applyBorder="1" applyAlignment="1">
      <alignment vertical="top"/>
    </xf>
    <xf numFmtId="0" fontId="27" fillId="27" borderId="0" xfId="0" applyFont="1" applyFill="1" applyBorder="1" applyAlignment="1">
      <alignment horizontal="left" vertical="center" wrapText="1" indent="2"/>
    </xf>
    <xf numFmtId="14" fontId="18" fillId="27" borderId="0" xfId="0" applyNumberFormat="1" applyFont="1" applyFill="1" applyBorder="1" applyAlignment="1">
      <alignment horizontal="center" vertical="top"/>
    </xf>
    <xf numFmtId="14" fontId="18" fillId="10" borderId="88" xfId="0" applyNumberFormat="1" applyFont="1" applyFill="1" applyBorder="1" applyAlignment="1">
      <alignment vertical="top"/>
    </xf>
    <xf numFmtId="14" fontId="18" fillId="10" borderId="48" xfId="0" applyNumberFormat="1" applyFont="1" applyFill="1" applyBorder="1" applyAlignment="1">
      <alignment vertical="top"/>
    </xf>
    <xf numFmtId="1" fontId="18" fillId="10" borderId="48" xfId="0" applyNumberFormat="1" applyFont="1" applyFill="1" applyBorder="1" applyAlignment="1">
      <alignment vertical="top"/>
    </xf>
    <xf numFmtId="1" fontId="18" fillId="10" borderId="89" xfId="0" applyNumberFormat="1" applyFont="1" applyFill="1" applyBorder="1" applyAlignment="1">
      <alignment vertical="top"/>
    </xf>
    <xf numFmtId="2" fontId="18" fillId="10" borderId="48" xfId="0" applyNumberFormat="1" applyFont="1" applyFill="1" applyBorder="1" applyAlignment="1">
      <alignment vertical="top"/>
    </xf>
    <xf numFmtId="2" fontId="18" fillId="10" borderId="89" xfId="0" applyNumberFormat="1" applyFont="1" applyFill="1" applyBorder="1" applyAlignment="1">
      <alignment vertical="top"/>
    </xf>
    <xf numFmtId="0" fontId="16" fillId="9" borderId="46" xfId="0" applyFont="1" applyFill="1" applyBorder="1" applyAlignment="1">
      <alignment vertical="center" wrapText="1"/>
    </xf>
    <xf numFmtId="0" fontId="16" fillId="9" borderId="68" xfId="0" applyFont="1" applyFill="1" applyBorder="1" applyAlignment="1">
      <alignment vertical="center" wrapText="1"/>
    </xf>
    <xf numFmtId="0" fontId="16" fillId="9" borderId="41" xfId="0" applyFont="1" applyFill="1" applyBorder="1" applyAlignment="1">
      <alignment vertical="center" wrapText="1"/>
    </xf>
    <xf numFmtId="0" fontId="16" fillId="9" borderId="50" xfId="0" applyFont="1" applyFill="1" applyBorder="1" applyAlignment="1">
      <alignment vertical="center" wrapText="1"/>
    </xf>
    <xf numFmtId="0" fontId="18" fillId="10" borderId="21" xfId="0" applyNumberFormat="1" applyFont="1" applyFill="1" applyBorder="1" applyAlignment="1">
      <alignment vertical="top"/>
    </xf>
    <xf numFmtId="0" fontId="18" fillId="10" borderId="88" xfId="0" applyNumberFormat="1" applyFont="1" applyFill="1" applyBorder="1" applyAlignment="1">
      <alignment vertical="top"/>
    </xf>
    <xf numFmtId="0" fontId="18" fillId="10" borderId="48" xfId="0" applyNumberFormat="1" applyFont="1" applyFill="1" applyBorder="1" applyAlignment="1">
      <alignment vertical="top"/>
    </xf>
    <xf numFmtId="0" fontId="16" fillId="9" borderId="90" xfId="0" applyFont="1" applyFill="1" applyBorder="1" applyAlignment="1">
      <alignment vertical="center" wrapText="1"/>
    </xf>
    <xf numFmtId="0" fontId="16" fillId="9" borderId="42" xfId="0" applyFont="1" applyFill="1" applyBorder="1" applyAlignment="1">
      <alignment vertical="center" wrapText="1"/>
    </xf>
    <xf numFmtId="1" fontId="18" fillId="10" borderId="91" xfId="0" applyNumberFormat="1" applyFont="1" applyFill="1" applyBorder="1" applyAlignment="1">
      <alignment vertical="top"/>
    </xf>
    <xf numFmtId="1" fontId="18" fillId="10" borderId="75" xfId="0" applyNumberFormat="1" applyFont="1" applyFill="1" applyBorder="1" applyAlignment="1">
      <alignment vertical="top"/>
    </xf>
    <xf numFmtId="0" fontId="18" fillId="10" borderId="92" xfId="0" applyNumberFormat="1" applyFont="1" applyFill="1" applyBorder="1" applyAlignment="1">
      <alignment vertical="top"/>
    </xf>
    <xf numFmtId="14" fontId="18" fillId="10" borderId="92" xfId="0" applyNumberFormat="1" applyFont="1" applyFill="1" applyBorder="1" applyAlignment="1">
      <alignment vertical="top"/>
    </xf>
    <xf numFmtId="0" fontId="18" fillId="10" borderId="93" xfId="0" applyNumberFormat="1" applyFont="1" applyFill="1" applyBorder="1" applyAlignment="1">
      <alignment vertical="top"/>
    </xf>
    <xf numFmtId="1" fontId="18" fillId="10" borderId="92" xfId="0" applyNumberFormat="1" applyFont="1" applyFill="1" applyBorder="1" applyAlignment="1">
      <alignment vertical="top"/>
    </xf>
    <xf numFmtId="1" fontId="18" fillId="10" borderId="94" xfId="0" applyNumberFormat="1" applyFont="1" applyFill="1" applyBorder="1" applyAlignment="1">
      <alignment vertical="top"/>
    </xf>
    <xf numFmtId="2" fontId="18" fillId="10" borderId="92" xfId="0" applyNumberFormat="1" applyFont="1" applyFill="1" applyBorder="1" applyAlignment="1">
      <alignment vertical="top"/>
    </xf>
    <xf numFmtId="2" fontId="18" fillId="10" borderId="94" xfId="0" applyNumberFormat="1" applyFont="1" applyFill="1" applyBorder="1" applyAlignment="1">
      <alignment vertical="top"/>
    </xf>
    <xf numFmtId="0" fontId="16" fillId="27" borderId="0" xfId="0" applyFont="1" applyFill="1" applyBorder="1" applyAlignment="1">
      <alignment horizontal="left" vertical="center" wrapText="1" indent="2"/>
    </xf>
    <xf numFmtId="14" fontId="20" fillId="27" borderId="0" xfId="0" applyNumberFormat="1" applyFont="1" applyFill="1" applyBorder="1" applyAlignment="1">
      <alignment horizontal="center" vertical="top"/>
    </xf>
    <xf numFmtId="0" fontId="0" fillId="26" borderId="0" xfId="0" applyFill="1" applyAlignment="1">
      <alignment horizontal="center"/>
    </xf>
    <xf numFmtId="0" fontId="20" fillId="0" borderId="0" xfId="0" applyFont="1" applyFill="1" applyBorder="1" applyAlignment="1">
      <alignment horizontal="center" vertical="top"/>
    </xf>
    <xf numFmtId="0" fontId="16" fillId="9" borderId="98" xfId="0" applyFont="1" applyFill="1" applyBorder="1" applyAlignment="1">
      <alignment vertical="center" wrapText="1"/>
    </xf>
    <xf numFmtId="0" fontId="16" fillId="9" borderId="97" xfId="0" applyFont="1" applyFill="1" applyBorder="1" applyAlignment="1">
      <alignment vertical="center" wrapText="1"/>
    </xf>
    <xf numFmtId="0" fontId="16" fillId="9" borderId="40" xfId="0" applyFont="1" applyFill="1" applyBorder="1" applyAlignment="1">
      <alignment vertical="center" wrapText="1"/>
    </xf>
    <xf numFmtId="14" fontId="18" fillId="10" borderId="93" xfId="0" applyNumberFormat="1" applyFont="1" applyFill="1" applyBorder="1" applyAlignment="1">
      <alignment vertical="top"/>
    </xf>
    <xf numFmtId="0" fontId="18" fillId="10" borderId="59" xfId="0" applyNumberFormat="1" applyFont="1" applyFill="1" applyBorder="1" applyAlignment="1">
      <alignment vertical="top"/>
    </xf>
    <xf numFmtId="0" fontId="18" fillId="10" borderId="89" xfId="0" applyNumberFormat="1" applyFont="1" applyFill="1" applyBorder="1" applyAlignment="1">
      <alignment vertical="top"/>
    </xf>
    <xf numFmtId="0" fontId="18" fillId="10" borderId="94" xfId="0" applyNumberFormat="1" applyFont="1" applyFill="1" applyBorder="1" applyAlignment="1">
      <alignment vertical="top"/>
    </xf>
    <xf numFmtId="0" fontId="20" fillId="12" borderId="95" xfId="0" applyFont="1" applyFill="1" applyBorder="1" applyAlignment="1">
      <alignment horizontal="center" vertical="top"/>
    </xf>
    <xf numFmtId="0" fontId="20" fillId="12" borderId="96" xfId="0" applyFont="1" applyFill="1" applyBorder="1" applyAlignment="1">
      <alignment horizontal="center" vertical="top"/>
    </xf>
    <xf numFmtId="0" fontId="17" fillId="27" borderId="0" xfId="0" applyFont="1" applyFill="1" applyBorder="1" applyAlignment="1">
      <alignment horizontal="center" vertical="center"/>
    </xf>
    <xf numFmtId="169" fontId="19" fillId="27" borderId="0" xfId="0" applyNumberFormat="1" applyFont="1" applyFill="1" applyBorder="1" applyAlignment="1">
      <alignment vertical="top"/>
    </xf>
    <xf numFmtId="169" fontId="13" fillId="26" borderId="0" xfId="0" applyNumberFormat="1" applyFont="1" applyFill="1" applyBorder="1" applyAlignment="1">
      <alignment horizontal="center" vertical="center"/>
    </xf>
    <xf numFmtId="0" fontId="17" fillId="9" borderId="56" xfId="0" applyFont="1" applyFill="1" applyBorder="1" applyAlignment="1">
      <alignment horizontal="center" vertical="center"/>
    </xf>
    <xf numFmtId="0" fontId="0" fillId="26" borderId="0" xfId="0" applyFill="1" applyBorder="1"/>
    <xf numFmtId="1" fontId="0" fillId="26" borderId="0" xfId="0" applyNumberFormat="1" applyFill="1"/>
    <xf numFmtId="0" fontId="1" fillId="26" borderId="0" xfId="0" quotePrefix="1" applyFont="1" applyFill="1"/>
    <xf numFmtId="14" fontId="1" fillId="26" borderId="0" xfId="0" quotePrefix="1" applyNumberFormat="1" applyFont="1" applyFill="1"/>
    <xf numFmtId="14" fontId="28" fillId="26" borderId="0" xfId="0" applyNumberFormat="1" applyFont="1" applyFill="1"/>
    <xf numFmtId="0" fontId="0" fillId="26" borderId="0" xfId="0" applyFill="1" applyBorder="1" applyAlignment="1">
      <alignment horizontal="center"/>
    </xf>
    <xf numFmtId="0" fontId="0" fillId="26" borderId="32" xfId="0" applyFill="1" applyBorder="1" applyAlignment="1">
      <alignment horizontal="center"/>
    </xf>
    <xf numFmtId="0" fontId="29" fillId="26" borderId="55" xfId="0" applyFont="1" applyFill="1" applyBorder="1" applyAlignment="1">
      <alignment horizontal="center" wrapText="1"/>
    </xf>
    <xf numFmtId="0" fontId="29" fillId="26" borderId="100" xfId="0" applyFont="1" applyFill="1" applyBorder="1" applyAlignment="1">
      <alignment horizontal="center" wrapText="1"/>
    </xf>
    <xf numFmtId="14" fontId="0" fillId="26" borderId="101" xfId="0" applyNumberFormat="1" applyFill="1" applyBorder="1" applyAlignment="1">
      <alignment horizontal="center"/>
    </xf>
    <xf numFmtId="14" fontId="0" fillId="26" borderId="98" xfId="0" applyNumberFormat="1" applyFill="1" applyBorder="1" applyAlignment="1">
      <alignment horizontal="center"/>
    </xf>
    <xf numFmtId="164" fontId="0" fillId="26" borderId="0" xfId="0" applyNumberFormat="1" applyFill="1"/>
    <xf numFmtId="0" fontId="15" fillId="26" borderId="0" xfId="0" applyFont="1" applyFill="1" applyAlignment="1">
      <alignment horizontal="center"/>
    </xf>
    <xf numFmtId="0" fontId="26" fillId="27" borderId="104" xfId="0" applyFont="1" applyFill="1" applyBorder="1" applyAlignment="1">
      <alignment horizontal="center" vertical="center" wrapText="1"/>
    </xf>
    <xf numFmtId="0" fontId="26" fillId="27" borderId="105" xfId="0" applyFont="1" applyFill="1" applyBorder="1" applyAlignment="1">
      <alignment horizontal="center" vertical="center" wrapText="1"/>
    </xf>
    <xf numFmtId="0" fontId="15" fillId="26" borderId="106" xfId="0" applyFont="1" applyFill="1" applyBorder="1" applyAlignment="1">
      <alignment horizontal="center"/>
    </xf>
    <xf numFmtId="0" fontId="26" fillId="27" borderId="113" xfId="0" applyFont="1" applyFill="1" applyBorder="1" applyAlignment="1">
      <alignment vertical="center" wrapText="1"/>
    </xf>
    <xf numFmtId="0" fontId="26" fillId="27" borderId="39" xfId="0" applyFont="1" applyFill="1" applyBorder="1" applyAlignment="1">
      <alignment vertical="center" wrapText="1"/>
    </xf>
    <xf numFmtId="0" fontId="26" fillId="27" borderId="114" xfId="0" applyFont="1" applyFill="1" applyBorder="1" applyAlignment="1">
      <alignment vertical="center" wrapText="1"/>
    </xf>
    <xf numFmtId="0" fontId="26" fillId="27" borderId="40" xfId="0" applyFont="1" applyFill="1" applyBorder="1" applyAlignment="1">
      <alignment vertical="center" wrapText="1"/>
    </xf>
    <xf numFmtId="14" fontId="18" fillId="27" borderId="110" xfId="0" applyNumberFormat="1" applyFont="1" applyFill="1" applyBorder="1" applyAlignment="1">
      <alignment vertical="top"/>
    </xf>
    <xf numFmtId="14" fontId="18" fillId="27" borderId="21" xfId="0" applyNumberFormat="1" applyFont="1" applyFill="1" applyBorder="1" applyAlignment="1">
      <alignment vertical="top"/>
    </xf>
    <xf numFmtId="14" fontId="18" fillId="27" borderId="111" xfId="0" applyNumberFormat="1" applyFont="1" applyFill="1" applyBorder="1" applyAlignment="1">
      <alignment vertical="top"/>
    </xf>
    <xf numFmtId="14" fontId="18" fillId="27" borderId="8" xfId="0" applyNumberFormat="1" applyFont="1" applyFill="1" applyBorder="1" applyAlignment="1">
      <alignment vertical="top"/>
    </xf>
    <xf numFmtId="14" fontId="18" fillId="27" borderId="112" xfId="0" applyNumberFormat="1" applyFont="1" applyFill="1" applyBorder="1" applyAlignment="1">
      <alignment vertical="top"/>
    </xf>
    <xf numFmtId="14" fontId="18" fillId="27" borderId="22" xfId="0" applyNumberFormat="1" applyFont="1" applyFill="1" applyBorder="1" applyAlignment="1">
      <alignment vertical="top"/>
    </xf>
    <xf numFmtId="0" fontId="26" fillId="27" borderId="115" xfId="0" applyFont="1" applyFill="1" applyBorder="1" applyAlignment="1">
      <alignment vertical="center" wrapText="1"/>
    </xf>
    <xf numFmtId="0" fontId="26" fillId="27" borderId="116" xfId="0" applyFont="1" applyFill="1" applyBorder="1" applyAlignment="1">
      <alignment vertical="center" wrapText="1"/>
    </xf>
    <xf numFmtId="0" fontId="18" fillId="27" borderId="117" xfId="0" applyNumberFormat="1" applyFont="1" applyFill="1" applyBorder="1" applyAlignment="1">
      <alignment vertical="top"/>
    </xf>
    <xf numFmtId="0" fontId="18" fillId="27" borderId="118" xfId="0" applyNumberFormat="1" applyFont="1" applyFill="1" applyBorder="1" applyAlignment="1">
      <alignment vertical="top"/>
    </xf>
    <xf numFmtId="0" fontId="18" fillId="27" borderId="119" xfId="0" applyNumberFormat="1" applyFont="1" applyFill="1" applyBorder="1" applyAlignment="1">
      <alignment vertical="top"/>
    </xf>
    <xf numFmtId="0" fontId="30" fillId="27" borderId="102" xfId="0" applyFont="1" applyFill="1" applyBorder="1" applyAlignment="1">
      <alignment horizontal="center" vertical="center" wrapText="1"/>
    </xf>
    <xf numFmtId="0" fontId="30" fillId="27" borderId="103" xfId="0" applyFont="1" applyFill="1" applyBorder="1" applyAlignment="1">
      <alignment horizontal="center" vertical="center" wrapText="1"/>
    </xf>
    <xf numFmtId="14" fontId="28" fillId="27" borderId="107" xfId="0" applyNumberFormat="1" applyFont="1" applyFill="1" applyBorder="1" applyAlignment="1">
      <alignment vertical="top"/>
    </xf>
    <xf numFmtId="14" fontId="28" fillId="27" borderId="108" xfId="0" applyNumberFormat="1" applyFont="1" applyFill="1" applyBorder="1" applyAlignment="1">
      <alignment vertical="top"/>
    </xf>
    <xf numFmtId="14" fontId="28" fillId="27" borderId="109" xfId="0" applyNumberFormat="1" applyFont="1" applyFill="1" applyBorder="1" applyAlignment="1">
      <alignment vertical="top"/>
    </xf>
    <xf numFmtId="0" fontId="30" fillId="27" borderId="115" xfId="0" applyFont="1" applyFill="1" applyBorder="1" applyAlignment="1">
      <alignment vertical="center" wrapText="1"/>
    </xf>
    <xf numFmtId="0" fontId="30" fillId="27" borderId="116" xfId="0" applyFont="1" applyFill="1" applyBorder="1" applyAlignment="1">
      <alignment vertical="center" wrapText="1"/>
    </xf>
    <xf numFmtId="14" fontId="28" fillId="27" borderId="117" xfId="0" applyNumberFormat="1" applyFont="1" applyFill="1" applyBorder="1" applyAlignment="1">
      <alignment vertical="top"/>
    </xf>
    <xf numFmtId="14" fontId="28" fillId="27" borderId="118" xfId="0" applyNumberFormat="1" applyFont="1" applyFill="1" applyBorder="1" applyAlignment="1">
      <alignment vertical="top"/>
    </xf>
    <xf numFmtId="14" fontId="28" fillId="27" borderId="119" xfId="0" applyNumberFormat="1" applyFont="1" applyFill="1" applyBorder="1" applyAlignment="1">
      <alignment vertical="top"/>
    </xf>
    <xf numFmtId="0" fontId="15" fillId="27" borderId="0" xfId="0" applyFont="1" applyFill="1" applyBorder="1" applyAlignment="1">
      <alignment horizontal="center" vertical="center"/>
    </xf>
    <xf numFmtId="0" fontId="0" fillId="26" borderId="32" xfId="0" applyFill="1" applyBorder="1"/>
    <xf numFmtId="0" fontId="15" fillId="27" borderId="37" xfId="0" applyFont="1" applyFill="1" applyBorder="1" applyAlignment="1">
      <alignment horizontal="center" vertical="center"/>
    </xf>
    <xf numFmtId="0" fontId="29" fillId="26" borderId="32" xfId="0" applyFont="1" applyFill="1" applyBorder="1" applyAlignment="1">
      <alignment horizontal="center" vertical="top" wrapText="1"/>
    </xf>
    <xf numFmtId="0" fontId="29" fillId="26" borderId="98" xfId="0" applyFont="1" applyFill="1" applyBorder="1" applyAlignment="1">
      <alignment horizontal="center" vertical="top" wrapText="1"/>
    </xf>
    <xf numFmtId="14" fontId="20" fillId="12" borderId="120" xfId="0" applyNumberFormat="1" applyFont="1" applyFill="1" applyBorder="1" applyAlignment="1">
      <alignment horizontal="center" vertical="center"/>
    </xf>
    <xf numFmtId="14" fontId="20" fillId="12" borderId="9" xfId="0" applyNumberFormat="1" applyFont="1" applyFill="1" applyBorder="1" applyAlignment="1">
      <alignment horizontal="center" vertical="top"/>
    </xf>
    <xf numFmtId="14" fontId="20" fillId="24" borderId="9" xfId="0" applyNumberFormat="1" applyFont="1" applyFill="1" applyBorder="1" applyAlignment="1">
      <alignment horizontal="center" vertical="top"/>
    </xf>
    <xf numFmtId="0" fontId="20" fillId="12" borderId="9" xfId="0" applyNumberFormat="1" applyFont="1" applyFill="1" applyBorder="1" applyAlignment="1">
      <alignment horizontal="center" vertical="top"/>
    </xf>
    <xf numFmtId="0" fontId="20" fillId="24" borderId="9" xfId="0" applyNumberFormat="1" applyFont="1" applyFill="1" applyBorder="1" applyAlignment="1">
      <alignment horizontal="center" vertical="top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vertical="center" wrapText="1"/>
    </xf>
    <xf numFmtId="0" fontId="31" fillId="0" borderId="0" xfId="0" applyFont="1" applyAlignment="1">
      <alignment horizontal="center" vertical="center" wrapText="1"/>
    </xf>
    <xf numFmtId="0" fontId="16" fillId="9" borderId="65" xfId="0" applyFont="1" applyFill="1" applyBorder="1" applyAlignment="1">
      <alignment horizontal="center" vertical="center" wrapText="1"/>
    </xf>
    <xf numFmtId="0" fontId="16" fillId="9" borderId="67" xfId="0" applyFont="1" applyFill="1" applyBorder="1" applyAlignment="1">
      <alignment horizontal="center" vertical="center" wrapText="1"/>
    </xf>
    <xf numFmtId="0" fontId="16" fillId="9" borderId="66" xfId="0" applyFont="1" applyFill="1" applyBorder="1" applyAlignment="1">
      <alignment horizontal="center" vertical="center" wrapText="1"/>
    </xf>
    <xf numFmtId="0" fontId="16" fillId="9" borderId="46" xfId="0" applyFont="1" applyFill="1" applyBorder="1" applyAlignment="1">
      <alignment horizontal="center" vertical="center" wrapText="1"/>
    </xf>
    <xf numFmtId="0" fontId="21" fillId="9" borderId="81" xfId="0" applyFont="1" applyFill="1" applyBorder="1" applyAlignment="1">
      <alignment horizontal="center" vertical="center"/>
    </xf>
    <xf numFmtId="0" fontId="21" fillId="9" borderId="3" xfId="0" applyFont="1" applyFill="1" applyBorder="1" applyAlignment="1">
      <alignment horizontal="center" vertical="center"/>
    </xf>
    <xf numFmtId="14" fontId="18" fillId="10" borderId="24" xfId="0" applyNumberFormat="1" applyFont="1" applyFill="1" applyBorder="1" applyAlignment="1">
      <alignment vertical="top"/>
    </xf>
    <xf numFmtId="14" fontId="18" fillId="10" borderId="8" xfId="0" applyNumberFormat="1" applyFont="1" applyFill="1" applyBorder="1" applyAlignment="1">
      <alignment vertical="top"/>
    </xf>
    <xf numFmtId="14" fontId="18" fillId="11" borderId="24" xfId="0" applyNumberFormat="1" applyFont="1" applyFill="1" applyBorder="1" applyAlignment="1">
      <alignment vertical="top"/>
    </xf>
    <xf numFmtId="14" fontId="18" fillId="11" borderId="8" xfId="0" applyNumberFormat="1" applyFont="1" applyFill="1" applyBorder="1" applyAlignment="1">
      <alignment vertical="top"/>
    </xf>
    <xf numFmtId="14" fontId="18" fillId="10" borderId="25" xfId="0" applyNumberFormat="1" applyFont="1" applyFill="1" applyBorder="1" applyAlignment="1">
      <alignment vertical="top"/>
    </xf>
    <xf numFmtId="14" fontId="18" fillId="10" borderId="22" xfId="0" applyNumberFormat="1" applyFont="1" applyFill="1" applyBorder="1" applyAlignment="1">
      <alignment vertical="top"/>
    </xf>
    <xf numFmtId="0" fontId="16" fillId="9" borderId="49" xfId="0" applyFont="1" applyFill="1" applyBorder="1" applyAlignment="1">
      <alignment horizontal="center" vertical="center" wrapText="1"/>
    </xf>
    <xf numFmtId="0" fontId="16" fillId="9" borderId="50" xfId="0" applyFont="1" applyFill="1" applyBorder="1" applyAlignment="1">
      <alignment horizontal="center" vertical="center" wrapText="1"/>
    </xf>
    <xf numFmtId="14" fontId="18" fillId="11" borderId="23" xfId="0" applyNumberFormat="1" applyFont="1" applyFill="1" applyBorder="1" applyAlignment="1">
      <alignment vertical="top"/>
    </xf>
    <xf numFmtId="14" fontId="18" fillId="11" borderId="21" xfId="0" applyNumberFormat="1" applyFont="1" applyFill="1" applyBorder="1" applyAlignment="1">
      <alignment vertical="top"/>
    </xf>
    <xf numFmtId="164" fontId="16" fillId="9" borderId="6" xfId="0" applyNumberFormat="1" applyFont="1" applyFill="1" applyBorder="1" applyAlignment="1">
      <alignment horizontal="center" vertical="center" wrapText="1"/>
    </xf>
    <xf numFmtId="164" fontId="16" fillId="9" borderId="41" xfId="0" applyNumberFormat="1" applyFont="1" applyFill="1" applyBorder="1" applyAlignment="1">
      <alignment horizontal="center" vertical="center" wrapText="1"/>
    </xf>
    <xf numFmtId="165" fontId="16" fillId="9" borderId="6" xfId="0" applyNumberFormat="1" applyFont="1" applyFill="1" applyBorder="1" applyAlignment="1">
      <alignment horizontal="center" vertical="center" wrapText="1"/>
    </xf>
    <xf numFmtId="165" fontId="16" fillId="9" borderId="41" xfId="0" applyNumberFormat="1" applyFont="1" applyFill="1" applyBorder="1" applyAlignment="1">
      <alignment horizontal="center" vertical="center" wrapText="1"/>
    </xf>
    <xf numFmtId="0" fontId="16" fillId="9" borderId="6" xfId="0" applyFont="1" applyFill="1" applyBorder="1" applyAlignment="1">
      <alignment horizontal="center" vertical="center" wrapText="1"/>
    </xf>
    <xf numFmtId="0" fontId="16" fillId="9" borderId="41" xfId="0" applyFont="1" applyFill="1" applyBorder="1" applyAlignment="1">
      <alignment horizontal="center" vertical="center" wrapText="1"/>
    </xf>
    <xf numFmtId="0" fontId="16" fillId="9" borderId="38" xfId="0" applyFont="1" applyFill="1" applyBorder="1" applyAlignment="1">
      <alignment horizontal="center" vertical="center" wrapText="1"/>
    </xf>
    <xf numFmtId="0" fontId="16" fillId="9" borderId="39" xfId="0" applyFont="1" applyFill="1" applyBorder="1" applyAlignment="1">
      <alignment horizontal="center" vertical="center" wrapText="1"/>
    </xf>
    <xf numFmtId="0" fontId="16" fillId="9" borderId="30" xfId="0" applyFont="1" applyFill="1" applyBorder="1" applyAlignment="1">
      <alignment horizontal="center" vertical="center" wrapText="1"/>
    </xf>
    <xf numFmtId="0" fontId="16" fillId="9" borderId="40" xfId="0" applyFont="1" applyFill="1" applyBorder="1" applyAlignment="1">
      <alignment horizontal="center" vertical="center" wrapText="1"/>
    </xf>
    <xf numFmtId="0" fontId="16" fillId="9" borderId="43" xfId="0" applyFont="1" applyFill="1" applyBorder="1" applyAlignment="1">
      <alignment horizontal="center" vertical="center" wrapText="1"/>
    </xf>
    <xf numFmtId="0" fontId="16" fillId="9" borderId="44" xfId="0" applyFont="1" applyFill="1" applyBorder="1" applyAlignment="1">
      <alignment horizontal="center" vertical="center" wrapText="1"/>
    </xf>
    <xf numFmtId="0" fontId="16" fillId="9" borderId="45" xfId="0" applyFont="1" applyFill="1" applyBorder="1" applyAlignment="1">
      <alignment horizontal="center" vertical="center" wrapText="1"/>
    </xf>
    <xf numFmtId="1" fontId="18" fillId="11" borderId="72" xfId="0" applyNumberFormat="1" applyFont="1" applyFill="1" applyBorder="1" applyAlignment="1">
      <alignment vertical="top"/>
    </xf>
    <xf numFmtId="1" fontId="18" fillId="11" borderId="69" xfId="0" applyNumberFormat="1" applyFont="1" applyFill="1" applyBorder="1" applyAlignment="1">
      <alignment vertical="top"/>
    </xf>
    <xf numFmtId="1" fontId="18" fillId="11" borderId="70" xfId="0" applyNumberFormat="1" applyFont="1" applyFill="1" applyBorder="1" applyAlignment="1">
      <alignment vertical="top"/>
    </xf>
    <xf numFmtId="1" fontId="18" fillId="10" borderId="72" xfId="0" applyNumberFormat="1" applyFont="1" applyFill="1" applyBorder="1" applyAlignment="1">
      <alignment vertical="top"/>
    </xf>
    <xf numFmtId="1" fontId="18" fillId="10" borderId="69" xfId="0" applyNumberFormat="1" applyFont="1" applyFill="1" applyBorder="1" applyAlignment="1">
      <alignment vertical="top"/>
    </xf>
    <xf numFmtId="1" fontId="18" fillId="10" borderId="70" xfId="0" applyNumberFormat="1" applyFont="1" applyFill="1" applyBorder="1" applyAlignment="1">
      <alignment vertical="top"/>
    </xf>
    <xf numFmtId="0" fontId="16" fillId="9" borderId="73" xfId="0" applyFont="1" applyFill="1" applyBorder="1" applyAlignment="1">
      <alignment horizontal="left" vertical="center" wrapText="1" indent="2"/>
    </xf>
    <xf numFmtId="0" fontId="16" fillId="9" borderId="74" xfId="0" applyFont="1" applyFill="1" applyBorder="1" applyAlignment="1">
      <alignment horizontal="left" vertical="center" wrapText="1" indent="2"/>
    </xf>
    <xf numFmtId="0" fontId="16" fillId="9" borderId="78" xfId="0" applyFont="1" applyFill="1" applyBorder="1" applyAlignment="1">
      <alignment horizontal="left" vertical="center" wrapText="1" indent="2"/>
    </xf>
    <xf numFmtId="0" fontId="16" fillId="9" borderId="79" xfId="0" applyFont="1" applyFill="1" applyBorder="1" applyAlignment="1">
      <alignment horizontal="left" vertical="center" wrapText="1" indent="2"/>
    </xf>
    <xf numFmtId="0" fontId="16" fillId="9" borderId="75" xfId="0" applyFont="1" applyFill="1" applyBorder="1" applyAlignment="1">
      <alignment horizontal="left" vertical="center" wrapText="1" indent="2"/>
    </xf>
    <xf numFmtId="0" fontId="16" fillId="9" borderId="76" xfId="0" applyFont="1" applyFill="1" applyBorder="1" applyAlignment="1">
      <alignment horizontal="left" vertical="center" wrapText="1" indent="2"/>
    </xf>
    <xf numFmtId="0" fontId="16" fillId="9" borderId="80" xfId="0" applyFont="1" applyFill="1" applyBorder="1" applyAlignment="1">
      <alignment horizontal="left" vertical="center" wrapText="1" indent="2"/>
    </xf>
    <xf numFmtId="0" fontId="16" fillId="9" borderId="77" xfId="0" applyFont="1" applyFill="1" applyBorder="1" applyAlignment="1">
      <alignment horizontal="left" vertical="center" wrapText="1" indent="2"/>
    </xf>
    <xf numFmtId="0" fontId="16" fillId="9" borderId="73" xfId="0" applyFont="1" applyFill="1" applyBorder="1" applyAlignment="1">
      <alignment horizontal="left" vertical="center" wrapText="1"/>
    </xf>
    <xf numFmtId="0" fontId="16" fillId="9" borderId="74" xfId="0" applyFont="1" applyFill="1" applyBorder="1" applyAlignment="1">
      <alignment horizontal="left" vertical="center" wrapText="1"/>
    </xf>
    <xf numFmtId="0" fontId="16" fillId="9" borderId="98" xfId="0" applyFont="1" applyFill="1" applyBorder="1" applyAlignment="1">
      <alignment horizontal="left" vertical="center" wrapText="1"/>
    </xf>
    <xf numFmtId="0" fontId="16" fillId="9" borderId="99" xfId="0" applyFont="1" applyFill="1" applyBorder="1" applyAlignment="1">
      <alignment horizontal="left" vertical="center" wrapText="1"/>
    </xf>
    <xf numFmtId="1" fontId="18" fillId="11" borderId="75" xfId="0" applyNumberFormat="1" applyFont="1" applyFill="1" applyBorder="1" applyAlignment="1">
      <alignment vertical="top"/>
    </xf>
    <xf numFmtId="1" fontId="18" fillId="11" borderId="85" xfId="0" applyNumberFormat="1" applyFont="1" applyFill="1" applyBorder="1" applyAlignment="1">
      <alignment vertical="top"/>
    </xf>
    <xf numFmtId="1" fontId="18" fillId="11" borderId="76" xfId="0" applyNumberFormat="1" applyFont="1" applyFill="1" applyBorder="1" applyAlignment="1">
      <alignment vertical="top"/>
    </xf>
    <xf numFmtId="1" fontId="18" fillId="23" borderId="75" xfId="0" applyNumberFormat="1" applyFont="1" applyFill="1" applyBorder="1" applyAlignment="1">
      <alignment vertical="top"/>
    </xf>
    <xf numFmtId="1" fontId="18" fillId="23" borderId="85" xfId="0" applyNumberFormat="1" applyFont="1" applyFill="1" applyBorder="1" applyAlignment="1">
      <alignment vertical="top"/>
    </xf>
    <xf numFmtId="1" fontId="18" fillId="23" borderId="76" xfId="0" applyNumberFormat="1" applyFont="1" applyFill="1" applyBorder="1" applyAlignment="1">
      <alignment vertical="top"/>
    </xf>
    <xf numFmtId="0" fontId="16" fillId="9" borderId="98" xfId="0" applyFont="1" applyFill="1" applyBorder="1" applyAlignment="1">
      <alignment horizontal="left" vertical="center" wrapText="1" indent="2"/>
    </xf>
    <xf numFmtId="0" fontId="16" fillId="9" borderId="99" xfId="0" applyFont="1" applyFill="1" applyBorder="1" applyAlignment="1">
      <alignment horizontal="left" vertical="center" wrapText="1" indent="2"/>
    </xf>
    <xf numFmtId="0" fontId="16" fillId="9" borderId="5" xfId="0" applyFont="1" applyFill="1" applyBorder="1" applyAlignment="1">
      <alignment horizontal="center" vertical="center" wrapText="1"/>
    </xf>
    <xf numFmtId="0" fontId="16" fillId="9" borderId="20" xfId="0" applyFont="1" applyFill="1" applyBorder="1" applyAlignment="1">
      <alignment horizontal="center" vertical="center" wrapText="1"/>
    </xf>
    <xf numFmtId="0" fontId="16" fillId="9" borderId="73" xfId="0" applyFont="1" applyFill="1" applyBorder="1" applyAlignment="1">
      <alignment horizontal="center" vertical="center" wrapText="1"/>
    </xf>
    <xf numFmtId="0" fontId="16" fillId="9" borderId="82" xfId="0" applyFont="1" applyFill="1" applyBorder="1" applyAlignment="1">
      <alignment horizontal="center" vertical="center" wrapText="1"/>
    </xf>
    <xf numFmtId="0" fontId="16" fillId="9" borderId="83" xfId="0" applyFont="1" applyFill="1" applyBorder="1" applyAlignment="1">
      <alignment horizontal="center" vertical="center" wrapText="1"/>
    </xf>
    <xf numFmtId="0" fontId="16" fillId="9" borderId="72" xfId="0" applyFont="1" applyFill="1" applyBorder="1" applyAlignment="1">
      <alignment horizontal="center" vertical="center" wrapText="1"/>
    </xf>
    <xf numFmtId="0" fontId="16" fillId="9" borderId="69" xfId="0" applyFont="1" applyFill="1" applyBorder="1" applyAlignment="1">
      <alignment horizontal="center" vertical="center" wrapText="1"/>
    </xf>
    <xf numFmtId="0" fontId="16" fillId="9" borderId="71" xfId="0" applyFont="1" applyFill="1" applyBorder="1" applyAlignment="1">
      <alignment horizontal="center" vertical="center" wrapText="1"/>
    </xf>
    <xf numFmtId="0" fontId="16" fillId="9" borderId="84" xfId="0" applyFont="1" applyFill="1" applyBorder="1" applyAlignment="1">
      <alignment horizontal="center" vertical="center" wrapText="1"/>
    </xf>
    <xf numFmtId="0" fontId="0" fillId="13" borderId="0" xfId="0" applyFill="1" applyAlignment="1"/>
    <xf numFmtId="0" fontId="0" fillId="0" borderId="0" xfId="0" applyAlignment="1"/>
    <xf numFmtId="0" fontId="0" fillId="14" borderId="0" xfId="0" applyFill="1" applyAlignment="1"/>
    <xf numFmtId="0" fontId="0" fillId="15" borderId="0" xfId="0" applyFill="1" applyAlignment="1"/>
    <xf numFmtId="0" fontId="0" fillId="16" borderId="0" xfId="0" applyFill="1" applyAlignment="1"/>
    <xf numFmtId="0" fontId="0" fillId="17" borderId="0" xfId="0" applyFill="1" applyAlignment="1"/>
    <xf numFmtId="0" fontId="0" fillId="18" borderId="0" xfId="0" applyFill="1" applyAlignment="1"/>
    <xf numFmtId="0" fontId="0" fillId="19" borderId="0" xfId="0" applyFill="1" applyAlignment="1"/>
    <xf numFmtId="0" fontId="0" fillId="20" borderId="0" xfId="0" applyFill="1" applyAlignment="1"/>
    <xf numFmtId="0" fontId="0" fillId="21" borderId="0" xfId="0" applyFill="1" applyAlignment="1"/>
    <xf numFmtId="0" fontId="24" fillId="0" borderId="0" xfId="0" applyFont="1" applyBorder="1" applyAlignment="1">
      <alignment horizontal="left" vertical="center" wrapText="1"/>
    </xf>
  </cellXfs>
  <cellStyles count="22">
    <cellStyle name="background" xfId="1"/>
    <cellStyle name="banner" xfId="2"/>
    <cellStyle name="calc" xfId="3"/>
    <cellStyle name="calculated" xfId="4"/>
    <cellStyle name="data" xfId="5"/>
    <cellStyle name="date" xfId="6"/>
    <cellStyle name="datetime" xfId="7"/>
    <cellStyle name="Header" xfId="8"/>
    <cellStyle name="label" xfId="9"/>
    <cellStyle name="main_input" xfId="10"/>
    <cellStyle name="Next holiday" xfId="11"/>
    <cellStyle name="Normal" xfId="0" builtinId="0"/>
    <cellStyle name="Normal 2" xfId="12"/>
    <cellStyle name="Normal 2 2" xfId="13"/>
    <cellStyle name="Normal 2 3" xfId="14"/>
    <cellStyle name="Rates" xfId="15"/>
    <cellStyle name="realtime" xfId="16"/>
    <cellStyle name="result" xfId="17"/>
    <cellStyle name="rt" xfId="18"/>
    <cellStyle name="static" xfId="19"/>
    <cellStyle name="text" xfId="20"/>
    <cellStyle name="Topheader" xfId="2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8F8F8"/>
      <rgbColor rgb="00FF0000"/>
      <rgbColor rgb="00B1D5A9"/>
      <rgbColor rgb="000000FF"/>
      <rgbColor rgb="00FFFF00"/>
      <rgbColor rgb="00E11F1F"/>
      <rgbColor rgb="0000FFFF"/>
      <rgbColor rgb="00800000"/>
      <rgbColor rgb="00008000"/>
      <rgbColor rgb="00000080"/>
      <rgbColor rgb="0025B14A"/>
      <rgbColor rgb="00810000"/>
      <rgbColor rgb="00008080"/>
      <rgbColor rgb="00EEEEEE"/>
      <rgbColor rgb="007D7D7D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B8CCE4"/>
      <rgbColor rgb="00CCFFFF"/>
      <rgbColor rgb="00D4E1D1"/>
      <rgbColor rgb="00FF6600"/>
      <rgbColor rgb="00DBE5F1"/>
      <rgbColor rgb="00FF99CC"/>
      <rgbColor rgb="00FFDAFF"/>
      <rgbColor rgb="00FFCC99"/>
      <rgbColor rgb="00477AB7"/>
      <rgbColor rgb="0033CCCC"/>
      <rgbColor rgb="0099CC00"/>
      <rgbColor rgb="00FFCC00"/>
      <rgbColor rgb="00FAB882"/>
      <rgbColor rgb="00FF6600"/>
      <rgbColor rgb="00666699"/>
      <rgbColor rgb="00E0E0E0"/>
      <rgbColor rgb="00003366"/>
      <rgbColor rgb="00649955"/>
      <rgbColor rgb="00003300"/>
      <rgbColor rgb="00333300"/>
      <rgbColor rgb="00993300"/>
      <rgbColor rgb="00E34234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5.7093999999999996</v>
        <stp/>
        <stp>##V3_BDPV12</stp>
        <stp>USD/DKK @063013 CURNCY</stp>
        <stp>PX_BID</stp>
        <stp>[7-25-XFRC_FXTK.xlsm]FXTK-Swaps!R26C15</stp>
        <tr r="O26" s="30"/>
      </tp>
      <tp>
        <v>5.7099000000000002</v>
        <stp/>
        <stp>##V3_BDPV12</stp>
        <stp>USD/DKK @063013 CURNCY</stp>
        <stp>PX_ASK</stp>
        <stp>[7-25-XFRC_FXTK.xlsm]FXTK-Swaps!R26C16</stp>
        <tr r="P26" s="30"/>
      </tp>
      <tp>
        <v>1025.23</v>
        <stp/>
        <stp>##V3_BFXFORWARDV12</stp>
        <stp>[7-25-XFRC_FXTK.xlsm]FXTK-Forwards (2)!R16C18</stp>
        <stp>BFXFORWARD</stp>
        <stp>USDKRW</stp>
        <stp>SETTLEMENTDATE</stp>
        <stp>42370</stp>
        <stp>OUTPUT</stp>
        <stp>bidoutright</stp>
        <stp>pricingdate</stp>
        <stp>41883</stp>
        <stp>markettype</stp>
        <stp>NDF</stp>
        <stp>source</stp>
        <stp>BGN</stp>
        <stp>holidayvalues=true</stp>
        <stp>truedecimal=yes</stp>
        <tr r="R16" s="28"/>
      </tp>
      <tp>
        <v>1028.3800000000001</v>
        <stp/>
        <stp>##V3_BFXFORWARDV12</stp>
        <stp>[7-25-XFRC_FXTK.xlsm]FXTK-Forwards (2)!R16C19</stp>
        <stp>BFXFORWARD</stp>
        <stp>USDKRW</stp>
        <stp>SETTLEMENTDATE</stp>
        <stp>42370</stp>
        <stp>OUTPUT</stp>
        <stp>askoutright</stp>
        <stp>pricingdate</stp>
        <stp>41883</stp>
        <stp>markettype</stp>
        <stp>NDF</stp>
        <stp>source</stp>
        <stp>BGN</stp>
        <stp>holidayvalues=true</stp>
        <stp>truedecimal=yes</stp>
        <tr r="S16" s="28"/>
      </tp>
      <tp>
        <v>9.61</v>
        <stp/>
        <stp>##V3_BFXFORWARDV12</stp>
        <stp>[7-25-XFRC_FXTK.xlsm]FXTK-Forwards (1)!R27C17</stp>
        <stp>BFXFORWARD</stp>
        <stp>EURUSD</stp>
        <stp>SETTLEMENTDATE</stp>
        <stp>42104</stp>
        <stp>OUTPUT</stp>
        <stp>ASKPoints</stp>
        <stp>markettype</stp>
        <stp/>
        <stp>source</stp>
        <stp>BGN</stp>
        <stp>pricingdate</stp>
        <stp>42019</stp>
        <stp>holidayvalues=true</stp>
        <tr r="Q27" s="26"/>
      </tp>
      <tp>
        <v>9.2200000000000006</v>
        <stp/>
        <stp>##V3_BFXFORWARDV12</stp>
        <stp>[7-25-XFRC_FXTK.xlsm]FXTK-Forwards (1)!R27C16</stp>
        <stp>BFXFORWARD</stp>
        <stp>EURUSD</stp>
        <stp>SETTLEMENTDATE</stp>
        <stp>42101</stp>
        <stp>OUTPUT</stp>
        <stp>ASKPoints</stp>
        <stp>markettype</stp>
        <stp/>
        <stp>source</stp>
        <stp>BGN</stp>
        <stp>pricingdate</stp>
        <stp>42019</stp>
        <stp>holidayvalues=true</stp>
        <tr r="P27" s="26"/>
      </tp>
      <tp>
        <v>9.2200000000000006</v>
        <stp/>
        <stp>##V3_BFXFORWARDV12</stp>
        <stp>[7-25-XFRC_FXTK.xlsm]FXTK-Forwards (1)!R27C12</stp>
        <stp>BFXFORWARD</stp>
        <stp>EURUSD</stp>
        <stp>SETTLEMENTDATE</stp>
        <stp>42101</stp>
        <stp>OUTPUT</stp>
        <stp>ASKPoints</stp>
        <stp>markettype</stp>
        <stp/>
        <stp>source</stp>
        <stp>BGN</stp>
        <stp>pricingdate</stp>
        <stp>42019</stp>
        <stp>holidayvalues=true</stp>
        <tr r="L27" s="26"/>
      </tp>
      <tp>
        <v>-2024.95</v>
        <stp/>
        <stp>##V3_BFXFORWARDV12</stp>
        <stp>[7-25-XFRC_FXTK.xlsm]FXTK-Swaps!R36C9</stp>
        <stp>BFXFORWARD</stp>
        <stp>EURJPY</stp>
        <stp>SETTLEMENTDATE</stp>
        <stp>41330</stp>
        <stp>OUTPUT</stp>
        <stp>ASKPOINTS</stp>
        <stp>PRICINGDATE</stp>
        <stp>39482</stp>
        <stp>HOLIDAYVALUES=TRUE</stp>
        <stp>MARKETTYPE</stp>
        <stp/>
        <tr r="I36" s="30"/>
      </tp>
      <tp>
        <v>-2120.11</v>
        <stp/>
        <stp>##V3_BFXFORWARDV12</stp>
        <stp>[7-25-XFRC_FXTK.xlsm]FXTK-Swaps!R36C8</stp>
        <stp>BFXFORWARD</stp>
        <stp>EURJPY</stp>
        <stp>SETTLEMENTDATE</stp>
        <stp>41330</stp>
        <stp>OUTPUT</stp>
        <stp>BIDPOINTS</stp>
        <stp>PRICINGDATE</stp>
        <stp>39482</stp>
        <stp>HOLIDAYVALUES=TRUE</stp>
        <stp>MARKETTYPE</stp>
        <stp/>
        <tr r="H36" s="30"/>
      </tp>
      <tp>
        <v>-153.23439999999999</v>
        <stp/>
        <stp>##V3_BFXFORWARDV12</stp>
        <stp>[7-25-XFRC_FXTK.xlsm]FXTK-Forwards (1)!R21C14</stp>
        <stp>BFXFORWARD</stp>
        <stp>AUDTHB</stp>
        <stp>SETTLEMENTDATE</stp>
        <stp>42081</stp>
        <stp>OUTPUT</stp>
        <stp>BIDPoints</stp>
        <stp>markettype</stp>
        <stp/>
        <stp>source</stp>
        <stp>BGN</stp>
        <stp>pricingdate</stp>
        <stp>42019</stp>
        <stp>holidayvalues=true</stp>
        <tr r="N21" s="26"/>
      </tp>
      <tp>
        <v>77.67</v>
        <stp/>
        <stp>##V3_BFXFORWARDV12</stp>
        <stp>[7-25-XFRC_FXTK.xlsm]FXTK-Forwards (1)!R22C13</stp>
        <stp>BFXFORWARD</stp>
        <stp>USDTHB</stp>
        <stp>SETTLEMENTDATE</stp>
        <stp>42376</stp>
        <stp>OUTPUT</stp>
        <stp>BIDPoints</stp>
        <stp>markettype</stp>
        <stp>offshore</stp>
        <stp>source</stp>
        <stp>BGN</stp>
        <stp>pricingdate</stp>
        <stp>42019</stp>
        <stp>holidayvalues=true</stp>
        <tr r="M22" s="26"/>
      </tp>
      <tp>
        <v>39.369999999999997</v>
        <stp/>
        <stp>##V3_BFXFORWARDV12</stp>
        <stp>[7-25-XFRC_FXTK.xlsm]FXTK-Forwards (1)!R22C15</stp>
        <stp>BFXFORWARD</stp>
        <stp>USDTHB</stp>
        <stp>SETTLEMENTDATE</stp>
        <stp>42172</stp>
        <stp>OUTPUT</stp>
        <stp>BIDPoints</stp>
        <stp>markettype</stp>
        <stp>offshore</stp>
        <stp>source</stp>
        <stp>BGN</stp>
        <stp>pricingdate</stp>
        <stp>42019</stp>
        <stp>holidayvalues=true</stp>
        <tr r="O22" s="26"/>
      </tp>
      <tp>
        <v>46.51</v>
        <stp/>
        <stp>##V3_BFXFORWARDV12</stp>
        <stp>[7-25-XFRC_FXTK.xlsm]FXTK-Forwards (1)!R27C10</stp>
        <stp>BFXFORWARD</stp>
        <stp>EURUSD</stp>
        <stp>SETTLEMENTDATE</stp>
        <stp>42310</stp>
        <stp>OUTPUT</stp>
        <stp>ASKPoints</stp>
        <stp>markettype</stp>
        <stp/>
        <stp>source</stp>
        <stp>BGN</stp>
        <stp>pricingdate</stp>
        <stp>42019</stp>
        <stp>holidayvalues=true</stp>
        <tr r="J27" s="26"/>
      </tp>
      <tp>
        <v>0.14000000000000001</v>
        <stp/>
        <stp>##V3_BFXFORWARDV12</stp>
        <stp>[7-25-XFRC_FXTK.xlsm]FXTK-Forwards (1)!R27C11</stp>
        <stp>BFXFORWARD</stp>
        <stp>EURUSD</stp>
        <stp>SETTLEMENTDATE</stp>
        <stp>42025</stp>
        <stp>OUTPUT</stp>
        <stp>ASKPoints</stp>
        <stp>markettype</stp>
        <stp/>
        <stp>source</stp>
        <stp>BGN</stp>
        <stp>pricingdate</stp>
        <stp>42019</stp>
        <stp>holidayvalues=true</stp>
        <tr r="K27" s="26"/>
      </tp>
      <tp>
        <v>42310</v>
        <stp/>
        <stp>##V3_BADDPERIODS</stp>
        <stp>10/31/2015</stp>
        <stp>[7-25-XFRC_FXTK.xlsm]FXTK-Forwards (2)!R13C7</stp>
        <stp>BUSDAYADJ=-1</stp>
        <tr r="G13" s="28"/>
      </tp>
      <tp>
        <v>0.84860000000000002</v>
        <stp/>
        <stp>##V3_BDPV12</stp>
        <stp>USD/CHF @070211 CURNCY</stp>
        <stp>PX_ASK</stp>
        <stp>[7-25-XFRC_FXTK.xlsm]FXTK-Swaps!R23C16</stp>
        <tr r="P23" s="30"/>
      </tp>
      <tp>
        <v>-1625.41</v>
        <stp/>
        <stp>##V3_BFXFORWARDV12</stp>
        <stp>[7-25-XFRC_FXTK.xlsm]FXTK-Swaps!R35C9</stp>
        <stp>BFXFORWARD</stp>
        <stp>EURJPY</stp>
        <stp>SETTLEMENTDATE</stp>
        <stp>40932</stp>
        <stp>OUTPUT</stp>
        <stp>ASKPOINTS</stp>
        <stp>PRICINGDATE</stp>
        <stp>39482</stp>
        <stp>HOLIDAYVALUES=TRUE</stp>
        <stp>MARKETTYPE</stp>
        <stp/>
        <tr r="I35" s="30"/>
      </tp>
      <tp>
        <v>0.84750000000000003</v>
        <stp/>
        <stp>##V3_BDPV12</stp>
        <stp>USD/CHF @070211 CURNCY</stp>
        <stp>PX_BID</stp>
        <stp>[7-25-XFRC_FXTK.xlsm]FXTK-Swaps!R23C15</stp>
        <tr r="O23" s="30"/>
      </tp>
      <tp>
        <v>-1734.99</v>
        <stp/>
        <stp>##V3_BFXFORWARDV12</stp>
        <stp>[7-25-XFRC_FXTK.xlsm]FXTK-Swaps!R35C8</stp>
        <stp>BFXFORWARD</stp>
        <stp>EURJPY</stp>
        <stp>SETTLEMENTDATE</stp>
        <stp>40932</stp>
        <stp>OUTPUT</stp>
        <stp>BIDPOINTS</stp>
        <stp>PRICINGDATE</stp>
        <stp>39482</stp>
        <stp>HOLIDAYVALUES=TRUE</stp>
        <stp>MARKETTYPE</stp>
        <stp/>
        <tr r="H35" s="30"/>
      </tp>
      <tp>
        <v>1026.8050000000001</v>
        <stp/>
        <stp>##V3_BFXFORWARDV12</stp>
        <stp>[7-25-XFRC_FXTK.xlsm]FXTK-Forwards (2)!R16C20</stp>
        <stp>BFXFORWARD</stp>
        <stp>USDKRW</stp>
        <stp>SETTLEMENTDATE</stp>
        <stp>42370</stp>
        <stp>OUTPUT</stp>
        <stp>midoutright</stp>
        <stp>pricingdate</stp>
        <stp>41883</stp>
        <stp>markettype</stp>
        <stp>NDF</stp>
        <stp>source</stp>
        <stp>BGN</stp>
        <stp>holidayvalues=true</stp>
        <stp>truedecimal=yes</stp>
        <tr r="T16" s="28"/>
      </tp>
      <tp>
        <v>1013.3</v>
        <stp/>
        <stp>##V3_BDHV12</stp>
        <stp>USDKRW BGN Curncy</stp>
        <stp>PX_ASK</stp>
        <stp>9/1/2014</stp>
        <stp>9/1/2014</stp>
        <stp>[7-25-XFRC_FXTK.xlsm]FXTK-Forwards (2)!R16C13</stp>
        <stp>Days=A</stp>
        <stp>Fill=P</stp>
        <tr r="M16" s="28"/>
      </tp>
      <tp>
        <v>41943</v>
        <stp/>
        <stp>##V3_BADDPERIODS</stp>
        <stp>10/31/2014</stp>
        <stp>[7-25-XFRC_FXTK.xlsm]FXTK-Forwards (2)!R17C7</stp>
        <stp>BUSDAYADJ=-1</stp>
        <tr r="G17" s="28"/>
      </tp>
      <tp>
        <v>5.2469999999999999</v>
        <stp/>
        <stp>##V3_BDPV12</stp>
        <stp>USD/NOK @050211 CURNCY</stp>
        <stp>PX_BID</stp>
        <stp>[7-25-XFRC_FXTK.xlsm]FXTK-Swaps!R29C15</stp>
        <tr r="O29" s="30"/>
      </tp>
      <tp>
        <v>5.2519999999999998</v>
        <stp/>
        <stp>##V3_BDPV12</stp>
        <stp>USD/NOK @050211 CURNCY</stp>
        <stp>PX_ASK</stp>
        <stp>[7-25-XFRC_FXTK.xlsm]FXTK-Swaps!R29C16</stp>
        <tr r="P29" s="30"/>
      </tp>
      <tp>
        <v>42101</v>
        <stp/>
        <stp>##V3_BFXFORWARDV12</stp>
        <stp>[7-25-XFRC_FXTK.xlsm]FXTK-Forwards (1)!R12C12</stp>
        <stp>BFXFORWARD</stp>
        <stp>USDJPY</stp>
        <stp>TENOR</stp>
        <stp>3M</stp>
        <stp>OUTPUT</stp>
        <stp>SETTLEMENTDATE</stp>
        <stp>PRICINGDATE</stp>
        <stp>42009</stp>
        <tr r="L12" s="26"/>
      </tp>
      <tp>
        <v>42025</v>
        <stp/>
        <stp>##V3_BFXFORWARDV12</stp>
        <stp>[7-25-XFRC_FXTK.xlsm]FXTK-Forwards (1)!R12C11</stp>
        <stp>BFXFORWARD</stp>
        <stp>USDJPY</stp>
        <stp>TENOR</stp>
        <stp>2W</stp>
        <stp>OUTPUT</stp>
        <stp>SETTLEMENTDATE</stp>
        <stp>PRICINGDATE</stp>
        <stp>42009</stp>
        <tr r="K12" s="26"/>
      </tp>
      <tp>
        <v>42376</v>
        <stp/>
        <stp>##V3_BFXFORWARDV12</stp>
        <stp>[7-25-XFRC_FXTK.xlsm]FXTK-Forwards (1)!R12C13</stp>
        <stp>BFXFORWARD</stp>
        <stp>USDJPY</stp>
        <stp>TENOR</stp>
        <stp>1Y</stp>
        <stp>OUTPUT</stp>
        <stp>SETTLEMENTDATE</stp>
        <stp>PRICINGDATE</stp>
        <stp>42009</stp>
        <tr r="M12" s="26"/>
      </tp>
      <tp>
        <v>0.06</v>
        <stp/>
        <stp>##V3_BFXFORWARDV12</stp>
        <stp>[7-25-XFRC_FXTK.xlsm]FXTK-Forwards (1)!R22C11</stp>
        <stp>BFXFORWARD</stp>
        <stp>USDTHB</stp>
        <stp>SETTLEMENTDATE</stp>
        <stp>42025</stp>
        <stp>OUTPUT</stp>
        <stp>BIDPoints</stp>
        <stp>markettype</stp>
        <stp>offshore</stp>
        <stp>source</stp>
        <stp>BGN</stp>
        <stp>pricingdate</stp>
        <stp>42019</stp>
        <stp>holidayvalues=true</stp>
        <tr r="K22" s="26"/>
      </tp>
      <tp t="s">
        <v>JN</v>
        <stp/>
        <stp>##V3_BDPV12</stp>
        <stp>JPY curncy</stp>
        <stp>calendar code</stp>
        <stp>[7-25-XFRC_FXTK.xlsm]FXTK-Forward Dates!R7C16</stp>
        <tr r="P7" s="29"/>
      </tp>
      <tp t="s">
        <v>9/27/2011</v>
        <stp/>
        <stp>##V3_BDPV12</stp>
        <stp>EUR/USD R 3W@090111 Curncy</stp>
        <stp>SETTLE_DT</stp>
        <stp>[7-25-XFRC_FXTK.xlsm]FXTK-Forward Dates!R78C9</stp>
        <tr r="I78" s="29"/>
      </tp>
      <tp>
        <v>19.260000000000002</v>
        <stp/>
        <stp>##V3_BFXFORWARDV12</stp>
        <stp>[7-25-XFRC_FXTK.xlsm]FXTK-Forwards (1)!R22C17</stp>
        <stp>BFXFORWARD</stp>
        <stp>USDTHB</stp>
        <stp>SETTLEMENTDATE</stp>
        <stp>42104</stp>
        <stp>OUTPUT</stp>
        <stp>BIDPoints</stp>
        <stp>markettype</stp>
        <stp>offshore</stp>
        <stp>source</stp>
        <stp>BGN</stp>
        <stp>pricingdate</stp>
        <stp>42019</stp>
        <stp>holidayvalues=true</stp>
        <tr r="Q22" s="26"/>
      </tp>
      <tp>
        <v>18.62</v>
        <stp/>
        <stp>##V3_BFXFORWARDV12</stp>
        <stp>[7-25-XFRC_FXTK.xlsm]FXTK-Forwards (1)!R22C12</stp>
        <stp>BFXFORWARD</stp>
        <stp>USDTHB</stp>
        <stp>SETTLEMENTDATE</stp>
        <stp>42101</stp>
        <stp>OUTPUT</stp>
        <stp>BIDPoints</stp>
        <stp>markettype</stp>
        <stp>offshore</stp>
        <stp>source</stp>
        <stp>BGN</stp>
        <stp>pricingdate</stp>
        <stp>42019</stp>
        <stp>holidayvalues=true</stp>
        <tr r="L22" s="26"/>
      </tp>
      <tp>
        <v>18.62</v>
        <stp/>
        <stp>##V3_BFXFORWARDV12</stp>
        <stp>[7-25-XFRC_FXTK.xlsm]FXTK-Forwards (1)!R22C16</stp>
        <stp>BFXFORWARD</stp>
        <stp>USDTHB</stp>
        <stp>SETTLEMENTDATE</stp>
        <stp>42101</stp>
        <stp>OUTPUT</stp>
        <stp>BIDPoints</stp>
        <stp>markettype</stp>
        <stp>offshore</stp>
        <stp>source</stp>
        <stp>BGN</stp>
        <stp>pricingdate</stp>
        <stp>42019</stp>
        <stp>holidayvalues=true</stp>
        <tr r="P22" s="26"/>
      </tp>
      <tp>
        <v>13.01</v>
        <stp/>
        <stp>##V3_BFXFORWARDV12</stp>
        <stp>[7-25-XFRC_FXTK.xlsm]FXTK-Forwards (1)!R17C14</stp>
        <stp>BFXFORWARD</stp>
        <stp>AUDNZD</stp>
        <stp>SETTLEMENTDATE</stp>
        <stp>42081</stp>
        <stp>OUTPUT</stp>
        <stp>BIDPoints</stp>
        <stp>markettype</stp>
        <stp/>
        <stp>source</stp>
        <stp>BGN</stp>
        <stp>pricingdate</stp>
        <stp>42019</stp>
        <stp>holidayvalues=true</stp>
        <tr r="N17" s="26"/>
      </tp>
      <tp>
        <v>-28.44</v>
        <stp/>
        <stp>##V3_BFXFORWARDV12</stp>
        <stp>[7-25-XFRC_FXTK.xlsm]FXTK-Forwards (1)!R20C14</stp>
        <stp>BFXFORWARD</stp>
        <stp>AUDCAD</stp>
        <stp>SETTLEMENTDATE</stp>
        <stp>42081</stp>
        <stp>OUTPUT</stp>
        <stp>BIDPoints</stp>
        <stp>markettype</stp>
        <stp/>
        <stp>source</stp>
        <stp>BGN</stp>
        <stp>pricingdate</stp>
        <stp>42019</stp>
        <stp>holidayvalues=true</stp>
        <tr r="N20" s="26"/>
      </tp>
      <tp>
        <v>-34.71</v>
        <stp/>
        <stp>##V3_BFXFORWARDV12</stp>
        <stp>[7-25-XFRC_FXTK.xlsm]FXTK-Forwards (1)!R19C14</stp>
        <stp>BFXFORWARD</stp>
        <stp>AUDUSD</stp>
        <stp>SETTLEMENTDATE</stp>
        <stp>42081</stp>
        <stp>OUTPUT</stp>
        <stp>BIDPoints</stp>
        <stp>markettype</stp>
        <stp/>
        <stp>source</stp>
        <stp>BGN</stp>
        <stp>pricingdate</stp>
        <stp>42019</stp>
        <stp>holidayvalues=true</stp>
        <tr r="N19" s="26"/>
      </tp>
      <tp>
        <v>63.5</v>
        <stp/>
        <stp>##V3_BFXFORWARDV12</stp>
        <stp>[7-25-XFRC_FXTK.xlsm]FXTK-Forwards (1)!R27C13</stp>
        <stp>BFXFORWARD</stp>
        <stp>EURUSD</stp>
        <stp>SETTLEMENTDATE</stp>
        <stp>42376</stp>
        <stp>OUTPUT</stp>
        <stp>ASKPoints</stp>
        <stp>markettype</stp>
        <stp/>
        <stp>source</stp>
        <stp>BGN</stp>
        <stp>pricingdate</stp>
        <stp>42019</stp>
        <stp>holidayvalues=true</stp>
        <tr r="M27" s="26"/>
      </tp>
      <tp>
        <v>67.540000000000006</v>
        <stp/>
        <stp>##V3_BFXFORWARDV12</stp>
        <stp>[7-25-XFRC_FXTK.xlsm]FXTK-Forwards (1)!R22C10</stp>
        <stp>BFXFORWARD</stp>
        <stp>USDTHB</stp>
        <stp>SETTLEMENTDATE</stp>
        <stp>42310</stp>
        <stp>OUTPUT</stp>
        <stp>BIDPoints</stp>
        <stp>markettype</stp>
        <stp>offshore</stp>
        <stp>source</stp>
        <stp>BGN</stp>
        <stp>pricingdate</stp>
        <stp>42019</stp>
        <stp>holidayvalues=true</stp>
        <tr r="J22" s="26"/>
      </tp>
      <tp>
        <v>19.05</v>
        <stp/>
        <stp>##V3_BFXFORWARDV12</stp>
        <stp>[7-25-XFRC_FXTK.xlsm]FXTK-Forwards (1)!R27C15</stp>
        <stp>BFXFORWARD</stp>
        <stp>EURUSD</stp>
        <stp>SETTLEMENTDATE</stp>
        <stp>42172</stp>
        <stp>OUTPUT</stp>
        <stp>ASKPoints</stp>
        <stp>markettype</stp>
        <stp/>
        <stp>source</stp>
        <stp>BGN</stp>
        <stp>pricingdate</stp>
        <stp>42019</stp>
        <stp>holidayvalues=true</stp>
        <tr r="O27" s="26"/>
      </tp>
      <tp>
        <v>-23.86</v>
        <stp/>
        <stp>##V3_BFXFORWARDV12</stp>
        <stp>[7-25-XFRC_FXTK.xlsm]FXTK-Swaps!R18C9</stp>
        <stp>BFXFORWARD</stp>
        <stp>GBPUSD</stp>
        <stp>SETTLEMENTDATE</stp>
        <stp>42430</stp>
        <stp>OUTPUT</stp>
        <stp>ASKPOINTS</stp>
        <stp>PRICINGDATE</stp>
        <stp>42003</stp>
        <stp>HOLIDAYVALUES=TRUE</stp>
        <stp>MARKETTYPE</stp>
        <stp/>
        <tr r="I18" s="30"/>
      </tp>
      <tp>
        <v>-31.06</v>
        <stp/>
        <stp>##V3_BFXFORWARDV12</stp>
        <stp>[7-25-XFRC_FXTK.xlsm]FXTK-Swaps!R18C8</stp>
        <stp>BFXFORWARD</stp>
        <stp>GBPUSD</stp>
        <stp>SETTLEMENTDATE</stp>
        <stp>42430</stp>
        <stp>OUTPUT</stp>
        <stp>BIDPOINTS</stp>
        <stp>PRICINGDATE</stp>
        <stp>42003</stp>
        <stp>HOLIDAYVALUES=TRUE</stp>
        <stp>MARKETTYPE</stp>
        <stp/>
        <tr r="H18" s="30"/>
      </tp>
      <tp>
        <v>41990</v>
        <stp/>
        <stp>##V3_BFXFORWARDV12</stp>
        <stp>[7-25-XFRC_FXTK.xlsm]FXTK-Forwards (2)!R20C8</stp>
        <stp>BFXFORWARD</stp>
        <stp>EURUSD</stp>
        <stp>TENOR</stp>
        <stp>IM2</stp>
        <stp>OUTPUT</stp>
        <stp>SETTLEMENTDATE</stp>
        <stp>PRICINGDATE</stp>
        <stp>41851</stp>
        <tr r="H20" s="28"/>
      </tp>
      <tp>
        <v>1.5562</v>
        <stp/>
        <stp>##V3_BDPV12</stp>
        <stp>GBP/USD @123014 CURNCY</stp>
        <stp>PX_BID</stp>
        <stp>[7-25-XFRC_FXTK.xlsm]FXTK-Swaps!R17C15</stp>
        <tr r="O17" s="30"/>
      </tp>
      <tp>
        <v>1.5563</v>
        <stp/>
        <stp>##V3_BDPV12</stp>
        <stp>GBP/USD @123014 CURNCY</stp>
        <stp>PX_ASK</stp>
        <stp>[7-25-XFRC_FXTK.xlsm]FXTK-Swaps!R17C16</stp>
        <tr r="P17" s="30"/>
      </tp>
      <tp>
        <v>95</v>
        <stp/>
        <stp>##V3_BFXFORWARDV12</stp>
        <stp>[7-25-XFRC_FXTK.xlsm]FXTK-Swaps!R39C8</stp>
        <stp>BFXFORWARD</stp>
        <stp>EURGBP</stp>
        <stp>SETTLEMENTDATE</stp>
        <stp>41330</stp>
        <stp>OUTPUT</stp>
        <stp>BIDPOINTS</stp>
        <stp>PRICINGDATE</stp>
        <stp>40269</stp>
        <stp>HOLIDAYVALUES=TRUE</stp>
        <stp>MARKETTYPE</stp>
        <stp/>
        <tr r="H39" s="30"/>
      </tp>
      <tp>
        <v>115.45</v>
        <stp/>
        <stp>##V3_BFXFORWARDV12</stp>
        <stp>[7-25-XFRC_FXTK.xlsm]FXTK-Swaps!R39C9</stp>
        <stp>BFXFORWARD</stp>
        <stp>EURGBP</stp>
        <stp>SETTLEMENTDATE</stp>
        <stp>41330</stp>
        <stp>OUTPUT</stp>
        <stp>ASKPOINTS</stp>
        <stp>PRICINGDATE</stp>
        <stp>40269</stp>
        <stp>HOLIDAYVALUES=TRUE</stp>
        <stp>MARKETTYPE</stp>
        <stp/>
        <tr r="I39" s="30"/>
      </tp>
      <tp>
        <v>39.72</v>
        <stp/>
        <stp>##V3_BFXFORWARDV12</stp>
        <stp>[7-25-XFRC_FXTK.xlsm]FXTK-Forwards (1)!R17C15</stp>
        <stp>BFXFORWARD</stp>
        <stp>AUDNZD</stp>
        <stp>SETTLEMENTDATE</stp>
        <stp>42172</stp>
        <stp>OUTPUT</stp>
        <stp>BIDPoints</stp>
        <stp>markettype</stp>
        <stp/>
        <stp>source</stp>
        <stp>BGN</stp>
        <stp>pricingdate</stp>
        <stp>42019</stp>
        <stp>holidayvalues=true</stp>
        <tr r="O17" s="26"/>
      </tp>
      <tp>
        <v>-71.7</v>
        <stp/>
        <stp>##V3_BFXFORWARDV12</stp>
        <stp>[7-25-XFRC_FXTK.xlsm]FXTK-Forwards (1)!R20C15</stp>
        <stp>BFXFORWARD</stp>
        <stp>AUDCAD</stp>
        <stp>SETTLEMENTDATE</stp>
        <stp>42172</stp>
        <stp>OUTPUT</stp>
        <stp>BIDPoints</stp>
        <stp>markettype</stp>
        <stp/>
        <stp>source</stp>
        <stp>BGN</stp>
        <stp>pricingdate</stp>
        <stp>42019</stp>
        <stp>holidayvalues=true</stp>
        <tr r="O20" s="26"/>
      </tp>
      <tp>
        <v>-86.54</v>
        <stp/>
        <stp>##V3_BFXFORWARDV12</stp>
        <stp>[7-25-XFRC_FXTK.xlsm]FXTK-Forwards (1)!R19C15</stp>
        <stp>BFXFORWARD</stp>
        <stp>AUDUSD</stp>
        <stp>SETTLEMENTDATE</stp>
        <stp>42172</stp>
        <stp>OUTPUT</stp>
        <stp>BIDPoints</stp>
        <stp>markettype</stp>
        <stp/>
        <stp>source</stp>
        <stp>BGN</stp>
        <stp>pricingdate</stp>
        <stp>42019</stp>
        <stp>holidayvalues=true</stp>
        <tr r="O19" s="26"/>
      </tp>
      <tp>
        <v>354.91050000000001</v>
        <stp/>
        <stp>##V3_BFXFORWARDV12</stp>
        <stp>[7-25-XFRC_FXTK.xlsm]FXTK-Forwards (1)!R21C10</stp>
        <stp>BFXFORWARD</stp>
        <stp>AUDTHB</stp>
        <stp>SETTLEMENTDATE</stp>
        <stp>42310</stp>
        <stp>OUTPUT</stp>
        <stp>BIDPoints</stp>
        <stp>markettype</stp>
        <stp/>
        <stp>source</stp>
        <stp>BGN</stp>
        <stp>pricingdate</stp>
        <stp>42019</stp>
        <stp>holidayvalues=true</stp>
        <tr r="J21" s="26"/>
      </tp>
      <tp>
        <v>110.01</v>
        <stp/>
        <stp>##V3_BFXFORWARDV12</stp>
        <stp>[7-25-XFRC_FXTK.xlsm]FXTK-Forwards (1)!R17C13</stp>
        <stp>BFXFORWARD</stp>
        <stp>AUDNZD</stp>
        <stp>SETTLEMENTDATE</stp>
        <stp>42376</stp>
        <stp>OUTPUT</stp>
        <stp>BIDPoints</stp>
        <stp>markettype</stp>
        <stp/>
        <stp>source</stp>
        <stp>BGN</stp>
        <stp>pricingdate</stp>
        <stp>42019</stp>
        <stp>holidayvalues=true</stp>
        <tr r="M17" s="26"/>
      </tp>
      <tp>
        <v>-157.65</v>
        <stp/>
        <stp>##V3_BFXFORWARDV12</stp>
        <stp>[7-25-XFRC_FXTK.xlsm]FXTK-Forwards (1)!R20C13</stp>
        <stp>BFXFORWARD</stp>
        <stp>AUDCAD</stp>
        <stp>SETTLEMENTDATE</stp>
        <stp>42376</stp>
        <stp>OUTPUT</stp>
        <stp>BIDPoints</stp>
        <stp>markettype</stp>
        <stp/>
        <stp>source</stp>
        <stp>BGN</stp>
        <stp>pricingdate</stp>
        <stp>42019</stp>
        <stp>holidayvalues=true</stp>
        <tr r="M20" s="26"/>
      </tp>
      <tp>
        <v>-187.19</v>
        <stp/>
        <stp>##V3_BFXFORWARDV12</stp>
        <stp>[7-25-XFRC_FXTK.xlsm]FXTK-Forwards (1)!R19C13</stp>
        <stp>BFXFORWARD</stp>
        <stp>AUDUSD</stp>
        <stp>SETTLEMENTDATE</stp>
        <stp>42376</stp>
        <stp>OUTPUT</stp>
        <stp>BIDPoints</stp>
        <stp>markettype</stp>
        <stp/>
        <stp>source</stp>
        <stp>BGN</stp>
        <stp>pricingdate</stp>
        <stp>42019</stp>
        <stp>holidayvalues=true</stp>
        <tr r="M19" s="26"/>
      </tp>
      <tp>
        <v>6.7</v>
        <stp/>
        <stp>##V3_BFXFORWARDV12</stp>
        <stp>[7-25-XFRC_FXTK.xlsm]FXTK-Forwards (1)!R27C14</stp>
        <stp>BFXFORWARD</stp>
        <stp>EURUSD</stp>
        <stp>SETTLEMENTDATE</stp>
        <stp>42081</stp>
        <stp>OUTPUT</stp>
        <stp>ASKPoints</stp>
        <stp>markettype</stp>
        <stp/>
        <stp>source</stp>
        <stp>BGN</stp>
        <stp>pricingdate</stp>
        <stp>42019</stp>
        <stp>holidayvalues=true</stp>
        <tr r="N27" s="26"/>
      </tp>
      <tp>
        <v>-25.665199999999999</v>
        <stp/>
        <stp>##V3_BFXFORWARDV12</stp>
        <stp>[7-25-XFRC_FXTK.xlsm]FXTK-Forwards (1)!R21C16</stp>
        <stp>BFXFORWARD</stp>
        <stp>AUDTHB</stp>
        <stp>SETTLEMENTDATE</stp>
        <stp>42101</stp>
        <stp>OUTPUT</stp>
        <stp>BIDPoints</stp>
        <stp>markettype</stp>
        <stp/>
        <stp>source</stp>
        <stp>BGN</stp>
        <stp>pricingdate</stp>
        <stp>42019</stp>
        <stp>holidayvalues=true</stp>
        <tr r="P21" s="26"/>
      </tp>
      <tp>
        <v>-25.665199999999999</v>
        <stp/>
        <stp>##V3_BFXFORWARDV12</stp>
        <stp>[7-25-XFRC_FXTK.xlsm]FXTK-Forwards (1)!R21C12</stp>
        <stp>BFXFORWARD</stp>
        <stp>AUDTHB</stp>
        <stp>SETTLEMENTDATE</stp>
        <stp>42101</stp>
        <stp>OUTPUT</stp>
        <stp>BIDPoints</stp>
        <stp>markettype</stp>
        <stp/>
        <stp>source</stp>
        <stp>BGN</stp>
        <stp>pricingdate</stp>
        <stp>42019</stp>
        <stp>holidayvalues=true</stp>
        <tr r="L21" s="26"/>
      </tp>
      <tp>
        <v>-3.7976999999999999</v>
        <stp/>
        <stp>##V3_BFXFORWARDV12</stp>
        <stp>[7-25-XFRC_FXTK.xlsm]FXTK-Forwards (1)!R21C17</stp>
        <stp>BFXFORWARD</stp>
        <stp>AUDTHB</stp>
        <stp>SETTLEMENTDATE</stp>
        <stp>42104</stp>
        <stp>OUTPUT</stp>
        <stp>BIDPoints</stp>
        <stp>markettype</stp>
        <stp/>
        <stp>source</stp>
        <stp>BGN</stp>
        <stp>pricingdate</stp>
        <stp>42019</stp>
        <stp>holidayvalues=true</stp>
        <tr r="Q21" s="26"/>
      </tp>
      <tp>
        <v>71.63</v>
        <stp/>
        <stp>##V3_BFXFORWARDV12</stp>
        <stp>[7-25-XFRC_FXTK.xlsm]FXTK-Swaps!R11C9</stp>
        <stp>BFXFORWARD</stp>
        <stp>EURUSD</stp>
        <stp>SETTLEMENTDATE</stp>
        <stp>42380</stp>
        <stp>OUTPUT</stp>
        <stp>ASKPOINTS</stp>
        <stp>PRICINGDATE</stp>
        <stp>42009</stp>
        <stp>HOLIDAYVALUES=TRUE</stp>
        <stp>MARKETTYPE</stp>
        <stp/>
        <tr r="I11" s="30"/>
      </tp>
      <tp>
        <v>69.81</v>
        <stp/>
        <stp>##V3_BFXFORWARDV12</stp>
        <stp>[7-25-XFRC_FXTK.xlsm]FXTK-Swaps!R11C8</stp>
        <stp>BFXFORWARD</stp>
        <stp>EURUSD</stp>
        <stp>SETTLEMENTDATE</stp>
        <stp>42380</stp>
        <stp>OUTPUT</stp>
        <stp>BIDPOINTS</stp>
        <stp>PRICINGDATE</stp>
        <stp>42009</stp>
        <stp>HOLIDAYVALUES=TRUE</stp>
        <stp>MARKETTYPE</stp>
        <stp/>
        <tr r="H11" s="30"/>
      </tp>
      <tp>
        <v>37.81</v>
        <stp/>
        <stp>##V3_BFXFORWARDV12</stp>
        <stp>[7-25-XFRC_FXTK.xlsm]FXTK-Swaps!R38C8</stp>
        <stp>BFXFORWARD</stp>
        <stp>EURGBP</stp>
        <stp>SETTLEMENTDATE</stp>
        <stp>40952</stp>
        <stp>OUTPUT</stp>
        <stp>BIDPOINTS</stp>
        <stp>PRICINGDATE</stp>
        <stp>40269</stp>
        <stp>HOLIDAYVALUES=TRUE</stp>
        <stp>MARKETTYPE</stp>
        <stp/>
        <tr r="H38" s="30"/>
      </tp>
      <tp>
        <v>47.98</v>
        <stp/>
        <stp>##V3_BFXFORWARDV12</stp>
        <stp>[7-25-XFRC_FXTK.xlsm]FXTK-Swaps!R38C9</stp>
        <stp>BFXFORWARD</stp>
        <stp>EURGBP</stp>
        <stp>SETTLEMENTDATE</stp>
        <stp>40952</stp>
        <stp>OUTPUT</stp>
        <stp>ASKPOINTS</stp>
        <stp>PRICINGDATE</stp>
        <stp>40269</stp>
        <stp>HOLIDAYVALUES=TRUE</stp>
        <stp>MARKETTYPE</stp>
        <stp/>
        <tr r="I38" s="30"/>
      </tp>
      <tp>
        <v>1</v>
        <stp/>
        <stp>##V3_BDPV12</stp>
        <stp>USD/JPY R 020212@011515 Curncy</stp>
        <stp>PX_ASK</stp>
        <stp>[7-25-XFRC_FXTK.xlsm]FXTK-Forward Dates!R91C24</stp>
        <tr r="X91" s="29"/>
      </tp>
      <tp>
        <v>1</v>
        <stp/>
        <stp>##V3_BDPV12</stp>
        <stp>USD/JPY R 020212@011515 Curncy</stp>
        <stp>PX_BID</stp>
        <stp>[7-25-XFRC_FXTK.xlsm]FXTK-Forward Dates!R91C23</stp>
        <tr r="W91" s="29"/>
      </tp>
      <tp t="s">
        <v>9/20/2011</v>
        <stp/>
        <stp>##V3_BDPV12</stp>
        <stp>EUR/USD R 2W@090111 Curncy</stp>
        <stp>SETTLE_DT</stp>
        <stp>[7-25-XFRC_FXTK.xlsm]FXTK-Forward Dates!R77C9</stp>
        <tr r="I77" s="29"/>
      </tp>
      <tp t="s">
        <v>9/13/2011</v>
        <stp/>
        <stp>##V3_BDPV12</stp>
        <stp>EUR/USD R 1W@090111 Curncy</stp>
        <stp>SETTLE_DT</stp>
        <stp>[7-25-XFRC_FXTK.xlsm]FXTK-Forward Dates!R76C9</stp>
        <tr r="I76" s="29"/>
      </tp>
      <tp>
        <v>-19.732600000000001</v>
        <stp/>
        <stp>##V3_BFXFORWARDV12</stp>
        <stp>[7-25-XFRC_FXTK.xlsm]FXTK-Forwards (1)!R21C11</stp>
        <stp>BFXFORWARD</stp>
        <stp>AUDTHB</stp>
        <stp>SETTLEMENTDATE</stp>
        <stp>42025</stp>
        <stp>OUTPUT</stp>
        <stp>BIDPoints</stp>
        <stp>markettype</stp>
        <stp/>
        <stp>source</stp>
        <stp>BGN</stp>
        <stp>pricingdate</stp>
        <stp>42019</stp>
        <stp>holidayvalues=true</stp>
        <tr r="K21" s="26"/>
      </tp>
      <tp>
        <v>1013.15</v>
        <stp/>
        <stp>##V3_BDHV12</stp>
        <stp>USDKRW BGN Curncy</stp>
        <stp>PX_MID</stp>
        <stp>9/1/2014</stp>
        <stp>9/1/2014</stp>
        <stp>[7-25-XFRC_FXTK.xlsm]FXTK-Forwards (2)!R16C14</stp>
        <stp>Days=A</stp>
        <stp>Fill=P</stp>
        <tr r="N16" s="28"/>
      </tp>
      <tp>
        <v>-27.15</v>
        <stp/>
        <stp>##V3_BFXFORWARDV12</stp>
        <stp>[7-25-XFRC_FXTK.xlsm]FXTK-Swaps!R17C9</stp>
        <stp>BFXFORWARD</stp>
        <stp>GBPUSD</stp>
        <stp>SETTLEMENTDATE</stp>
        <stp>42394</stp>
        <stp>OUTPUT</stp>
        <stp>ASKPOINTS</stp>
        <stp>PRICINGDATE</stp>
        <stp>42003</stp>
        <stp>HOLIDAYVALUES=TRUE</stp>
        <stp>MARKETTYPE</stp>
        <stp/>
        <tr r="I17" s="30"/>
      </tp>
      <tp>
        <v>-31.93</v>
        <stp/>
        <stp>##V3_BFXFORWARDV12</stp>
        <stp>[7-25-XFRC_FXTK.xlsm]FXTK-Swaps!R17C8</stp>
        <stp>BFXFORWARD</stp>
        <stp>GBPUSD</stp>
        <stp>SETTLEMENTDATE</stp>
        <stp>42394</stp>
        <stp>OUTPUT</stp>
        <stp>BIDPOINTS</stp>
        <stp>PRICINGDATE</stp>
        <stp>42003</stp>
        <stp>HOLIDAYVALUES=TRUE</stp>
        <stp>MARKETTYPE</stp>
        <stp/>
        <tr r="H17" s="30"/>
      </tp>
      <tp>
        <v>42019</v>
        <stp/>
        <stp>##V3_BADDPERIODS</stp>
        <stp>1/15/2015</stp>
        <stp>[7-25-XFRC_FXTK.xlsm]FXTK-Forward Dates!R96C4</stp>
        <stp>busdayadj=-1</stp>
        <tr r="D96" s="29"/>
      </tp>
      <tp>
        <v>0.12</v>
        <stp/>
        <stp>##V3_BFXFORWARDV12</stp>
        <stp>[7-25-XFRC_FXTK.xlsm]FXTK-Forwards (1)!R17C11</stp>
        <stp>BFXFORWARD</stp>
        <stp>AUDNZD</stp>
        <stp>SETTLEMENTDATE</stp>
        <stp>42025</stp>
        <stp>OUTPUT</stp>
        <stp>BIDPoints</stp>
        <stp>markettype</stp>
        <stp/>
        <stp>source</stp>
        <stp>BGN</stp>
        <stp>pricingdate</stp>
        <stp>42019</stp>
        <stp>holidayvalues=true</stp>
        <tr r="K17" s="26"/>
      </tp>
      <tp>
        <v>-0.55000000000000004</v>
        <stp/>
        <stp>##V3_BFXFORWARDV12</stp>
        <stp>[7-25-XFRC_FXTK.xlsm]FXTK-Forwards (1)!R20C11</stp>
        <stp>BFXFORWARD</stp>
        <stp>AUDCAD</stp>
        <stp>SETTLEMENTDATE</stp>
        <stp>42025</stp>
        <stp>OUTPUT</stp>
        <stp>BIDPoints</stp>
        <stp>markettype</stp>
        <stp/>
        <stp>source</stp>
        <stp>BGN</stp>
        <stp>pricingdate</stp>
        <stp>42019</stp>
        <stp>holidayvalues=true</stp>
        <tr r="K20" s="26"/>
      </tp>
      <tp>
        <v>-0.66800000000000004</v>
        <stp/>
        <stp>##V3_BFXFORWARDV12</stp>
        <stp>[7-25-XFRC_FXTK.xlsm]FXTK-Forwards (1)!R19C11</stp>
        <stp>BFXFORWARD</stp>
        <stp>AUDUSD</stp>
        <stp>SETTLEMENTDATE</stp>
        <stp>42025</stp>
        <stp>OUTPUT</stp>
        <stp>BIDPoints</stp>
        <stp>markettype</stp>
        <stp/>
        <stp>source</stp>
        <stp>BGN</stp>
        <stp>pricingdate</stp>
        <stp>42019</stp>
        <stp>holidayvalues=true</stp>
        <tr r="K19" s="26"/>
      </tp>
      <tp>
        <v>1013</v>
        <stp/>
        <stp>##V3_BDHV12</stp>
        <stp>USDKRW BGN Curncy</stp>
        <stp>PX_BID</stp>
        <stp>9/1/2014</stp>
        <stp>9/1/2014</stp>
        <stp>[7-25-XFRC_FXTK.xlsm]FXTK-Forwards (2)!R16C12</stp>
        <stp>Days=A</stp>
        <stp>Fill=P</stp>
        <tr r="L16" s="28"/>
      </tp>
      <tp>
        <v>76.97</v>
        <stp/>
        <stp>##V3_BFXFORWARDV12</stp>
        <stp>[7-25-XFRC_FXTK.xlsm]FXTK-Swaps!R12C9</stp>
        <stp>BFXFORWARD</stp>
        <stp>EURUSD</stp>
        <stp>SETTLEMENTDATE</stp>
        <stp>42394</stp>
        <stp>OUTPUT</stp>
        <stp>ASKPOINTS</stp>
        <stp>PRICINGDATE</stp>
        <stp>42009</stp>
        <stp>HOLIDAYVALUES=TRUE</stp>
        <stp>MARKETTYPE</stp>
        <stp/>
        <tr r="I12" s="30"/>
      </tp>
      <tp>
        <v>74.959999999999994</v>
        <stp/>
        <stp>##V3_BFXFORWARDV12</stp>
        <stp>[7-25-XFRC_FXTK.xlsm]FXTK-Swaps!R12C8</stp>
        <stp>BFXFORWARD</stp>
        <stp>EURUSD</stp>
        <stp>SETTLEMENTDATE</stp>
        <stp>42394</stp>
        <stp>OUTPUT</stp>
        <stp>BIDPOINTS</stp>
        <stp>PRICINGDATE</stp>
        <stp>42009</stp>
        <stp>HOLIDAYVALUES=TRUE</stp>
        <stp>MARKETTYPE</stp>
        <stp/>
        <tr r="H12" s="30"/>
      </tp>
      <tp>
        <v>6.4779</v>
        <stp/>
        <stp>##V3_BDPV12</stp>
        <stp>USD/SEK @030114 CURNCY</stp>
        <stp>PX_ASK</stp>
        <stp>[7-25-XFRC_FXTK.xlsm]FXTK-Swaps!R32C16</stp>
        <tr r="P32" s="30"/>
      </tp>
      <tp>
        <v>6.4741999999999997</v>
        <stp/>
        <stp>##V3_BDPV12</stp>
        <stp>USD/SEK @030114 CURNCY</stp>
        <stp>PX_BID</stp>
        <stp>[7-25-XFRC_FXTK.xlsm]FXTK-Swaps!R32C15</stp>
        <tr r="O32" s="30"/>
      </tp>
      <tp>
        <v>761.90549999999996</v>
        <stp/>
        <stp>##V3_BFXFORWARDV12</stp>
        <stp>[7-25-XFRC_FXTK.xlsm]FXTK-Forwards (1)!R21C15</stp>
        <stp>BFXFORWARD</stp>
        <stp>AUDTHB</stp>
        <stp>SETTLEMENTDATE</stp>
        <stp>42172</stp>
        <stp>OUTPUT</stp>
        <stp>BIDPoints</stp>
        <stp>markettype</stp>
        <stp/>
        <stp>source</stp>
        <stp>BGN</stp>
        <stp>pricingdate</stp>
        <stp>42019</stp>
        <stp>holidayvalues=true</stp>
        <tr r="O21" s="26"/>
      </tp>
      <tp>
        <v>85.92</v>
        <stp/>
        <stp>##V3_BFXFORWARDV12</stp>
        <stp>[7-25-XFRC_FXTK.xlsm]FXTK-Forwards (1)!R17C10</stp>
        <stp>BFXFORWARD</stp>
        <stp>AUDNZD</stp>
        <stp>SETTLEMENTDATE</stp>
        <stp>42310</stp>
        <stp>OUTPUT</stp>
        <stp>BIDPoints</stp>
        <stp>markettype</stp>
        <stp/>
        <stp>source</stp>
        <stp>BGN</stp>
        <stp>pricingdate</stp>
        <stp>42019</stp>
        <stp>holidayvalues=true</stp>
        <tr r="J17" s="26"/>
      </tp>
      <tp>
        <v>-130.88</v>
        <stp/>
        <stp>##V3_BFXFORWARDV12</stp>
        <stp>[7-25-XFRC_FXTK.xlsm]FXTK-Forwards (1)!R20C10</stp>
        <stp>BFXFORWARD</stp>
        <stp>AUDCAD</stp>
        <stp>SETTLEMENTDATE</stp>
        <stp>42310</stp>
        <stp>OUTPUT</stp>
        <stp>BIDPoints</stp>
        <stp>markettype</stp>
        <stp/>
        <stp>source</stp>
        <stp>BGN</stp>
        <stp>pricingdate</stp>
        <stp>42019</stp>
        <stp>holidayvalues=true</stp>
        <tr r="J20" s="26"/>
      </tp>
      <tp>
        <v>-156.66</v>
        <stp/>
        <stp>##V3_BFXFORWARDV12</stp>
        <stp>[7-25-XFRC_FXTK.xlsm]FXTK-Forwards (1)!R19C10</stp>
        <stp>BFXFORWARD</stp>
        <stp>AUDUSD</stp>
        <stp>SETTLEMENTDATE</stp>
        <stp>42310</stp>
        <stp>OUTPUT</stp>
        <stp>BIDPoints</stp>
        <stp>markettype</stp>
        <stp/>
        <stp>source</stp>
        <stp>BGN</stp>
        <stp>pricingdate</stp>
        <stp>42019</stp>
        <stp>holidayvalues=true</stp>
        <tr r="J19" s="26"/>
      </tp>
      <tp>
        <v>160.27940000000001</v>
        <stp/>
        <stp>##V3_BFXFORWARDV12</stp>
        <stp>[7-25-XFRC_FXTK.xlsm]FXTK-Forwards (1)!R21C13</stp>
        <stp>BFXFORWARD</stp>
        <stp>AUDTHB</stp>
        <stp>SETTLEMENTDATE</stp>
        <stp>42376</stp>
        <stp>OUTPUT</stp>
        <stp>BIDPoints</stp>
        <stp>markettype</stp>
        <stp/>
        <stp>source</stp>
        <stp>BGN</stp>
        <stp>pricingdate</stp>
        <stp>42019</stp>
        <stp>holidayvalues=true</stp>
        <tr r="M21" s="26"/>
      </tp>
      <tp>
        <v>14.14</v>
        <stp/>
        <stp>##V3_BFXFORWARDV12</stp>
        <stp>[7-25-XFRC_FXTK.xlsm]FXTK-Forwards (1)!R22C14</stp>
        <stp>BFXFORWARD</stp>
        <stp>USDTHB</stp>
        <stp>SETTLEMENTDATE</stp>
        <stp>42081</stp>
        <stp>OUTPUT</stp>
        <stp>BIDPoints</stp>
        <stp>markettype</stp>
        <stp>offshore</stp>
        <stp>source</stp>
        <stp>BGN</stp>
        <stp>pricingdate</stp>
        <stp>42019</stp>
        <stp>holidayvalues=true</stp>
        <tr r="N22" s="26"/>
      </tp>
      <tp>
        <v>0.88832999999999995</v>
        <stp/>
        <stp>##V3_BDPV12</stp>
        <stp>EUR/GBP @040110 CURNCY</stp>
        <stp>PX_BID</stp>
        <stp>[7-25-XFRC_FXTK.xlsm]FXTK-Swaps!R38C15</stp>
        <tr r="O38" s="30"/>
      </tp>
      <tp>
        <v>0.88882000000000005</v>
        <stp/>
        <stp>##V3_BDPV12</stp>
        <stp>EUR/GBP @040110 CURNCY</stp>
        <stp>PX_ASK</stp>
        <stp>[7-25-XFRC_FXTK.xlsm]FXTK-Swaps!R38C16</stp>
        <tr r="P38" s="30"/>
      </tp>
      <tp>
        <v>41456</v>
        <stp/>
        <stp>##V3_BADDPERIODS</stp>
        <stp>6/30/2013</stp>
        <stp>[7-25-XFRC_FXTK.xlsm]FXTK-Swaps!R27C3</stp>
        <stp>busdayadj=-1</stp>
        <tr r="C27" s="30"/>
      </tp>
      <tp>
        <v>41820</v>
        <stp/>
        <stp>##V3_BADDPERIODS</stp>
        <stp>6/30/2014</stp>
        <stp>[7-25-XFRC_FXTK.xlsm]FXTK-Swaps!R21C3</stp>
        <stp>busdayadj=-1</stp>
        <tr r="C21" s="30"/>
      </tp>
      <tp>
        <v>18.59</v>
        <stp/>
        <stp>##V3_BFXFORWARDV12</stp>
        <stp>[7-25-XFRC_FXTK.xlsm]FXTK-Forwards (1)!R17C16</stp>
        <stp>BFXFORWARD</stp>
        <stp>AUDNZD</stp>
        <stp>SETTLEMENTDATE</stp>
        <stp>42101</stp>
        <stp>OUTPUT</stp>
        <stp>BIDPoints</stp>
        <stp>markettype</stp>
        <stp/>
        <stp>source</stp>
        <stp>BGN</stp>
        <stp>pricingdate</stp>
        <stp>42019</stp>
        <stp>holidayvalues=true</stp>
        <tr r="P17" s="26"/>
      </tp>
      <tp>
        <v>18.59</v>
        <stp/>
        <stp>##V3_BFXFORWARDV12</stp>
        <stp>[7-25-XFRC_FXTK.xlsm]FXTK-Forwards (1)!R17C12</stp>
        <stp>BFXFORWARD</stp>
        <stp>AUDNZD</stp>
        <stp>SETTLEMENTDATE</stp>
        <stp>42101</stp>
        <stp>OUTPUT</stp>
        <stp>BIDPoints</stp>
        <stp>markettype</stp>
        <stp/>
        <stp>source</stp>
        <stp>BGN</stp>
        <stp>pricingdate</stp>
        <stp>42019</stp>
        <stp>holidayvalues=true</stp>
        <tr r="L17" s="26"/>
      </tp>
      <tp>
        <v>-38.68</v>
        <stp/>
        <stp>##V3_BFXFORWARDV12</stp>
        <stp>[7-25-XFRC_FXTK.xlsm]FXTK-Forwards (1)!R20C12</stp>
        <stp>BFXFORWARD</stp>
        <stp>AUDCAD</stp>
        <stp>SETTLEMENTDATE</stp>
        <stp>42101</stp>
        <stp>OUTPUT</stp>
        <stp>BIDPoints</stp>
        <stp>markettype</stp>
        <stp/>
        <stp>source</stp>
        <stp>BGN</stp>
        <stp>pricingdate</stp>
        <stp>42019</stp>
        <stp>holidayvalues=true</stp>
        <tr r="L20" s="26"/>
      </tp>
      <tp>
        <v>-38.68</v>
        <stp/>
        <stp>##V3_BFXFORWARDV12</stp>
        <stp>[7-25-XFRC_FXTK.xlsm]FXTK-Forwards (1)!R20C16</stp>
        <stp>BFXFORWARD</stp>
        <stp>AUDCAD</stp>
        <stp>SETTLEMENTDATE</stp>
        <stp>42101</stp>
        <stp>OUTPUT</stp>
        <stp>BIDPoints</stp>
        <stp>markettype</stp>
        <stp/>
        <stp>source</stp>
        <stp>BGN</stp>
        <stp>pricingdate</stp>
        <stp>42019</stp>
        <stp>holidayvalues=true</stp>
        <tr r="P20" s="26"/>
      </tp>
      <tp>
        <v>-46.56</v>
        <stp/>
        <stp>##V3_BFXFORWARDV12</stp>
        <stp>[7-25-XFRC_FXTK.xlsm]FXTK-Forwards (1)!R19C16</stp>
        <stp>BFXFORWARD</stp>
        <stp>AUDUSD</stp>
        <stp>SETTLEMENTDATE</stp>
        <stp>42101</stp>
        <stp>OUTPUT</stp>
        <stp>BIDPoints</stp>
        <stp>markettype</stp>
        <stp/>
        <stp>source</stp>
        <stp>BGN</stp>
        <stp>pricingdate</stp>
        <stp>42019</stp>
        <stp>holidayvalues=true</stp>
        <tr r="P19" s="26"/>
      </tp>
      <tp>
        <v>-46.56</v>
        <stp/>
        <stp>##V3_BFXFORWARDV12</stp>
        <stp>[7-25-XFRC_FXTK.xlsm]FXTK-Forwards (1)!R19C12</stp>
        <stp>BFXFORWARD</stp>
        <stp>AUDUSD</stp>
        <stp>SETTLEMENTDATE</stp>
        <stp>42101</stp>
        <stp>OUTPUT</stp>
        <stp>BIDPoints</stp>
        <stp>markettype</stp>
        <stp/>
        <stp>source</stp>
        <stp>BGN</stp>
        <stp>pricingdate</stp>
        <stp>42019</stp>
        <stp>holidayvalues=true</stp>
        <tr r="L19" s="26"/>
      </tp>
      <tp>
        <v>19.420000000000002</v>
        <stp/>
        <stp>##V3_BFXFORWARDV12</stp>
        <stp>[7-25-XFRC_FXTK.xlsm]FXTK-Forwards (1)!R17C17</stp>
        <stp>BFXFORWARD</stp>
        <stp>AUDNZD</stp>
        <stp>SETTLEMENTDATE</stp>
        <stp>42104</stp>
        <stp>OUTPUT</stp>
        <stp>BIDPoints</stp>
        <stp>markettype</stp>
        <stp/>
        <stp>source</stp>
        <stp>BGN</stp>
        <stp>pricingdate</stp>
        <stp>42019</stp>
        <stp>holidayvalues=true</stp>
        <tr r="Q17" s="26"/>
      </tp>
      <tp>
        <v>-40.22</v>
        <stp/>
        <stp>##V3_BFXFORWARDV12</stp>
        <stp>[7-25-XFRC_FXTK.xlsm]FXTK-Forwards (1)!R20C17</stp>
        <stp>BFXFORWARD</stp>
        <stp>AUDCAD</stp>
        <stp>SETTLEMENTDATE</stp>
        <stp>42104</stp>
        <stp>OUTPUT</stp>
        <stp>BIDPoints</stp>
        <stp>markettype</stp>
        <stp/>
        <stp>source</stp>
        <stp>BGN</stp>
        <stp>pricingdate</stp>
        <stp>42019</stp>
        <stp>holidayvalues=true</stp>
        <tr r="Q20" s="26"/>
      </tp>
      <tp>
        <v>-48.33</v>
        <stp/>
        <stp>##V3_BFXFORWARDV12</stp>
        <stp>[7-25-XFRC_FXTK.xlsm]FXTK-Forwards (1)!R19C17</stp>
        <stp>BFXFORWARD</stp>
        <stp>AUDUSD</stp>
        <stp>SETTLEMENTDATE</stp>
        <stp>42104</stp>
        <stp>OUTPUT</stp>
        <stp>BIDPoints</stp>
        <stp>markettype</stp>
        <stp/>
        <stp>source</stp>
        <stp>BGN</stp>
        <stp>pricingdate</stp>
        <stp>42019</stp>
        <stp>holidayvalues=true</stp>
        <tr r="Q19" s="26"/>
      </tp>
      <tp>
        <v>42044</v>
        <stp/>
        <stp>##V3_BFXFORWARDV12</stp>
        <stp>[7-25-XFRC_FXTK.xlsm]FXTK-Forwards (2)!R22C8</stp>
        <stp>BFXFORWARD</stp>
        <stp>EURUSD</stp>
        <stp>DAYS</stp>
        <stp>189</stp>
        <stp>OUTPUT</stp>
        <stp>SETTLEMENTDATE</stp>
        <stp>PRICINGDATE</stp>
        <stp>41851</stp>
        <tr r="H22" s="28"/>
      </tp>
      <tp t="s">
        <v>6/6/2012</v>
        <stp/>
        <stp>##V3_BDPV12</stp>
        <stp>EUR/USD R 9M@090111 Curncy</stp>
        <stp>SETTLE_DT</stp>
        <stp>[7-25-XFRC_FXTK.xlsm]FXTK-Forward Dates!R87C9</stp>
        <tr r="I87" s="29"/>
      </tp>
      <tp>
        <v>5</v>
        <stp/>
        <stp>##V3_BCOUNTPERIODS</stp>
        <stp>1/20/2015</stp>
        <stp>1/27/2015</stp>
        <stp>[7-25-XFRC_FXTK.xlsm]FXTK-Forward Dates!R76C22</stp>
        <stp>CDR=US JN</stp>
        <tr r="V76" s="29"/>
      </tp>
      <tp>
        <v>-33.819899999999997</v>
        <stp/>
        <stp>##V3_BFXFORWARDV12</stp>
        <stp>[7-25-XFRC_FXTK.xlsm]FXTK-Forwards (1)!R18C14</stp>
        <stp>BFXFORWARD</stp>
        <stp>AUDEUR</stp>
        <stp>SETTLEMENTDATE</stp>
        <stp>42081</stp>
        <stp>OUTPUT</stp>
        <stp>BIDPoints</stp>
        <stp>markettype</stp>
        <stp/>
        <stp>source</stp>
        <stp>BGN</stp>
        <stp>pricingdate</stp>
        <stp>42019</stp>
        <stp>holidayvalues=true</stp>
        <tr r="N18" s="26"/>
      </tp>
      <tp t="s">
        <v>9/7/2011</v>
        <stp/>
        <stp>##V3_BDPV12</stp>
        <stp>EUR/USD R SN@090111 Curncy</stp>
        <stp>SETTLE_DT</stp>
        <stp>[7-25-XFRC_FXTK.xlsm]FXTK-Forward Dates!R75C9</stp>
        <tr r="I75" s="29"/>
      </tp>
      <tp t="s">
        <v>5/7/2012</v>
        <stp/>
        <stp>##V3_BDPV12</stp>
        <stp>EUR/USD R 8M@090111 Curncy</stp>
        <stp>SETTLE_DT</stp>
        <stp>[7-25-XFRC_FXTK.xlsm]FXTK-Forward Dates!R86C9</stp>
        <tr r="I86" s="29"/>
      </tp>
      <tp>
        <v>41915</v>
        <stp/>
        <stp>##V3_BFXFORWARDV12</stp>
        <stp>[7-25-XFRC_FXTK.xlsm]FXTK-Forwards (2)!R21C8</stp>
        <stp>BFXFORWARD</stp>
        <stp>EURUSD</stp>
        <stp>DAYS</stp>
        <stp>60</stp>
        <stp>OUTPUT</stp>
        <stp>SETTLEMENTDATE</stp>
        <stp>PRICINGDATE</stp>
        <stp>41851</stp>
        <tr r="H21" s="28"/>
      </tp>
      <tp t="s">
        <v>4/10/2012</v>
        <stp/>
        <stp>##V3_BDPV12</stp>
        <stp>EUR/USD R 7M@090111 Curncy</stp>
        <stp>SETTLE_DT</stp>
        <stp>[7-25-XFRC_FXTK.xlsm]FXTK-Forward Dates!R85C9</stp>
        <tr r="I85" s="29"/>
      </tp>
      <tp>
        <v>-20.52</v>
        <stp/>
        <stp>##V3_BFXFORWARDV12</stp>
        <stp>[7-25-XFRC_FXTK.xlsm]FXTK-Forwards (1)!R15C15</stp>
        <stp>BFXFORWARD</stp>
        <stp>USDJPY</stp>
        <stp>SETTLEMENTDATE</stp>
        <stp>42172</stp>
        <stp>OUTPUT</stp>
        <stp>BIDPoints</stp>
        <stp>markettype</stp>
        <stp/>
        <stp>source</stp>
        <stp>BGN</stp>
        <stp>pricingdate</stp>
        <stp>42009</stp>
        <stp>holidayvalues=true</stp>
        <tr r="O15" s="26"/>
      </tp>
      <tp>
        <v>-20.4146</v>
        <stp/>
        <stp>##V3_BFXFORWARDV12</stp>
        <stp>[7-25-XFRC_FXTK.xlsm]FXTK-Forwards (1)!R16C14</stp>
        <stp>BFXFORWARD</stp>
        <stp>AUDGBP</stp>
        <stp>SETTLEMENTDATE</stp>
        <stp>42081</stp>
        <stp>OUTPUT</stp>
        <stp>BIDPoints</stp>
        <stp>markettype</stp>
        <stp/>
        <stp>source</stp>
        <stp>BGN</stp>
        <stp>pricingdate</stp>
        <stp>42019</stp>
        <stp>holidayvalues=true</stp>
        <tr r="N16" s="26"/>
      </tp>
      <tp t="s">
        <v>3/6/2012</v>
        <stp/>
        <stp>##V3_BDPV12</stp>
        <stp>EUR/USD R 6M@090111 Curncy</stp>
        <stp>SETTLE_DT</stp>
        <stp>[7-25-XFRC_FXTK.xlsm]FXTK-Forward Dates!R84C9</stp>
        <tr r="I84" s="29"/>
      </tp>
      <tp>
        <v>-74.28</v>
        <stp/>
        <stp>##V3_BFXFORWARDV12</stp>
        <stp>[7-25-XFRC_FXTK.xlsm]FXTK-Forwards (1)!R15C13</stp>
        <stp>BFXFORWARD</stp>
        <stp>USDJPY</stp>
        <stp>SETTLEMENTDATE</stp>
        <stp>42376</stp>
        <stp>OUTPUT</stp>
        <stp>BIDPoints</stp>
        <stp>markettype</stp>
        <stp/>
        <stp>source</stp>
        <stp>BGN</stp>
        <stp>pricingdate</stp>
        <stp>42009</stp>
        <stp>holidayvalues=true</stp>
        <tr r="M15" s="26"/>
      </tp>
      <tp>
        <v>-10.31</v>
        <stp/>
        <stp>##V3_BFXFORWARDV12</stp>
        <stp>[7-25-XFRC_FXTK.xlsm]FXTK-Forwards (1)!R15C12</stp>
        <stp>BFXFORWARD</stp>
        <stp>USDJPY</stp>
        <stp>SETTLEMENTDATE</stp>
        <stp>42101</stp>
        <stp>OUTPUT</stp>
        <stp>BIDPoints</stp>
        <stp>markettype</stp>
        <stp/>
        <stp>source</stp>
        <stp>BGN</stp>
        <stp>pricingdate</stp>
        <stp>42009</stp>
        <stp>holidayvalues=true</stp>
        <tr r="L15" s="26"/>
      </tp>
      <tp>
        <v>-10.31</v>
        <stp/>
        <stp>##V3_BFXFORWARDV12</stp>
        <stp>[7-25-XFRC_FXTK.xlsm]FXTK-Forwards (1)!R15C16</stp>
        <stp>BFXFORWARD</stp>
        <stp>USDJPY</stp>
        <stp>SETTLEMENTDATE</stp>
        <stp>42101</stp>
        <stp>OUTPUT</stp>
        <stp>BIDPoints</stp>
        <stp>markettype</stp>
        <stp/>
        <stp>source</stp>
        <stp>BGN</stp>
        <stp>pricingdate</stp>
        <stp>42009</stp>
        <stp>holidayvalues=true</stp>
        <tr r="P15" s="26"/>
      </tp>
      <tp t="s">
        <v>2/6/2012</v>
        <stp/>
        <stp>##V3_BDPV12</stp>
        <stp>EUR/USD R 5M@090111 Curncy</stp>
        <stp>SETTLE_DT</stp>
        <stp>[7-25-XFRC_FXTK.xlsm]FXTK-Forward Dates!R83C9</stp>
        <tr r="I83" s="29"/>
      </tp>
      <tp>
        <v>-10.75</v>
        <stp/>
        <stp>##V3_BFXFORWARDV12</stp>
        <stp>[7-25-XFRC_FXTK.xlsm]FXTK-Forwards (1)!R15C17</stp>
        <stp>BFXFORWARD</stp>
        <stp>USDJPY</stp>
        <stp>SETTLEMENTDATE</stp>
        <stp>42104</stp>
        <stp>OUTPUT</stp>
        <stp>BIDPoints</stp>
        <stp>markettype</stp>
        <stp/>
        <stp>source</stp>
        <stp>BGN</stp>
        <stp>pricingdate</stp>
        <stp>42009</stp>
        <stp>holidayvalues=true</stp>
        <tr r="Q15" s="26"/>
      </tp>
      <tp>
        <v>-51.6</v>
        <stp/>
        <stp>##V3_BFXFORWARDV12</stp>
        <stp>[7-25-XFRC_FXTK.xlsm]FXTK-Forwards (1)!R15C10</stp>
        <stp>BFXFORWARD</stp>
        <stp>USDJPY</stp>
        <stp>SETTLEMENTDATE</stp>
        <stp>42310</stp>
        <stp>OUTPUT</stp>
        <stp>BIDPoints</stp>
        <stp>markettype</stp>
        <stp/>
        <stp>source</stp>
        <stp>BGN</stp>
        <stp>pricingdate</stp>
        <stp>42009</stp>
        <stp>holidayvalues=true</stp>
        <tr r="J15" s="26"/>
      </tp>
      <tp t="s">
        <v>1/6/2012</v>
        <stp/>
        <stp>##V3_BDPV12</stp>
        <stp>EUR/USD R 4M@090111 Curncy</stp>
        <stp>SETTLE_DT</stp>
        <stp>[7-25-XFRC_FXTK.xlsm]FXTK-Forward Dates!R82C9</stp>
        <tr r="I82" s="29"/>
      </tp>
      <tp>
        <v>15</v>
        <stp/>
        <stp>##V3_BCOUNTPERIODS</stp>
        <stp>1/20/2015</stp>
        <stp>2/10/2015</stp>
        <stp>[7-25-XFRC_FXTK.xlsm]FXTK-Forward Dates!R78C22</stp>
        <stp>CDR=US JN</stp>
        <tr r="V78" s="29"/>
      </tp>
      <tp>
        <v>21</v>
        <stp/>
        <stp>##V3_BCOUNTPERIODS</stp>
        <stp>1/20/2015</stp>
        <stp>2/20/2015</stp>
        <stp>[7-25-XFRC_FXTK.xlsm]FXTK-Forward Dates!R79C22</stp>
        <stp>CDR=US JN</stp>
        <tr r="V79" s="29"/>
      </tp>
      <tp>
        <v>2</v>
        <stp/>
        <stp>##V3_BCOUNTPERIODS</stp>
        <stp>1/15/2015</stp>
        <stp>1/20/2015</stp>
        <stp>[7-25-XFRC_FXTK.xlsm]FXTK-Forward Dates!R74C22</stp>
        <stp>CDR=US JN</stp>
        <tr r="V74" s="29"/>
      </tp>
      <tp>
        <v>-395</v>
        <stp/>
        <stp>##V3_BCOUNTPERIODS</stp>
        <stp>9/16/2016</stp>
        <stp>1/20/2015</stp>
        <stp>[7-25-XFRC_FXTK.xlsm]FXTK-Forward Dates!R73C22</stp>
        <stp>CDR=US JN</stp>
        <tr r="V73" s="29"/>
      </tp>
      <tp t="s">
        <v>7/6/2012</v>
        <stp/>
        <stp>##V3_BDPV12</stp>
        <stp>EUR/USD R 10M@090111 Curncy</stp>
        <stp>SETTLE_DT</stp>
        <stp>[7-25-XFRC_FXTK.xlsm]FXTK-Forward Dates!R88C9</stp>
        <tr r="I88" s="29"/>
      </tp>
      <tp t="s">
        <v>12/6/2011</v>
        <stp/>
        <stp>##V3_BDPV12</stp>
        <stp>EUR/USD R 3M@090111 Curncy</stp>
        <stp>SETTLE_DT</stp>
        <stp>[7-25-XFRC_FXTK.xlsm]FXTK-Forward Dates!R81C9</stp>
        <tr r="I81" s="29"/>
      </tp>
      <tp>
        <v>-1.46</v>
        <stp/>
        <stp>##V3_BFXFORWARDV12</stp>
        <stp>[7-25-XFRC_FXTK.xlsm]FXTK-Forwards (1)!R15C11</stp>
        <stp>BFXFORWARD</stp>
        <stp>USDJPY</stp>
        <stp>SETTLEMENTDATE</stp>
        <stp>42025</stp>
        <stp>OUTPUT</stp>
        <stp>BIDPoints</stp>
        <stp>markettype</stp>
        <stp/>
        <stp>source</stp>
        <stp>BGN</stp>
        <stp>pricingdate</stp>
        <stp>42009</stp>
        <stp>holidayvalues=true</stp>
        <tr r="K15" s="26"/>
      </tp>
      <tp>
        <v>1.2524999999999999</v>
        <stp/>
        <stp>##V3_BDHV12</stp>
        <stp>EURUSD BGN Curncy</stp>
        <stp>PX_ASK</stp>
        <stp>10/31/2014</stp>
        <stp>10/31/2014</stp>
        <stp>[7-25-XFRC_FXTK.xlsm]FXTK-Forwards (2)!R17C13</stp>
        <stp>Days=A</stp>
        <stp>Fill=P</stp>
        <tr r="M17" s="28"/>
      </tp>
      <tp>
        <v>605.64</v>
        <stp/>
        <stp>##V3_BFXFORWARDV12</stp>
        <stp>[7-25-XFRC_FXTK.xlsm]FXTK-Swaps!R32C9</stp>
        <stp>BFXFORWARD</stp>
        <stp>USDSEK</stp>
        <stp>SETTLEMENTDATE</stp>
        <stp>42258</stp>
        <stp>OUTPUT</stp>
        <stp>ASKPOINTS</stp>
        <stp>PRICINGDATE</stp>
        <stp>41701</stp>
        <stp>HOLIDAYVALUES=TRUE</stp>
        <stp>MARKETTYPE</stp>
        <stp/>
        <tr r="I32" s="30"/>
      </tp>
      <tp>
        <v>565.11</v>
        <stp/>
        <stp>##V3_BFXFORWARDV12</stp>
        <stp>[7-25-XFRC_FXTK.xlsm]FXTK-Swaps!R32C8</stp>
        <stp>BFXFORWARD</stp>
        <stp>USDSEK</stp>
        <stp>SETTLEMENTDATE</stp>
        <stp>42258</stp>
        <stp>OUTPUT</stp>
        <stp>BIDPOINTS</stp>
        <stp>PRICINGDATE</stp>
        <stp>41701</stp>
        <stp>HOLIDAYVALUES=TRUE</stp>
        <stp>MARKETTYPE</stp>
        <stp/>
        <tr r="H32" s="30"/>
      </tp>
      <tp>
        <v>1</v>
        <stp/>
        <stp>##V3_BCOUNTPERIODS</stp>
        <stp>1/20/2015</stp>
        <stp>1/21/2015</stp>
        <stp>[7-25-XFRC_FXTK.xlsm]FXTK-Forward Dates!R75C22</stp>
        <stp>CDR=US JN</stp>
        <tr r="V75" s="29"/>
      </tp>
      <tp t="s">
        <v>8/6/2012</v>
        <stp/>
        <stp>##V3_BDPV12</stp>
        <stp>EUR/USD R 11M@090111 Curncy</stp>
        <stp>SETTLE_DT</stp>
        <stp>[7-25-XFRC_FXTK.xlsm]FXTK-Forward Dates!R89C9</stp>
        <tr r="I89" s="29"/>
      </tp>
      <tp t="s">
        <v>9/6/2011</v>
        <stp/>
        <stp>##V3_BDPV12</stp>
        <stp>EUR/USD R TN@090111 Curncy</stp>
        <stp>SETTLE_DT</stp>
        <stp>[7-25-XFRC_FXTK.xlsm]FXTK-Forward Dates!R73C9</stp>
        <tr r="I73" s="29"/>
      </tp>
      <tp t="s">
        <v>11/7/2011</v>
        <stp/>
        <stp>##V3_BDPV12</stp>
        <stp>EUR/USD R 2M@090111 Curncy</stp>
        <stp>SETTLE_DT</stp>
        <stp>[7-25-XFRC_FXTK.xlsm]FXTK-Forward Dates!R80C9</stp>
        <tr r="I80" s="29"/>
      </tp>
      <tp>
        <v>236</v>
        <stp/>
        <stp>##V3_BCOUNTPERIODS</stp>
        <stp>1/20/2015</stp>
        <stp>1/20/2016</stp>
        <stp>[7-25-XFRC_FXTK.xlsm]FXTK-Forward Dates!R90C22</stp>
        <stp>CDR=US JN</stp>
        <tr r="V90" s="29"/>
      </tp>
      <tp>
        <v>120</v>
        <stp/>
        <stp>##V3_BCOUNTPERIODS</stp>
        <stp>1/20/2015</stp>
        <stp>7/21/2015</stp>
        <stp>[7-25-XFRC_FXTK.xlsm]FXTK-Forward Dates!R84C22</stp>
        <stp>CDR=US JN</stp>
        <tr r="V84" s="29"/>
      </tp>
      <tp>
        <v>-161.73849999999999</v>
        <stp/>
        <stp>##V3_BFXFORWARDV12</stp>
        <stp>[7-25-XFRC_FXTK.xlsm]FXTK-Forwards (1)!R18C10</stp>
        <stp>BFXFORWARD</stp>
        <stp>AUDEUR</stp>
        <stp>SETTLEMENTDATE</stp>
        <stp>42310</stp>
        <stp>OUTPUT</stp>
        <stp>BIDPoints</stp>
        <stp>markettype</stp>
        <stp/>
        <stp>source</stp>
        <stp>BGN</stp>
        <stp>pricingdate</stp>
        <stp>42019</stp>
        <stp>holidayvalues=true</stp>
        <tr r="J18" s="26"/>
      </tp>
      <tp>
        <v>1.2524</v>
        <stp/>
        <stp>##V3_BDHV12</stp>
        <stp>EURUSD BGN Curncy</stp>
        <stp>PX_BID</stp>
        <stp>10/31/2014</stp>
        <stp>10/31/2014</stp>
        <stp>[7-25-XFRC_FXTK.xlsm]FXTK-Forwards (2)!R17C12</stp>
        <stp>Days=A</stp>
        <stp>Fill=P</stp>
        <tr r="L17" s="28"/>
      </tp>
      <tp>
        <v>1.4926999999999999</v>
        <stp/>
        <stp>##V3_BDPV12</stp>
        <stp>USD/TRY @050110 CURNCY</stp>
        <stp>PX_ASK</stp>
        <stp>[7-25-XFRC_FXTK.xlsm]FXTK-Swaps!R41C16</stp>
        <tr r="P41" s="30"/>
      </tp>
      <tp>
        <v>1.4915</v>
        <stp/>
        <stp>##V3_BDPV12</stp>
        <stp>USD/TRY @050110 CURNCY</stp>
        <stp>PX_BID</stp>
        <stp>[7-25-XFRC_FXTK.xlsm]FXTK-Swaps!R41C15</stp>
        <tr r="O41" s="30"/>
      </tp>
      <tp>
        <v>1093.93</v>
        <stp/>
        <stp>##V3_BDPV12</stp>
        <stp>USD/KRW @010115 CURNCY</stp>
        <stp>PX_BID</stp>
        <stp>[7-25-XFRC_FXTK.xlsm]FXTK-Swaps!R44C15</stp>
        <tr r="O44" s="30"/>
      </tp>
      <tp>
        <v>1093.93</v>
        <stp/>
        <stp>##V3_BDPV12</stp>
        <stp>USD/KRW @010115 CURNCY</stp>
        <stp>PX_ASK</stp>
        <stp>[7-25-XFRC_FXTK.xlsm]FXTK-Swaps!R44C16</stp>
        <tr r="P44" s="30"/>
      </tp>
      <tp>
        <v>142</v>
        <stp/>
        <stp>##V3_BCOUNTPERIODS</stp>
        <stp>1/20/2015</stp>
        <stp>8/20/2015</stp>
        <stp>[7-25-XFRC_FXTK.xlsm]FXTK-Forward Dates!R85C22</stp>
        <stp>CDR=US JN</stp>
        <tr r="V85" s="29"/>
      </tp>
      <tp>
        <v>42009</v>
        <stp/>
        <stp>##V3_BADDPERIODS</stp>
        <stp>1/3/2015</stp>
        <stp>[7-25-XFRC_FXTK.xlsm]FXTK-Forwards (1)!R15C7</stp>
        <stp>BUSDAYADJ=-1</stp>
        <tr r="G15" s="26"/>
      </tp>
      <tp>
        <v>79</v>
        <stp/>
        <stp>##V3_BCOUNTPERIODS</stp>
        <stp>1/20/2015</stp>
        <stp>5/20/2015</stp>
        <stp>[7-25-XFRC_FXTK.xlsm]FXTK-Forward Dates!R82C22</stp>
        <stp>CDR=US JN</stp>
        <tr r="V82" s="29"/>
      </tp>
      <tp>
        <v>61</v>
        <stp/>
        <stp>##V3_BCOUNTPERIODS</stp>
        <stp>1/20/2015</stp>
        <stp>4/20/2015</stp>
        <stp>[7-25-XFRC_FXTK.xlsm]FXTK-Forward Dates!R81C22</stp>
        <stp>CDR=US JN</stp>
        <tr r="V81" s="29"/>
      </tp>
      <tp>
        <v>41</v>
        <stp/>
        <stp>##V3_BCOUNTPERIODS</stp>
        <stp>1/20/2015</stp>
        <stp>3/20/2015</stp>
        <stp>[7-25-XFRC_FXTK.xlsm]FXTK-Forward Dates!R80C22</stp>
        <stp>CDR=US JN</stp>
        <tr r="V80" s="29"/>
      </tp>
      <tp t="s">
        <v>2/4/2013</v>
        <stp/>
        <stp>##V3_BDPV12</stp>
        <stp>EUR/JPY R 020213@011515 Curncy</stp>
        <stp>SETTLE_DT</stp>
        <stp>[7-25-XFRC_FXTK.xlsm]FXTK-Forward Dates!R119C9</stp>
        <tr r="I119" s="29"/>
      </tp>
      <tp>
        <v>-45.470100000000002</v>
        <stp/>
        <stp>##V3_BFXFORWARDV12</stp>
        <stp>[7-25-XFRC_FXTK.xlsm]FXTK-Forwards (1)!R18C16</stp>
        <stp>BFXFORWARD</stp>
        <stp>AUDEUR</stp>
        <stp>SETTLEMENTDATE</stp>
        <stp>42101</stp>
        <stp>OUTPUT</stp>
        <stp>BIDPoints</stp>
        <stp>markettype</stp>
        <stp/>
        <stp>source</stp>
        <stp>BGN</stp>
        <stp>pricingdate</stp>
        <stp>42019</stp>
        <stp>holidayvalues=true</stp>
        <tr r="P18" s="26"/>
      </tp>
      <tp>
        <v>-45.470100000000002</v>
        <stp/>
        <stp>##V3_BFXFORWARDV12</stp>
        <stp>[7-25-XFRC_FXTK.xlsm]FXTK-Forwards (1)!R18C12</stp>
        <stp>BFXFORWARD</stp>
        <stp>AUDEUR</stp>
        <stp>SETTLEMENTDATE</stp>
        <stp>42101</stp>
        <stp>OUTPUT</stp>
        <stp>BIDPoints</stp>
        <stp>markettype</stp>
        <stp/>
        <stp>source</stp>
        <stp>BGN</stp>
        <stp>pricingdate</stp>
        <stp>42019</stp>
        <stp>holidayvalues=true</stp>
        <tr r="L18" s="26"/>
      </tp>
      <tp>
        <v>-0.38540000000000002</v>
        <stp/>
        <stp>##V3_BFXFORWARDV12</stp>
        <stp>[7-25-XFRC_FXTK.xlsm]FXTK-Forwards (1)!R16C11</stp>
        <stp>BFXFORWARD</stp>
        <stp>AUDGBP</stp>
        <stp>SETTLEMENTDATE</stp>
        <stp>42025</stp>
        <stp>OUTPUT</stp>
        <stp>BIDPoints</stp>
        <stp>markettype</stp>
        <stp/>
        <stp>source</stp>
        <stp>BGN</stp>
        <stp>pricingdate</stp>
        <stp>42019</stp>
        <stp>holidayvalues=true</stp>
        <tr r="K16" s="26"/>
      </tp>
      <tp>
        <v>-47.214799999999997</v>
        <stp/>
        <stp>##V3_BFXFORWARDV12</stp>
        <stp>[7-25-XFRC_FXTK.xlsm]FXTK-Forwards (1)!R18C17</stp>
        <stp>BFXFORWARD</stp>
        <stp>AUDEUR</stp>
        <stp>SETTLEMENTDATE</stp>
        <stp>42104</stp>
        <stp>OUTPUT</stp>
        <stp>BIDPoints</stp>
        <stp>markettype</stp>
        <stp/>
        <stp>source</stp>
        <stp>BGN</stp>
        <stp>pricingdate</stp>
        <stp>42019</stp>
        <stp>holidayvalues=true</stp>
        <tr r="Q18" s="26"/>
      </tp>
      <tp>
        <v>-135.65</v>
        <stp/>
        <stp>##V3_BFXFORWARDV12</stp>
        <stp>[7-25-XFRC_FXTK.xlsm]FXTK-Swaps!R15C8</stp>
        <stp>BFXFORWARD</stp>
        <stp>USDJPY</stp>
        <stp>SETTLEMENTDATE</stp>
        <stp>42515</stp>
        <stp>OUTPUT</stp>
        <stp>BIDPOINTS</stp>
        <stp>PRICINGDATE</stp>
        <stp>41852</stp>
        <stp>HOLIDAYVALUES=TRUE</stp>
        <stp>MARKETTYPE</stp>
        <stp/>
        <tr r="H15" s="30"/>
      </tp>
      <tp>
        <v>-26.25</v>
        <stp/>
        <stp>##V3_BFXFORWARDV12</stp>
        <stp>[7-25-XFRC_FXTK.xlsm]FXTK-Swaps!R14C8</stp>
        <stp>BFXFORWARD</stp>
        <stp>USDJPY</stp>
        <stp>SETTLEMENTDATE</stp>
        <stp>42125</stp>
        <stp>OUTPUT</stp>
        <stp>BIDPOINTS</stp>
        <stp>PRICINGDATE</stp>
        <stp>41852</stp>
        <stp>HOLIDAYVALUES=TRUE</stp>
        <stp>MARKETTYPE</stp>
        <stp/>
        <tr r="H14" s="30"/>
      </tp>
      <tp>
        <v>-131.84</v>
        <stp/>
        <stp>##V3_BFXFORWARDV12</stp>
        <stp>[7-25-XFRC_FXTK.xlsm]FXTK-Swaps!R15C9</stp>
        <stp>BFXFORWARD</stp>
        <stp>USDJPY</stp>
        <stp>SETTLEMENTDATE</stp>
        <stp>42515</stp>
        <stp>OUTPUT</stp>
        <stp>ASKPOINTS</stp>
        <stp>PRICINGDATE</stp>
        <stp>41852</stp>
        <stp>HOLIDAYVALUES=TRUE</stp>
        <stp>MARKETTYPE</stp>
        <stp/>
        <tr r="I15" s="30"/>
      </tp>
      <tp>
        <v>-25.25</v>
        <stp/>
        <stp>##V3_BFXFORWARDV12</stp>
        <stp>[7-25-XFRC_FXTK.xlsm]FXTK-Swaps!R14C9</stp>
        <stp>BFXFORWARD</stp>
        <stp>USDJPY</stp>
        <stp>SETTLEMENTDATE</stp>
        <stp>42125</stp>
        <stp>OUTPUT</stp>
        <stp>ASKPOINTS</stp>
        <stp>PRICINGDATE</stp>
        <stp>41852</stp>
        <stp>HOLIDAYVALUES=TRUE</stp>
        <stp>MARKETTYPE</stp>
        <stp/>
        <tr r="I14" s="30"/>
      </tp>
      <tp>
        <v>-93.373500000000007</v>
        <stp/>
        <stp>##V3_BFXFORWARDV12</stp>
        <stp>[7-25-XFRC_FXTK.xlsm]FXTK-Forwards (1)!R16C10</stp>
        <stp>BFXFORWARD</stp>
        <stp>AUDGBP</stp>
        <stp>SETTLEMENTDATE</stp>
        <stp>42310</stp>
        <stp>OUTPUT</stp>
        <stp>BIDPoints</stp>
        <stp>markettype</stp>
        <stp/>
        <stp>source</stp>
        <stp>BGN</stp>
        <stp>pricingdate</stp>
        <stp>42019</stp>
        <stp>holidayvalues=true</stp>
        <tr r="J16" s="26"/>
      </tp>
      <tp>
        <v>102.62</v>
        <stp/>
        <stp>##V3_BDPV12</stp>
        <stp>USD/JPY @080114 CURNCY</stp>
        <stp>PX_ASK</stp>
        <stp>[7-25-XFRC_FXTK.xlsm]FXTK-Swaps!R14C16</stp>
        <tr r="P14" s="30"/>
      </tp>
      <tp>
        <v>102.6</v>
        <stp/>
        <stp>##V3_BDPV12</stp>
        <stp>USD/JPY @080114 CURNCY</stp>
        <stp>PX_BID</stp>
        <stp>[7-25-XFRC_FXTK.xlsm]FXTK-Swaps!R14C15</stp>
        <tr r="O14" s="30"/>
      </tp>
      <tp>
        <v>101</v>
        <stp/>
        <stp>##V3_BCOUNTPERIODS</stp>
        <stp>1/20/2015</stp>
        <stp>6/22/2015</stp>
        <stp>[7-25-XFRC_FXTK.xlsm]FXTK-Forward Dates!R83C22</stp>
        <stp>CDR=US JN</stp>
        <tr r="V83" s="29"/>
      </tp>
      <tp>
        <v>-27.383900000000001</v>
        <stp/>
        <stp>##V3_BFXFORWARDV12</stp>
        <stp>[7-25-XFRC_FXTK.xlsm]FXTK-Forwards (1)!R16C16</stp>
        <stp>BFXFORWARD</stp>
        <stp>AUDGBP</stp>
        <stp>SETTLEMENTDATE</stp>
        <stp>42101</stp>
        <stp>OUTPUT</stp>
        <stp>BIDPoints</stp>
        <stp>markettype</stp>
        <stp/>
        <stp>source</stp>
        <stp>BGN</stp>
        <stp>pricingdate</stp>
        <stp>42019</stp>
        <stp>holidayvalues=true</stp>
        <tr r="P16" s="26"/>
      </tp>
      <tp>
        <v>-27.383900000000001</v>
        <stp/>
        <stp>##V3_BFXFORWARDV12</stp>
        <stp>[7-25-XFRC_FXTK.xlsm]FXTK-Forwards (1)!R16C12</stp>
        <stp>BFXFORWARD</stp>
        <stp>AUDGBP</stp>
        <stp>SETTLEMENTDATE</stp>
        <stp>42101</stp>
        <stp>OUTPUT</stp>
        <stp>BIDPoints</stp>
        <stp>markettype</stp>
        <stp/>
        <stp>source</stp>
        <stp>BGN</stp>
        <stp>pricingdate</stp>
        <stp>42019</stp>
        <stp>holidayvalues=true</stp>
        <tr r="L16" s="26"/>
      </tp>
      <tp>
        <v>-0.65169999999999995</v>
        <stp/>
        <stp>##V3_BFXFORWARDV12</stp>
        <stp>[7-25-XFRC_FXTK.xlsm]FXTK-Forwards (1)!R18C11</stp>
        <stp>BFXFORWARD</stp>
        <stp>AUDEUR</stp>
        <stp>SETTLEMENTDATE</stp>
        <stp>42025</stp>
        <stp>OUTPUT</stp>
        <stp>BIDPoints</stp>
        <stp>markettype</stp>
        <stp/>
        <stp>source</stp>
        <stp>BGN</stp>
        <stp>pricingdate</stp>
        <stp>42019</stp>
        <stp>holidayvalues=true</stp>
        <tr r="K18" s="26"/>
      </tp>
      <tp>
        <v>-28.426400000000001</v>
        <stp/>
        <stp>##V3_BFXFORWARDV12</stp>
        <stp>[7-25-XFRC_FXTK.xlsm]FXTK-Forwards (1)!R16C17</stp>
        <stp>BFXFORWARD</stp>
        <stp>AUDGBP</stp>
        <stp>SETTLEMENTDATE</stp>
        <stp>42104</stp>
        <stp>OUTPUT</stp>
        <stp>BIDPoints</stp>
        <stp>markettype</stp>
        <stp/>
        <stp>source</stp>
        <stp>BGN</stp>
        <stp>pricingdate</stp>
        <stp>42019</stp>
        <stp>holidayvalues=true</stp>
        <tr r="Q16" s="26"/>
      </tp>
      <tp>
        <v>2053.1</v>
        <stp/>
        <stp>##V3_BFXFORWARDV12</stp>
        <stp>[7-25-XFRC_FXTK.xlsm]FXTK-Swaps!R41C9</stp>
        <stp>BFXFORWARD</stp>
        <stp>USDTRY</stp>
        <stp>SETTLEMENTDATE</stp>
        <stp>40932</stp>
        <stp>OUTPUT</stp>
        <stp>ASKPOINTS</stp>
        <stp>PRICINGDATE</stp>
        <stp>40301</stp>
        <stp>HOLIDAYVALUES=TRUE</stp>
        <stp>MARKETTYPE</stp>
        <stp/>
        <tr r="I41" s="30"/>
      </tp>
      <tp>
        <v>1944.08</v>
        <stp/>
        <stp>##V3_BFXFORWARDV12</stp>
        <stp>[7-25-XFRC_FXTK.xlsm]FXTK-Swaps!R41C8</stp>
        <stp>BFXFORWARD</stp>
        <stp>USDTRY</stp>
        <stp>SETTLEMENTDATE</stp>
        <stp>40932</stp>
        <stp>OUTPUT</stp>
        <stp>BIDPOINTS</stp>
        <stp>PRICINGDATE</stp>
        <stp>40301</stp>
        <stp>HOLIDAYVALUES=TRUE</stp>
        <stp>MARKETTYPE</stp>
        <stp/>
        <tr r="H41" s="30"/>
      </tp>
      <tp>
        <v>-411.08</v>
        <stp/>
        <stp>##V3_BFXFORWARDV12</stp>
        <stp>[7-25-XFRC_FXTK.xlsm]FXTK-Swaps!R21C9</stp>
        <stp>BFXFORWARD</stp>
        <stp>AUDUSD</stp>
        <stp>SETTLEMENTDATE</stp>
        <stp>42523</stp>
        <stp>OUTPUT</stp>
        <stp>ASKPOINTS</stp>
        <stp>PRICINGDATE</stp>
        <stp>41820</stp>
        <stp>HOLIDAYVALUES=TRUE</stp>
        <stp>MARKETTYPE</stp>
        <stp/>
        <tr r="I21" s="30"/>
      </tp>
      <tp>
        <v>-416.76</v>
        <stp/>
        <stp>##V3_BFXFORWARDV12</stp>
        <stp>[7-25-XFRC_FXTK.xlsm]FXTK-Swaps!R21C8</stp>
        <stp>BFXFORWARD</stp>
        <stp>AUDUSD</stp>
        <stp>SETTLEMENTDATE</stp>
        <stp>42523</stp>
        <stp>OUTPUT</stp>
        <stp>BIDPOINTS</stp>
        <stp>PRICINGDATE</stp>
        <stp>41820</stp>
        <stp>HOLIDAYVALUES=TRUE</stp>
        <stp>MARKETTYPE</stp>
        <stp/>
        <tr r="H21" s="30"/>
      </tp>
      <tp>
        <v>-674.14</v>
        <stp/>
        <stp>##V3_BFXFORWARDV12</stp>
        <stp>[7-25-XFRC_FXTK.xlsm]FXTK-Swaps!R27C9</stp>
        <stp>BFXFORWARD</stp>
        <stp>USDDKK</stp>
        <stp>SETTLEMENTDATE</stp>
        <stp>42583</stp>
        <stp>OUTPUT</stp>
        <stp>ASKPOINTS</stp>
        <stp>PRICINGDATE</stp>
        <stp>41456</stp>
        <stp>HOLIDAYVALUES=TRUE</stp>
        <stp>MARKETTYPE</stp>
        <stp/>
        <tr r="I27" s="30"/>
      </tp>
      <tp>
        <v>-813.4</v>
        <stp/>
        <stp>##V3_BFXFORWARDV12</stp>
        <stp>[7-25-XFRC_FXTK.xlsm]FXTK-Swaps!R27C8</stp>
        <stp>BFXFORWARD</stp>
        <stp>USDDKK</stp>
        <stp>SETTLEMENTDATE</stp>
        <stp>42583</stp>
        <stp>OUTPUT</stp>
        <stp>BIDPOINTS</stp>
        <stp>PRICINGDATE</stp>
        <stp>41456</stp>
        <stp>HOLIDAYVALUES=TRUE</stp>
        <stp>MARKETTYPE</stp>
        <stp/>
        <tr r="H27" s="30"/>
      </tp>
      <tp>
        <v>158.28</v>
        <stp/>
        <stp>##V3_BDPV12</stp>
        <stp>EUR/JPY @020208 CURNCY</stp>
        <stp>PX_ASK</stp>
        <stp>[7-25-XFRC_FXTK.xlsm]FXTK-Swaps!R35C16</stp>
        <tr r="P35" s="30"/>
      </tp>
      <tp>
        <v>158.21</v>
        <stp/>
        <stp>##V3_BDPV12</stp>
        <stp>EUR/JPY @020208 CURNCY</stp>
        <stp>PX_BID</stp>
        <stp>[7-25-XFRC_FXTK.xlsm]FXTK-Swaps!R35C15</stp>
        <tr r="O35" s="30"/>
      </tp>
      <tp>
        <v>-50.846200000000003</v>
        <stp/>
        <stp>##V3_BFXFORWARDV12</stp>
        <stp>[7-25-XFRC_FXTK.xlsm]FXTK-Forwards (1)!R16C15</stp>
        <stp>BFXFORWARD</stp>
        <stp>AUDGBP</stp>
        <stp>SETTLEMENTDATE</stp>
        <stp>42172</stp>
        <stp>OUTPUT</stp>
        <stp>BIDPoints</stp>
        <stp>markettype</stp>
        <stp/>
        <stp>source</stp>
        <stp>BGN</stp>
        <stp>pricingdate</stp>
        <stp>42019</stp>
        <stp>holidayvalues=true</stp>
        <tr r="O16" s="26"/>
      </tp>
      <tp>
        <v>-7.46</v>
        <stp/>
        <stp>##V3_BFXFORWARDV12</stp>
        <stp>[7-25-XFRC_FXTK.xlsm]FXTK-Forwards (1)!R15C14</stp>
        <stp>BFXFORWARD</stp>
        <stp>USDJPY</stp>
        <stp>SETTLEMENTDATE</stp>
        <stp>42081</stp>
        <stp>OUTPUT</stp>
        <stp>BIDPoints</stp>
        <stp>markettype</stp>
        <stp/>
        <stp>source</stp>
        <stp>BGN</stp>
        <stp>pricingdate</stp>
        <stp>42009</stp>
        <stp>holidayvalues=true</stp>
        <tr r="N15" s="26"/>
      </tp>
      <tp>
        <v>-112.6671</v>
        <stp/>
        <stp>##V3_BFXFORWARDV12</stp>
        <stp>[7-25-XFRC_FXTK.xlsm]FXTK-Forwards (1)!R16C13</stp>
        <stp>BFXFORWARD</stp>
        <stp>AUDGBP</stp>
        <stp>SETTLEMENTDATE</stp>
        <stp>42376</stp>
        <stp>OUTPUT</stp>
        <stp>BIDPoints</stp>
        <stp>markettype</stp>
        <stp/>
        <stp>source</stp>
        <stp>BGN</stp>
        <stp>pricingdate</stp>
        <stp>42019</stp>
        <stp>holidayvalues=true</stp>
        <tr r="M16" s="26"/>
      </tp>
      <tp>
        <v>622.19000000000005</v>
        <stp/>
        <stp>##V3_BFXFORWARDV12</stp>
        <stp>[7-25-XFRC_FXTK.xlsm]FXTK-Swaps!R33C9</stp>
        <stp>BFXFORWARD</stp>
        <stp>USDSEK</stp>
        <stp>SETTLEMENTDATE</stp>
        <stp>42272</stp>
        <stp>OUTPUT</stp>
        <stp>ASKPOINTS</stp>
        <stp>PRICINGDATE</stp>
        <stp>41701</stp>
        <stp>HOLIDAYVALUES=TRUE</stp>
        <stp>MARKETTYPE</stp>
        <stp/>
        <tr r="I33" s="30"/>
      </tp>
      <tp>
        <v>580.04</v>
        <stp/>
        <stp>##V3_BFXFORWARDV12</stp>
        <stp>[7-25-XFRC_FXTK.xlsm]FXTK-Swaps!R33C8</stp>
        <stp>BFXFORWARD</stp>
        <stp>USDSEK</stp>
        <stp>SETTLEMENTDATE</stp>
        <stp>42272</stp>
        <stp>OUTPUT</stp>
        <stp>BIDPOINTS</stp>
        <stp>PRICINGDATE</stp>
        <stp>41701</stp>
        <stp>HOLIDAYVALUES=TRUE</stp>
        <stp>MARKETTYPE</stp>
        <stp/>
        <tr r="H33" s="30"/>
      </tp>
      <tp>
        <v>-353.61</v>
        <stp/>
        <stp>##V3_BFXFORWARDV12</stp>
        <stp>[7-25-XFRC_FXTK.xlsm]FXTK-Swaps!R20C9</stp>
        <stp>BFXFORWARD</stp>
        <stp>AUDUSD</stp>
        <stp>SETTLEMENTDATE</stp>
        <stp>42412</stp>
        <stp>OUTPUT</stp>
        <stp>ASKPOINTS</stp>
        <stp>PRICINGDATE</stp>
        <stp>41820</stp>
        <stp>HOLIDAYVALUES=TRUE</stp>
        <stp>MARKETTYPE</stp>
        <stp/>
        <tr r="I20" s="30"/>
      </tp>
      <tp>
        <v>-359.35</v>
        <stp/>
        <stp>##V3_BFXFORWARDV12</stp>
        <stp>[7-25-XFRC_FXTK.xlsm]FXTK-Swaps!R20C8</stp>
        <stp>BFXFORWARD</stp>
        <stp>AUDUSD</stp>
        <stp>SETTLEMENTDATE</stp>
        <stp>42412</stp>
        <stp>OUTPUT</stp>
        <stp>BIDPOINTS</stp>
        <stp>PRICINGDATE</stp>
        <stp>41820</stp>
        <stp>HOLIDAYVALUES=TRUE</stp>
        <stp>MARKETTYPE</stp>
        <stp/>
        <tr r="H20" s="30"/>
      </tp>
      <tp>
        <v>-716.29</v>
        <stp/>
        <stp>##V3_BFXFORWARDV12</stp>
        <stp>[7-25-XFRC_FXTK.xlsm]FXTK-Swaps!R23C9</stp>
        <stp>BFXFORWARD</stp>
        <stp>USDCHF</stp>
        <stp>SETTLEMENTDATE</stp>
        <stp>43103</stp>
        <stp>OUTPUT</stp>
        <stp>ASKPOINTS</stp>
        <stp>PRICINGDATE</stp>
        <stp>40728</stp>
        <stp>HOLIDAYVALUES=TRUE</stp>
        <stp>MARKETTYPE</stp>
        <stp/>
        <tr r="I23" s="30"/>
      </tp>
      <tp>
        <v>-811.84</v>
        <stp/>
        <stp>##V3_BFXFORWARDV12</stp>
        <stp>[7-25-XFRC_FXTK.xlsm]FXTK-Swaps!R24C9</stp>
        <stp>BFXFORWARD</stp>
        <stp>USDCHF</stp>
        <stp>SETTLEMENTDATE</stp>
        <stp>43293</stp>
        <stp>OUTPUT</stp>
        <stp>ASKPOINTS</stp>
        <stp>PRICINGDATE</stp>
        <stp>40728</stp>
        <stp>HOLIDAYVALUES=TRUE</stp>
        <stp>MARKETTYPE</stp>
        <stp/>
        <tr r="I24" s="30"/>
      </tp>
      <tp>
        <v>163</v>
        <stp/>
        <stp>##V3_BCOUNTPERIODS</stp>
        <stp>1/20/2015</stp>
        <stp>9/24/2015</stp>
        <stp>[7-25-XFRC_FXTK.xlsm]FXTK-Forward Dates!R86C22</stp>
        <stp>CDR=US JN</stp>
        <tr r="V86" s="29"/>
      </tp>
      <tp>
        <v>-867.17</v>
        <stp/>
        <stp>##V3_BFXFORWARDV12</stp>
        <stp>[7-25-XFRC_FXTK.xlsm]FXTK-Swaps!R24C8</stp>
        <stp>BFXFORWARD</stp>
        <stp>USDCHF</stp>
        <stp>SETTLEMENTDATE</stp>
        <stp>43293</stp>
        <stp>OUTPUT</stp>
        <stp>BIDPOINTS</stp>
        <stp>PRICINGDATE</stp>
        <stp>40728</stp>
        <stp>HOLIDAYVALUES=TRUE</stp>
        <stp>MARKETTYPE</stp>
        <stp/>
        <tr r="H24" s="30"/>
      </tp>
      <tp>
        <v>-763.73</v>
        <stp/>
        <stp>##V3_BFXFORWARDV12</stp>
        <stp>[7-25-XFRC_FXTK.xlsm]FXTK-Swaps!R23C8</stp>
        <stp>BFXFORWARD</stp>
        <stp>USDCHF</stp>
        <stp>SETTLEMENTDATE</stp>
        <stp>43103</stp>
        <stp>OUTPUT</stp>
        <stp>BIDPOINTS</stp>
        <stp>PRICINGDATE</stp>
        <stp>40728</stp>
        <stp>HOLIDAYVALUES=TRUE</stp>
        <stp>MARKETTYPE</stp>
        <stp/>
        <tr r="H23" s="30"/>
      </tp>
      <tp>
        <v>-503.37</v>
        <stp/>
        <stp>##V3_BFXFORWARDV12</stp>
        <stp>[7-25-XFRC_FXTK.xlsm]FXTK-Swaps!R26C9</stp>
        <stp>BFXFORWARD</stp>
        <stp>USDDKK</stp>
        <stp>SETTLEMENTDATE</stp>
        <stp>42402</stp>
        <stp>OUTPUT</stp>
        <stp>ASKPOINTS</stp>
        <stp>PRICINGDATE</stp>
        <stp>41456</stp>
        <stp>HOLIDAYVALUES=TRUE</stp>
        <stp>MARKETTYPE</stp>
        <stp/>
        <tr r="I26" s="30"/>
      </tp>
      <tp>
        <v>-620.55999999999995</v>
        <stp/>
        <stp>##V3_BFXFORWARDV12</stp>
        <stp>[7-25-XFRC_FXTK.xlsm]FXTK-Swaps!R26C8</stp>
        <stp>BFXFORWARD</stp>
        <stp>USDDKK</stp>
        <stp>SETTLEMENTDATE</stp>
        <stp>42402</stp>
        <stp>OUTPUT</stp>
        <stp>BIDPOINTS</stp>
        <stp>PRICINGDATE</stp>
        <stp>41456</stp>
        <stp>HOLIDAYVALUES=TRUE</stp>
        <stp>MARKETTYPE</stp>
        <stp/>
        <tr r="H26" s="30"/>
      </tp>
      <tp>
        <v>3426.41</v>
        <stp/>
        <stp>##V3_BFXFORWARDV12</stp>
        <stp>[7-25-XFRC_FXTK.xlsm]FXTK-Swaps!R42C9</stp>
        <stp>BFXFORWARD</stp>
        <stp>USDTRY</stp>
        <stp>SETTLEMENTDATE</stp>
        <stp>41330</stp>
        <stp>OUTPUT</stp>
        <stp>ASKPOINTS</stp>
        <stp>PRICINGDATE</stp>
        <stp>40301</stp>
        <stp>HOLIDAYVALUES=TRUE</stp>
        <stp>MARKETTYPE</stp>
        <stp/>
        <tr r="I42" s="30"/>
      </tp>
      <tp>
        <v>3274.05</v>
        <stp/>
        <stp>##V3_BFXFORWARDV12</stp>
        <stp>[7-25-XFRC_FXTK.xlsm]FXTK-Swaps!R42C8</stp>
        <stp>BFXFORWARD</stp>
        <stp>USDTRY</stp>
        <stp>SETTLEMENTDATE</stp>
        <stp>41330</stp>
        <stp>OUTPUT</stp>
        <stp>BIDPOINTS</stp>
        <stp>PRICINGDATE</stp>
        <stp>40301</stp>
        <stp>HOLIDAYVALUES=TRUE</stp>
        <stp>MARKETTYPE</stp>
        <stp/>
        <tr r="H42" s="30"/>
      </tp>
      <tp>
        <v>1.1932</v>
        <stp/>
        <stp>##V3_BDPV12</stp>
        <stp>EUR/USD @010315 CURNCY</stp>
        <stp>PX_BID</stp>
        <stp>[7-25-XFRC_FXTK.xlsm]FXTK-Swaps!R11C15</stp>
        <tr r="O11" s="30"/>
      </tp>
      <tp>
        <v>1.1933</v>
        <stp/>
        <stp>##V3_BDPV12</stp>
        <stp>EUR/USD @010315 CURNCY</stp>
        <stp>PX_ASK</stp>
        <stp>[7-25-XFRC_FXTK.xlsm]FXTK-Swaps!R11C16</stp>
        <tr r="P11" s="30"/>
      </tp>
      <tp>
        <v>4782.43</v>
        <stp/>
        <stp>##V3_BFXFORWARDV12</stp>
        <stp>[7-25-XFRC_FXTK.xlsm]FXTK-Swaps!R29C8</stp>
        <stp>BFXFORWARD</stp>
        <stp>USDNOK</stp>
        <stp>SETTLEMENTDATE</stp>
        <stp>44410</stp>
        <stp>OUTPUT</stp>
        <stp>BIDPOINTS</stp>
        <stp>PRICINGDATE</stp>
        <stp>40665</stp>
        <stp>HOLIDAYVALUES=TRUE</stp>
        <stp>MARKETTYPE</stp>
        <stp/>
        <tr r="H29" s="30"/>
      </tp>
      <tp>
        <v>5118.6099999999997</v>
        <stp/>
        <stp>##V3_BFXFORWARDV12</stp>
        <stp>[7-25-XFRC_FXTK.xlsm]FXTK-Swaps!R29C9</stp>
        <stp>BFXFORWARD</stp>
        <stp>USDNOK</stp>
        <stp>SETTLEMENTDATE</stp>
        <stp>44410</stp>
        <stp>OUTPUT</stp>
        <stp>ASKPOINTS</stp>
        <stp>PRICINGDATE</stp>
        <stp>40665</stp>
        <stp>HOLIDAYVALUES=TRUE</stp>
        <stp>MARKETTYPE</stp>
        <stp/>
        <tr r="I29" s="30"/>
      </tp>
      <tp>
        <v>0.94320000000000004</v>
        <stp/>
        <stp>##V3_BDPV12</stp>
        <stp>AUD/USD @063014 CURNCY</stp>
        <stp>PX_BID</stp>
        <stp>[7-25-XFRC_FXTK.xlsm]FXTK-Swaps!R20C15</stp>
        <tr r="O20" s="30"/>
      </tp>
      <tp>
        <v>0.94330000000000003</v>
        <stp/>
        <stp>##V3_BDPV12</stp>
        <stp>AUD/USD @063014 CURNCY</stp>
        <stp>PX_ASK</stp>
        <stp>[7-25-XFRC_FXTK.xlsm]FXTK-Swaps!R20C16</stp>
        <tr r="P20" s="30"/>
      </tp>
      <tp t="s">
        <v>9/6/2012</v>
        <stp/>
        <stp>##V3_BDPV12</stp>
        <stp>EUR/USD R 12M@090111 Curncy</stp>
        <stp>SETTLE_DT</stp>
        <stp>[7-25-XFRC_FXTK.xlsm]FXTK-Forward Dates!R90C9</stp>
        <tr r="I90" s="29"/>
      </tp>
      <tp>
        <v>-85.677099999999996</v>
        <stp/>
        <stp>##V3_BFXFORWARDV12</stp>
        <stp>[7-25-XFRC_FXTK.xlsm]FXTK-Forwards (1)!R18C15</stp>
        <stp>BFXFORWARD</stp>
        <stp>AUDEUR</stp>
        <stp>SETTLEMENTDATE</stp>
        <stp>42172</stp>
        <stp>OUTPUT</stp>
        <stp>BIDPoints</stp>
        <stp>markettype</stp>
        <stp/>
        <stp>source</stp>
        <stp>BGN</stp>
        <stp>pricingdate</stp>
        <stp>42019</stp>
        <stp>holidayvalues=true</stp>
        <tr r="O18" s="26"/>
      </tp>
      <tp t="s">
        <v>10/6/2011</v>
        <stp/>
        <stp>##V3_BDPV12</stp>
        <stp>EUR/USD R 1M@090111 Curncy</stp>
        <stp>SETTLE_DT</stp>
        <stp>[7-25-XFRC_FXTK.xlsm]FXTK-Forward Dates!R79C9</stp>
        <tr r="I79" s="29"/>
      </tp>
      <tp>
        <v>-197.94329999999999</v>
        <stp/>
        <stp>##V3_BFXFORWARDV12</stp>
        <stp>[7-25-XFRC_FXTK.xlsm]FXTK-Forwards (1)!R18C13</stp>
        <stp>BFXFORWARD</stp>
        <stp>AUDEUR</stp>
        <stp>SETTLEMENTDATE</stp>
        <stp>42376</stp>
        <stp>OUTPUT</stp>
        <stp>BIDPoints</stp>
        <stp>markettype</stp>
        <stp/>
        <stp>source</stp>
        <stp>BGN</stp>
        <stp>pricingdate</stp>
        <stp>42019</stp>
        <stp>holidayvalues=true</stp>
        <tr r="M18" s="26"/>
      </tp>
      <tp>
        <v>1.2524500000000001</v>
        <stp/>
        <stp>##V3_BDHV12</stp>
        <stp>EURUSD BGN Curncy</stp>
        <stp>PX_MID</stp>
        <stp>10/31/2014</stp>
        <stp>10/31/2014</stp>
        <stp>[7-25-XFRC_FXTK.xlsm]FXTK-Forwards (2)!R17C14</stp>
        <stp>Days=A</stp>
        <stp>Fill=P</stp>
        <tr r="N17" s="28"/>
      </tp>
      <tp>
        <v>4801.18</v>
        <stp/>
        <stp>##V3_BFXFORWARDV12</stp>
        <stp>[7-25-XFRC_FXTK.xlsm]FXTK-Swaps!R30C8</stp>
        <stp>BFXFORWARD</stp>
        <stp>USDNOK</stp>
        <stp>SETTLEMENTDATE</stp>
        <stp>44501</stp>
        <stp>OUTPUT</stp>
        <stp>BIDPOINTS</stp>
        <stp>PRICINGDATE</stp>
        <stp>40665</stp>
        <stp>HOLIDAYVALUES=TRUE</stp>
        <stp>MARKETTYPE</stp>
        <stp/>
        <tr r="H30" s="30"/>
      </tp>
      <tp>
        <v>5145.75</v>
        <stp/>
        <stp>##V3_BFXFORWARDV12</stp>
        <stp>[7-25-XFRC_FXTK.xlsm]FXTK-Swaps!R30C9</stp>
        <stp>BFXFORWARD</stp>
        <stp>USDNOK</stp>
        <stp>SETTLEMENTDATE</stp>
        <stp>44501</stp>
        <stp>OUTPUT</stp>
        <stp>ASKPOINTS</stp>
        <stp>PRICINGDATE</stp>
        <stp>40665</stp>
        <stp>HOLIDAYVALUES=TRUE</stp>
        <stp>MARKETTYPE</stp>
        <stp/>
        <tr r="I30" s="30"/>
      </tp>
      <tp t="s">
        <v>1/16/2015</v>
        <stp/>
        <stp>##V3_BDPV12</stp>
        <stp>EUR/JPY R ON@011515 Curncy</stp>
        <stp>SETTLE_DT</stp>
        <stp>[7-25-XFRC_FXTK.xlsm]FXTK-Forward Dates!R100C9</stp>
        <tr r="I100" s="29"/>
      </tp>
      <tp t="s">
        <v>5/20/2015</v>
        <stp/>
        <stp>##V3_BDPV12</stp>
        <stp>EUR/JPY R 4M@011515 Curncy</stp>
        <stp>SETTLE_DT</stp>
        <stp>[7-25-XFRC_FXTK.xlsm]FXTK-Forward Dates!R110C9</stp>
        <tr r="I110" s="29"/>
      </tp>
    </main>
    <main first="bloomberg.rtd">
      <tp>
        <v>214</v>
        <stp/>
        <stp>##V3_BCOUNTPERIODS</stp>
        <stp>9/6/2011</stp>
        <stp>7/6/2012</stp>
        <stp>[7-25-XFRC_FXTK.xlsm]FXTK-Forward Dates!R88C11</stp>
        <stp>CDR= TE</stp>
        <tr r="K88" s="29"/>
      </tp>
      <tp>
        <v>1.0903</v>
        <stp/>
        <stp>##V3_BDHV12</stp>
        <stp>USDCAD BGN Curncy</stp>
        <stp>PX_ASK</stp>
        <stp>7/30/2014</stp>
        <stp>7/30/2014</stp>
        <stp>[7-25-XFRC_FXTK.xlsm]FXTK-Forwards (2)!R14C13</stp>
        <stp>Days=A</stp>
        <stp>Fill=P</stp>
        <tr r="M14" s="28"/>
      </tp>
      <tp t="s">
        <v>1/20/2015</v>
        <stp/>
        <stp>##V3_BDPV12</stp>
        <stp>EUR/JPY R TN@011515 Curncy</stp>
        <stp>SETTLE_DT</stp>
        <stp>[7-25-XFRC_FXTK.xlsm]FXTK-Forward Dates!R101C9</stp>
        <tr r="I101" s="29"/>
      </tp>
      <tp t="s">
        <v>6/22/2015</v>
        <stp/>
        <stp>##V3_BDPV12</stp>
        <stp>EUR/JPY R 5M@011515 Curncy</stp>
        <stp>SETTLE_DT</stp>
        <stp>[7-25-XFRC_FXTK.xlsm]FXTK-Forward Dates!R111C9</stp>
        <tr r="I111" s="29"/>
      </tp>
      <tp>
        <v>192</v>
        <stp/>
        <stp>##V3_BCOUNTPERIODS</stp>
        <stp>9/6/2011</stp>
        <stp>6/6/2012</stp>
        <stp>[7-25-XFRC_FXTK.xlsm]FXTK-Forward Dates!R87C11</stp>
        <stp>CDR= TE</stp>
        <tr r="K87" s="29"/>
      </tp>
      <tp t="s">
        <v>9/6/2011</v>
        <stp/>
        <stp>##V3_BDPV12</stp>
        <stp>EUR/USD R @090111 Curncy</stp>
        <stp>SETTLE_DT</stp>
        <stp>[7-25-XFRC_FXTK.xlsm]FXTK-Forward Dates!R74C9</stp>
        <tr r="I74" s="29"/>
      </tp>
      <tp t="s">
        <v>7/21/2015</v>
        <stp/>
        <stp>##V3_BDPV12</stp>
        <stp>EUR/JPY R 6M@011515 Curncy</stp>
        <stp>SETTLE_DT</stp>
        <stp>[7-25-XFRC_FXTK.xlsm]FXTK-Forward Dates!R112C9</stp>
        <tr r="I112" s="29"/>
      </tp>
      <tp>
        <v>170</v>
        <stp/>
        <stp>##V3_BCOUNTPERIODS</stp>
        <stp>9/6/2011</stp>
        <stp>5/7/2012</stp>
        <stp>[7-25-XFRC_FXTK.xlsm]FXTK-Forward Dates!R86C11</stp>
        <stp>CDR= TE</stp>
        <tr r="K86" s="29"/>
      </tp>
      <tp>
        <v>1.0902000000000001</v>
        <stp/>
        <stp>##V3_BDHV12</stp>
        <stp>USDCAD BGN Curncy</stp>
        <stp>PX_BID</stp>
        <stp>7/30/2014</stp>
        <stp>7/30/2014</stp>
        <stp>[7-25-XFRC_FXTK.xlsm]FXTK-Forwards (2)!R14C12</stp>
        <stp>Days=A</stp>
        <stp>Fill=P</stp>
        <tr r="L14" s="28"/>
      </tp>
      <tp>
        <v>0.87873999999999997</v>
        <stp/>
        <stp>##V3_BDHV12</stp>
        <stp>AUDUSD BGN Curncy</stp>
        <stp>PX_MID</stp>
        <stp>9/25/2014</stp>
        <stp>9/25/2014</stp>
        <stp>[7-25-XFRC_FXTK.xlsm]FXTK-Forwards (2)!R11C14</stp>
        <stp>Days=A</stp>
        <stp>Fill=P</stp>
        <tr r="N11" s="28"/>
      </tp>
      <tp t="s">
        <v>1/21/2015</v>
        <stp/>
        <stp>##V3_BDPV12</stp>
        <stp>EUR/JPY R SN@011515 Curncy</stp>
        <stp>SETTLE_DT</stp>
        <stp>[7-25-XFRC_FXTK.xlsm]FXTK-Forward Dates!R103C9</stp>
        <tr r="I103" s="29"/>
      </tp>
      <tp t="s">
        <v>8/20/2015</v>
        <stp/>
        <stp>##V3_BDPV12</stp>
        <stp>EUR/JPY R 7M@011515 Curncy</stp>
        <stp>SETTLE_DT</stp>
        <stp>[7-25-XFRC_FXTK.xlsm]FXTK-Forward Dates!R113C9</stp>
        <tr r="I113" s="29"/>
      </tp>
      <tp t="s">
        <v>1/27/2015</v>
        <stp/>
        <stp>##V3_BDPV12</stp>
        <stp>EUR/JPY R 1W@011515 Curncy</stp>
        <stp>SETTLE_DT</stp>
        <stp>[7-25-XFRC_FXTK.xlsm]FXTK-Forward Dates!R104C9</stp>
        <tr r="I104" s="29"/>
      </tp>
      <tp t="s">
        <v>9/24/2015</v>
        <stp/>
        <stp>##V3_BDPV12</stp>
        <stp>EUR/JPY R 8M@011515 Curncy</stp>
        <stp>SETTLE_DT</stp>
        <stp>[7-25-XFRC_FXTK.xlsm]FXTK-Forward Dates!R114C9</stp>
        <tr r="I114" s="29"/>
      </tp>
      <tp>
        <v>1.339</v>
        <stp/>
        <stp>##V3_BDHV12</stp>
        <stp>EURUSD BGN Curncy</stp>
        <stp>PX_BID</stp>
        <stp>7/31/2014</stp>
        <stp>7/31/2014</stp>
        <stp>[7-25-XFRC_FXTK.xlsm]FXTK-Forwards (2)!R18C12</stp>
        <stp>Days=A</stp>
        <stp>Fill=P</stp>
        <tr r="L18" s="28"/>
      </tp>
      <tp>
        <v>120.45</v>
        <stp/>
        <stp>##V3_BDHV12</stp>
        <stp>USDJPY BGN Curncy</stp>
        <stp>PX_BID</stp>
        <stp>10/5/2015</stp>
        <stp>10/5/2015</stp>
        <stp>[7-25-XFRC_FXTK.xlsm]FXTK-Forwards (2)!R15C12</stp>
        <stp>Days=A</stp>
        <stp>Fill=P</stp>
        <tr r="L15" s="28"/>
      </tp>
      <tp>
        <v>129</v>
        <stp/>
        <stp>##V3_BCOUNTPERIODS</stp>
        <stp>9/6/2011</stp>
        <stp>3/6/2012</stp>
        <stp>[7-25-XFRC_FXTK.xlsm]FXTK-Forward Dates!R84C11</stp>
        <stp>CDR= TE</stp>
        <tr r="K84" s="29"/>
      </tp>
      <tp>
        <v>1.339</v>
        <stp/>
        <stp>##V3_BDHV12</stp>
        <stp>EURUSD BGN Curncy</stp>
        <stp>PX_BID</stp>
        <stp>7/31/2014</stp>
        <stp>7/31/2014</stp>
        <stp>[7-25-XFRC_FXTK.xlsm]FXTK-Forwards (2)!R19C12</stp>
        <stp>Days=A</stp>
        <stp>Fill=P</stp>
        <tr r="L19" s="28"/>
      </tp>
      <tp>
        <v>1.3397000000000001</v>
        <stp/>
        <stp>##V3_BDHV12</stp>
        <stp>EURUSD BGN Curncy</stp>
        <stp>PX_BID</stp>
        <stp>7/30/2014</stp>
        <stp>7/30/2014</stp>
        <stp>[7-25-XFRC_FXTK.xlsm]FXTK-Forwards (2)!R12C12</stp>
        <stp>Days=A</stp>
        <stp>Fill=P</stp>
        <tr r="L12" s="28"/>
      </tp>
      <tp>
        <v>-110.4</v>
        <stp/>
        <stp>##V3_BFXSWAPV12</stp>
        <stp>[7-25-XFRC_FXTK.xlsm]FXTK-Swaps!R15C12</stp>
        <stp>BFXSWAP</stp>
        <stp>USDJPY</stp>
        <stp>NEARDATE</stp>
        <stp>42125</stp>
        <stp>FARDATE</stp>
        <stp>42515</stp>
        <stp>OUTPUT</stp>
        <stp>FARBIDPOINTS</stp>
        <stp>PRICINGDATE</stp>
        <stp>41852</stp>
        <stp>HOLIDAYVALUES=TRUE</stp>
        <stp>MARKETTYPE</stp>
        <stp/>
        <tr r="L15" s="30"/>
      </tp>
      <tp>
        <v>-105.59</v>
        <stp/>
        <stp>##V3_BFXSWAPV12</stp>
        <stp>[7-25-XFRC_FXTK.xlsm]FXTK-Swaps!R15C13</stp>
        <stp>BFXSWAP</stp>
        <stp>USDJPY</stp>
        <stp>NEARDATE</stp>
        <stp>42125</stp>
        <stp>FARDATE</stp>
        <stp>42515</stp>
        <stp>OUTPUT</stp>
        <stp>FARASKPOINTS</stp>
        <stp>PRICINGDATE</stp>
        <stp>41852</stp>
        <stp>HOLIDAYVALUES=TRUE</stp>
        <stp>MARKETTYPE</stp>
        <stp/>
        <tr r="M15" s="30"/>
      </tp>
      <tp t="s">
        <v>2/3/2015</v>
        <stp/>
        <stp>##V3_BDPV12</stp>
        <stp>EUR/JPY R 2W@011515 Curncy</stp>
        <stp>SETTLE_DT</stp>
        <stp>[7-25-XFRC_FXTK.xlsm]FXTK-Forward Dates!R105C9</stp>
        <tr r="I105" s="29"/>
      </tp>
      <tp t="s">
        <v>10/20/2015</v>
        <stp/>
        <stp>##V3_BDPV12</stp>
        <stp>EUR/JPY R 9M@011515 Curncy</stp>
        <stp>SETTLE_DT</stp>
        <stp>[7-25-XFRC_FXTK.xlsm]FXTK-Forward Dates!R115C9</stp>
        <tr r="I115" s="29"/>
      </tp>
      <tp>
        <v>106</v>
        <stp/>
        <stp>##V3_BCOUNTPERIODS</stp>
        <stp>9/6/2011</stp>
        <stp>2/2/2012</stp>
        <stp>[7-25-XFRC_FXTK.xlsm]FXTK-Forward Dates!R91C11</stp>
        <stp>CDR= TE</stp>
        <tr r="K91" s="29"/>
      </tp>
      <tp>
        <v>108</v>
        <stp/>
        <stp>##V3_BCOUNTPERIODS</stp>
        <stp>9/6/2011</stp>
        <stp>2/6/2012</stp>
        <stp>[7-25-XFRC_FXTK.xlsm]FXTK-Forward Dates!R83C11</stp>
        <stp>CDR= TE</stp>
        <tr r="K83" s="29"/>
      </tp>
      <tp>
        <v>1.3391</v>
        <stp/>
        <stp>##V3_BDHV12</stp>
        <stp>EURUSD BGN Curncy</stp>
        <stp>PX_ASK</stp>
        <stp>7/31/2014</stp>
        <stp>7/31/2014</stp>
        <stp>[7-25-XFRC_FXTK.xlsm]FXTK-Forwards (2)!R22C13</stp>
        <stp>Days=A</stp>
        <stp>Fill=P</stp>
        <tr r="M22" s="28"/>
      </tp>
      <tp>
        <v>1.3391</v>
        <stp/>
        <stp>##V3_BDHV12</stp>
        <stp>EURUSD BGN Curncy</stp>
        <stp>PX_ASK</stp>
        <stp>7/31/2014</stp>
        <stp>7/31/2014</stp>
        <stp>[7-25-XFRC_FXTK.xlsm]FXTK-Forwards (2)!R20C13</stp>
        <stp>Days=A</stp>
        <stp>Fill=P</stp>
        <tr r="M20" s="28"/>
      </tp>
      <tp>
        <v>1.3391</v>
        <stp/>
        <stp>##V3_BDHV12</stp>
        <stp>EURUSD BGN Curncy</stp>
        <stp>PX_ASK</stp>
        <stp>7/31/2014</stp>
        <stp>7/31/2014</stp>
        <stp>[7-25-XFRC_FXTK.xlsm]FXTK-Forwards (2)!R21C13</stp>
        <stp>Days=A</stp>
        <stp>Fill=P</stp>
        <tr r="M21" s="28"/>
      </tp>
      <tp t="s">
        <v>2/6/2008</v>
        <stp/>
        <stp>##V3_BDPV12</stp>
        <stp>EUR/JPY @020208 CURNCY</stp>
        <stp>SETTLE_DT</stp>
        <stp>[7-25-XFRC_FXTK.xlsm]FXTK-Swaps!R36C18</stp>
        <tr r="R36" s="30"/>
      </tp>
      <tp>
        <v>1482.33</v>
        <stp/>
        <stp>##V3_BFXSWAPV12</stp>
        <stp>[7-25-XFRC_FXTK.xlsm]FXTK-Swaps!R42C13</stp>
        <stp>BFXSWAP</stp>
        <stp>USDTRY</stp>
        <stp>NEARDATE</stp>
        <stp>40932</stp>
        <stp>FARDATE</stp>
        <stp>41330</stp>
        <stp>OUTPUT</stp>
        <stp>FARASKPOINTS</stp>
        <stp>PRICINGDATE</stp>
        <stp>40301</stp>
        <stp>HOLIDAYVALUES=TRUE</stp>
        <stp>MARKETTYPE</stp>
        <stp/>
        <tr r="M42" s="30"/>
      </tp>
      <tp>
        <v>1220.95</v>
        <stp/>
        <stp>##V3_BFXSWAPV12</stp>
        <stp>[7-25-XFRC_FXTK.xlsm]FXTK-Swaps!R42C12</stp>
        <stp>BFXSWAP</stp>
        <stp>USDTRY</stp>
        <stp>NEARDATE</stp>
        <stp>40932</stp>
        <stp>FARDATE</stp>
        <stp>41330</stp>
        <stp>OUTPUT</stp>
        <stp>FARBIDPOINTS</stp>
        <stp>PRICINGDATE</stp>
        <stp>40301</stp>
        <stp>HOLIDAYVALUES=TRUE</stp>
        <stp>MARKETTYPE</stp>
        <stp/>
        <tr r="L42" s="30"/>
      </tp>
      <tp t="s">
        <v>2/10/2015</v>
        <stp/>
        <stp>##V3_BDPV12</stp>
        <stp>EUR/JPY R 3W@011515 Curncy</stp>
        <stp>SETTLE_DT</stp>
        <stp>[7-25-XFRC_FXTK.xlsm]FXTK-Forward Dates!R106C9</stp>
        <tr r="I106" s="29"/>
      </tp>
      <tp>
        <v>87</v>
        <stp/>
        <stp>##V3_BCOUNTPERIODS</stp>
        <stp>9/6/2011</stp>
        <stp>1/6/2012</stp>
        <stp>[7-25-XFRC_FXTK.xlsm]FXTK-Forward Dates!R82C11</stp>
        <stp>CDR= TE</stp>
        <tr r="K82" s="29"/>
      </tp>
      <tp>
        <v>1.3397999999999999</v>
        <stp/>
        <stp>##V3_BDHV12</stp>
        <stp>EURUSD BGN Curncy</stp>
        <stp>PX_ASK</stp>
        <stp>7/30/2014</stp>
        <stp>7/30/2014</stp>
        <stp>[7-25-XFRC_FXTK.xlsm]FXTK-Forwards (2)!R12C13</stp>
        <stp>Days=A</stp>
        <stp>Fill=P</stp>
        <tr r="M12" s="28"/>
      </tp>
      <tp>
        <v>120.47</v>
        <stp/>
        <stp>##V3_BDHV12</stp>
        <stp>USDJPY BGN Curncy</stp>
        <stp>PX_ASK</stp>
        <stp>10/5/2015</stp>
        <stp>10/5/2015</stp>
        <stp>[7-25-XFRC_FXTK.xlsm]FXTK-Forwards (2)!R15C13</stp>
        <stp>Days=A</stp>
        <stp>Fill=P</stp>
        <tr r="M15" s="28"/>
      </tp>
      <tp>
        <v>1.3391</v>
        <stp/>
        <stp>##V3_BDHV12</stp>
        <stp>EURUSD BGN Curncy</stp>
        <stp>PX_ASK</stp>
        <stp>7/31/2014</stp>
        <stp>7/31/2014</stp>
        <stp>[7-25-XFRC_FXTK.xlsm]FXTK-Forwards (2)!R18C13</stp>
        <stp>Days=A</stp>
        <stp>Fill=P</stp>
        <tr r="M18" s="28"/>
      </tp>
      <tp>
        <v>1.3391</v>
        <stp/>
        <stp>##V3_BDHV12</stp>
        <stp>EURUSD BGN Curncy</stp>
        <stp>PX_ASK</stp>
        <stp>7/31/2014</stp>
        <stp>7/31/2014</stp>
        <stp>[7-25-XFRC_FXTK.xlsm]FXTK-Forwards (2)!R19C13</stp>
        <stp>Days=A</stp>
        <stp>Fill=P</stp>
        <tr r="M19" s="28"/>
      </tp>
      <tp t="s">
        <v>2/20/2015</v>
        <stp/>
        <stp>##V3_BDPV12</stp>
        <stp>EUR/JPY R 1M@011515 Curncy</stp>
        <stp>SETTLE_DT</stp>
        <stp>[7-25-XFRC_FXTK.xlsm]FXTK-Forward Dates!R107C9</stp>
        <tr r="I107" s="29"/>
      </tp>
      <tp>
        <v>1.339</v>
        <stp/>
        <stp>##V3_BDHV12</stp>
        <stp>EURUSD BGN Curncy</stp>
        <stp>PX_BID</stp>
        <stp>7/31/2014</stp>
        <stp>7/31/2014</stp>
        <stp>[7-25-XFRC_FXTK.xlsm]FXTK-Forwards (2)!R20C12</stp>
        <stp>Days=A</stp>
        <stp>Fill=P</stp>
        <tr r="L20" s="28"/>
      </tp>
      <tp>
        <v>42003</v>
        <stp/>
        <stp>##V3_BADDPERIODS</stp>
        <stp>12/30/2014</stp>
        <stp>[7-25-XFRC_FXTK.xlsm]FXTK-Swaps!R18C3</stp>
        <stp>busdayadj=-1</stp>
        <tr r="C18" s="30"/>
      </tp>
      <tp>
        <v>1.339</v>
        <stp/>
        <stp>##V3_BDHV12</stp>
        <stp>EURUSD BGN Curncy</stp>
        <stp>PX_BID</stp>
        <stp>7/31/2014</stp>
        <stp>7/31/2014</stp>
        <stp>[7-25-XFRC_FXTK.xlsm]FXTK-Forwards (2)!R21C12</stp>
        <stp>Days=A</stp>
        <stp>Fill=P</stp>
        <tr r="L21" s="28"/>
      </tp>
      <tp>
        <v>1.339</v>
        <stp/>
        <stp>##V3_BDHV12</stp>
        <stp>EURUSD BGN Curncy</stp>
        <stp>PX_BID</stp>
        <stp>7/31/2014</stp>
        <stp>7/31/2014</stp>
        <stp>[7-25-XFRC_FXTK.xlsm]FXTK-Forwards (2)!R22C12</stp>
        <stp>Days=A</stp>
        <stp>Fill=P</stp>
        <tr r="L22" s="28"/>
      </tp>
      <tp t="s">
        <v>Tenor</v>
        <stp/>
        <stp>##V3_BFXCURVEV12</stp>
        <stp>[7-25-XFRC_FXTK.xlsm]FXTK-Forward Dates!R11C2</stp>
        <stp>BFXCURVE</stp>
        <stp>EUR</stp>
        <stp>output=TENOR,DAYS,SETTLEMENTDATE,ASKPOINTS,BIDPOINTS,ASKOUTRIGHT,BIDOUTRIGHT</stp>
        <stp>MARKETTYPE</stp>
        <stp/>
        <stp>PRICINGDATE</stp>
        <stp>42020</stp>
        <stp>USEIMMTENORS</stp>
        <stp>Yes</stp>
        <tr r="B11" s="29"/>
      </tp>
      <tp>
        <v>-9.73</v>
        <stp/>
        <stp>##V3_BFXSWAPV12</stp>
        <stp>[7-25-XFRC_FXTK.xlsm]FXTK-Swaps!R45C12</stp>
        <stp>BFXSWAP</stp>
        <stp>USDKRW</stp>
        <stp>NEARDATE</stp>
        <stp>43143</stp>
        <stp>FARDATE</stp>
        <stp>43157</stp>
        <stp>OUTPUT</stp>
        <stp>FARBIDPOINTS</stp>
        <stp>PRICINGDATE</stp>
        <stp>42005</stp>
        <stp>HOLIDAYVALUES=TRUE</stp>
        <stp>MARKETTYPE</stp>
        <stp>NDF</stp>
        <tr r="L45" s="30"/>
      </tp>
      <tp t="s">
        <v>3/20/2015</v>
        <stp/>
        <stp>##V3_BDPV12</stp>
        <stp>EUR/JPY R 2M@011515 Curncy</stp>
        <stp>SETTLE_DT</stp>
        <stp>[7-25-XFRC_FXTK.xlsm]FXTK-Forward Dates!R108C9</stp>
        <tr r="I108" s="29"/>
      </tp>
      <tp t="s">
        <v>5/4/2010</v>
        <stp/>
        <stp>##V3_BDPV12</stp>
        <stp>USD/TRY @050110 CURNCY</stp>
        <stp>SETTLE_DT</stp>
        <stp>[7-25-XFRC_FXTK.xlsm]FXTK-Swaps!R42C18</stp>
        <tr r="R42" s="30"/>
      </tp>
      <tp>
        <v>9.1999999999999993</v>
        <stp/>
        <stp>##V3_BFXSWAPV12</stp>
        <stp>[7-25-XFRC_FXTK.xlsm]FXTK-Swaps!R45C13</stp>
        <stp>BFXSWAP</stp>
        <stp>USDKRW</stp>
        <stp>NEARDATE</stp>
        <stp>43143</stp>
        <stp>FARDATE</stp>
        <stp>43157</stp>
        <stp>OUTPUT</stp>
        <stp>FARASKPOINTS</stp>
        <stp>PRICINGDATE</stp>
        <stp>42005</stp>
        <stp>HOLIDAYVALUES=TRUE</stp>
        <stp>MARKETTYPE</stp>
        <stp>NDF</stp>
        <tr r="M45" s="30"/>
      </tp>
      <tp t="s">
        <v>4/20/2015</v>
        <stp/>
        <stp>##V3_BDPV12</stp>
        <stp>EUR/JPY R 3M@011515 Curncy</stp>
        <stp>SETTLE_DT</stp>
        <stp>[7-25-XFRC_FXTK.xlsm]FXTK-Forward Dates!R109C9</stp>
        <tr r="I109" s="29"/>
      </tp>
      <tp>
        <v>0.87880000000000003</v>
        <stp/>
        <stp>##V3_BDHV12</stp>
        <stp>AUDUSD BGN Curncy</stp>
        <stp>PX_ASK</stp>
        <stp>9/25/2014</stp>
        <stp>9/25/2014</stp>
        <stp>[7-25-XFRC_FXTK.xlsm]FXTK-Forwards (2)!R11C13</stp>
        <stp>Days=A</stp>
        <stp>Fill=P</stp>
        <tr r="M11" s="28"/>
      </tp>
      <tp>
        <v>8.07</v>
        <stp/>
        <stp>##V3_BFXSWAPV12</stp>
        <stp>[7-25-XFRC_FXTK.xlsm]FXTK-Swaps!R18C13</stp>
        <stp>BFXSWAP</stp>
        <stp>GBPUSD</stp>
        <stp>NEARDATE</stp>
        <stp>42394</stp>
        <stp>FARDATE</stp>
        <stp>42430</stp>
        <stp>OUTPUT</stp>
        <stp>FARASKPOINTS</stp>
        <stp>PRICINGDATE</stp>
        <stp>42003</stp>
        <stp>HOLIDAYVALUES=TRUE</stp>
        <stp>MARKETTYPE</stp>
        <stp/>
        <tr r="M18" s="30"/>
      </tp>
      <tp>
        <v>-3.91</v>
        <stp/>
        <stp>##V3_BFXSWAPV12</stp>
        <stp>[7-25-XFRC_FXTK.xlsm]FXTK-Swaps!R18C12</stp>
        <stp>BFXSWAP</stp>
        <stp>GBPUSD</stp>
        <stp>NEARDATE</stp>
        <stp>42394</stp>
        <stp>FARDATE</stp>
        <stp>42430</stp>
        <stp>OUTPUT</stp>
        <stp>FARBIDPOINTS</stp>
        <stp>PRICINGDATE</stp>
        <stp>42003</stp>
        <stp>HOLIDAYVALUES=TRUE</stp>
        <stp>MARKETTYPE</stp>
        <stp/>
        <tr r="L18" s="30"/>
      </tp>
      <tp>
        <v>77.64</v>
        <stp/>
        <stp>##V3_BFXSWAPV12</stp>
        <stp>[7-25-XFRC_FXTK.xlsm]FXTK-Swaps!R39C13</stp>
        <stp>BFXSWAP</stp>
        <stp>EURGBP</stp>
        <stp>NEARDATE</stp>
        <stp>40952</stp>
        <stp>FARDATE</stp>
        <stp>41330</stp>
        <stp>OUTPUT</stp>
        <stp>FARASKPOINTS</stp>
        <stp>PRICINGDATE</stp>
        <stp>40269</stp>
        <stp>HOLIDAYVALUES=TRUE</stp>
        <stp>MARKETTYPE</stp>
        <stp/>
        <tr r="M39" s="30"/>
      </tp>
      <tp>
        <v>47.02</v>
        <stp/>
        <stp>##V3_BFXSWAPV12</stp>
        <stp>[7-25-XFRC_FXTK.xlsm]FXTK-Swaps!R39C12</stp>
        <stp>BFXSWAP</stp>
        <stp>EURGBP</stp>
        <stp>NEARDATE</stp>
        <stp>40952</stp>
        <stp>FARDATE</stp>
        <stp>41330</stp>
        <stp>OUTPUT</stp>
        <stp>FARBIDPOINTS</stp>
        <stp>PRICINGDATE</stp>
        <stp>40269</stp>
        <stp>HOLIDAYVALUES=TRUE</stp>
        <stp>MARKETTYPE</stp>
        <stp/>
        <tr r="L39" s="30"/>
      </tp>
      <tp>
        <v>-494.7</v>
        <stp/>
        <stp>##V3_BFXSWAPV12</stp>
        <stp>[7-25-XFRC_FXTK.xlsm]FXTK-Swaps!R36C12</stp>
        <stp>BFXSWAP</stp>
        <stp>EURJPY</stp>
        <stp>NEARDATE</stp>
        <stp>40932</stp>
        <stp>FARDATE</stp>
        <stp>41330</stp>
        <stp>OUTPUT</stp>
        <stp>FARBIDPOINTS</stp>
        <stp>PRICINGDATE</stp>
        <stp>39482</stp>
        <stp>HOLIDAYVALUES=TRUE</stp>
        <stp>MARKETTYPE</stp>
        <stp/>
        <tr r="L36" s="30"/>
      </tp>
      <tp>
        <v>-289.95999999999998</v>
        <stp/>
        <stp>##V3_BFXSWAPV12</stp>
        <stp>[7-25-XFRC_FXTK.xlsm]FXTK-Swaps!R36C13</stp>
        <stp>BFXSWAP</stp>
        <stp>EURJPY</stp>
        <stp>NEARDATE</stp>
        <stp>40932</stp>
        <stp>FARDATE</stp>
        <stp>41330</stp>
        <stp>OUTPUT</stp>
        <stp>FARASKPOINTS</stp>
        <stp>PRICINGDATE</stp>
        <stp>39482</stp>
        <stp>HOLIDAYVALUES=TRUE</stp>
        <stp>MARKETTYPE</stp>
        <stp/>
        <tr r="M36" s="30"/>
      </tp>
      <tp>
        <v>1.0902700000000001</v>
        <stp/>
        <stp>##V3_BDHV12</stp>
        <stp>USDCAD BGN Curncy</stp>
        <stp>PX_MID</stp>
        <stp>7/30/2014</stp>
        <stp>7/30/2014</stp>
        <stp>[7-25-XFRC_FXTK.xlsm]FXTK-Forwards (2)!R14C14</stp>
        <stp>Days=A</stp>
        <stp>Fill=P</stp>
        <tr r="N14" s="28"/>
      </tp>
      <tp>
        <v>0.87870000000000004</v>
        <stp/>
        <stp>##V3_BDHV12</stp>
        <stp>AUDUSD BGN Curncy</stp>
        <stp>PX_BID</stp>
        <stp>9/25/2014</stp>
        <stp>9/25/2014</stp>
        <stp>[7-25-XFRC_FXTK.xlsm]FXTK-Forwards (2)!R11C12</stp>
        <stp>Days=A</stp>
        <stp>Fill=P</stp>
        <tr r="L11" s="28"/>
      </tp>
      <tp t="s">
        <v>4/7/2010</v>
        <stp/>
        <stp>##V3_BDPV12</stp>
        <stp>EUR/GBP @040110 CURNCY</stp>
        <stp>SETTLE_DT</stp>
        <stp>[7-25-XFRC_FXTK.xlsm]FXTK-Swaps!R39C18</stp>
        <tr r="R39" s="30"/>
      </tp>
      <tp>
        <v>1.3390500000000001</v>
        <stp/>
        <stp>##V3_BDHV12</stp>
        <stp>EURUSD BGN Curncy</stp>
        <stp>PX_MID</stp>
        <stp>7/31/2014</stp>
        <stp>7/31/2014</stp>
        <stp>[7-25-XFRC_FXTK.xlsm]FXTK-Forwards (2)!R18C14</stp>
        <stp>Days=A</stp>
        <stp>Fill=P</stp>
        <tr r="N18" s="28"/>
      </tp>
      <tp>
        <v>120.46</v>
        <stp/>
        <stp>##V3_BDHV12</stp>
        <stp>USDJPY BGN Curncy</stp>
        <stp>PX_MID</stp>
        <stp>10/5/2015</stp>
        <stp>10/5/2015</stp>
        <stp>[7-25-XFRC_FXTK.xlsm]FXTK-Forwards (2)!R15C14</stp>
        <stp>Days=A</stp>
        <stp>Fill=P</stp>
        <tr r="N15" s="28"/>
      </tp>
      <tp>
        <v>1.3390500000000001</v>
        <stp/>
        <stp>##V3_BDHV12</stp>
        <stp>EURUSD BGN Curncy</stp>
        <stp>PX_MID</stp>
        <stp>7/31/2014</stp>
        <stp>7/31/2014</stp>
        <stp>[7-25-XFRC_FXTK.xlsm]FXTK-Forwards (2)!R19C14</stp>
        <stp>Days=A</stp>
        <stp>Fill=P</stp>
        <tr r="N19" s="28"/>
      </tp>
      <tp>
        <v>1.3397000000000001</v>
        <stp/>
        <stp>##V3_BDHV12</stp>
        <stp>EURUSD BGN Curncy</stp>
        <stp>PX_MID</stp>
        <stp>7/30/2014</stp>
        <stp>7/30/2014</stp>
        <stp>[7-25-XFRC_FXTK.xlsm]FXTK-Forwards (2)!R12C14</stp>
        <stp>Days=A</stp>
        <stp>Fill=P</stp>
        <tr r="N12" s="28"/>
      </tp>
      <tp t="s">
        <v>Yes</v>
        <stp/>
        <stp>##V3_BSETTINGS</stp>
        <stp>[7-25-XFRC_FXTK.xlsm]FXTK-Forwards (1)!R7C10</stp>
        <stp>BBA</stp>
        <tr r="J7" s="26"/>
      </tp>
      <tp t="s">
        <v>TE</v>
        <stp/>
        <stp>##V3_BDPV12</stp>
        <stp>EUR Curncy</stp>
        <stp>CALENDAR_CODE</stp>
        <stp>[7-25-XFRC_FXTK.xlsm]FXTK-Forward Dates!R94C6</stp>
        <tr r="F94" s="29"/>
      </tp>
      <tp>
        <v>1</v>
        <stp/>
        <stp>##V3_BCOUNTPERIODS</stp>
        <stp>9/6/2011</stp>
        <stp>9/7/2011</stp>
        <stp>[7-25-XFRC_FXTK.xlsm]FXTK-Forward Dates!R75C11</stp>
        <stp>CDR= TE</stp>
        <tr r="K75" s="29"/>
      </tp>
      <tp>
        <v>258</v>
        <stp/>
        <stp>##V3_BCOUNTPERIODS</stp>
        <stp>9/6/2011</stp>
        <stp>9/6/2012</stp>
        <stp>[7-25-XFRC_FXTK.xlsm]FXTK-Forward Dates!R90C11</stp>
        <stp>CDR= TE</stp>
        <tr r="K90" s="29"/>
      </tp>
      <tp>
        <v>1.3390500000000001</v>
        <stp/>
        <stp>##V3_BDHV12</stp>
        <stp>EURUSD BGN Curncy</stp>
        <stp>PX_MID</stp>
        <stp>7/31/2014</stp>
        <stp>7/31/2014</stp>
        <stp>[7-25-XFRC_FXTK.xlsm]FXTK-Forwards (2)!R20C14</stp>
        <stp>Days=A</stp>
        <stp>Fill=P</stp>
        <tr r="N20" s="28"/>
      </tp>
      <tp>
        <v>1.3390500000000001</v>
        <stp/>
        <stp>##V3_BDHV12</stp>
        <stp>EURUSD BGN Curncy</stp>
        <stp>PX_MID</stp>
        <stp>7/31/2014</stp>
        <stp>7/31/2014</stp>
        <stp>[7-25-XFRC_FXTK.xlsm]FXTK-Forwards (2)!R21C14</stp>
        <stp>Days=A</stp>
        <stp>Fill=P</stp>
        <tr r="N21" s="28"/>
      </tp>
      <tp>
        <v>1.3390500000000001</v>
        <stp/>
        <stp>##V3_BDHV12</stp>
        <stp>EURUSD BGN Curncy</stp>
        <stp>PX_MID</stp>
        <stp>7/31/2014</stp>
        <stp>7/31/2014</stp>
        <stp>[7-25-XFRC_FXTK.xlsm]FXTK-Forwards (2)!R22C14</stp>
        <stp>Days=A</stp>
        <stp>Fill=P</stp>
        <tr r="N22" s="28"/>
      </tp>
      <tp>
        <v>235</v>
        <stp/>
        <stp>##V3_BCOUNTPERIODS</stp>
        <stp>9/6/2011</stp>
        <stp>8/6/2012</stp>
        <stp>[7-25-XFRC_FXTK.xlsm]FXTK-Forward Dates!R89C11</stp>
        <stp>CDR= TE</stp>
        <tr r="K89" s="29"/>
      </tp>
      <tp t="s">
        <v>3/5/2014</v>
        <stp/>
        <stp>##V3_BDPV12</stp>
        <stp>USD/SEK @030114 CURNCY</stp>
        <stp>SETTLE_DT</stp>
        <stp>[7-25-XFRC_FXTK.xlsm]FXTK-Swaps!R33C18</stp>
        <tr r="R33" s="30"/>
      </tp>
      <tp>
        <v>-25.6</v>
        <stp/>
        <stp>##V3_BFXSWAPV12</stp>
        <stp>[7-25-XFRC_FXTK.xlsm]FXTK-Swaps!R33C12</stp>
        <stp>BFXSWAP</stp>
        <stp>USDSEK</stp>
        <stp>NEARDATE</stp>
        <stp>42258</stp>
        <stp>FARDATE</stp>
        <stp>42272</stp>
        <stp>OUTPUT</stp>
        <stp>FARBIDPOINTS</stp>
        <stp>PRICINGDATE</stp>
        <stp>41701</stp>
        <stp>HOLIDAYVALUES=TRUE</stp>
        <stp>MARKETTYPE</stp>
        <stp/>
        <tr r="L33" s="30"/>
      </tp>
      <tp>
        <v>57.08</v>
        <stp/>
        <stp>##V3_BFXSWAPV12</stp>
        <stp>[7-25-XFRC_FXTK.xlsm]FXTK-Swaps!R33C13</stp>
        <stp>BFXSWAP</stp>
        <stp>USDSEK</stp>
        <stp>NEARDATE</stp>
        <stp>42258</stp>
        <stp>FARDATE</stp>
        <stp>42272</stp>
        <stp>OUTPUT</stp>
        <stp>FARASKPOINTS</stp>
        <stp>PRICINGDATE</stp>
        <stp>41701</stp>
        <stp>HOLIDAYVALUES=TRUE</stp>
        <stp>MARKETTYPE</stp>
        <stp/>
        <tr r="M33" s="30"/>
      </tp>
      <tp>
        <v>-317.43</v>
        <stp/>
        <stp>##V3_BFXSWAPV12</stp>
        <stp>[7-25-XFRC_FXTK.xlsm]FXTK-Swaps!R30C12</stp>
        <stp>BFXSWAP</stp>
        <stp>USDNOK</stp>
        <stp>NEARDATE</stp>
        <stp>44410</stp>
        <stp>FARDATE</stp>
        <stp>44501</stp>
        <stp>OUTPUT</stp>
        <stp>FARBIDPOINTS</stp>
        <stp>PRICINGDATE</stp>
        <stp>40665</stp>
        <stp>HOLIDAYVALUES=TRUE</stp>
        <stp>MARKETTYPE</stp>
        <stp/>
        <tr r="L30" s="30"/>
      </tp>
      <tp>
        <v>363.32</v>
        <stp/>
        <stp>##V3_BFXSWAPV12</stp>
        <stp>[7-25-XFRC_FXTK.xlsm]FXTK-Swaps!R30C13</stp>
        <stp>BFXSWAP</stp>
        <stp>USDNOK</stp>
        <stp>NEARDATE</stp>
        <stp>44410</stp>
        <stp>FARDATE</stp>
        <stp>44501</stp>
        <stp>OUTPUT</stp>
        <stp>FARASKPOINTS</stp>
        <stp>PRICINGDATE</stp>
        <stp>40665</stp>
        <stp>HOLIDAYVALUES=TRUE</stp>
        <stp>MARKETTYPE</stp>
        <stp/>
        <tr r="M30" s="30"/>
      </tp>
      <tp t="s">
        <v>5/4/2011</v>
        <stp/>
        <stp>##V3_BDPV12</stp>
        <stp>USD/NOK @050211 CURNCY</stp>
        <stp>SETTLE_DT</stp>
        <stp>[7-25-XFRC_FXTK.xlsm]FXTK-Swaps!R30C18</stp>
        <tr r="R30" s="30"/>
      </tp>
      <tp>
        <v>-48.11</v>
        <stp/>
        <stp>##V3_BFXSWAPV12</stp>
        <stp>[7-25-XFRC_FXTK.xlsm]FXTK-Swaps!R24C13</stp>
        <stp>BFXSWAP</stp>
        <stp>USDCHF</stp>
        <stp>NEARDATE</stp>
        <stp>43103</stp>
        <stp>FARDATE</stp>
        <stp>43293</stp>
        <stp>OUTPUT</stp>
        <stp>FARASKPOINTS</stp>
        <stp>PRICINGDATE</stp>
        <stp>40728</stp>
        <stp>HOLIDAYVALUES=TRUE</stp>
        <stp>MARKETTYPE</stp>
        <stp/>
        <tr r="M24" s="30"/>
      </tp>
      <tp>
        <v>-150.88</v>
        <stp/>
        <stp>##V3_BFXSWAPV12</stp>
        <stp>[7-25-XFRC_FXTK.xlsm]FXTK-Swaps!R24C12</stp>
        <stp>BFXSWAP</stp>
        <stp>USDCHF</stp>
        <stp>NEARDATE</stp>
        <stp>43103</stp>
        <stp>FARDATE</stp>
        <stp>43293</stp>
        <stp>OUTPUT</stp>
        <stp>FARBIDPOINTS</stp>
        <stp>PRICINGDATE</stp>
        <stp>40728</stp>
        <stp>HOLIDAYVALUES=TRUE</stp>
        <stp>MARKETTYPE</stp>
        <stp/>
        <tr r="L24" s="30"/>
      </tp>
      <tp>
        <v>6.36</v>
        <stp/>
        <stp>##V3_BFXFORWARDV12</stp>
        <stp>[7-25-XFRC_FXTK.xlsm]FXTK-Swaps!R44C9</stp>
        <stp>BFXFORWARD</stp>
        <stp>USDKRW</stp>
        <stp>SETTLEMENTDATE</stp>
        <stp>43143</stp>
        <stp>OUTPUT</stp>
        <stp>ASKPOINTS</stp>
        <stp>PRICINGDATE</stp>
        <stp>42005</stp>
        <stp>HOLIDAYVALUES=TRUE</stp>
        <stp>MARKETTYPE</stp>
        <stp>NDF</stp>
        <tr r="I44" s="30"/>
      </tp>
      <tp>
        <v>6.13</v>
        <stp/>
        <stp>##V3_BFXFORWARDV12</stp>
        <stp>[7-25-XFRC_FXTK.xlsm]FXTK-Swaps!R45C9</stp>
        <stp>BFXFORWARD</stp>
        <stp>USDKRW</stp>
        <stp>SETTLEMENTDATE</stp>
        <stp>43157</stp>
        <stp>OUTPUT</stp>
        <stp>ASKPOINTS</stp>
        <stp>PRICINGDATE</stp>
        <stp>42005</stp>
        <stp>HOLIDAYVALUES=TRUE</stp>
        <stp>MARKETTYPE</stp>
        <stp>NDF</stp>
        <tr r="I45" s="30"/>
      </tp>
      <tp>
        <v>3.33</v>
        <stp/>
        <stp>##V3_BFXSWAPV12</stp>
        <stp>[7-25-XFRC_FXTK.xlsm]FXTK-Swaps!R12C12</stp>
        <stp>BFXSWAP</stp>
        <stp>EURUSD</stp>
        <stp>NEARDATE</stp>
        <stp>42380</stp>
        <stp>FARDATE</stp>
        <stp>42394</stp>
        <stp>OUTPUT</stp>
        <stp>FARBIDPOINTS</stp>
        <stp>PRICINGDATE</stp>
        <stp>42009</stp>
        <stp>HOLIDAYVALUES=TRUE</stp>
        <stp>MARKETTYPE</stp>
        <stp/>
        <tr r="L12" s="30"/>
      </tp>
      <tp>
        <v>7.16</v>
        <stp/>
        <stp>##V3_BFXSWAPV12</stp>
        <stp>[7-25-XFRC_FXTK.xlsm]FXTK-Swaps!R12C13</stp>
        <stp>BFXSWAP</stp>
        <stp>EURUSD</stp>
        <stp>NEARDATE</stp>
        <stp>42380</stp>
        <stp>FARDATE</stp>
        <stp>42394</stp>
        <stp>OUTPUT</stp>
        <stp>FARASKPOINTS</stp>
        <stp>PRICINGDATE</stp>
        <stp>42009</stp>
        <stp>HOLIDAYVALUES=TRUE</stp>
        <stp>MARKETTYPE</stp>
        <stp/>
        <tr r="M12" s="30"/>
      </tp>
      <tp>
        <v>1.1015699999999999</v>
        <stp/>
        <stp>##V3_BDHV12</stp>
        <stp>EURUSD BGN Curncy</stp>
        <stp>PX_MID</stp>
        <stp>11/2/2015</stp>
        <stp>11/2/2015</stp>
        <stp>[7-25-XFRC_FXTK.xlsm]FXTK-Forwards (2)!R13C14</stp>
        <stp>Days=A</stp>
        <stp>Fill=P</stp>
        <tr r="N13" s="28"/>
      </tp>
      <tp t="s">
        <v>8/5/2014</v>
        <stp/>
        <stp>##V3_BDPV12</stp>
        <stp>USD/JPY @080114 CURNCY</stp>
        <stp>SETTLE_DT</stp>
        <stp>[7-25-XFRC_FXTK.xlsm]FXTK-Swaps!R15C18</stp>
        <tr r="R15" s="30"/>
      </tp>
      <tp t="s">
        <v>1/5/2015</v>
        <stp/>
        <stp>##V3_BDPV12</stp>
        <stp>USD/KRW @010115 CURNCY</stp>
        <stp>SETTLE_DT</stp>
        <stp>[7-25-XFRC_FXTK.xlsm]FXTK-Swaps!R45C18</stp>
        <tr r="R45" s="30"/>
      </tp>
      <tp>
        <v>116.0245</v>
        <stp/>
        <stp>##V3_BDPV12</stp>
        <stp>USD/JPY R 4M@011515 Curncy</stp>
        <stp>PX_ASK</stp>
        <stp>[7-25-XFRC_FXTK.xlsm]FXTK-Forward Dates!R82C24</stp>
        <tr r="X82" s="29"/>
      </tp>
      <tp>
        <v>115.8631</v>
        <stp/>
        <stp>##V3_BDPV12</stp>
        <stp>USD/JPY R 7M@011515 Curncy</stp>
        <stp>PX_BID</stp>
        <stp>[7-25-XFRC_FXTK.xlsm]FXTK-Forward Dates!R85C23</stp>
        <tr r="W85" s="29"/>
      </tp>
      <tp>
        <v>115.9845</v>
        <stp/>
        <stp>##V3_BDPV12</stp>
        <stp>USD/JPY R 5M@011515 Curncy</stp>
        <stp>PX_ASK</stp>
        <stp>[7-25-XFRC_FXTK.xlsm]FXTK-Forward Dates!R83C24</stp>
        <tr r="X83" s="29"/>
      </tp>
      <tp>
        <v>115.91800000000001</v>
        <stp/>
        <stp>##V3_BDPV12</stp>
        <stp>USD/JPY R 6M@011515 Curncy</stp>
        <stp>PX_BID</stp>
        <stp>[7-25-XFRC_FXTK.xlsm]FXTK-Forward Dates!R84C23</stp>
        <tr r="W84" s="29"/>
      </tp>
      <tp>
        <v>115.938</v>
        <stp/>
        <stp>##V3_BDPV12</stp>
        <stp>USD/JPY R 6M@011515 Curncy</stp>
        <stp>PX_ASK</stp>
        <stp>[7-25-XFRC_FXTK.xlsm]FXTK-Forward Dates!R84C24</stp>
        <tr r="X84" s="29"/>
      </tp>
      <tp>
        <v>115.96550000000001</v>
        <stp/>
        <stp>##V3_BDPV12</stp>
        <stp>USD/JPY R 5M@011515 Curncy</stp>
        <stp>PX_BID</stp>
        <stp>[7-25-XFRC_FXTK.xlsm]FXTK-Forward Dates!R83C23</stp>
        <tr r="W83" s="29"/>
      </tp>
      <tp>
        <v>115.8848</v>
        <stp/>
        <stp>##V3_BDPV12</stp>
        <stp>USD/JPY R 7M@011515 Curncy</stp>
        <stp>PX_ASK</stp>
        <stp>[7-25-XFRC_FXTK.xlsm]FXTK-Forward Dates!R85C24</stp>
        <tr r="X85" s="29"/>
      </tp>
      <tp>
        <v>116.00700000000001</v>
        <stp/>
        <stp>##V3_BDPV12</stp>
        <stp>USD/JPY R 4M@011515 Curncy</stp>
        <stp>PX_BID</stp>
        <stp>[7-25-XFRC_FXTK.xlsm]FXTK-Forward Dates!R82C23</stp>
        <tr r="W82" s="29"/>
      </tp>
      <tp>
        <v>116.1332</v>
        <stp/>
        <stp>##V3_BDPV12</stp>
        <stp>USD/JPY R 3W@011515 Curncy</stp>
        <stp>PX_BID</stp>
        <stp>[7-25-XFRC_FXTK.xlsm]FXTK-Forward Dates!R78C23</stp>
        <tr r="W78" s="29"/>
      </tp>
      <tp>
        <v>116.04600000000001</v>
        <stp/>
        <stp>##V3_BDPV12</stp>
        <stp>USD/JPY R 3M@011515 Curncy</stp>
        <stp>PX_BID</stp>
        <stp>[7-25-XFRC_FXTK.xlsm]FXTK-Forward Dates!R81C23</stp>
        <tr r="W81" s="29"/>
      </tp>
      <tp>
        <v>116.1418</v>
        <stp/>
        <stp>##V3_BDPV12</stp>
        <stp>USD/JPY R 2W@011515 Curncy</stp>
        <stp>PX_BID</stp>
        <stp>[7-25-XFRC_FXTK.xlsm]FXTK-Forward Dates!R77C23</stp>
        <tr r="W77" s="29"/>
      </tp>
      <tp>
        <v>116.1349</v>
        <stp/>
        <stp>##V3_BDPV12</stp>
        <stp>USD/JPY R 1M@011515 Curncy</stp>
        <stp>PX_ASK</stp>
        <stp>[7-25-XFRC_FXTK.xlsm]FXTK-Forward Dates!R79C24</stp>
        <tr r="X79" s="29"/>
      </tp>
      <tp>
        <v>116.1626</v>
        <stp/>
        <stp>##V3_BDPV12</stp>
        <stp>USD/JPY R 1W@011515 Curncy</stp>
        <stp>PX_ASK</stp>
        <stp>[7-25-XFRC_FXTK.xlsm]FXTK-Forward Dates!R76C24</stp>
        <tr r="X76" s="29"/>
      </tp>
      <tp>
        <v>116.09</v>
        <stp/>
        <stp>##V3_BDPV12</stp>
        <stp>USD/JPY R 2M@011515 Curncy</stp>
        <stp>PX_BID</stp>
        <stp>[7-25-XFRC_FXTK.xlsm]FXTK-Forward Dates!R80C23</stp>
        <tr r="W80" s="29"/>
      </tp>
      <tp>
        <v>116.10299999999999</v>
        <stp/>
        <stp>##V3_BDPV12</stp>
        <stp>USD/JPY R 2M@011515 Curncy</stp>
        <stp>PX_ASK</stp>
        <stp>[7-25-XFRC_FXTK.xlsm]FXTK-Forward Dates!R80C24</stp>
        <tr r="X80" s="29"/>
      </tp>
      <tp>
        <v>116.1503</v>
        <stp/>
        <stp>##V3_BDPV12</stp>
        <stp>USD/JPY R 1W@011515 Curncy</stp>
        <stp>PX_BID</stp>
        <stp>[7-25-XFRC_FXTK.xlsm]FXTK-Forward Dates!R76C23</stp>
        <tr r="W76" s="29"/>
      </tp>
      <tp>
        <v>116.1202</v>
        <stp/>
        <stp>##V3_BDPV12</stp>
        <stp>USD/JPY R 1M@011515 Curncy</stp>
        <stp>PX_BID</stp>
        <stp>[7-25-XFRC_FXTK.xlsm]FXTK-Forward Dates!R79C23</stp>
        <tr r="W79" s="29"/>
      </tp>
      <tp>
        <v>116.1536</v>
        <stp/>
        <stp>##V3_BDPV12</stp>
        <stp>USD/JPY R 2W@011515 Curncy</stp>
        <stp>PX_ASK</stp>
        <stp>[7-25-XFRC_FXTK.xlsm]FXTK-Forward Dates!R77C24</stp>
        <tr r="X77" s="29"/>
      </tp>
      <tp>
        <v>116.0611</v>
        <stp/>
        <stp>##V3_BDPV12</stp>
        <stp>USD/JPY R 3M@011515 Curncy</stp>
        <stp>PX_ASK</stp>
        <stp>[7-25-XFRC_FXTK.xlsm]FXTK-Forward Dates!R81C24</stp>
        <tr r="X81" s="29"/>
      </tp>
      <tp>
        <v>116.146</v>
        <stp/>
        <stp>##V3_BDPV12</stp>
        <stp>USD/JPY R 3W@011515 Curncy</stp>
        <stp>PX_ASK</stp>
        <stp>[7-25-XFRC_FXTK.xlsm]FXTK-Forward Dates!R78C24</stp>
        <tr r="X78" s="29"/>
      </tp>
      <tp>
        <v>115.8227</v>
        <stp/>
        <stp>##V3_BDPV12</stp>
        <stp>USD/JPY R 8M@011515 Curncy</stp>
        <stp>PX_ASK</stp>
        <stp>[7-25-XFRC_FXTK.xlsm]FXTK-Forward Dates!R86C24</stp>
        <tr r="X86" s="29"/>
      </tp>
      <tp>
        <v>115.7766</v>
        <stp/>
        <stp>##V3_BDPV12</stp>
        <stp>USD/JPY R 9M@011515 Curncy</stp>
        <stp>PX_ASK</stp>
        <stp>[7-25-XFRC_FXTK.xlsm]FXTK-Forward Dates!R87C24</stp>
        <tr r="X87" s="29"/>
      </tp>
      <tp>
        <v>115.7514</v>
        <stp/>
        <stp>##V3_BDPV12</stp>
        <stp>USD/JPY R 9M@011515 Curncy</stp>
        <stp>PX_BID</stp>
        <stp>[7-25-XFRC_FXTK.xlsm]FXTK-Forward Dates!R87C23</stp>
        <tr r="W87" s="29"/>
      </tp>
      <tp>
        <v>115.79900000000001</v>
        <stp/>
        <stp>##V3_BDPV12</stp>
        <stp>USD/JPY R 8M@011515 Curncy</stp>
        <stp>PX_BID</stp>
        <stp>[7-25-XFRC_FXTK.xlsm]FXTK-Forward Dates!R86C23</stp>
        <tr r="W86" s="29"/>
      </tp>
      <tp>
        <v>116.17409000000001</v>
        <stp/>
        <stp>##V3_BDPV12</stp>
        <stp>USD/JPY R TN@011515 Curncy</stp>
        <stp>PX_ASK</stp>
        <stp>[7-25-XFRC_FXTK.xlsm]FXTK-Forward Dates!R73C24</stp>
        <tr r="X73" s="29"/>
      </tp>
      <tp>
        <v>116.15939</v>
        <stp/>
        <stp>##V3_BDPV12</stp>
        <stp>USD/JPY R TN@011515 Curncy</stp>
        <stp>PX_BID</stp>
        <stp>[7-25-XFRC_FXTK.xlsm]FXTK-Forward Dates!R73C23</stp>
        <tr r="W73" s="29"/>
      </tp>
      <tp>
        <v>116.1581</v>
        <stp/>
        <stp>##V3_BDPV12</stp>
        <stp>USD/JPY R SN@011515 Curncy</stp>
        <stp>PX_BID</stp>
        <stp>[7-25-XFRC_FXTK.xlsm]FXTK-Forward Dates!R75C23</stp>
        <tr r="W75" s="29"/>
      </tp>
      <tp>
        <v>116.1692</v>
        <stp/>
        <stp>##V3_BDPV12</stp>
        <stp>USD/JPY R SN@011515 Curncy</stp>
        <stp>PX_ASK</stp>
        <stp>[7-25-XFRC_FXTK.xlsm]FXTK-Forward Dates!R75C24</stp>
        <tr r="X75" s="29"/>
      </tp>
      <tp>
        <v>1090.56</v>
        <stp/>
        <stp>##V3_BFXFORWARDV12</stp>
        <stp>[7-25-XFRC_FXTK.xlsm]FXTK-Swaps!R45C10</stp>
        <stp>BFXFORWARD</stp>
        <stp>USDKRW</stp>
        <stp>SETTLEMENTDATE</stp>
        <stp>43157</stp>
        <stp>OUTPUT</stp>
        <stp>BIDOUTRIGHT</stp>
        <stp>PRICINGDATE</stp>
        <stp>42005</stp>
        <stp>HOLIDAYVALUES=TRUE</stp>
        <stp>MARKETTYPE</stp>
        <stp>NDF</stp>
        <tr r="J45" s="30"/>
      </tp>
      <tp>
        <v>1090.8599999999999</v>
        <stp/>
        <stp>##V3_BFXFORWARDV12</stp>
        <stp>[7-25-XFRC_FXTK.xlsm]FXTK-Swaps!R44C10</stp>
        <stp>BFXFORWARD</stp>
        <stp>USDKRW</stp>
        <stp>SETTLEMENTDATE</stp>
        <stp>43143</stp>
        <stp>OUTPUT</stp>
        <stp>BIDOUTRIGHT</stp>
        <stp>PRICINGDATE</stp>
        <stp>42005</stp>
        <stp>HOLIDAYVALUES=TRUE</stp>
        <stp>MARKETTYPE</stp>
        <stp>NDF</stp>
        <tr r="J44" s="30"/>
      </tp>
      <tp t="s">
        <v>7/3/2013</v>
        <stp/>
        <stp>##V3_BDPV12</stp>
        <stp>USD/DKK @063013 CURNCY</stp>
        <stp>SETTLE_DT</stp>
        <stp>[7-25-XFRC_FXTK.xlsm]FXTK-Swaps!R27C18</stp>
        <tr r="R27" s="30"/>
      </tp>
      <tp t="s">
        <v>1/2/2015</v>
        <stp/>
        <stp>##V3_BDPV12</stp>
        <stp>GBP/USD @123014 CURNCY</stp>
        <stp>SETTLE_DT</stp>
        <stp>[7-25-XFRC_FXTK.xlsm]FXTK-Swaps!R18C18</stp>
        <tr r="R18" s="30"/>
      </tp>
      <tp>
        <v>41955</v>
        <stp/>
        <stp>##V3_BFXFORWARDV12</stp>
        <stp>[7-25-XFRC_FXTK.xlsm]FXTK-Forwards (2)!R17C8</stp>
        <stp>BFXFORWARD</stp>
        <stp>EURUSD</stp>
        <stp>TENOR</stp>
        <stp>1W</stp>
        <stp>OUTPUT</stp>
        <stp>SETTLEMENTDATE</stp>
        <stp>PRICINGDATE</stp>
        <stp>41943</stp>
        <tr r="H17" s="28"/>
      </tp>
      <tp t="s">
        <v>1/20/2015</v>
        <stp/>
        <stp>##V3_BDPV12</stp>
        <stp>EUR/JPY R @011515 Curncy</stp>
        <stp>SETTLE_DT</stp>
        <stp>[7-25-XFRC_FXTK.xlsm]FXTK-Forward Dates!R102C9</stp>
        <tr r="I102" s="29"/>
      </tp>
      <tp>
        <v>1100.06</v>
        <stp/>
        <stp>##V3_BFXFORWARDV12</stp>
        <stp>[7-25-XFRC_FXTK.xlsm]FXTK-Swaps!R45C11</stp>
        <stp>BFXFORWARD</stp>
        <stp>USDKRW</stp>
        <stp>SETTLEMENTDATE</stp>
        <stp>43157</stp>
        <stp>OUTPUT</stp>
        <stp>ASKOUTRIGHT</stp>
        <stp>PRICINGDATE</stp>
        <stp>42005</stp>
        <stp>HOLIDAYVALUES=TRUE</stp>
        <stp>MARKETTYPE</stp>
        <stp>NDF</stp>
        <tr r="K45" s="30"/>
      </tp>
      <tp>
        <v>1100.29</v>
        <stp/>
        <stp>##V3_BFXFORWARDV12</stp>
        <stp>[7-25-XFRC_FXTK.xlsm]FXTK-Swaps!R44C11</stp>
        <stp>BFXFORWARD</stp>
        <stp>USDKRW</stp>
        <stp>SETTLEMENTDATE</stp>
        <stp>43143</stp>
        <stp>OUTPUT</stp>
        <stp>ASKOUTRIGHT</stp>
        <stp>PRICINGDATE</stp>
        <stp>42005</stp>
        <stp>HOLIDAYVALUES=TRUE</stp>
        <stp>MARKETTYPE</stp>
        <stp>NDF</stp>
        <tr r="K44" s="30"/>
      </tp>
      <tp t="s">
        <v>1/7/2015</v>
        <stp/>
        <stp>##V3_BDPV12</stp>
        <stp>EUR/USD @010315 CURNCY</stp>
        <stp>SETTLE_DT</stp>
        <stp>[7-25-XFRC_FXTK.xlsm]FXTK-Swaps!R12C18</stp>
        <tr r="R12" s="30"/>
      </tp>
      <tp>
        <v>-3.07</v>
        <stp/>
        <stp>##V3_BFXFORWARDV12</stp>
        <stp>[7-25-XFRC_FXTK.xlsm]FXTK-Swaps!R44C8</stp>
        <stp>BFXFORWARD</stp>
        <stp>USDKRW</stp>
        <stp>SETTLEMENTDATE</stp>
        <stp>43143</stp>
        <stp>OUTPUT</stp>
        <stp>BIDPOINTS</stp>
        <stp>PRICINGDATE</stp>
        <stp>42005</stp>
        <stp>HOLIDAYVALUES=TRUE</stp>
        <stp>MARKETTYPE</stp>
        <stp>NDF</stp>
        <tr r="H44" s="30"/>
      </tp>
      <tp>
        <v>-3.37</v>
        <stp/>
        <stp>##V3_BFXFORWARDV12</stp>
        <stp>[7-25-XFRC_FXTK.xlsm]FXTK-Swaps!R45C8</stp>
        <stp>BFXFORWARD</stp>
        <stp>USDKRW</stp>
        <stp>SETTLEMENTDATE</stp>
        <stp>43157</stp>
        <stp>OUTPUT</stp>
        <stp>BIDPOINTS</stp>
        <stp>PRICINGDATE</stp>
        <stp>42005</stp>
        <stp>HOLIDAYVALUES=TRUE</stp>
        <stp>MARKETTYPE</stp>
        <stp>NDF</stp>
        <tr r="H45" s="30"/>
      </tp>
      <tp>
        <v>41886</v>
        <stp/>
        <stp>##V3_BFXFORWARDV12</stp>
        <stp>[7-25-XFRC_FXTK.xlsm]FXTK-Forwards (2)!R19C8</stp>
        <stp>BFXFORWARD</stp>
        <stp>EURUSD</stp>
        <stp>TENOR</stp>
        <stp>1M</stp>
        <stp>OUTPUT</stp>
        <stp>SETTLEMENTDATE</stp>
        <stp>PRICINGDATE</stp>
        <stp>41851</stp>
        <tr r="H19" s="28"/>
      </tp>
      <tp>
        <v>41869</v>
        <stp/>
        <stp>##V3_BFXFORWARDV12</stp>
        <stp>[7-25-XFRC_FXTK.xlsm]FXTK-Forwards (2)!R18C8</stp>
        <stp>BFXFORWARD</stp>
        <stp>EURUSD</stp>
        <stp>TENOR</stp>
        <stp>2W</stp>
        <stp>OUTPUT</stp>
        <stp>SETTLEMENTDATE</stp>
        <stp>PRICINGDATE</stp>
        <stp>41851</stp>
        <tr r="H18" s="28"/>
      </tp>
      <tp t="s">
        <v>7/6/2011</v>
        <stp/>
        <stp>##V3_BDPV12</stp>
        <stp>USD/CHF @070211 CURNCY</stp>
        <stp>SETTLE_DT</stp>
        <stp>[7-25-XFRC_FXTK.xlsm]FXTK-Swaps!R24C18</stp>
        <tr r="R24" s="30"/>
      </tp>
      <tp t="s">
        <v>7/2/2014</v>
        <stp/>
        <stp>##V3_BDPV12</stp>
        <stp>AUD/USD @063014 CURNCY</stp>
        <stp>SETTLE_DT</stp>
        <stp>[7-25-XFRC_FXTK.xlsm]FXTK-Swaps!R21C18</stp>
        <tr r="R21" s="30"/>
      </tp>
      <tp>
        <v>-63.15</v>
        <stp/>
        <stp>##V3_BFXSWAPV12</stp>
        <stp>[7-25-XFRC_FXTK.xlsm]FXTK-Swaps!R21C12</stp>
        <stp>BFXSWAP</stp>
        <stp>AUDUSD</stp>
        <stp>NEARDATE</stp>
        <stp>42412</stp>
        <stp>FARDATE</stp>
        <stp>42523</stp>
        <stp>OUTPUT</stp>
        <stp>FARBIDPOINTS</stp>
        <stp>PRICINGDATE</stp>
        <stp>41820</stp>
        <stp>HOLIDAYVALUES=TRUE</stp>
        <stp>MARKETTYPE</stp>
        <stp/>
        <tr r="L21" s="30"/>
      </tp>
      <tp>
        <v>-51.73</v>
        <stp/>
        <stp>##V3_BFXSWAPV12</stp>
        <stp>[7-25-XFRC_FXTK.xlsm]FXTK-Swaps!R21C13</stp>
        <stp>BFXSWAP</stp>
        <stp>AUDUSD</stp>
        <stp>NEARDATE</stp>
        <stp>42412</stp>
        <stp>FARDATE</stp>
        <stp>42523</stp>
        <stp>OUTPUT</stp>
        <stp>FARASKPOINTS</stp>
        <stp>PRICINGDATE</stp>
        <stp>41820</stp>
        <stp>HOLIDAYVALUES=TRUE</stp>
        <stp>MARKETTYPE</stp>
        <stp/>
        <tr r="M21" s="30"/>
      </tp>
      <tp>
        <v>1.1015999999999999</v>
        <stp/>
        <stp>##V3_BDHV12</stp>
        <stp>EURUSD BGN Curncy</stp>
        <stp>PX_ASK</stp>
        <stp>11/2/2015</stp>
        <stp>11/2/2015</stp>
        <stp>[7-25-XFRC_FXTK.xlsm]FXTK-Forwards (2)!R13C13</stp>
        <stp>Days=A</stp>
        <stp>Fill=P</stp>
        <tr r="M13" s="28"/>
      </tp>
      <tp t="s">
        <v>1/20/2016</v>
        <stp/>
        <stp>##V3_BDPV12</stp>
        <stp>USD/JPY R 12M@011515 Curncy</stp>
        <stp>SETTLE_DT</stp>
        <stp>[7-25-XFRC_FXTK.xlsm]FXTK-Forward Dates!R90C20</stp>
        <tr r="T90" s="29"/>
      </tp>
      <tp t="s">
        <v>12/21/2015</v>
        <stp/>
        <stp>##V3_BDPV12</stp>
        <stp>USD/JPY R 11M@011515 Curncy</stp>
        <stp>SETTLE_DT</stp>
        <stp>[7-25-XFRC_FXTK.xlsm]FXTK-Forward Dates!R89C20</stp>
        <tr r="T89" s="29"/>
      </tp>
      <tp t="s">
        <v>11/20/2015</v>
        <stp/>
        <stp>##V3_BDPV12</stp>
        <stp>USD/JPY R 10M@011515 Curncy</stp>
        <stp>SETTLE_DT</stp>
        <stp>[7-25-XFRC_FXTK.xlsm]FXTK-Forward Dates!R88C20</stp>
        <tr r="T88" s="29"/>
      </tp>
      <tp>
        <v>1.1014999999999999</v>
        <stp/>
        <stp>##V3_BDHV12</stp>
        <stp>EURUSD BGN Curncy</stp>
        <stp>PX_BID</stp>
        <stp>11/2/2015</stp>
        <stp>11/2/2015</stp>
        <stp>[7-25-XFRC_FXTK.xlsm]FXTK-Forwards (2)!R13C12</stp>
        <stp>Days=A</stp>
        <stp>Fill=P</stp>
        <tr r="L13" s="28"/>
      </tp>
      <tp>
        <v>-310.02999999999997</v>
        <stp/>
        <stp>##V3_BFXSWAPV12</stp>
        <stp>[7-25-XFRC_FXTK.xlsm]FXTK-Swaps!R27C12</stp>
        <stp>BFXSWAP</stp>
        <stp>USDDKK</stp>
        <stp>NEARDATE</stp>
        <stp>42402</stp>
        <stp>FARDATE</stp>
        <stp>42583</stp>
        <stp>OUTPUT</stp>
        <stp>FARBIDPOINTS</stp>
        <stp>PRICINGDATE</stp>
        <stp>41456</stp>
        <stp>HOLIDAYVALUES=TRUE</stp>
        <stp>MARKETTYPE</stp>
        <stp/>
        <tr r="L27" s="30"/>
      </tp>
      <tp>
        <v>-53.58</v>
        <stp/>
        <stp>##V3_BFXSWAPV12</stp>
        <stp>[7-25-XFRC_FXTK.xlsm]FXTK-Swaps!R27C13</stp>
        <stp>BFXSWAP</stp>
        <stp>USDDKK</stp>
        <stp>NEARDATE</stp>
        <stp>42402</stp>
        <stp>FARDATE</stp>
        <stp>42583</stp>
        <stp>OUTPUT</stp>
        <stp>FARASKPOINTS</stp>
        <stp>PRICINGDATE</stp>
        <stp>41456</stp>
        <stp>HOLIDAYVALUES=TRUE</stp>
        <stp>MARKETTYPE</stp>
        <stp/>
        <tr r="M27" s="30"/>
      </tp>
      <tp>
        <v>102.33750000000001</v>
        <stp/>
        <stp>##V3_BFXFORWARDV12</stp>
        <stp>[7-25-XFRC_FXTK.xlsm]FXTK-Swaps!R14C10</stp>
        <stp>BFXFORWARD</stp>
        <stp>USDJPY</stp>
        <stp>SETTLEMENTDATE</stp>
        <stp>42125</stp>
        <stp>OUTPUT</stp>
        <stp>BIDOUTRIGHT</stp>
        <stp>PRICINGDATE</stp>
        <stp>41852</stp>
        <stp>HOLIDAYVALUES=TRUE</stp>
        <stp>MARKETTYPE</stp>
        <stp/>
        <tr r="J14" s="30"/>
      </tp>
      <tp>
        <v>0.76741599999999999</v>
        <stp/>
        <stp>##V3_BFXFORWARDV12</stp>
        <stp>[7-25-XFRC_FXTK.xlsm]FXTK-Swaps!R24C11</stp>
        <stp>BFXFORWARD</stp>
        <stp>USDCHF</stp>
        <stp>SETTLEMENTDATE</stp>
        <stp>43293</stp>
        <stp>OUTPUT</stp>
        <stp>ASKOUTRIGHT</stp>
        <stp>PRICINGDATE</stp>
        <stp>40728</stp>
        <stp>HOLIDAYVALUES=TRUE</stp>
        <stp>MARKETTYPE</stp>
        <stp/>
        <tr r="K24" s="30"/>
      </tp>
      <tp>
        <v>116.16</v>
        <stp/>
        <stp>##V3_BDPV12</stp>
        <stp>USD/JPY R @011515 Curncy</stp>
        <stp>PX_BID</stp>
        <stp>[7-25-XFRC_FXTK.xlsm]FXTK-Forward Dates!R74C23</stp>
        <tr r="W74" s="29"/>
      </tp>
      <tp>
        <v>116.17</v>
        <stp/>
        <stp>##V3_BDPV12</stp>
        <stp>USD/JPY R @011515 Curncy</stp>
        <stp>PX_ASK</stp>
        <stp>[7-25-XFRC_FXTK.xlsm]FXTK-Forward Dates!R74C24</stp>
        <tr r="X74" s="29"/>
      </tp>
      <tp>
        <v>41851</v>
        <stp/>
        <stp>##V3_BADDPERIODS</stp>
        <stp>7/31/2014</stp>
        <stp>[7-25-XFRC_FXTK.xlsm]FXTK-Forwards (2)!R22C7</stp>
        <stp>BUSDAYADJ=-1</stp>
        <tr r="G22" s="28"/>
      </tp>
      <tp>
        <v>41851</v>
        <stp/>
        <stp>##V3_BADDPERIODS</stp>
        <stp>7/31/2014</stp>
        <stp>[7-25-XFRC_FXTK.xlsm]FXTK-Forwards (2)!R20C7</stp>
        <stp>BUSDAYADJ=-1</stp>
        <tr r="G20" s="28"/>
      </tp>
      <tp>
        <v>41851</v>
        <stp/>
        <stp>##V3_BADDPERIODS</stp>
        <stp>7/31/2014</stp>
        <stp>[7-25-XFRC_FXTK.xlsm]FXTK-Forwards (2)!R21C7</stp>
        <stp>BUSDAYADJ=-1</stp>
        <tr r="G21" s="28"/>
      </tp>
      <tp>
        <v>41850</v>
        <stp/>
        <stp>##V3_BADDPERIODS</stp>
        <stp>7/30/2014</stp>
        <stp>[7-25-XFRC_FXTK.xlsm]FXTK-Forwards (2)!R12C7</stp>
        <stp>BUSDAYADJ=-1</stp>
        <tr r="G12" s="28"/>
      </tp>
      <tp>
        <v>41850</v>
        <stp/>
        <stp>##V3_BADDPERIODS</stp>
        <stp>7/30/2014</stp>
        <stp>[7-25-XFRC_FXTK.xlsm]FXTK-Forwards (2)!R14C7</stp>
        <stp>BUSDAYADJ=-1</stp>
        <tr r="G14" s="28"/>
      </tp>
      <tp>
        <v>41851</v>
        <stp/>
        <stp>##V3_BADDPERIODS</stp>
        <stp>7/31/2014</stp>
        <stp>[7-25-XFRC_FXTK.xlsm]FXTK-Forwards (2)!R18C7</stp>
        <stp>BUSDAYADJ=-1</stp>
        <tr r="G18" s="28"/>
      </tp>
      <tp>
        <v>41851</v>
        <stp/>
        <stp>##V3_BADDPERIODS</stp>
        <stp>7/31/2014</stp>
        <stp>[7-25-XFRC_FXTK.xlsm]FXTK-Forwards (2)!R19C7</stp>
        <stp>BUSDAYADJ=-1</stp>
        <tr r="G19" s="28"/>
      </tp>
      <tp>
        <v>-24.951799999999999</v>
        <stp/>
        <stp>##V3_BFXFORWARDV12</stp>
        <stp>[7-25-XFRC_FXTK.xlsm]FXTK-Forwards (1)!R16C8</stp>
        <stp>BFXFORWARD</stp>
        <stp>AUDGBP</stp>
        <stp>SETTLEMENTDATE</stp>
        <stp>42094</stp>
        <stp>OUTPUT</stp>
        <stp>BIDPoints</stp>
        <stp>markettype</stp>
        <stp/>
        <stp>source</stp>
        <stp>BGN</stp>
        <stp>pricingdate</stp>
        <stp>42019</stp>
        <stp>holidayvalues=true</stp>
        <tr r="H16" s="26"/>
      </tp>
      <tp>
        <v>40951</v>
        <stp/>
        <stp>##V3_BFXFORWARDV12</stp>
        <stp>[7-25-XFRC_FXTK.xlsm]FXTK-Swaps!R38C20</stp>
        <stp>BFXFORWARD</stp>
        <stp>EURGBP</stp>
        <stp>SETTLEMENTDATE</stp>
        <stp>40951</stp>
        <stp>OUTPUT</stp>
        <stp>SETTLEMENTDATE</stp>
        <stp>PRICINGDATE</stp>
        <stp>40269</stp>
        <tr r="T38" s="30"/>
      </tp>
      <tp>
        <v>1.553914</v>
        <stp/>
        <stp>##V3_BFXFORWARDV12</stp>
        <stp>[7-25-XFRC_FXTK.xlsm]FXTK-Swaps!R18C11</stp>
        <stp>BFXFORWARD</stp>
        <stp>GBPUSD</stp>
        <stp>SETTLEMENTDATE</stp>
        <stp>42430</stp>
        <stp>OUTPUT</stp>
        <stp>ASKOUTRIGHT</stp>
        <stp>PRICINGDATE</stp>
        <stp>42003</stp>
        <stp>HOLIDAYVALUES=TRUE</stp>
        <stp>MARKETTYPE</stp>
        <stp/>
        <tr r="K18" s="30"/>
      </tp>
      <tp>
        <v>-54.996000000000002</v>
        <stp/>
        <stp>##V3_BFXFORWARDV12</stp>
        <stp>[7-25-XFRC_FXTK.xlsm]FXTK-Forwards (1)!R16C9</stp>
        <stp>BFXFORWARD</stp>
        <stp>AUDGBP</stp>
        <stp>SETTLEMENTDATE</stp>
        <stp>42185</stp>
        <stp>OUTPUT</stp>
        <stp>BIDPoints</stp>
        <stp>markettype</stp>
        <stp/>
        <stp>source</stp>
        <stp>BGN</stp>
        <stp>pricingdate</stp>
        <stp>42019</stp>
        <stp>holidayvalues=true</stp>
        <tr r="I16" s="26"/>
      </tp>
      <tp>
        <v>41330</v>
        <stp/>
        <stp>##V3_BFXFORWARDV12</stp>
        <stp>[7-25-XFRC_FXTK.xlsm]FXTK-Swaps!R42C20</stp>
        <stp>BFXFORWARD</stp>
        <stp>USDTRY</stp>
        <stp>SETTLEMENTDATE</stp>
        <stp>41330</stp>
        <stp>OUTPUT</stp>
        <stp>SETTLEMENTDATE</stp>
        <stp>PRICINGDATE</stp>
        <stp>40301</stp>
        <tr r="T42" s="30"/>
      </tp>
      <tp>
        <v>414</v>
        <stp/>
        <stp>##V3_BFXFORWARDV12</stp>
        <stp>[7-25-XFRC_FXTK.xlsm]FXTK-Forwards (2)!R11C21</stp>
        <stp>BFXFORWARD</stp>
        <stp>AUDUSD</stp>
        <stp>SETTLEMENTDATE</stp>
        <stp>42325</stp>
        <stp>OUTPUT</stp>
        <stp>DAYS</stp>
        <stp>PRICINGDATE</stp>
        <stp>41907</stp>
        <tr r="U11" s="28"/>
      </tp>
      <tp>
        <v>138.03049999999999</v>
        <stp/>
        <stp>##V3_BFXFORWARDV12</stp>
        <stp>[7-25-XFRC_FXTK.xlsm]FXTK-Swaps!R36C11</stp>
        <stp>BFXFORWARD</stp>
        <stp>EURJPY</stp>
        <stp>SETTLEMENTDATE</stp>
        <stp>41330</stp>
        <stp>OUTPUT</stp>
        <stp>ASKOUTRIGHT</stp>
        <stp>PRICINGDATE</stp>
        <stp>39482</stp>
        <stp>HOLIDAYVALUES=TRUE</stp>
        <stp>MARKETTYPE</stp>
        <stp/>
        <tr r="K36" s="30"/>
      </tp>
      <tp t="s">
        <v>1/20/2016</v>
        <stp/>
        <stp>##V3_BDPV12</stp>
        <stp>EUR/JPY R 12M@011515 Curncy</stp>
        <stp>SETTLE_DT</stp>
        <stp>[7-25-XFRC_FXTK.xlsm]FXTK-Forward Dates!R118C9</stp>
        <tr r="I118" s="29"/>
      </tp>
      <tp>
        <v>398.23</v>
        <stp/>
        <stp>##V3_BFXFORWARDV12</stp>
        <stp>[7-25-XFRC_FXTK.xlsm]FXTK-Forwards (1)!R26C9</stp>
        <stp>BFXFORWARD</stp>
        <stp>USDIDR</stp>
        <stp>SETTLEMENTDATE</stp>
        <stp>42185</stp>
        <stp>OUTPUT</stp>
        <stp>ASKPoints</stp>
        <stp>markettype</stp>
        <stp>NDF</stp>
        <stp>source</stp>
        <stp>BGN</stp>
        <stp>pricingdate</stp>
        <stp>42019</stp>
        <stp>holidayvalues=true</stp>
        <tr r="I26" s="26"/>
      </tp>
      <tp>
        <v>166.61</v>
        <stp/>
        <stp>##V3_BFXFORWARDV12</stp>
        <stp>[7-25-XFRC_FXTK.xlsm]FXTK-Forwards (1)!R26C8</stp>
        <stp>BFXFORWARD</stp>
        <stp>USDIDR</stp>
        <stp>SETTLEMENTDATE</stp>
        <stp>42094</stp>
        <stp>OUTPUT</stp>
        <stp>ASKPoints</stp>
        <stp>markettype</stp>
        <stp>NDF</stp>
        <stp>source</stp>
        <stp>BGN</stp>
        <stp>pricingdate</stp>
        <stp>42019</stp>
        <stp>holidayvalues=true</stp>
        <tr r="H26" s="26"/>
      </tp>
      <tp t="s">
        <v>1/20/2015</v>
        <stp/>
        <stp>##V3_BDPV12</stp>
        <stp>USD/JPY R TN@011515 Curncy</stp>
        <stp>SETTLE_DT</stp>
        <stp>[7-25-XFRC_FXTK.xlsm]FXTK-Forward Dates!R73C20</stp>
        <tr r="T73" s="29"/>
      </tp>
      <tp t="s">
        <v>1/21/2015</v>
        <stp/>
        <stp>##V3_BDPV12</stp>
        <stp>USD/JPY R SN@011515 Curncy</stp>
        <stp>SETTLE_DT</stp>
        <stp>[7-25-XFRC_FXTK.xlsm]FXTK-Forward Dates!R75C20</stp>
        <tr r="T75" s="29"/>
      </tp>
      <tp t="s">
        <v>3/20/2015</v>
        <stp/>
        <stp>##V3_BDPV12</stp>
        <stp>USD/JPY R 2M@011515 Curncy</stp>
        <stp>SETTLE_DT</stp>
        <stp>[7-25-XFRC_FXTK.xlsm]FXTK-Forward Dates!R80C20</stp>
        <tr r="T80" s="29"/>
      </tp>
      <tp t="s">
        <v>4/20/2015</v>
        <stp/>
        <stp>##V3_BDPV12</stp>
        <stp>USD/JPY R 3M@011515 Curncy</stp>
        <stp>SETTLE_DT</stp>
        <stp>[7-25-XFRC_FXTK.xlsm]FXTK-Forward Dates!R81C20</stp>
        <tr r="T81" s="29"/>
      </tp>
      <tp t="s">
        <v>7/21/2015</v>
        <stp/>
        <stp>##V3_BDPV12</stp>
        <stp>USD/JPY R 6M@011515 Curncy</stp>
        <stp>SETTLE_DT</stp>
        <stp>[7-25-XFRC_FXTK.xlsm]FXTK-Forward Dates!R84C20</stp>
        <tr r="T84" s="29"/>
      </tp>
      <tp t="s">
        <v>8/20/2015</v>
        <stp/>
        <stp>##V3_BDPV12</stp>
        <stp>USD/JPY R 7M@011515 Curncy</stp>
        <stp>SETTLE_DT</stp>
        <stp>[7-25-XFRC_FXTK.xlsm]FXTK-Forward Dates!R85C20</stp>
        <tr r="T85" s="29"/>
      </tp>
      <tp t="s">
        <v>5/20/2015</v>
        <stp/>
        <stp>##V3_BDPV12</stp>
        <stp>USD/JPY R 4M@011515 Curncy</stp>
        <stp>SETTLE_DT</stp>
        <stp>[7-25-XFRC_FXTK.xlsm]FXTK-Forward Dates!R82C20</stp>
        <tr r="T82" s="29"/>
      </tp>
      <tp t="s">
        <v>6/22/2015</v>
        <stp/>
        <stp>##V3_BDPV12</stp>
        <stp>USD/JPY R 5M@011515 Curncy</stp>
        <stp>SETTLE_DT</stp>
        <stp>[7-25-XFRC_FXTK.xlsm]FXTK-Forward Dates!R83C20</stp>
        <tr r="T83" s="29"/>
      </tp>
      <tp t="s">
        <v>9/24/2015</v>
        <stp/>
        <stp>##V3_BDPV12</stp>
        <stp>USD/JPY R 8M@011515 Curncy</stp>
        <stp>SETTLE_DT</stp>
        <stp>[7-25-XFRC_FXTK.xlsm]FXTK-Forward Dates!R86C20</stp>
        <tr r="T86" s="29"/>
      </tp>
      <tp t="s">
        <v>10/20/2015</v>
        <stp/>
        <stp>##V3_BDPV12</stp>
        <stp>USD/JPY R 9M@011515 Curncy</stp>
        <stp>SETTLE_DT</stp>
        <stp>[7-25-XFRC_FXTK.xlsm]FXTK-Forward Dates!R87C20</stp>
        <tr r="T87" s="29"/>
      </tp>
      <tp t="s">
        <v>1/27/2015</v>
        <stp/>
        <stp>##V3_BDPV12</stp>
        <stp>USD/JPY R 1W@011515 Curncy</stp>
        <stp>SETTLE_DT</stp>
        <stp>[7-25-XFRC_FXTK.xlsm]FXTK-Forward Dates!R76C20</stp>
        <tr r="T76" s="29"/>
      </tp>
      <tp t="s">
        <v>2/20/2015</v>
        <stp/>
        <stp>##V3_BDPV12</stp>
        <stp>USD/JPY R 1M@011515 Curncy</stp>
        <stp>SETTLE_DT</stp>
        <stp>[7-25-XFRC_FXTK.xlsm]FXTK-Forward Dates!R79C20</stp>
        <tr r="T79" s="29"/>
      </tp>
      <tp t="s">
        <v>2/10/2015</v>
        <stp/>
        <stp>##V3_BDPV12</stp>
        <stp>USD/JPY R 3W@011515 Curncy</stp>
        <stp>SETTLE_DT</stp>
        <stp>[7-25-XFRC_FXTK.xlsm]FXTK-Forward Dates!R78C20</stp>
        <tr r="T78" s="29"/>
      </tp>
      <tp t="s">
        <v>2/3/2015</v>
        <stp/>
        <stp>##V3_BDPV12</stp>
        <stp>USD/JPY R 2W@011515 Curncy</stp>
        <stp>SETTLE_DT</stp>
        <stp>[7-25-XFRC_FXTK.xlsm]FXTK-Forward Dates!R77C20</stp>
        <tr r="T77" s="29"/>
      </tp>
      <tp>
        <v>5.7665749999999996</v>
        <stp/>
        <stp>##V3_BFXFORWARDV12</stp>
        <stp>[7-25-XFRC_FXTK.xlsm]FXTK-Swaps!R30C11</stp>
        <stp>BFXFORWARD</stp>
        <stp>USDNOK</stp>
        <stp>SETTLEMENTDATE</stp>
        <stp>44501</stp>
        <stp>OUTPUT</stp>
        <stp>ASKOUTRIGHT</stp>
        <stp>PRICINGDATE</stp>
        <stp>40665</stp>
        <stp>HOLIDAYVALUES=TRUE</stp>
        <stp>MARKETTYPE</stp>
        <stp/>
        <tr r="K30" s="30"/>
      </tp>
      <tp>
        <v>0.77697099999999997</v>
        <stp/>
        <stp>##V3_BFXFORWARDV12</stp>
        <stp>[7-25-XFRC_FXTK.xlsm]FXTK-Swaps!R23C11</stp>
        <stp>BFXFORWARD</stp>
        <stp>USDCHF</stp>
        <stp>SETTLEMENTDATE</stp>
        <stp>43103</stp>
        <stp>OUTPUT</stp>
        <stp>ASKOUTRIGHT</stp>
        <stp>PRICINGDATE</stp>
        <stp>40728</stp>
        <stp>HOLIDAYVALUES=TRUE</stp>
        <stp>MARKETTYPE</stp>
        <stp/>
        <tr r="K23" s="30"/>
      </tp>
      <tp>
        <v>42185</v>
        <stp/>
        <stp>##V3_BFXFORWARDV12</stp>
        <stp>[7-25-XFRC_FXTK.xlsm]FXTK-Forwards (1)!R12C9</stp>
        <stp>BFXFORWARD</stp>
        <stp>USDJPY</stp>
        <stp>SETTLEMENTDATE</stp>
        <stp>42185</stp>
        <stp>OUTPUT</stp>
        <stp>SETTLEMENTDATE</stp>
        <stp>PRICINGDATE</stp>
        <stp>42009</stp>
        <tr r="I12" s="26"/>
      </tp>
      <tp>
        <v>101.2435</v>
        <stp/>
        <stp>##V3_BFXFORWARDV12</stp>
        <stp>[7-25-XFRC_FXTK.xlsm]FXTK-Swaps!R15C10</stp>
        <stp>BFXFORWARD</stp>
        <stp>USDJPY</stp>
        <stp>SETTLEMENTDATE</stp>
        <stp>42515</stp>
        <stp>OUTPUT</stp>
        <stp>BIDOUTRIGHT</stp>
        <stp>PRICINGDATE</stp>
        <stp>41852</stp>
        <stp>HOLIDAYVALUES=TRUE</stp>
        <stp>MARKETTYPE</stp>
        <stp/>
        <tr r="J15" s="30"/>
      </tp>
      <tp>
        <v>42094</v>
        <stp/>
        <stp>##V3_BFXFORWARDV12</stp>
        <stp>[7-25-XFRC_FXTK.xlsm]FXTK-Forwards (1)!R12C8</stp>
        <stp>BFXFORWARD</stp>
        <stp>USDJPY</stp>
        <stp>SETTLEMENTDATE</stp>
        <stp>42094</stp>
        <stp>OUTPUT</stp>
        <stp>SETTLEMENTDATE</stp>
        <stp>PRICINGDATE</stp>
        <stp>42009</stp>
        <tr r="H12" s="26"/>
      </tp>
      <tp>
        <v>485</v>
        <stp/>
        <stp>##V3_BFXFORWARDV12</stp>
        <stp>[7-25-XFRC_FXTK.xlsm]FXTK-Forwards (2)!R16C21</stp>
        <stp>BFXFORWARD</stp>
        <stp>USDKRW</stp>
        <stp>SETTLEMENTDATE</stp>
        <stp>42370</stp>
        <stp>OUTPUT</stp>
        <stp>DAYS</stp>
        <stp>PRICINGDATE</stp>
        <stp>41883</stp>
        <tr r="U16" s="28"/>
      </tp>
      <tp>
        <v>5.6595630000000003</v>
        <stp/>
        <stp>##V3_BFXFORWARDV12</stp>
        <stp>[7-25-XFRC_FXTK.xlsm]FXTK-Swaps!R26C11</stp>
        <stp>BFXFORWARD</stp>
        <stp>USDDKK</stp>
        <stp>SETTLEMENTDATE</stp>
        <stp>42402</stp>
        <stp>OUTPUT</stp>
        <stp>ASKOUTRIGHT</stp>
        <stp>PRICINGDATE</stp>
        <stp>41456</stp>
        <stp>HOLIDAYVALUES=TRUE</stp>
        <stp>MARKETTYPE</stp>
        <stp/>
        <tr r="K26" s="30"/>
      </tp>
      <tp>
        <v>5.6424859999999999</v>
        <stp/>
        <stp>##V3_BFXFORWARDV12</stp>
        <stp>[7-25-XFRC_FXTK.xlsm]FXTK-Swaps!R27C11</stp>
        <stp>BFXFORWARD</stp>
        <stp>USDDKK</stp>
        <stp>SETTLEMENTDATE</stp>
        <stp>42583</stp>
        <stp>OUTPUT</stp>
        <stp>ASKOUTRIGHT</stp>
        <stp>PRICINGDATE</stp>
        <stp>41456</stp>
        <stp>HOLIDAYVALUES=TRUE</stp>
        <stp>MARKETTYPE</stp>
        <stp/>
        <tr r="K27" s="30"/>
      </tp>
      <tp t="s">
        <v>Tenor</v>
        <stp/>
        <stp>##V3_BFXCURVEV12</stp>
        <stp>[7-25-XFRC_FXTK.xlsm]FXTK-Forward Dates!R11C13</stp>
        <stp>BFXCURVE</stp>
        <stp>JPY</stp>
        <stp>output=TENOR,DAYS,SETTLEMENTDATE,ASKPOINTS,BIDPOINTS,ASKOUTRIGHT,BIDOUTRIGHT</stp>
        <stp>MARKETTYPE</stp>
        <stp/>
        <stp>PRICINGDATE</stp>
        <stp>42019</stp>
        <stp>USEIMMTENORS</stp>
        <stp>Yes</stp>
        <tr r="M11" s="29"/>
      </tp>
      <tp>
        <v>43143</v>
        <stp/>
        <stp>##V3_BFXFORWARDV12</stp>
        <stp>[7-25-XFRC_FXTK.xlsm]FXTK-Swaps!R44C20</stp>
        <stp>BFXFORWARD</stp>
        <stp>USDKRW</stp>
        <stp>SETTLEMENTDATE</stp>
        <stp>43143</stp>
        <stp>OUTPUT</stp>
        <stp>SETTLEMENTDATE</stp>
        <stp>PRICINGDATE</stp>
        <stp>42005</stp>
        <tr r="T44" s="30"/>
      </tp>
      <tp>
        <v>-1.9340999999999999</v>
        <stp/>
        <stp>##V3_BFXFORWARDV12</stp>
        <stp>[7-25-XFRC_FXTK.xlsm]FXTK-Forwards (2)!R15C16</stp>
        <stp>BFXFORWARD</stp>
        <stp>USDJPY</stp>
        <stp>SETTLEMENTDATE</stp>
        <stp>42825</stp>
        <stp>OUTPUT</stp>
        <stp>askpoints</stp>
        <stp>pricingdate</stp>
        <stp>42282</stp>
        <stp>markettype</stp>
        <stp/>
        <stp>source</stp>
        <stp>BGN</stp>
        <stp>holidayvalues=true</stp>
        <stp>truedecimal=yes</stp>
        <tr r="P15" s="28"/>
      </tp>
      <tp>
        <v>0.89228099999999999</v>
        <stp/>
        <stp>##V3_BFXFORWARDV12</stp>
        <stp>[7-25-XFRC_FXTK.xlsm]FXTK-Swaps!R38C10</stp>
        <stp>BFXFORWARD</stp>
        <stp>EURGBP</stp>
        <stp>SETTLEMENTDATE</stp>
        <stp>40952</stp>
        <stp>OUTPUT</stp>
        <stp>BIDOUTRIGHT</stp>
        <stp>PRICINGDATE</stp>
        <stp>40269</stp>
        <stp>HOLIDAYVALUES=TRUE</stp>
        <stp>MARKETTYPE</stp>
        <stp/>
        <tr r="J38" s="30"/>
      </tp>
      <tp>
        <v>1.818905</v>
        <stp/>
        <stp>##V3_BFXFORWARDV12</stp>
        <stp>[7-25-XFRC_FXTK.xlsm]FXTK-Swaps!R42C10</stp>
        <stp>BFXFORWARD</stp>
        <stp>USDTRY</stp>
        <stp>SETTLEMENTDATE</stp>
        <stp>41330</stp>
        <stp>OUTPUT</stp>
        <stp>BIDOUTRIGHT</stp>
        <stp>PRICINGDATE</stp>
        <stp>40301</stp>
        <stp>HOLIDAYVALUES=TRUE</stp>
        <stp>MARKETTYPE</stp>
        <stp/>
        <tr r="J42" s="30"/>
      </tp>
      <tp>
        <v>42019</v>
        <stp/>
        <stp>##V3_BADDPERIODS</stp>
        <stp>1/15/2015</stp>
        <stp>[7-25-XFRC_FXTK.xlsm]FXTK-Forwards (1)!R26C7</stp>
        <stp>BUSDAYADJ=-1</stp>
        <tr r="G26" s="26"/>
      </tp>
      <tp>
        <v>42019</v>
        <stp/>
        <stp>##V3_BADDPERIODS</stp>
        <stp>1/15/2015</stp>
        <stp>[7-25-XFRC_FXTK.xlsm]FXTK-Forwards (1)!R27C7</stp>
        <stp>BUSDAYADJ=-1</stp>
        <tr r="G27" s="26"/>
      </tp>
      <tp>
        <v>42019</v>
        <stp/>
        <stp>##V3_BADDPERIODS</stp>
        <stp>1/15/2015</stp>
        <stp>[7-25-XFRC_FXTK.xlsm]FXTK-Forwards (1)!R24C7</stp>
        <stp>BUSDAYADJ=-1</stp>
        <tr r="G24" s="26"/>
      </tp>
      <tp>
        <v>42019</v>
        <stp/>
        <stp>##V3_BADDPERIODS</stp>
        <stp>1/15/2015</stp>
        <stp>[7-25-XFRC_FXTK.xlsm]FXTK-Forwards (1)!R25C7</stp>
        <stp>BUSDAYADJ=-1</stp>
        <tr r="G25" s="26"/>
      </tp>
      <tp>
        <v>42019</v>
        <stp/>
        <stp>##V3_BADDPERIODS</stp>
        <stp>1/15/2015</stp>
        <stp>[7-25-XFRC_FXTK.xlsm]FXTK-Forwards (1)!R22C7</stp>
        <stp>BUSDAYADJ=-1</stp>
        <tr r="G22" s="26"/>
      </tp>
      <tp>
        <v>42019</v>
        <stp/>
        <stp>##V3_BADDPERIODS</stp>
        <stp>1/15/2015</stp>
        <stp>[7-25-XFRC_FXTK.xlsm]FXTK-Forwards (1)!R23C7</stp>
        <stp>BUSDAYADJ=-1</stp>
        <tr r="G23" s="26"/>
      </tp>
      <tp>
        <v>42019</v>
        <stp/>
        <stp>##V3_BADDPERIODS</stp>
        <stp>1/15/2015</stp>
        <stp>[7-25-XFRC_FXTK.xlsm]FXTK-Forwards (1)!R20C7</stp>
        <stp>BUSDAYADJ=-1</stp>
        <tr r="G20" s="26"/>
      </tp>
      <tp>
        <v>42019</v>
        <stp/>
        <stp>##V3_BADDPERIODS</stp>
        <stp>1/15/2015</stp>
        <stp>[7-25-XFRC_FXTK.xlsm]FXTK-Forwards (1)!R21C7</stp>
        <stp>BUSDAYADJ=-1</stp>
        <tr r="G21" s="26"/>
      </tp>
      <tp>
        <v>42019</v>
        <stp/>
        <stp>##V3_BADDPERIODS</stp>
        <stp>1/15/2015</stp>
        <stp>[7-25-XFRC_FXTK.xlsm]FXTK-Forwards (1)!R16C7</stp>
        <stp>BUSDAYADJ=-1</stp>
        <tr r="G16" s="26"/>
      </tp>
      <tp>
        <v>42019</v>
        <stp/>
        <stp>##V3_BADDPERIODS</stp>
        <stp>1/15/2015</stp>
        <stp>[7-25-XFRC_FXTK.xlsm]FXTK-Forwards (1)!R17C7</stp>
        <stp>BUSDAYADJ=-1</stp>
        <tr r="G17" s="26"/>
      </tp>
      <tp>
        <v>42019</v>
        <stp/>
        <stp>##V3_BADDPERIODS</stp>
        <stp>1/15/2015</stp>
        <stp>[7-25-XFRC_FXTK.xlsm]FXTK-Forwards (1)!R18C7</stp>
        <stp>BUSDAYADJ=-1</stp>
        <tr r="G18" s="26"/>
      </tp>
      <tp>
        <v>42019</v>
        <stp/>
        <stp>##V3_BADDPERIODS</stp>
        <stp>1/15/2015</stp>
        <stp>[7-25-XFRC_FXTK.xlsm]FXTK-Forwards (1)!R19C7</stp>
        <stp>BUSDAYADJ=-1</stp>
        <tr r="G19" s="26"/>
      </tp>
      <tp>
        <v>42282</v>
        <stp/>
        <stp>##V3_BADDPERIODS</stp>
        <stp>10/3/2015</stp>
        <stp>[7-25-XFRC_FXTK.xlsm]FXTK-Forwards (2)!R15C7</stp>
        <stp>BUSDAYADJ=-1</stp>
        <tr r="G15" s="28"/>
      </tp>
      <tp>
        <v>43156</v>
        <stp/>
        <stp>##V3_BFXFORWARDV12</stp>
        <stp>[7-25-XFRC_FXTK.xlsm]FXTK-Swaps!R45C20</stp>
        <stp>BFXFORWARD</stp>
        <stp>USDKRW</stp>
        <stp>SETTLEMENTDATE</stp>
        <stp>43156</stp>
        <stp>OUTPUT</stp>
        <stp>SETTLEMENTDATE</stp>
        <stp>PRICINGDATE</stp>
        <stp>42005</stp>
        <tr r="T45" s="30"/>
      </tp>
      <tp>
        <v>511</v>
        <stp/>
        <stp>##V3_BFXFORWARDV12</stp>
        <stp>[7-25-XFRC_FXTK.xlsm]FXTK-Forwards (2)!R14C21</stp>
        <stp>BFXFORWARD</stp>
        <stp>USDCAD</stp>
        <stp>SETTLEMENTDATE</stp>
        <stp>42362</stp>
        <stp>OUTPUT</stp>
        <stp>DAYS</stp>
        <stp>PRICINGDATE</stp>
        <stp>41850</stp>
        <tr r="U14" s="28"/>
      </tp>
      <tp t="s">
        <v>8/1/2014</v>
        <stp/>
        <stp>##V3_BDPV12</stp>
        <stp>EUR/USD SPOT@073014 Curncy</stp>
        <stp>SETTLE_DT</stp>
        <stp>[7-25-XFRC_FXTK.xlsm]FXTK-Forwards (2)!R12C25</stp>
        <tr r="Y12" s="28"/>
      </tp>
      <tp t="s">
        <v>8/4/2014</v>
        <stp/>
        <stp>##V3_BDPV12</stp>
        <stp>EUR/USD SPOT@073114 Curncy</stp>
        <stp>SETTLE_DT</stp>
        <stp>[7-25-XFRC_FXTK.xlsm]FXTK-Forwards (2)!R22C25</stp>
        <tr r="Y22" s="28"/>
      </tp>
      <tp t="s">
        <v>8/4/2014</v>
        <stp/>
        <stp>##V3_BDPV12</stp>
        <stp>EUR/USD SPOT@073114 Curncy</stp>
        <stp>SETTLE_DT</stp>
        <stp>[7-25-XFRC_FXTK.xlsm]FXTK-Forwards (2)!R20C25</stp>
        <tr r="Y20" s="28"/>
      </tp>
      <tp t="s">
        <v>8/4/2014</v>
        <stp/>
        <stp>##V3_BDPV12</stp>
        <stp>EUR/USD SPOT@073114 Curncy</stp>
        <stp>SETTLE_DT</stp>
        <stp>[7-25-XFRC_FXTK.xlsm]FXTK-Forwards (2)!R21C25</stp>
        <tr r="Y21" s="28"/>
      </tp>
      <tp t="s">
        <v>8/4/2014</v>
        <stp/>
        <stp>##V3_BDPV12</stp>
        <stp>EUR/USD SPOT@073114 Curncy</stp>
        <stp>SETTLE_DT</stp>
        <stp>[7-25-XFRC_FXTK.xlsm]FXTK-Forwards (2)!R18C25</stp>
        <tr r="Y18" s="28"/>
      </tp>
      <tp t="s">
        <v>8/4/2014</v>
        <stp/>
        <stp>##V3_BDPV12</stp>
        <stp>EUR/USD SPOT@073114 Curncy</stp>
        <stp>SETTLE_DT</stp>
        <stp>[7-25-XFRC_FXTK.xlsm]FXTK-Forwards (2)!R19C25</stp>
        <tr r="Y19" s="28"/>
      </tp>
      <tp t="s">
        <v>11/4/2014</v>
        <stp/>
        <stp>##V3_BDPV12</stp>
        <stp>EUR/USD SPOT@103114 Curncy</stp>
        <stp>SETTLE_DT</stp>
        <stp>[7-25-XFRC_FXTK.xlsm]FXTK-Forwards (2)!R17C25</stp>
        <tr r="Y17" s="28"/>
      </tp>
      <tp t="s">
        <v>7/31/2014</v>
        <stp/>
        <stp>##V3_BDPV12</stp>
        <stp>USD/CAD SPOT@073014 Curncy</stp>
        <stp>SETTLE_DT</stp>
        <stp>[7-25-XFRC_FXTK.xlsm]FXTK-Forwards (2)!R14C25</stp>
        <tr r="Y14" s="28"/>
      </tp>
      <tp>
        <v>161.49</v>
        <stp/>
        <stp>##V3_BFXFORWARDV12</stp>
        <stp>[7-25-XFRC_FXTK.xlsm]FXTK-Forwards (1)!R24C9</stp>
        <stp>BFXFORWARD</stp>
        <stp>USDCNY</stp>
        <stp>SETTLEMENTDATE</stp>
        <stp>42185</stp>
        <stp>OUTPUT</stp>
        <stp>ASKPoints</stp>
        <stp>markettype</stp>
        <stp>NDF</stp>
        <stp>source</stp>
        <stp>BGN</stp>
        <stp>pricingdate</stp>
        <stp>42019</stp>
        <stp>holidayvalues=true</stp>
        <tr r="I24" s="26"/>
      </tp>
      <tp>
        <v>40932</v>
        <stp/>
        <stp>##V3_BFXFORWARDV12</stp>
        <stp>[7-25-XFRC_FXTK.xlsm]FXTK-Swaps!R41C20</stp>
        <stp>BFXFORWARD</stp>
        <stp>USDTRY</stp>
        <stp>SETTLEMENTDATE</stp>
        <stp>40932</stp>
        <stp>OUTPUT</stp>
        <stp>SETTLEMENTDATE</stp>
        <stp>PRICINGDATE</stp>
        <stp>40301</stp>
        <tr r="T41" s="30"/>
      </tp>
      <tp>
        <v>143.57</v>
        <stp/>
        <stp>##V3_BFXFORWARDV12</stp>
        <stp>[7-25-XFRC_FXTK.xlsm]FXTK-Forwards (1)!R25C9</stp>
        <stp>BFXFORWARD</stp>
        <stp>USDINR</stp>
        <stp>SETTLEMENTDATE</stp>
        <stp>42185</stp>
        <stp>OUTPUT</stp>
        <stp>ASKPoints</stp>
        <stp>markettype</stp>
        <stp>NDF</stp>
        <stp>source</stp>
        <stp>BGN</stp>
        <stp>pricingdate</stp>
        <stp>42019</stp>
        <stp>holidayvalues=true</stp>
        <tr r="I25" s="26"/>
      </tp>
      <tp t="s">
        <v>9/29/2014</v>
        <stp/>
        <stp>##V3_BDPV12</stp>
        <stp>AUD/USD SPOT@092514 Curncy</stp>
        <stp>SETTLE_DT</stp>
        <stp>[7-25-XFRC_FXTK.xlsm]FXTK-Forwards (2)!R11C25</stp>
        <tr r="Y11" s="28"/>
      </tp>
      <tp>
        <v>1.553585</v>
        <stp/>
        <stp>##V3_BFXFORWARDV12</stp>
        <stp>[7-25-XFRC_FXTK.xlsm]FXTK-Swaps!R17C11</stp>
        <stp>BFXFORWARD</stp>
        <stp>GBPUSD</stp>
        <stp>SETTLEMENTDATE</stp>
        <stp>42394</stp>
        <stp>OUTPUT</stp>
        <stp>ASKOUTRIGHT</stp>
        <stp>PRICINGDATE</stp>
        <stp>42003</stp>
        <stp>HOLIDAYVALUES=TRUE</stp>
        <stp>MARKETTYPE</stp>
        <stp/>
        <tr r="K17" s="30"/>
      </tp>
      <tp>
        <v>-265.55</v>
        <stp/>
        <stp>##V3_BFXFORWARDV12</stp>
        <stp>[7-25-XFRC_FXTK.xlsm]FXTK-Forwards (1)!R24C8</stp>
        <stp>BFXFORWARD</stp>
        <stp>USDCNY</stp>
        <stp>SETTLEMENTDATE</stp>
        <stp>42094</stp>
        <stp>OUTPUT</stp>
        <stp>ASKPoints</stp>
        <stp>markettype</stp>
        <stp>NDF</stp>
        <stp>source</stp>
        <stp>BGN</stp>
        <stp>pricingdate</stp>
        <stp>42019</stp>
        <stp>holidayvalues=true</stp>
        <tr r="H24" s="26"/>
      </tp>
      <tp>
        <v>-2.0497999999999998</v>
        <stp/>
        <stp>##V3_BFXFORWARDV12</stp>
        <stp>[7-25-XFRC_FXTK.xlsm]FXTK-Forwards (2)!R15C15</stp>
        <stp>BFXFORWARD</stp>
        <stp>USDJPY</stp>
        <stp>SETTLEMENTDATE</stp>
        <stp>42825</stp>
        <stp>OUTPUT</stp>
        <stp>bidpoints</stp>
        <stp>pricingdate</stp>
        <stp>42282</stp>
        <stp>markettype</stp>
        <stp/>
        <stp>source</stp>
        <stp>BGN</stp>
        <stp>holidayvalues=true</stp>
        <stp>truedecimal=yes</stp>
        <tr r="O15" s="28"/>
      </tp>
      <tp>
        <v>-1.9919500000000001</v>
        <stp/>
        <stp>##V3_BFXFORWARDV12</stp>
        <stp>[7-25-XFRC_FXTK.xlsm]FXTK-Forwards (2)!R15C17</stp>
        <stp>BFXFORWARD</stp>
        <stp>USDJPY</stp>
        <stp>SETTLEMENTDATE</stp>
        <stp>42825</stp>
        <stp>OUTPUT</stp>
        <stp>midpoints</stp>
        <stp>pricingdate</stp>
        <stp>42282</stp>
        <stp>markettype</stp>
        <stp/>
        <stp>source</stp>
        <stp>BGN</stp>
        <stp>holidayvalues=true</stp>
        <stp>truedecimal=yes</stp>
        <tr r="Q15" s="28"/>
      </tp>
      <tp>
        <v>42515</v>
        <stp/>
        <stp>##V3_BFXFORWARDV12</stp>
        <stp>[7-25-XFRC_FXTK.xlsm]FXTK-Swaps!R15C20</stp>
        <stp>BFXFORWARD</stp>
        <stp>USDJPY</stp>
        <stp>SETTLEMENTDATE</stp>
        <stp>42515</stp>
        <stp>OUTPUT</stp>
        <stp>SETTLEMENTDATE</stp>
        <stp>PRICINGDATE</stp>
        <stp>41852</stp>
        <tr r="T15" s="30"/>
      </tp>
      <tp>
        <v>55.96</v>
        <stp/>
        <stp>##V3_BFXFORWARDV12</stp>
        <stp>[7-25-XFRC_FXTK.xlsm]FXTK-Forwards (1)!R25C8</stp>
        <stp>BFXFORWARD</stp>
        <stp>USDINR</stp>
        <stp>SETTLEMENTDATE</stp>
        <stp>42094</stp>
        <stp>OUTPUT</stp>
        <stp>ASKPoints</stp>
        <stp>markettype</stp>
        <stp>NDF</stp>
        <stp>source</stp>
        <stp>BGN</stp>
        <stp>pricingdate</stp>
        <stp>42019</stp>
        <stp>holidayvalues=true</stp>
        <tr r="H25" s="26"/>
      </tp>
      <tp>
        <v>6.5384640000000003</v>
        <stp/>
        <stp>##V3_BFXFORWARDV12</stp>
        <stp>[7-25-XFRC_FXTK.xlsm]FXTK-Swaps!R32C11</stp>
        <stp>BFXFORWARD</stp>
        <stp>USDSEK</stp>
        <stp>SETTLEMENTDATE</stp>
        <stp>42258</stp>
        <stp>OUTPUT</stp>
        <stp>ASKOUTRIGHT</stp>
        <stp>PRICINGDATE</stp>
        <stp>41701</stp>
        <stp>HOLIDAYVALUES=TRUE</stp>
        <stp>MARKETTYPE</stp>
        <stp/>
        <tr r="K32" s="30"/>
      </tp>
      <tp>
        <v>541</v>
        <stp/>
        <stp>##V3_BFXFORWARDV12</stp>
        <stp>[7-25-XFRC_FXTK.xlsm]FXTK-Forwards (2)!R15C21</stp>
        <stp>BFXFORWARD</stp>
        <stp>USDJPY</stp>
        <stp>SETTLEMENTDATE</stp>
        <stp>42825</stp>
        <stp>OUTPUT</stp>
        <stp>DAYS</stp>
        <stp>PRICINGDATE</stp>
        <stp>42282</stp>
        <tr r="U15" s="28"/>
      </tp>
      <tp t="s">
        <v>11/4/2015</v>
        <stp/>
        <stp>##V3_BDPV12</stp>
        <stp>EUR/USD SPOT@110215 Curncy</stp>
        <stp>SETTLE_DT</stp>
        <stp>[7-25-XFRC_FXTK.xlsm]FXTK-Forwards (2)!R13C25</stp>
        <tr r="Y13" s="28"/>
      </tp>
      <tp t="s">
        <v>10/7/2015</v>
        <stp/>
        <stp>##V3_BDPV12</stp>
        <stp>USD/JPY SPOT@100515 Curncy</stp>
        <stp>SETTLE_DT</stp>
        <stp>[7-25-XFRC_FXTK.xlsm]FXTK-Forwards (2)!R15C25</stp>
        <tr r="Y15" s="28"/>
      </tp>
      <tp t="s">
        <v>9/3/2014</v>
        <stp/>
        <stp>##V3_BDPV12</stp>
        <stp>USD/KRW SPOT@090114 Curncy</stp>
        <stp>SETTLE_DT</stp>
        <stp>[7-25-XFRC_FXTK.xlsm]FXTK-Forwards (2)!R16C25</stp>
        <tr r="Y16" s="28"/>
      </tp>
      <tp>
        <v>142.02590000000001</v>
        <stp/>
        <stp>##V3_BFXFORWARDV12</stp>
        <stp>[7-25-XFRC_FXTK.xlsm]FXTK-Swaps!R35C11</stp>
        <stp>BFXFORWARD</stp>
        <stp>EURJPY</stp>
        <stp>SETTLEMENTDATE</stp>
        <stp>40932</stp>
        <stp>OUTPUT</stp>
        <stp>ASKOUTRIGHT</stp>
        <stp>PRICINGDATE</stp>
        <stp>39482</stp>
        <stp>HOLIDAYVALUES=TRUE</stp>
        <stp>MARKETTYPE</stp>
        <stp/>
        <tr r="K35" s="30"/>
      </tp>
      <tp>
        <v>6.5401189999999998</v>
        <stp/>
        <stp>##V3_BFXFORWARDV12</stp>
        <stp>[7-25-XFRC_FXTK.xlsm]FXTK-Swaps!R33C11</stp>
        <stp>BFXFORWARD</stp>
        <stp>USDSEK</stp>
        <stp>SETTLEMENTDATE</stp>
        <stp>42272</stp>
        <stp>OUTPUT</stp>
        <stp>ASKOUTRIGHT</stp>
        <stp>PRICINGDATE</stp>
        <stp>41701</stp>
        <stp>HOLIDAYVALUES=TRUE</stp>
        <stp>MARKETTYPE</stp>
        <stp/>
        <tr r="K33" s="30"/>
      </tp>
      <tp>
        <v>41330</v>
        <stp/>
        <stp>##V3_BFXFORWARDV12</stp>
        <stp>[7-25-XFRC_FXTK.xlsm]FXTK-Swaps!R39C20</stp>
        <stp>BFXFORWARD</stp>
        <stp>EURGBP</stp>
        <stp>SETTLEMENTDATE</stp>
        <stp>41330</stp>
        <stp>OUTPUT</stp>
        <stp>SETTLEMENTDATE</stp>
        <stp>PRICINGDATE</stp>
        <stp>40269</stp>
        <tr r="T39" s="30"/>
      </tp>
      <tp>
        <v>0.89800000000000002</v>
        <stp/>
        <stp>##V3_BFXFORWARDV12</stp>
        <stp>[7-25-XFRC_FXTK.xlsm]FXTK-Swaps!R39C10</stp>
        <stp>BFXFORWARD</stp>
        <stp>EURGBP</stp>
        <stp>SETTLEMENTDATE</stp>
        <stp>41330</stp>
        <stp>OUTPUT</stp>
        <stp>BIDOUTRIGHT</stp>
        <stp>PRICINGDATE</stp>
        <stp>40269</stp>
        <stp>HOLIDAYVALUES=TRUE</stp>
        <stp>MARKETTYPE</stp>
        <stp/>
        <tr r="J39" s="30"/>
      </tp>
      <tp>
        <v>0.90219199999999999</v>
        <stp/>
        <stp>##V3_BFXFORWARDV12</stp>
        <stp>[7-25-XFRC_FXTK.xlsm]FXTK-Swaps!R21C11</stp>
        <stp>BFXFORWARD</stp>
        <stp>AUDUSD</stp>
        <stp>SETTLEMENTDATE</stp>
        <stp>42523</stp>
        <stp>OUTPUT</stp>
        <stp>ASKOUTRIGHT</stp>
        <stp>PRICINGDATE</stp>
        <stp>41820</stp>
        <stp>HOLIDAYVALUES=TRUE</stp>
        <stp>MARKETTYPE</stp>
        <stp/>
        <tr r="K21" s="30"/>
      </tp>
      <tp>
        <v>0.90793900000000005</v>
        <stp/>
        <stp>##V3_BFXFORWARDV12</stp>
        <stp>[7-25-XFRC_FXTK.xlsm]FXTK-Swaps!R20C11</stp>
        <stp>BFXFORWARD</stp>
        <stp>AUDUSD</stp>
        <stp>SETTLEMENTDATE</stp>
        <stp>42412</stp>
        <stp>OUTPUT</stp>
        <stp>ASKOUTRIGHT</stp>
        <stp>PRICINGDATE</stp>
        <stp>41820</stp>
        <stp>HOLIDAYVALUES=TRUE</stp>
        <stp>MARKETTYPE</stp>
        <stp/>
        <tr r="K20" s="30"/>
      </tp>
      <tp>
        <v>5.7638610000000003</v>
        <stp/>
        <stp>##V3_BFXFORWARDV12</stp>
        <stp>[7-25-XFRC_FXTK.xlsm]FXTK-Swaps!R29C11</stp>
        <stp>BFXFORWARD</stp>
        <stp>USDNOK</stp>
        <stp>SETTLEMENTDATE</stp>
        <stp>44410</stp>
        <stp>OUTPUT</stp>
        <stp>ASKOUTRIGHT</stp>
        <stp>PRICINGDATE</stp>
        <stp>40665</stp>
        <stp>HOLIDAYVALUES=TRUE</stp>
        <stp>MARKETTYPE</stp>
        <stp/>
        <tr r="K29" s="30"/>
      </tp>
      <tp t="s">
        <v>11/20/2015</v>
        <stp/>
        <stp>##V3_BDPV12</stp>
        <stp>EUR/JPY R 10M@011515 Curncy</stp>
        <stp>SETTLE_DT</stp>
        <stp>[7-25-XFRC_FXTK.xlsm]FXTK-Forward Dates!R116C9</stp>
        <tr r="I116" s="29"/>
      </tp>
      <tp>
        <v>-41.395699999999998</v>
        <stp/>
        <stp>##V3_BFXFORWARDV12</stp>
        <stp>[7-25-XFRC_FXTK.xlsm]FXTK-Forwards (1)!R18C8</stp>
        <stp>BFXFORWARD</stp>
        <stp>AUDEUR</stp>
        <stp>SETTLEMENTDATE</stp>
        <stp>42094</stp>
        <stp>OUTPUT</stp>
        <stp>BIDPoints</stp>
        <stp>markettype</stp>
        <stp/>
        <stp>source</stp>
        <stp>BGN</stp>
        <stp>pricingdate</stp>
        <stp>42019</stp>
        <stp>holidayvalues=true</stp>
        <tr r="H18" s="26"/>
      </tp>
      <tp>
        <v>-9.31</v>
        <stp/>
        <stp>##V3_BFXFORWARDV12</stp>
        <stp>[7-25-XFRC_FXTK.xlsm]FXTK-Forwards (1)!R15C8</stp>
        <stp>BFXFORWARD</stp>
        <stp>USDJPY</stp>
        <stp>SETTLEMENTDATE</stp>
        <stp>42094</stp>
        <stp>OUTPUT</stp>
        <stp>BIDPoints</stp>
        <stp>markettype</stp>
        <stp/>
        <stp>source</stp>
        <stp>BGN</stp>
        <stp>pricingdate</stp>
        <stp>42009</stp>
        <stp>holidayvalues=true</stp>
        <tr r="H15" s="26"/>
      </tp>
      <tp>
        <v>42826</v>
        <stp/>
        <stp>##V3_BFXFORWARDV12</stp>
        <stp>[7-25-XFRC_FXTK.xlsm]FXTK-Forwards (2)!R15C8</stp>
        <stp>BFXFORWARD</stp>
        <stp>USDJPY</stp>
        <stp>SETTLEMENTDATE</stp>
        <stp>42826</stp>
        <stp>OUTPUT</stp>
        <stp>SETTLEMENTDATE</stp>
        <stp>PRICINGDATE</stp>
        <stp>42282</stp>
        <tr r="H15" s="28"/>
      </tp>
      <tp>
        <v>42125</v>
        <stp/>
        <stp>##V3_BFXFORWARDV12</stp>
        <stp>[7-25-XFRC_FXTK.xlsm]FXTK-Swaps!R14C20</stp>
        <stp>BFXFORWARD</stp>
        <stp>USDJPY</stp>
        <stp>SETTLEMENTDATE</stp>
        <stp>42125</stp>
        <stp>OUTPUT</stp>
        <stp>SETTLEMENTDATE</stp>
        <stp>PRICINGDATE</stp>
        <stp>41852</stp>
        <tr r="T14" s="30"/>
      </tp>
      <tp>
        <v>1.2004630000000001</v>
        <stp/>
        <stp>##V3_BFXFORWARDV12</stp>
        <stp>[7-25-XFRC_FXTK.xlsm]FXTK-Swaps!R11C11</stp>
        <stp>BFXFORWARD</stp>
        <stp>EURUSD</stp>
        <stp>SETTLEMENTDATE</stp>
        <stp>42380</stp>
        <stp>OUTPUT</stp>
        <stp>ASKOUTRIGHT</stp>
        <stp>PRICINGDATE</stp>
        <stp>42009</stp>
        <stp>HOLIDAYVALUES=TRUE</stp>
        <stp>MARKETTYPE</stp>
        <stp/>
        <tr r="K11" s="30"/>
      </tp>
      <tp t="s">
        <v>12/21/2015</v>
        <stp/>
        <stp>##V3_BDPV12</stp>
        <stp>EUR/JPY R 11M@011515 Curncy</stp>
        <stp>SETTLE_DT</stp>
        <stp>[7-25-XFRC_FXTK.xlsm]FXTK-Forward Dates!R117C9</stp>
        <tr r="I117" s="29"/>
      </tp>
      <tp>
        <v>-92.9739</v>
        <stp/>
        <stp>##V3_BFXFORWARDV12</stp>
        <stp>[7-25-XFRC_FXTK.xlsm]FXTK-Forwards (1)!R18C9</stp>
        <stp>BFXFORWARD</stp>
        <stp>AUDEUR</stp>
        <stp>SETTLEMENTDATE</stp>
        <stp>42185</stp>
        <stp>OUTPUT</stp>
        <stp>BIDPoints</stp>
        <stp>markettype</stp>
        <stp/>
        <stp>source</stp>
        <stp>BGN</stp>
        <stp>pricingdate</stp>
        <stp>42019</stp>
        <stp>holidayvalues=true</stp>
        <tr r="I18" s="26"/>
      </tp>
      <tp>
        <v>-22.77</v>
        <stp/>
        <stp>##V3_BFXFORWARDV12</stp>
        <stp>[7-25-XFRC_FXTK.xlsm]FXTK-Forwards (1)!R15C9</stp>
        <stp>BFXFORWARD</stp>
        <stp>USDJPY</stp>
        <stp>SETTLEMENTDATE</stp>
        <stp>42185</stp>
        <stp>OUTPUT</stp>
        <stp>BIDPoints</stp>
        <stp>markettype</stp>
        <stp/>
        <stp>source</stp>
        <stp>BGN</stp>
        <stp>pricingdate</stp>
        <stp>42009</stp>
        <stp>holidayvalues=true</stp>
        <tr r="I15" s="26"/>
      </tp>
      <tp>
        <v>5</v>
        <stp/>
        <stp>##V3_BCOUNTPERIODS</stp>
        <stp>9/6/2011</stp>
        <stp>9/13/2011</stp>
        <stp>[7-25-XFRC_FXTK.xlsm]FXTK-Forward Dates!R76C11</stp>
        <stp>CDR= TE</stp>
        <tr r="K76" s="29"/>
      </tp>
      <tp>
        <v>152</v>
        <stp/>
        <stp>##V3_BCOUNTPERIODS</stp>
        <stp>9/6/2011</stp>
        <stp>4/10/2012</stp>
        <stp>[7-25-XFRC_FXTK.xlsm]FXTK-Forward Dates!R85C11</stp>
        <stp>CDR= TE</stp>
        <tr r="K85" s="29"/>
      </tp>
      <tp>
        <v>10</v>
        <stp/>
        <stp>##V3_BCOUNTPERIODS</stp>
        <stp>9/6/2011</stp>
        <stp>9/20/2011</stp>
        <stp>[7-25-XFRC_FXTK.xlsm]FXTK-Forward Dates!R77C11</stp>
        <stp>CDR= TE</stp>
        <tr r="K77" s="29"/>
      </tp>
      <tp>
        <v>15</v>
        <stp/>
        <stp>##V3_BCOUNTPERIODS</stp>
        <stp>9/6/2011</stp>
        <stp>9/27/2011</stp>
        <stp>[7-25-XFRC_FXTK.xlsm]FXTK-Forward Dates!R78C11</stp>
        <stp>CDR= TE</stp>
        <tr r="K78" s="29"/>
      </tp>
      <tp>
        <v>1.685908</v>
        <stp/>
        <stp>##V3_BFXFORWARDV12</stp>
        <stp>[7-25-XFRC_FXTK.xlsm]FXTK-Swaps!R41C10</stp>
        <stp>BFXFORWARD</stp>
        <stp>USDTRY</stp>
        <stp>SETTLEMENTDATE</stp>
        <stp>40932</stp>
        <stp>OUTPUT</stp>
        <stp>BIDOUTRIGHT</stp>
        <stp>PRICINGDATE</stp>
        <stp>40301</stp>
        <stp>HOLIDAYVALUES=TRUE</stp>
        <stp>MARKETTYPE</stp>
        <stp/>
        <tr r="J41" s="30"/>
      </tp>
      <tp>
        <v>1.2009970000000001</v>
        <stp/>
        <stp>##V3_BFXFORWARDV12</stp>
        <stp>[7-25-XFRC_FXTK.xlsm]FXTK-Swaps!R12C11</stp>
        <stp>BFXFORWARD</stp>
        <stp>EURUSD</stp>
        <stp>SETTLEMENTDATE</stp>
        <stp>42394</stp>
        <stp>OUTPUT</stp>
        <stp>ASKOUTRIGHT</stp>
        <stp>PRICINGDATE</stp>
        <stp>42009</stp>
        <stp>HOLIDAYVALUES=TRUE</stp>
        <stp>MARKETTYPE</stp>
        <stp/>
        <tr r="K12" s="30"/>
      </tp>
      <tp>
        <v>41907</v>
        <stp/>
        <stp>##V3_BADDPERIODS</stp>
        <stp>9/25/2014</stp>
        <stp>[7-25-XFRC_FXTK.xlsm]FXTK-Forwards (2)!R11C7</stp>
        <stp>BUSDAYADJ=-1</stp>
        <tr r="G11" s="28"/>
      </tp>
      <tp>
        <v>-1.77</v>
        <stp/>
        <stp>##V3_BFXFORWARDV12</stp>
        <stp>[7-25-XFRC_FXTK.xlsm]FXTK-Forwards (1)!R23C9</stp>
        <stp>BFXFORWARD</stp>
        <stp>USDKRW</stp>
        <stp>SETTLEMENTDATE</stp>
        <stp>42185</stp>
        <stp>OUTPUT</stp>
        <stp>BIDPoints</stp>
        <stp>markettype</stp>
        <stp>NDF</stp>
        <stp>source</stp>
        <stp>BGN</stp>
        <stp>pricingdate</stp>
        <stp>42019</stp>
        <stp>holidayvalues=true</stp>
        <tr r="I23" s="26"/>
      </tp>
      <tp>
        <v>42172</v>
        <stp/>
        <stp>##V3_BFXFORWARDV12</stp>
        <stp>[7-25-XFRC_FXTK.xlsm]FXTK-Forwards (1)!R12C15</stp>
        <stp>BFXFORWARD</stp>
        <stp>USDJPY</stp>
        <stp>TENOR</stp>
        <stp>IM2</stp>
        <stp>OUTPUT</stp>
        <stp>SETTLEMENTDATE</stp>
        <stp>PRICINGDATE</stp>
        <stp>42009</stp>
        <tr r="O12" s="26"/>
      </tp>
      <tp>
        <v>42081</v>
        <stp/>
        <stp>##V3_BFXFORWARDV12</stp>
        <stp>[7-25-XFRC_FXTK.xlsm]FXTK-Forwards (1)!R12C14</stp>
        <stp>BFXFORWARD</stp>
        <stp>USDJPY</stp>
        <stp>TENOR</stp>
        <stp>IM1</stp>
        <stp>OUTPUT</stp>
        <stp>SETTLEMENTDATE</stp>
        <stp>PRICINGDATE</stp>
        <stp>42009</stp>
        <tr r="N12" s="26"/>
      </tp>
      <tp>
        <v>41883</v>
        <stp/>
        <stp>##V3_BADDPERIODS</stp>
        <stp>8/30/2014</stp>
        <stp>[7-25-XFRC_FXTK.xlsm]FXTK-Forwards (2)!R16C7</stp>
        <stp>BUSDAYADJ=-1</stp>
        <tr r="G16" s="28"/>
      </tp>
      <tp>
        <v>-4.74</v>
        <stp/>
        <stp>##V3_BFXFORWARDV12</stp>
        <stp>[7-25-XFRC_FXTK.xlsm]FXTK-Forwards (1)!R23C8</stp>
        <stp>BFXFORWARD</stp>
        <stp>USDKRW</stp>
        <stp>SETTLEMENTDATE</stp>
        <stp>42094</stp>
        <stp>OUTPUT</stp>
        <stp>BIDPoints</stp>
        <stp>markettype</stp>
        <stp>NDF</stp>
        <stp>source</stp>
        <stp>BGN</stp>
        <stp>pricingdate</stp>
        <stp>42019</stp>
        <stp>holidayvalues=true</stp>
        <tr r="H23" s="26"/>
      </tp>
      <tp>
        <v>42370</v>
        <stp/>
        <stp>##V3_BFXFORWARDV12</stp>
        <stp>[7-25-XFRC_FXTK.xlsm]FXTK-Forwards (2)!R16C8</stp>
        <stp>BFXFORWARD</stp>
        <stp>USDKRW</stp>
        <stp>SETTLEMENTDATE</stp>
        <stp>42370</stp>
        <stp>OUTPUT</stp>
        <stp>SETTLEMENTDATE</stp>
        <stp>PRICINGDATE</stp>
        <stp>41883</stp>
        <tr r="H16" s="28"/>
      </tp>
      <tp>
        <v>201</v>
        <stp/>
        <stp>##V3_BCOUNTPERIODS</stp>
        <stp>1/20/2015</stp>
        <stp>11/20/2015</stp>
        <stp>[7-25-XFRC_FXTK.xlsm]FXTK-Forward Dates!R88C22</stp>
        <stp>CDR=US JN</stp>
        <tr r="V88" s="29"/>
      </tp>
      <tp>
        <v>180</v>
        <stp/>
        <stp>##V3_BCOUNTPERIODS</stp>
        <stp>1/20/2015</stp>
        <stp>10/20/2015</stp>
        <stp>[7-25-XFRC_FXTK.xlsm]FXTK-Forward Dates!R87C22</stp>
        <stp>CDR=US JN</stp>
        <tr r="V87" s="29"/>
      </tp>
      <tp>
        <v>40269</v>
        <stp/>
        <stp>##V3_BADDPERIODS</stp>
        <stp>4/1/2010</stp>
        <stp>[7-25-XFRC_FXTK.xlsm]FXTK-Swaps!R39C3</stp>
        <stp>busdayadj=-1</stp>
        <tr r="C39" s="30"/>
      </tp>
      <tp>
        <v>44</v>
        <stp/>
        <stp>##V3_BCOUNTPERIODS</stp>
        <stp>9/6/2011</stp>
        <stp>11/7/2011</stp>
        <stp>[7-25-XFRC_FXTK.xlsm]FXTK-Forward Dates!R80C11</stp>
        <stp>CDR= TE</stp>
        <tr r="K80" s="29"/>
      </tp>
      <tp>
        <v>6.5307110000000002</v>
        <stp/>
        <stp>##V3_BFXFORWARDV12</stp>
        <stp>[7-25-XFRC_FXTK.xlsm]FXTK-Swaps!R32C10</stp>
        <stp>BFXFORWARD</stp>
        <stp>USDSEK</stp>
        <stp>SETTLEMENTDATE</stp>
        <stp>42258</stp>
        <stp>OUTPUT</stp>
        <stp>BIDOUTRIGHT</stp>
        <stp>PRICINGDATE</stp>
        <stp>41701</stp>
        <stp>HOLIDAYVALUES=TRUE</stp>
        <stp>MARKETTYPE</stp>
        <stp/>
        <tr r="J32" s="30"/>
      </tp>
      <tp>
        <v>41330</v>
        <stp/>
        <stp>##V3_BFXFORWARDV12</stp>
        <stp>[7-25-XFRC_FXTK.xlsm]FXTK-Swaps!R36C20</stp>
        <stp>BFXFORWARD</stp>
        <stp>EURJPY</stp>
        <stp>SETTLEMENTDATE</stp>
        <stp>41330</stp>
        <stp>OUTPUT</stp>
        <stp>SETTLEMENTDATE</stp>
        <stp>PRICINGDATE</stp>
        <stp>39482</stp>
        <tr r="T36" s="30"/>
      </tp>
      <tp>
        <v>126</v>
        <stp/>
        <stp>##V3_BFXFORWARDV12</stp>
        <stp>[7-25-XFRC_FXTK.xlsm]FXTK-Forwards (2)!R13C21</stp>
        <stp>BFXFORWARD</stp>
        <stp>EURUSD</stp>
        <stp>SETTLEMENTDATE</stp>
        <stp>42438</stp>
        <stp>OUTPUT</stp>
        <stp>DAYS</stp>
        <stp>PRICINGDATE</stp>
        <stp>42310</stp>
        <tr r="U13" s="28"/>
      </tp>
      <tp>
        <v>5.4689999999999999E-3</v>
        <stp/>
        <stp>##V3_BFXFORWARDV12</stp>
        <stp>[7-25-XFRC_FXTK.xlsm]FXTK-Forwards (2)!R12C15</stp>
        <stp>BFXFORWARD</stp>
        <stp>EURUSD</stp>
        <stp>SETTLEMENTDATE</stp>
        <stp>42325</stp>
        <stp>OUTPUT</stp>
        <stp>bidpoints</stp>
        <stp>pricingdate</stp>
        <stp>41850</stp>
        <stp>markettype</stp>
        <stp/>
        <stp>source</stp>
        <stp>BGN</stp>
        <stp>holidayvalues=true</stp>
        <stp>truedecimal=yes</stp>
        <tr r="O12" s="28"/>
      </tp>
      <tp>
        <v>5.6614999999999999E-3</v>
        <stp/>
        <stp>##V3_BFXFORWARDV12</stp>
        <stp>[7-25-XFRC_FXTK.xlsm]FXTK-Forwards (2)!R12C17</stp>
        <stp>BFXFORWARD</stp>
        <stp>EURUSD</stp>
        <stp>SETTLEMENTDATE</stp>
        <stp>42325</stp>
        <stp>OUTPUT</stp>
        <stp>midpoints</stp>
        <stp>pricingdate</stp>
        <stp>41850</stp>
        <stp>markettype</stp>
        <stp/>
        <stp>source</stp>
        <stp>BGN</stp>
        <stp>holidayvalues=true</stp>
        <stp>truedecimal=yes</stp>
        <tr r="Q12" s="28"/>
      </tp>
      <tp>
        <v>42379</v>
        <stp/>
        <stp>##V3_BFXFORWARDV12</stp>
        <stp>[7-25-XFRC_FXTK.xlsm]FXTK-Swaps!R11C20</stp>
        <stp>BFXFORWARD</stp>
        <stp>EURUSD</stp>
        <stp>SETTLEMENTDATE</stp>
        <stp>42379</stp>
        <stp>OUTPUT</stp>
        <stp>SETTLEMENTDATE</stp>
        <stp>PRICINGDATE</stp>
        <stp>42009</stp>
        <tr r="T11" s="30"/>
      </tp>
      <tp>
        <v>220</v>
        <stp/>
        <stp>##V3_BCOUNTPERIODS</stp>
        <stp>1/20/2015</stp>
        <stp>12/21/2015</stp>
        <stp>[7-25-XFRC_FXTK.xlsm]FXTK-Forward Dates!R89C22</stp>
        <stp>CDR=US JN</stp>
        <tr r="V89" s="29"/>
      </tp>
      <tp>
        <v>40665</v>
        <stp/>
        <stp>##V3_BADDPERIODS</stp>
        <stp>5/2/2011</stp>
        <stp>[7-25-XFRC_FXTK.xlsm]FXTK-Swaps!R30C3</stp>
        <stp>busdayadj=-1</stp>
        <tr r="C30" s="30"/>
      </tp>
      <tp>
        <v>40301</v>
        <stp/>
        <stp>##V3_BADDPERIODS</stp>
        <stp>5/1/2010</stp>
        <stp>[7-25-XFRC_FXTK.xlsm]FXTK-Swaps!R42C3</stp>
        <stp>busdayadj=-1</stp>
        <tr r="C42" s="30"/>
      </tp>
      <tp>
        <v>140.89009999999999</v>
        <stp/>
        <stp>##V3_BFXFORWARDV12</stp>
        <stp>[7-25-XFRC_FXTK.xlsm]FXTK-Swaps!R35C10</stp>
        <stp>BFXFORWARD</stp>
        <stp>EURJPY</stp>
        <stp>SETTLEMENTDATE</stp>
        <stp>40932</stp>
        <stp>OUTPUT</stp>
        <stp>BIDOUTRIGHT</stp>
        <stp>PRICINGDATE</stp>
        <stp>39482</stp>
        <stp>HOLIDAYVALUES=TRUE</stp>
        <stp>MARKETTYPE</stp>
        <stp/>
        <tr r="J35" s="30"/>
      </tp>
      <tp>
        <v>22</v>
        <stp/>
        <stp>##V3_BCOUNTPERIODS</stp>
        <stp>9/6/2011</stp>
        <stp>10/6/2011</stp>
        <stp>[7-25-XFRC_FXTK.xlsm]FXTK-Forward Dates!R79C11</stp>
        <stp>CDR= TE</stp>
        <tr r="K79" s="29"/>
      </tp>
      <tp>
        <v>6.5322040000000001</v>
        <stp/>
        <stp>##V3_BFXFORWARDV12</stp>
        <stp>[7-25-XFRC_FXTK.xlsm]FXTK-Swaps!R33C10</stp>
        <stp>BFXFORWARD</stp>
        <stp>USDSEK</stp>
        <stp>SETTLEMENTDATE</stp>
        <stp>42272</stp>
        <stp>OUTPUT</stp>
        <stp>BIDOUTRIGHT</stp>
        <stp>PRICINGDATE</stp>
        <stp>41701</stp>
        <stp>HOLIDAYVALUES=TRUE</stp>
        <stp>MARKETTYPE</stp>
        <stp/>
        <tr r="J33" s="30"/>
      </tp>
      <tp>
        <v>2.7875E-3</v>
        <stp/>
        <stp>##V3_BFXFORWARDV12</stp>
        <stp>[7-25-XFRC_FXTK.xlsm]FXTK-Forwards (2)!R13C17</stp>
        <stp>BFXFORWARD</stp>
        <stp>EURUSD</stp>
        <stp>SETTLEMENTDATE</stp>
        <stp>42438</stp>
        <stp>OUTPUT</stp>
        <stp>midpoints</stp>
        <stp>pricingdate</stp>
        <stp>42310</stp>
        <stp>markettype</stp>
        <stp/>
        <stp>source</stp>
        <stp>BGN</stp>
        <stp>holidayvalues=true</stp>
        <stp>truedecimal=yes</stp>
        <tr r="Q13" s="28"/>
      </tp>
      <tp>
        <v>2.7590000000000002E-3</v>
        <stp/>
        <stp>##V3_BFXFORWARDV12</stp>
        <stp>[7-25-XFRC_FXTK.xlsm]FXTK-Forwards (2)!R13C15</stp>
        <stp>BFXFORWARD</stp>
        <stp>EURUSD</stp>
        <stp>SETTLEMENTDATE</stp>
        <stp>42438</stp>
        <stp>OUTPUT</stp>
        <stp>bidpoints</stp>
        <stp>pricingdate</stp>
        <stp>42310</stp>
        <stp>markettype</stp>
        <stp/>
        <stp>source</stp>
        <stp>BGN</stp>
        <stp>holidayvalues=true</stp>
        <stp>truedecimal=yes</stp>
        <tr r="O13" s="28"/>
      </tp>
    </main>
    <main first="bloomberg.rtd">
      <tp>
        <v>-35.08</v>
        <stp/>
        <stp>##V3_BFXFORWARDV12</stp>
        <stp>[7-25-XFRC_FXTK.xlsm]FXTK-Forwards (1)!R20C8</stp>
        <stp>BFXFORWARD</stp>
        <stp>AUDCAD</stp>
        <stp>SETTLEMENTDATE</stp>
        <stp>42094</stp>
        <stp>OUTPUT</stp>
        <stp>BIDPoints</stp>
        <stp>markettype</stp>
        <stp/>
        <stp>source</stp>
        <stp>BGN</stp>
        <stp>pricingdate</stp>
        <stp>42019</stp>
        <stp>holidayvalues=true</stp>
        <tr r="H20" s="26"/>
      </tp>
      <tp>
        <v>1.0954E-2</v>
        <stp/>
        <stp>##V3_BFXFORWARDV12</stp>
        <stp>[7-25-XFRC_FXTK.xlsm]FXTK-Forwards (2)!R14C15</stp>
        <stp>BFXFORWARD</stp>
        <stp>USDCAD</stp>
        <stp>SETTLEMENTDATE</stp>
        <stp>42362</stp>
        <stp>OUTPUT</stp>
        <stp>bidpoints</stp>
        <stp>pricingdate</stp>
        <stp>41850</stp>
        <stp>markettype</stp>
        <stp/>
        <stp>source</stp>
        <stp>BGN</stp>
        <stp>holidayvalues=true</stp>
        <stp>truedecimal=yes</stp>
        <tr r="O14" s="28"/>
      </tp>
      <tp>
        <v>1.1309E-2</v>
        <stp/>
        <stp>##V3_BFXFORWARDV12</stp>
        <stp>[7-25-XFRC_FXTK.xlsm]FXTK-Forwards (2)!R14C17</stp>
        <stp>BFXFORWARD</stp>
        <stp>USDCAD</stp>
        <stp>SETTLEMENTDATE</stp>
        <stp>42362</stp>
        <stp>OUTPUT</stp>
        <stp>midpoints</stp>
        <stp>pricingdate</stp>
        <stp>41850</stp>
        <stp>markettype</stp>
        <stp/>
        <stp>source</stp>
        <stp>BGN</stp>
        <stp>holidayvalues=true</stp>
        <stp>truedecimal=yes</stp>
        <tr r="Q14" s="28"/>
      </tp>
      <tp>
        <v>2.4600000000000002E-4</v>
        <stp/>
        <stp>##V3_BFXFORWARDV12</stp>
        <stp>[7-25-XFRC_FXTK.xlsm]FXTK-Forwards (2)!R21C15</stp>
        <stp>BFXFORWARD</stp>
        <stp>EURUSD</stp>
        <stp>SETTLEMENTDATE</stp>
        <stp>41915</stp>
        <stp>OUTPUT</stp>
        <stp>bidpoints</stp>
        <stp>pricingdate</stp>
        <stp>41851</stp>
        <stp>markettype</stp>
        <stp/>
        <stp>source</stp>
        <stp>BGN</stp>
        <stp>holidayvalues=true</stp>
        <stp>truedecimal=yes</stp>
        <tr r="O21" s="28"/>
      </tp>
      <tp>
        <v>2.5599999999999999E-4</v>
        <stp/>
        <stp>##V3_BFXFORWARDV12</stp>
        <stp>[7-25-XFRC_FXTK.xlsm]FXTK-Forwards (2)!R21C17</stp>
        <stp>BFXFORWARD</stp>
        <stp>EURUSD</stp>
        <stp>SETTLEMENTDATE</stp>
        <stp>41915</stp>
        <stp>OUTPUT</stp>
        <stp>midpoints</stp>
        <stp>pricingdate</stp>
        <stp>41851</stp>
        <stp>markettype</stp>
        <stp/>
        <stp>source</stp>
        <stp>BGN</stp>
        <stp>holidayvalues=true</stp>
        <stp>truedecimal=yes</stp>
        <tr r="Q21" s="28"/>
      </tp>
      <tp>
        <v>42438</v>
        <stp/>
        <stp>##V3_BFXFORWARDV12</stp>
        <stp>[7-25-XFRC_FXTK.xlsm]FXTK-Forwards (2)!R13C8</stp>
        <stp>BFXFORWARD</stp>
        <stp>EURUSD</stp>
        <stp>SETTLEMENTDATE</stp>
        <stp>42438</stp>
        <stp>OUTPUT</stp>
        <stp>SETTLEMENTDATE</stp>
        <stp>PRICINGDATE</stp>
        <stp>42310</stp>
        <tr r="H13" s="28"/>
      </tp>
      <tp>
        <v>42272</v>
        <stp/>
        <stp>##V3_BFXFORWARDV12</stp>
        <stp>[7-25-XFRC_FXTK.xlsm]FXTK-Swaps!R33C20</stp>
        <stp>BFXFORWARD</stp>
        <stp>USDSEK</stp>
        <stp>SETTLEMENTDATE</stp>
        <stp>42272</stp>
        <stp>OUTPUT</stp>
        <stp>SETTLEMENTDATE</stp>
        <stp>PRICINGDATE</stp>
        <stp>41701</stp>
        <tr r="T33" s="30"/>
      </tp>
      <tp>
        <v>40728</v>
        <stp/>
        <stp>##V3_BADDPERIODS</stp>
        <stp>7/2/2011</stp>
        <stp>[7-25-XFRC_FXTK.xlsm]FXTK-Swaps!R24C3</stp>
        <stp>busdayadj=-1</stp>
        <tr r="C24" s="30"/>
      </tp>
      <tp>
        <v>1.553007</v>
        <stp/>
        <stp>##V3_BFXFORWARDV12</stp>
        <stp>[7-25-XFRC_FXTK.xlsm]FXTK-Swaps!R17C10</stp>
        <stp>BFXFORWARD</stp>
        <stp>GBPUSD</stp>
        <stp>SETTLEMENTDATE</stp>
        <stp>42394</stp>
        <stp>OUTPUT</stp>
        <stp>BIDOUTRIGHT</stp>
        <stp>PRICINGDATE</stp>
        <stp>42003</stp>
        <stp>HOLIDAYVALUES=TRUE</stp>
        <stp>MARKETTYPE</stp>
        <stp/>
        <tr r="J17" s="30"/>
      </tp>
      <tp>
        <v>65</v>
        <stp/>
        <stp>##V3_BCOUNTPERIODS</stp>
        <stp>9/6/2011</stp>
        <stp>12/6/2011</stp>
        <stp>[7-25-XFRC_FXTK.xlsm]FXTK-Forward Dates!R81C11</stp>
        <stp>CDR= TE</stp>
        <tr r="K81" s="29"/>
      </tp>
      <tp>
        <v>-77.569999999999993</v>
        <stp/>
        <stp>##V3_BFXFORWARDV12</stp>
        <stp>[7-25-XFRC_FXTK.xlsm]FXTK-Forwards (1)!R20C9</stp>
        <stp>BFXFORWARD</stp>
        <stp>AUDCAD</stp>
        <stp>SETTLEMENTDATE</stp>
        <stp>42185</stp>
        <stp>OUTPUT</stp>
        <stp>BIDPoints</stp>
        <stp>markettype</stp>
        <stp/>
        <stp>source</stp>
        <stp>BGN</stp>
        <stp>pricingdate</stp>
        <stp>42019</stp>
        <stp>holidayvalues=true</stp>
        <tr r="I20" s="26"/>
      </tp>
      <tp>
        <v>135</v>
        <stp/>
        <stp>##V3_BFXFORWARDV12</stp>
        <stp>[7-25-XFRC_FXTK.xlsm]FXTK-Forwards (2)!R20C21</stp>
        <stp>BFXFORWARD</stp>
        <stp>EURUSD</stp>
        <stp>SETTLEMENTDATE</stp>
        <stp>41990</stp>
        <stp>OUTPUT</stp>
        <stp>DAYS</stp>
        <stp>PRICINGDATE</stp>
        <stp>41851</stp>
        <tr r="U20" s="28"/>
      </tp>
      <tp>
        <v>42393</v>
        <stp/>
        <stp>##V3_BFXFORWARDV12</stp>
        <stp>[7-25-XFRC_FXTK.xlsm]FXTK-Swaps!R12C20</stp>
        <stp>BFXFORWARD</stp>
        <stp>EURUSD</stp>
        <stp>SETTLEMENTDATE</stp>
        <stp>42393</stp>
        <stp>OUTPUT</stp>
        <stp>SETTLEMENTDATE</stp>
        <stp>PRICINGDATE</stp>
        <stp>42009</stp>
        <tr r="T12" s="30"/>
      </tp>
      <tp>
        <v>42259</v>
        <stp/>
        <stp>##V3_BFXFORWARDV12</stp>
        <stp>[7-25-XFRC_FXTK.xlsm]FXTK-Swaps!R32C20</stp>
        <stp>BFXFORWARD</stp>
        <stp>USDSEK</stp>
        <stp>SETTLEMENTDATE</stp>
        <stp>42259</stp>
        <stp>OUTPUT</stp>
        <stp>SETTLEMENTDATE</stp>
        <stp>PRICINGDATE</stp>
        <stp>41701</stp>
        <tr r="T32" s="30"/>
      </tp>
      <tp>
        <v>1.69801</v>
        <stp/>
        <stp>##V3_BFXFORWARDV12</stp>
        <stp>[7-25-XFRC_FXTK.xlsm]FXTK-Swaps!R41C11</stp>
        <stp>BFXFORWARD</stp>
        <stp>USDTRY</stp>
        <stp>SETTLEMENTDATE</stp>
        <stp>40932</stp>
        <stp>OUTPUT</stp>
        <stp>ASKOUTRIGHT</stp>
        <stp>PRICINGDATE</stp>
        <stp>40301</stp>
        <stp>HOLIDAYVALUES=TRUE</stp>
        <stp>MARKETTYPE</stp>
        <stp/>
        <tr r="K41" s="30"/>
      </tp>
      <tp>
        <v>1.200696</v>
        <stp/>
        <stp>##V3_BFXFORWARDV12</stp>
        <stp>[7-25-XFRC_FXTK.xlsm]FXTK-Swaps!R12C10</stp>
        <stp>BFXFORWARD</stp>
        <stp>EURUSD</stp>
        <stp>SETTLEMENTDATE</stp>
        <stp>42394</stp>
        <stp>OUTPUT</stp>
        <stp>BIDOUTRIGHT</stp>
        <stp>PRICINGDATE</stp>
        <stp>42009</stp>
        <stp>HOLIDAYVALUES=TRUE</stp>
        <stp>MARKETTYPE</stp>
        <stp/>
        <tr r="J12" s="30"/>
      </tp>
      <tp>
        <v>746.93460000000005</v>
        <stp/>
        <stp>##V3_BFXFORWARDV12</stp>
        <stp>[7-25-XFRC_FXTK.xlsm]FXTK-Forwards (1)!R21C9</stp>
        <stp>BFXFORWARD</stp>
        <stp>AUDTHB</stp>
        <stp>SETTLEMENTDATE</stp>
        <stp>42185</stp>
        <stp>OUTPUT</stp>
        <stp>BIDPoints</stp>
        <stp>markettype</stp>
        <stp/>
        <stp>source</stp>
        <stp>BGN</stp>
        <stp>pricingdate</stp>
        <stp>42019</stp>
        <stp>holidayvalues=true</stp>
        <tr r="I21" s="26"/>
      </tp>
      <tp>
        <v>43.8</v>
        <stp/>
        <stp>##V3_BFXFORWARDV12</stp>
        <stp>[7-25-XFRC_FXTK.xlsm]FXTK-Forwards (1)!R17C9</stp>
        <stp>BFXFORWARD</stp>
        <stp>AUDNZD</stp>
        <stp>SETTLEMENTDATE</stp>
        <stp>42185</stp>
        <stp>OUTPUT</stp>
        <stp>BIDPoints</stp>
        <stp>markettype</stp>
        <stp/>
        <stp>source</stp>
        <stp>BGN</stp>
        <stp>pricingdate</stp>
        <stp>42019</stp>
        <stp>holidayvalues=true</stp>
        <tr r="I17" s="26"/>
      </tp>
      <tp>
        <v>42393</v>
        <stp/>
        <stp>##V3_BFXFORWARDV12</stp>
        <stp>[7-25-XFRC_FXTK.xlsm]FXTK-Swaps!R17C20</stp>
        <stp>BFXFORWARD</stp>
        <stp>GBPUSD</stp>
        <stp>SETTLEMENTDATE</stp>
        <stp>42393</stp>
        <stp>OUTPUT</stp>
        <stp>SETTLEMENTDATE</stp>
        <stp>PRICINGDATE</stp>
        <stp>42003</stp>
        <tr r="T17" s="30"/>
      </tp>
      <tp>
        <v>1.37E-4</v>
        <stp/>
        <stp>##V3_BFXFORWARDV12</stp>
        <stp>[7-25-XFRC_FXTK.xlsm]FXTK-Forwards (2)!R19C16</stp>
        <stp>BFXFORWARD</stp>
        <stp>EURUSD</stp>
        <stp>SETTLEMENTDATE</stp>
        <stp>41886</stp>
        <stp>OUTPUT</stp>
        <stp>askpoints</stp>
        <stp>pricingdate</stp>
        <stp>41851</stp>
        <stp>markettype</stp>
        <stp/>
        <stp>source</stp>
        <stp>BGN</stp>
        <stp>holidayvalues=true</stp>
        <stp>truedecimal=yes</stp>
        <tr r="P19" s="28"/>
      </tp>
      <tp>
        <v>6.2000000000000003E-5</v>
        <stp/>
        <stp>##V3_BFXFORWARDV12</stp>
        <stp>[7-25-XFRC_FXTK.xlsm]FXTK-Forwards (2)!R17C15</stp>
        <stp>BFXFORWARD</stp>
        <stp>EURUSD</stp>
        <stp>SETTLEMENTDATE</stp>
        <stp>41955</stp>
        <stp>OUTPUT</stp>
        <stp>bidpoints</stp>
        <stp>pricingdate</stp>
        <stp>41943</stp>
        <stp>markettype</stp>
        <stp/>
        <stp>source</stp>
        <stp>BGN</stp>
        <stp>holidayvalues=true</stp>
        <stp>truedecimal=yes</stp>
        <tr r="O17" s="28"/>
      </tp>
      <tp>
        <v>6.4999999999999994E-5</v>
        <stp/>
        <stp>##V3_BFXFORWARDV12</stp>
        <stp>[7-25-XFRC_FXTK.xlsm]FXTK-Forwards (2)!R17C17</stp>
        <stp>BFXFORWARD</stp>
        <stp>EURUSD</stp>
        <stp>SETTLEMENTDATE</stp>
        <stp>41955</stp>
        <stp>OUTPUT</stp>
        <stp>midpoints</stp>
        <stp>pricingdate</stp>
        <stp>41943</stp>
        <stp>markettype</stp>
        <stp/>
        <stp>source</stp>
        <stp>BGN</stp>
        <stp>holidayvalues=true</stp>
        <stp>truedecimal=yes</stp>
        <tr r="Q17" s="28"/>
      </tp>
      <tp>
        <v>42009</v>
        <stp/>
        <stp>##V3_BADDPERIODS</stp>
        <stp>1/3/2015</stp>
        <stp>[7-25-XFRC_FXTK.xlsm]FXTK-Swaps!R12C3</stp>
        <stp>busdayadj=-1</stp>
        <tr r="C12" s="30"/>
      </tp>
      <tp>
        <v>42005</v>
        <stp/>
        <stp>##V3_BADDPERIODS</stp>
        <stp>1/1/2015</stp>
        <stp>[7-25-XFRC_FXTK.xlsm]FXTK-Swaps!R45C3</stp>
        <stp>busdayadj=-1</stp>
        <tr r="C45" s="30"/>
      </tp>
      <tp>
        <v>-76.689400000000006</v>
        <stp/>
        <stp>##V3_BFXFORWARDV12</stp>
        <stp>[7-25-XFRC_FXTK.xlsm]FXTK-Forwards (1)!R21C8</stp>
        <stp>BFXFORWARD</stp>
        <stp>AUDTHB</stp>
        <stp>SETTLEMENTDATE</stp>
        <stp>42094</stp>
        <stp>OUTPUT</stp>
        <stp>BIDPoints</stp>
        <stp>markettype</stp>
        <stp/>
        <stp>source</stp>
        <stp>BGN</stp>
        <stp>pricingdate</stp>
        <stp>42019</stp>
        <stp>holidayvalues=true</stp>
        <tr r="H21" s="26"/>
      </tp>
      <tp>
        <v>16.64</v>
        <stp/>
        <stp>##V3_BFXFORWARDV12</stp>
        <stp>[7-25-XFRC_FXTK.xlsm]FXTK-Forwards (1)!R17C8</stp>
        <stp>BFXFORWARD</stp>
        <stp>AUDNZD</stp>
        <stp>SETTLEMENTDATE</stp>
        <stp>42094</stp>
        <stp>OUTPUT</stp>
        <stp>BIDPoints</stp>
        <stp>markettype</stp>
        <stp/>
        <stp>source</stp>
        <stp>BGN</stp>
        <stp>pricingdate</stp>
        <stp>42019</stp>
        <stp>holidayvalues=true</stp>
        <tr r="H17" s="26"/>
      </tp>
      <tp>
        <v>31</v>
        <stp/>
        <stp>##V3_BFXFORWARDV12</stp>
        <stp>[7-25-XFRC_FXTK.xlsm]FXTK-Forwards (2)!R19C21</stp>
        <stp>BFXFORWARD</stp>
        <stp>EURUSD</stp>
        <stp>SETTLEMENTDATE</stp>
        <stp>41886</stp>
        <stp>OUTPUT</stp>
        <stp>DAYS</stp>
        <stp>PRICINGDATE</stp>
        <stp>41851</stp>
        <tr r="U19" s="28"/>
      </tp>
      <tp>
        <v>6.7299999999999999E-4</v>
        <stp/>
        <stp>##V3_BFXFORWARDV12</stp>
        <stp>[7-25-XFRC_FXTK.xlsm]FXTK-Forwards (2)!R20C16</stp>
        <stp>BFXFORWARD</stp>
        <stp>EURUSD</stp>
        <stp>SETTLEMENTDATE</stp>
        <stp>41990</stp>
        <stp>OUTPUT</stp>
        <stp>askpoints</stp>
        <stp>pricingdate</stp>
        <stp>41851</stp>
        <stp>markettype</stp>
        <stp/>
        <stp>source</stp>
        <stp>BGN</stp>
        <stp>holidayvalues=true</stp>
        <stp>truedecimal=yes</stp>
        <tr r="P20" s="28"/>
      </tp>
      <tp>
        <v>44409</v>
        <stp/>
        <stp>##V3_BFXFORWARDV12</stp>
        <stp>[7-25-XFRC_FXTK.xlsm]FXTK-Swaps!R29C20</stp>
        <stp>BFXFORWARD</stp>
        <stp>USDNOK</stp>
        <stp>SETTLEMENTDATE</stp>
        <stp>44409</stp>
        <stp>OUTPUT</stp>
        <stp>SETTLEMENTDATE</stp>
        <stp>PRICINGDATE</stp>
        <stp>40665</stp>
        <tr r="T29" s="30"/>
      </tp>
      <tp>
        <v>8.3999999999999995E-5</v>
        <stp/>
        <stp>##V3_BFXFORWARDV12</stp>
        <stp>[7-25-XFRC_FXTK.xlsm]FXTK-Forwards (2)!R18C15</stp>
        <stp>BFXFORWARD</stp>
        <stp>EURUSD</stp>
        <stp>SETTLEMENTDATE</stp>
        <stp>41869</stp>
        <stp>OUTPUT</stp>
        <stp>bidpoints</stp>
        <stp>pricingdate</stp>
        <stp>41851</stp>
        <stp>markettype</stp>
        <stp/>
        <stp>source</stp>
        <stp>BGN</stp>
        <stp>holidayvalues=true</stp>
        <stp>truedecimal=yes</stp>
        <tr r="O18" s="28"/>
      </tp>
      <tp>
        <v>8.8499999999999996E-5</v>
        <stp/>
        <stp>##V3_BFXFORWARDV12</stp>
        <stp>[7-25-XFRC_FXTK.xlsm]FXTK-Forwards (2)!R18C17</stp>
        <stp>BFXFORWARD</stp>
        <stp>EURUSD</stp>
        <stp>SETTLEMENTDATE</stp>
        <stp>41869</stp>
        <stp>OUTPUT</stp>
        <stp>midpoints</stp>
        <stp>pricingdate</stp>
        <stp>41851</stp>
        <stp>markettype</stp>
        <stp/>
        <stp>source</stp>
        <stp>BGN</stp>
        <stp>holidayvalues=true</stp>
        <stp>truedecimal=yes</stp>
        <tr r="Q18" s="28"/>
      </tp>
      <tp>
        <v>39482</v>
        <stp/>
        <stp>##V3_BADDPERIODS</stp>
        <stp>2/2/2008</stp>
        <stp>[7-25-XFRC_FXTK.xlsm]FXTK-Swaps!R36C3</stp>
        <stp>busdayadj=-1</stp>
        <tr r="C36" s="30"/>
      </tp>
      <tp>
        <v>0.90036499999999997</v>
        <stp/>
        <stp>##V3_BFXFORWARDV12</stp>
        <stp>[7-25-XFRC_FXTK.xlsm]FXTK-Swaps!R39C11</stp>
        <stp>BFXFORWARD</stp>
        <stp>EURGBP</stp>
        <stp>SETTLEMENTDATE</stp>
        <stp>41330</stp>
        <stp>OUTPUT</stp>
        <stp>ASKOUTRIGHT</stp>
        <stp>PRICINGDATE</stp>
        <stp>40269</stp>
        <stp>HOLIDAYVALUES=TRUE</stp>
        <stp>MARKETTYPE</stp>
        <stp/>
        <tr r="K39" s="30"/>
      </tp>
      <tp>
        <v>5.7252429999999999</v>
        <stp/>
        <stp>##V3_BFXFORWARDV12</stp>
        <stp>[7-25-XFRC_FXTK.xlsm]FXTK-Swaps!R29C10</stp>
        <stp>BFXFORWARD</stp>
        <stp>USDNOK</stp>
        <stp>SETTLEMENTDATE</stp>
        <stp>44410</stp>
        <stp>OUTPUT</stp>
        <stp>BIDOUTRIGHT</stp>
        <stp>PRICINGDATE</stp>
        <stp>40665</stp>
        <stp>HOLIDAYVALUES=TRUE</stp>
        <stp>MARKETTYPE</stp>
        <stp/>
        <tr r="J29" s="30"/>
      </tp>
      <tp>
        <v>0.90726499999999999</v>
        <stp/>
        <stp>##V3_BFXFORWARDV12</stp>
        <stp>[7-25-XFRC_FXTK.xlsm]FXTK-Swaps!R20C10</stp>
        <stp>BFXFORWARD</stp>
        <stp>AUDUSD</stp>
        <stp>SETTLEMENTDATE</stp>
        <stp>42412</stp>
        <stp>OUTPUT</stp>
        <stp>BIDOUTRIGHT</stp>
        <stp>PRICINGDATE</stp>
        <stp>41820</stp>
        <stp>HOLIDAYVALUES=TRUE</stp>
        <stp>MARKETTYPE</stp>
        <stp/>
        <tr r="J20" s="30"/>
      </tp>
      <tp>
        <v>0.90152399999999999</v>
        <stp/>
        <stp>##V3_BFXFORWARDV12</stp>
        <stp>[7-25-XFRC_FXTK.xlsm]FXTK-Swaps!R21C10</stp>
        <stp>BFXFORWARD</stp>
        <stp>AUDUSD</stp>
        <stp>SETTLEMENTDATE</stp>
        <stp>42523</stp>
        <stp>OUTPUT</stp>
        <stp>BIDOUTRIGHT</stp>
        <stp>PRICINGDATE</stp>
        <stp>41820</stp>
        <stp>HOLIDAYVALUES=TRUE</stp>
        <stp>MARKETTYPE</stp>
        <stp/>
        <tr r="J21" s="30"/>
      </tp>
      <tp>
        <v>473</v>
        <stp/>
        <stp>##V3_BFXFORWARDV12</stp>
        <stp>[7-25-XFRC_FXTK.xlsm]FXTK-Forwards (2)!R12C21</stp>
        <stp>BFXFORWARD</stp>
        <stp>EURUSD</stp>
        <stp>SETTLEMENTDATE</stp>
        <stp>42325</stp>
        <stp>OUTPUT</stp>
        <stp>DAYS</stp>
        <stp>PRICINGDATE</stp>
        <stp>41850</stp>
        <tr r="U12" s="28"/>
      </tp>
      <tp>
        <v>60</v>
        <stp/>
        <stp>##V3_BFXFORWARDV12</stp>
        <stp>[7-25-XFRC_FXTK.xlsm]FXTK-Forwards (2)!R21C21</stp>
        <stp>BFXFORWARD</stp>
        <stp>EURUSD</stp>
        <stp>SETTLEMENTDATE</stp>
        <stp>41915</stp>
        <stp>OUTPUT</stp>
        <stp>DAYS</stp>
        <stp>PRICINGDATE</stp>
        <stp>41851</stp>
        <tr r="U21" s="28"/>
      </tp>
      <tp>
        <v>41701</v>
        <stp/>
        <stp>##V3_BADDPERIODS</stp>
        <stp>3/1/2014</stp>
        <stp>[7-25-XFRC_FXTK.xlsm]FXTK-Swaps!R33C3</stp>
        <stp>busdayadj=-1</stp>
        <tr r="C33" s="30"/>
      </tp>
      <tp>
        <v>1.2001809999999999</v>
        <stp/>
        <stp>##V3_BFXFORWARDV12</stp>
        <stp>[7-25-XFRC_FXTK.xlsm]FXTK-Swaps!R11C10</stp>
        <stp>BFXFORWARD</stp>
        <stp>EURUSD</stp>
        <stp>SETTLEMENTDATE</stp>
        <stp>42380</stp>
        <stp>OUTPUT</stp>
        <stp>BIDOUTRIGHT</stp>
        <stp>PRICINGDATE</stp>
        <stp>42009</stp>
        <stp>HOLIDAYVALUES=TRUE</stp>
        <stp>MARKETTYPE</stp>
        <stp/>
        <tr r="J11" s="30"/>
      </tp>
      <tp>
        <v>-2.4802999999999999E-2</v>
        <stp/>
        <stp>##V3_BFXFORWARDV12</stp>
        <stp>[7-25-XFRC_FXTK.xlsm]FXTK-Forwards (2)!R11C15</stp>
        <stp>BFXFORWARD</stp>
        <stp>AUDUSD</stp>
        <stp>SETTLEMENTDATE</stp>
        <stp>42325</stp>
        <stp>OUTPUT</stp>
        <stp>bidpoints</stp>
        <stp>pricingdate</stp>
        <stp>41907</stp>
        <stp>markettype</stp>
        <stp/>
        <stp>source</stp>
        <stp>BGN</stp>
        <stp>holidayvalues=true</stp>
        <stp>truedecimal=yes</stp>
        <tr r="O11" s="28"/>
      </tp>
      <tp>
        <v>-2.4657499999999999E-2</v>
        <stp/>
        <stp>##V3_BFXFORWARDV12</stp>
        <stp>[7-25-XFRC_FXTK.xlsm]FXTK-Forwards (2)!R11C17</stp>
        <stp>BFXFORWARD</stp>
        <stp>AUDUSD</stp>
        <stp>SETTLEMENTDATE</stp>
        <stp>42325</stp>
        <stp>OUTPUT</stp>
        <stp>midpoints</stp>
        <stp>pricingdate</stp>
        <stp>41907</stp>
        <stp>markettype</stp>
        <stp/>
        <stp>source</stp>
        <stp>BGN</stp>
        <stp>holidayvalues=true</stp>
        <stp>truedecimal=yes</stp>
        <tr r="Q11" s="28"/>
      </tp>
      <tp>
        <v>189</v>
        <stp/>
        <stp>##V3_BFXFORWARDV12</stp>
        <stp>[7-25-XFRC_FXTK.xlsm]FXTK-Forwards (2)!R22C21</stp>
        <stp>BFXFORWARD</stp>
        <stp>EURUSD</stp>
        <stp>SETTLEMENTDATE</stp>
        <stp>42044</stp>
        <stp>OUTPUT</stp>
        <stp>DAYS</stp>
        <stp>PRICINGDATE</stp>
        <stp>41851</stp>
        <tr r="U22" s="28"/>
      </tp>
      <tp>
        <v>8</v>
        <stp/>
        <stp>##V3_BFXFORWARDV12</stp>
        <stp>[7-25-XFRC_FXTK.xlsm]FXTK-Forwards (2)!R17C21</stp>
        <stp>BFXFORWARD</stp>
        <stp>EURUSD</stp>
        <stp>SETTLEMENTDATE</stp>
        <stp>41955</stp>
        <stp>OUTPUT</stp>
        <stp>DAYS</stp>
        <stp>PRICINGDATE</stp>
        <stp>41943</stp>
        <tr r="U17" s="28"/>
      </tp>
      <tp>
        <v>9.4700000000000003E-4</v>
        <stp/>
        <stp>##V3_BFXFORWARDV12</stp>
        <stp>[7-25-XFRC_FXTK.xlsm]FXTK-Forwards (2)!R22C15</stp>
        <stp>BFXFORWARD</stp>
        <stp>EURUSD</stp>
        <stp>SETTLEMENTDATE</stp>
        <stp>42044</stp>
        <stp>OUTPUT</stp>
        <stp>bidpoints</stp>
        <stp>pricingdate</stp>
        <stp>41851</stp>
        <stp>markettype</stp>
        <stp/>
        <stp>source</stp>
        <stp>BGN</stp>
        <stp>holidayvalues=true</stp>
        <stp>truedecimal=yes</stp>
        <tr r="O22" s="28"/>
      </tp>
      <tp>
        <v>9.7550000000000002E-4</v>
        <stp/>
        <stp>##V3_BFXFORWARDV12</stp>
        <stp>[7-25-XFRC_FXTK.xlsm]FXTK-Forwards (2)!R22C17</stp>
        <stp>BFXFORWARD</stp>
        <stp>EURUSD</stp>
        <stp>SETTLEMENTDATE</stp>
        <stp>42044</stp>
        <stp>OUTPUT</stp>
        <stp>midpoints</stp>
        <stp>pricingdate</stp>
        <stp>41851</stp>
        <stp>markettype</stp>
        <stp/>
        <stp>source</stp>
        <stp>BGN</stp>
        <stp>holidayvalues=true</stp>
        <stp>truedecimal=yes</stp>
        <tr r="Q22" s="28"/>
      </tp>
      <tp>
        <v>137.03890000000001</v>
        <stp/>
        <stp>##V3_BFXFORWARDV12</stp>
        <stp>[7-25-XFRC_FXTK.xlsm]FXTK-Swaps!R36C10</stp>
        <stp>BFXFORWARD</stp>
        <stp>EURJPY</stp>
        <stp>SETTLEMENTDATE</stp>
        <stp>41330</stp>
        <stp>OUTPUT</stp>
        <stp>BIDOUTRIGHT</stp>
        <stp>PRICINGDATE</stp>
        <stp>39482</stp>
        <stp>HOLIDAYVALUES=TRUE</stp>
        <stp>MARKETTYPE</stp>
        <stp/>
        <tr r="J36" s="30"/>
      </tp>
      <tp>
        <v>43.41</v>
        <stp/>
        <stp>##V3_BFXFORWARDV12</stp>
        <stp>[7-25-XFRC_FXTK.xlsm]FXTK-Forwards (1)!R22C9</stp>
        <stp>BFXFORWARD</stp>
        <stp>USDTHB</stp>
        <stp>SETTLEMENTDATE</stp>
        <stp>42185</stp>
        <stp>OUTPUT</stp>
        <stp>BIDPoints</stp>
        <stp>markettype</stp>
        <stp>offshore</stp>
        <stp>source</stp>
        <stp>BGN</stp>
        <stp>pricingdate</stp>
        <stp>42019</stp>
        <stp>holidayvalues=true</stp>
        <tr r="I22" s="26"/>
      </tp>
      <tp>
        <v>-2.4511999999999999E-2</v>
        <stp/>
        <stp>##V3_BFXFORWARDV12</stp>
        <stp>[7-25-XFRC_FXTK.xlsm]FXTK-Forwards (2)!R11C16</stp>
        <stp>BFXFORWARD</stp>
        <stp>AUDUSD</stp>
        <stp>SETTLEMENTDATE</stp>
        <stp>42325</stp>
        <stp>OUTPUT</stp>
        <stp>askpoints</stp>
        <stp>pricingdate</stp>
        <stp>41907</stp>
        <stp>markettype</stp>
        <stp/>
        <stp>source</stp>
        <stp>BGN</stp>
        <stp>holidayvalues=true</stp>
        <stp>truedecimal=yes</stp>
        <tr r="P11" s="28"/>
      </tp>
      <tp>
        <v>1.0039999999999999E-3</v>
        <stp/>
        <stp>##V3_BFXFORWARDV12</stp>
        <stp>[7-25-XFRC_FXTK.xlsm]FXTK-Forwards (2)!R22C16</stp>
        <stp>BFXFORWARD</stp>
        <stp>EURUSD</stp>
        <stp>SETTLEMENTDATE</stp>
        <stp>42044</stp>
        <stp>OUTPUT</stp>
        <stp>askpoints</stp>
        <stp>pricingdate</stp>
        <stp>41851</stp>
        <stp>markettype</stp>
        <stp/>
        <stp>source</stp>
        <stp>BGN</stp>
        <stp>holidayvalues=true</stp>
        <stp>truedecimal=yes</stp>
        <tr r="P22" s="28"/>
      </tp>
      <tp>
        <v>43293</v>
        <stp/>
        <stp>##V3_BFXFORWARDV12</stp>
        <stp>[7-25-XFRC_FXTK.xlsm]FXTK-Swaps!R24C20</stp>
        <stp>BFXFORWARD</stp>
        <stp>USDCHF</stp>
        <stp>SETTLEMENTDATE</stp>
        <stp>43293</stp>
        <stp>OUTPUT</stp>
        <stp>SETTLEMENTDATE</stp>
        <stp>PRICINGDATE</stp>
        <stp>40728</stp>
        <tr r="T24" s="30"/>
      </tp>
      <tp>
        <v>17.13</v>
        <stp/>
        <stp>##V3_BFXFORWARDV12</stp>
        <stp>[7-25-XFRC_FXTK.xlsm]FXTK-Forwards (1)!R22C8</stp>
        <stp>BFXFORWARD</stp>
        <stp>USDTHB</stp>
        <stp>SETTLEMENTDATE</stp>
        <stp>42094</stp>
        <stp>OUTPUT</stp>
        <stp>BIDPoints</stp>
        <stp>markettype</stp>
        <stp>offshore</stp>
        <stp>source</stp>
        <stp>BGN</stp>
        <stp>pricingdate</stp>
        <stp>42019</stp>
        <stp>holidayvalues=true</stp>
        <tr r="H22" s="26"/>
      </tp>
      <tp>
        <v>40932</v>
        <stp/>
        <stp>##V3_BFXFORWARDV12</stp>
        <stp>[7-25-XFRC_FXTK.xlsm]FXTK-Swaps!R35C20</stp>
        <stp>BFXFORWARD</stp>
        <stp>EURJPY</stp>
        <stp>SETTLEMENTDATE</stp>
        <stp>40932</stp>
        <stp>OUTPUT</stp>
        <stp>SETTLEMENTDATE</stp>
        <stp>PRICINGDATE</stp>
        <stp>39482</stp>
        <tr r="T35" s="30"/>
      </tp>
      <tp>
        <v>102.36750000000001</v>
        <stp/>
        <stp>##V3_BFXFORWARDV12</stp>
        <stp>[7-25-XFRC_FXTK.xlsm]FXTK-Swaps!R14C11</stp>
        <stp>BFXFORWARD</stp>
        <stp>USDJPY</stp>
        <stp>SETTLEMENTDATE</stp>
        <stp>42125</stp>
        <stp>OUTPUT</stp>
        <stp>ASKOUTRIGHT</stp>
        <stp>PRICINGDATE</stp>
        <stp>41852</stp>
        <stp>HOLIDAYVALUES=TRUE</stp>
        <stp>MARKETTYPE</stp>
        <stp/>
        <tr r="K14" s="30"/>
      </tp>
      <tp>
        <v>0.76078299999999999</v>
        <stp/>
        <stp>##V3_BFXFORWARDV12</stp>
        <stp>[7-25-XFRC_FXTK.xlsm]FXTK-Swaps!R24C10</stp>
        <stp>BFXFORWARD</stp>
        <stp>USDCHF</stp>
        <stp>SETTLEMENTDATE</stp>
        <stp>43293</stp>
        <stp>OUTPUT</stp>
        <stp>BIDOUTRIGHT</stp>
        <stp>PRICINGDATE</stp>
        <stp>40728</stp>
        <stp>HOLIDAYVALUES=TRUE</stp>
        <stp>MARKETTYPE</stp>
        <stp/>
        <tr r="J24" s="30"/>
      </tp>
      <tp>
        <v>8.32</v>
        <stp/>
        <stp>##V3_BFXFORWARDV12</stp>
        <stp>[7-25-XFRC_FXTK.xlsm]FXTK-Forwards (1)!R27C8</stp>
        <stp>BFXFORWARD</stp>
        <stp>EURUSD</stp>
        <stp>SETTLEMENTDATE</stp>
        <stp>42094</stp>
        <stp>OUTPUT</stp>
        <stp>ASKPoints</stp>
        <stp>markettype</stp>
        <stp/>
        <stp>source</stp>
        <stp>BGN</stp>
        <stp>pricingdate</stp>
        <stp>42019</stp>
        <stp>holidayvalues=true</stp>
        <tr r="H27" s="26"/>
      </tp>
      <tp>
        <v>-93.58</v>
        <stp/>
        <stp>##V3_BFXFORWARDV12</stp>
        <stp>[7-25-XFRC_FXTK.xlsm]FXTK-Forwards (1)!R19C9</stp>
        <stp>BFXFORWARD</stp>
        <stp>AUDUSD</stp>
        <stp>SETTLEMENTDATE</stp>
        <stp>42185</stp>
        <stp>OUTPUT</stp>
        <stp>BIDPoints</stp>
        <stp>markettype</stp>
        <stp/>
        <stp>source</stp>
        <stp>BGN</stp>
        <stp>pricingdate</stp>
        <stp>42019</stp>
        <stp>holidayvalues=true</stp>
        <tr r="I19" s="26"/>
      </tp>
      <tp>
        <v>14</v>
        <stp/>
        <stp>##V3_BFXFORWARDV12</stp>
        <stp>[7-25-XFRC_FXTK.xlsm]FXTK-Forwards (2)!R18C21</stp>
        <stp>BFXFORWARD</stp>
        <stp>EURUSD</stp>
        <stp>SETTLEMENTDATE</stp>
        <stp>41869</stp>
        <stp>OUTPUT</stp>
        <stp>DAYS</stp>
        <stp>PRICINGDATE</stp>
        <stp>41851</stp>
        <tr r="U18" s="28"/>
      </tp>
      <tp>
        <v>42412</v>
        <stp/>
        <stp>##V3_BFXFORWARDV12</stp>
        <stp>[7-25-XFRC_FXTK.xlsm]FXTK-Swaps!R20C20</stp>
        <stp>BFXFORWARD</stp>
        <stp>AUDUSD</stp>
        <stp>SETTLEMENTDATE</stp>
        <stp>42412</stp>
        <stp>OUTPUT</stp>
        <stp>SETTLEMENTDATE</stp>
        <stp>PRICINGDATE</stp>
        <stp>41820</stp>
        <tr r="T20" s="30"/>
      </tp>
      <tp>
        <v>42523</v>
        <stp/>
        <stp>##V3_BFXFORWARDV12</stp>
        <stp>[7-25-XFRC_FXTK.xlsm]FXTK-Swaps!R21C20</stp>
        <stp>BFXFORWARD</stp>
        <stp>AUDUSD</stp>
        <stp>SETTLEMENTDATE</stp>
        <stp>42523</stp>
        <stp>OUTPUT</stp>
        <stp>SETTLEMENTDATE</stp>
        <stp>PRICINGDATE</stp>
        <stp>41820</stp>
        <tr r="T21" s="30"/>
      </tp>
      <tp>
        <v>6.3599999999999996E-4</v>
        <stp/>
        <stp>##V3_BFXFORWARDV12</stp>
        <stp>[7-25-XFRC_FXTK.xlsm]FXTK-Forwards (2)!R20C15</stp>
        <stp>BFXFORWARD</stp>
        <stp>EURUSD</stp>
        <stp>SETTLEMENTDATE</stp>
        <stp>41990</stp>
        <stp>OUTPUT</stp>
        <stp>bidpoints</stp>
        <stp>pricingdate</stp>
        <stp>41851</stp>
        <stp>markettype</stp>
        <stp/>
        <stp>source</stp>
        <stp>BGN</stp>
        <stp>holidayvalues=true</stp>
        <stp>truedecimal=yes</stp>
        <tr r="O20" s="28"/>
      </tp>
      <tp>
        <v>6.5450000000000003E-4</v>
        <stp/>
        <stp>##V3_BFXFORWARDV12</stp>
        <stp>[7-25-XFRC_FXTK.xlsm]FXTK-Forwards (2)!R20C17</stp>
        <stp>BFXFORWARD</stp>
        <stp>EURUSD</stp>
        <stp>SETTLEMENTDATE</stp>
        <stp>41990</stp>
        <stp>OUTPUT</stp>
        <stp>midpoints</stp>
        <stp>pricingdate</stp>
        <stp>41851</stp>
        <stp>markettype</stp>
        <stp/>
        <stp>source</stp>
        <stp>BGN</stp>
        <stp>holidayvalues=true</stp>
        <stp>truedecimal=yes</stp>
        <tr r="Q20" s="28"/>
      </tp>
      <tp>
        <v>9.2999999999999997E-5</v>
        <stp/>
        <stp>##V3_BFXFORWARDV12</stp>
        <stp>[7-25-XFRC_FXTK.xlsm]FXTK-Forwards (2)!R18C16</stp>
        <stp>BFXFORWARD</stp>
        <stp>EURUSD</stp>
        <stp>SETTLEMENTDATE</stp>
        <stp>41869</stp>
        <stp>OUTPUT</stp>
        <stp>askpoints</stp>
        <stp>pricingdate</stp>
        <stp>41851</stp>
        <stp>markettype</stp>
        <stp/>
        <stp>source</stp>
        <stp>BGN</stp>
        <stp>holidayvalues=true</stp>
        <stp>truedecimal=yes</stp>
        <tr r="P18" s="28"/>
      </tp>
      <tp>
        <v>1.553094</v>
        <stp/>
        <stp>##V3_BFXFORWARDV12</stp>
        <stp>[7-25-XFRC_FXTK.xlsm]FXTK-Swaps!R18C10</stp>
        <stp>BFXFORWARD</stp>
        <stp>GBPUSD</stp>
        <stp>SETTLEMENTDATE</stp>
        <stp>42430</stp>
        <stp>OUTPUT</stp>
        <stp>BIDOUTRIGHT</stp>
        <stp>PRICINGDATE</stp>
        <stp>42003</stp>
        <stp>HOLIDAYVALUES=TRUE</stp>
        <stp>MARKETTYPE</stp>
        <stp/>
        <tr r="J18" s="30"/>
      </tp>
      <tp>
        <v>21.22</v>
        <stp/>
        <stp>##V3_BFXFORWARDV12</stp>
        <stp>[7-25-XFRC_FXTK.xlsm]FXTK-Forwards (1)!R27C9</stp>
        <stp>BFXFORWARD</stp>
        <stp>EURUSD</stp>
        <stp>SETTLEMENTDATE</stp>
        <stp>42185</stp>
        <stp>OUTPUT</stp>
        <stp>ASKPoints</stp>
        <stp>markettype</stp>
        <stp/>
        <stp>source</stp>
        <stp>BGN</stp>
        <stp>pricingdate</stp>
        <stp>42019</stp>
        <stp>holidayvalues=true</stp>
        <tr r="I27" s="26"/>
      </tp>
      <tp>
        <v>-42.42</v>
        <stp/>
        <stp>##V3_BFXFORWARDV12</stp>
        <stp>[7-25-XFRC_FXTK.xlsm]FXTK-Forwards (1)!R19C8</stp>
        <stp>BFXFORWARD</stp>
        <stp>AUDUSD</stp>
        <stp>SETTLEMENTDATE</stp>
        <stp>42094</stp>
        <stp>OUTPUT</stp>
        <stp>BIDPoints</stp>
        <stp>markettype</stp>
        <stp/>
        <stp>source</stp>
        <stp>BGN</stp>
        <stp>pricingdate</stp>
        <stp>42019</stp>
        <stp>holidayvalues=true</stp>
        <tr r="H19" s="26"/>
      </tp>
      <tp>
        <v>1.1900000000000001E-4</v>
        <stp/>
        <stp>##V3_BFXFORWARDV12</stp>
        <stp>[7-25-XFRC_FXTK.xlsm]FXTK-Forwards (2)!R19C15</stp>
        <stp>BFXFORWARD</stp>
        <stp>EURUSD</stp>
        <stp>SETTLEMENTDATE</stp>
        <stp>41886</stp>
        <stp>OUTPUT</stp>
        <stp>bidpoints</stp>
        <stp>pricingdate</stp>
        <stp>41851</stp>
        <stp>markettype</stp>
        <stp/>
        <stp>source</stp>
        <stp>BGN</stp>
        <stp>holidayvalues=true</stp>
        <stp>truedecimal=yes</stp>
        <tr r="O19" s="28"/>
      </tp>
      <tp>
        <v>1.2799999999999999E-4</v>
        <stp/>
        <stp>##V3_BFXFORWARDV12</stp>
        <stp>[7-25-XFRC_FXTK.xlsm]FXTK-Forwards (2)!R19C17</stp>
        <stp>BFXFORWARD</stp>
        <stp>EURUSD</stp>
        <stp>SETTLEMENTDATE</stp>
        <stp>41886</stp>
        <stp>OUTPUT</stp>
        <stp>midpoints</stp>
        <stp>pricingdate</stp>
        <stp>41851</stp>
        <stp>markettype</stp>
        <stp/>
        <stp>source</stp>
        <stp>BGN</stp>
        <stp>holidayvalues=true</stp>
        <stp>truedecimal=yes</stp>
        <tr r="Q19" s="28"/>
      </tp>
      <tp>
        <v>6.7999999999999999E-5</v>
        <stp/>
        <stp>##V3_BFXFORWARDV12</stp>
        <stp>[7-25-XFRC_FXTK.xlsm]FXTK-Forwards (2)!R17C16</stp>
        <stp>BFXFORWARD</stp>
        <stp>EURUSD</stp>
        <stp>SETTLEMENTDATE</stp>
        <stp>41955</stp>
        <stp>OUTPUT</stp>
        <stp>askpoints</stp>
        <stp>pricingdate</stp>
        <stp>41943</stp>
        <stp>markettype</stp>
        <stp/>
        <stp>source</stp>
        <stp>BGN</stp>
        <stp>holidayvalues=true</stp>
        <stp>truedecimal=yes</stp>
        <tr r="P17" s="28"/>
      </tp>
      <tp>
        <v>42325</v>
        <stp/>
        <stp>##V3_BFXFORWARDV12</stp>
        <stp>[7-25-XFRC_FXTK.xlsm]FXTK-Forwards (2)!R11C8</stp>
        <stp>BFXFORWARD</stp>
        <stp>AUDUSD</stp>
        <stp>SETTLEMENTDATE</stp>
        <stp>42325</stp>
        <stp>OUTPUT</stp>
        <stp>SETTLEMENTDATE</stp>
        <stp>PRICINGDATE</stp>
        <stp>41907</stp>
        <tr r="H11" s="28"/>
      </tp>
      <tp>
        <v>41852</v>
        <stp/>
        <stp>##V3_BADDPERIODS</stp>
        <stp>8/1/2014</stp>
        <stp>[7-25-XFRC_FXTK.xlsm]FXTK-Swaps!R15C3</stp>
        <stp>busdayadj=-1</stp>
        <tr r="C15" s="30"/>
      </tp>
      <tp>
        <v>5.6280599999999996</v>
        <stp/>
        <stp>##V3_BFXFORWARDV12</stp>
        <stp>[7-25-XFRC_FXTK.xlsm]FXTK-Swaps!R27C10</stp>
        <stp>BFXFORWARD</stp>
        <stp>USDDKK</stp>
        <stp>SETTLEMENTDATE</stp>
        <stp>42583</stp>
        <stp>OUTPUT</stp>
        <stp>BIDOUTRIGHT</stp>
        <stp>PRICINGDATE</stp>
        <stp>41456</stp>
        <stp>HOLIDAYVALUES=TRUE</stp>
        <stp>MARKETTYPE</stp>
        <stp/>
        <tr r="J27" s="30"/>
      </tp>
      <tp>
        <v>5.6473440000000004</v>
        <stp/>
        <stp>##V3_BFXFORWARDV12</stp>
        <stp>[7-25-XFRC_FXTK.xlsm]FXTK-Swaps!R26C10</stp>
        <stp>BFXFORWARD</stp>
        <stp>USDDKK</stp>
        <stp>SETTLEMENTDATE</stp>
        <stp>42402</stp>
        <stp>OUTPUT</stp>
        <stp>BIDOUTRIGHT</stp>
        <stp>PRICINGDATE</stp>
        <stp>41456</stp>
        <stp>HOLIDAYVALUES=TRUE</stp>
        <stp>MARKETTYPE</stp>
        <stp/>
        <tr r="J26" s="30"/>
      </tp>
      <tp>
        <v>42430</v>
        <stp/>
        <stp>##V3_BFXFORWARDV12</stp>
        <stp>[7-25-XFRC_FXTK.xlsm]FXTK-Swaps!R18C20</stp>
        <stp>BFXFORWARD</stp>
        <stp>GBPUSD</stp>
        <stp>SETTLEMENTDATE</stp>
        <stp>42430</stp>
        <stp>OUTPUT</stp>
        <stp>SETTLEMENTDATE</stp>
        <stp>PRICINGDATE</stp>
        <stp>42003</stp>
        <tr r="T18" s="30"/>
      </tp>
      <tp>
        <v>43103</v>
        <stp/>
        <stp>##V3_BFXFORWARDV12</stp>
        <stp>[7-25-XFRC_FXTK.xlsm]FXTK-Swaps!R23C20</stp>
        <stp>BFXFORWARD</stp>
        <stp>USDCHF</stp>
        <stp>SETTLEMENTDATE</stp>
        <stp>43103</stp>
        <stp>OUTPUT</stp>
        <stp>SETTLEMENTDATE</stp>
        <stp>PRICINGDATE</stp>
        <stp>40728</stp>
        <tr r="T23" s="30"/>
      </tp>
      <tp>
        <v>42583</v>
        <stp/>
        <stp>##V3_BFXFORWARDV12</stp>
        <stp>[7-25-XFRC_FXTK.xlsm]FXTK-Swaps!R27C20</stp>
        <stp>BFXFORWARD</stp>
        <stp>USDDKK</stp>
        <stp>SETTLEMENTDATE</stp>
        <stp>42583</stp>
        <stp>OUTPUT</stp>
        <stp>SETTLEMENTDATE</stp>
        <stp>PRICINGDATE</stp>
        <stp>41456</stp>
        <tr r="T27" s="30"/>
      </tp>
      <tp>
        <v>42362</v>
        <stp/>
        <stp>##V3_BFXFORWARDV12</stp>
        <stp>[7-25-XFRC_FXTK.xlsm]FXTK-Forwards (2)!R14C8</stp>
        <stp>BFXFORWARD</stp>
        <stp>USDCAD</stp>
        <stp>SETTLEMENTDATE</stp>
        <stp>42362</stp>
        <stp>OUTPUT</stp>
        <stp>SETTLEMENTDATE</stp>
        <stp>PRICINGDATE</stp>
        <stp>41850</stp>
        <tr r="H14" s="28"/>
      </tp>
      <tp>
        <v>42402</v>
        <stp/>
        <stp>##V3_BFXFORWARDV12</stp>
        <stp>[7-25-XFRC_FXTK.xlsm]FXTK-Swaps!R26C20</stp>
        <stp>BFXFORWARD</stp>
        <stp>USDDKK</stp>
        <stp>SETTLEMENTDATE</stp>
        <stp>42402</stp>
        <stp>OUTPUT</stp>
        <stp>SETTLEMENTDATE</stp>
        <stp>PRICINGDATE</stp>
        <stp>41456</stp>
        <tr r="T26" s="30"/>
      </tp>
      <tp t="s">
        <v>1/20/2015</v>
        <stp/>
        <stp>##V3_BDPV12</stp>
        <stp>USD/JPY R @011515 Curncy</stp>
        <stp>SETTLE_DT</stp>
        <stp>[7-25-XFRC_FXTK.xlsm]FXTK-Forward Dates!R74C20</stp>
        <tr r="T74" s="29"/>
      </tp>
      <tp>
        <v>1.8353409999999999</v>
        <stp/>
        <stp>##V3_BFXFORWARDV12</stp>
        <stp>[7-25-XFRC_FXTK.xlsm]FXTK-Swaps!R42C11</stp>
        <stp>BFXFORWARD</stp>
        <stp>USDTRY</stp>
        <stp>SETTLEMENTDATE</stp>
        <stp>41330</stp>
        <stp>OUTPUT</stp>
        <stp>ASKOUTRIGHT</stp>
        <stp>PRICINGDATE</stp>
        <stp>40301</stp>
        <stp>HOLIDAYVALUES=TRUE</stp>
        <stp>MARKETTYPE</stp>
        <stp/>
        <tr r="K42" s="30"/>
      </tp>
      <tp>
        <v>0.89361800000000002</v>
        <stp/>
        <stp>##V3_BFXFORWARDV12</stp>
        <stp>[7-25-XFRC_FXTK.xlsm]FXTK-Swaps!R38C11</stp>
        <stp>BFXFORWARD</stp>
        <stp>EURGBP</stp>
        <stp>SETTLEMENTDATE</stp>
        <stp>40952</stp>
        <stp>OUTPUT</stp>
        <stp>ASKOUTRIGHT</stp>
        <stp>PRICINGDATE</stp>
        <stp>40269</stp>
        <stp>HOLIDAYVALUES=TRUE</stp>
        <stp>MARKETTYPE</stp>
        <stp/>
        <tr r="K38" s="30"/>
      </tp>
      <tp>
        <v>1.1664000000000001E-2</v>
        <stp/>
        <stp>##V3_BFXFORWARDV12</stp>
        <stp>[7-25-XFRC_FXTK.xlsm]FXTK-Forwards (2)!R14C16</stp>
        <stp>BFXFORWARD</stp>
        <stp>USDCAD</stp>
        <stp>SETTLEMENTDATE</stp>
        <stp>42362</stp>
        <stp>OUTPUT</stp>
        <stp>askpoints</stp>
        <stp>pricingdate</stp>
        <stp>41850</stp>
        <stp>markettype</stp>
        <stp/>
        <stp>source</stp>
        <stp>BGN</stp>
        <stp>holidayvalues=true</stp>
        <stp>truedecimal=yes</stp>
        <tr r="P14" s="28"/>
      </tp>
      <tp>
        <v>2.6600000000000001E-4</v>
        <stp/>
        <stp>##V3_BFXFORWARDV12</stp>
        <stp>[7-25-XFRC_FXTK.xlsm]FXTK-Forwards (2)!R21C16</stp>
        <stp>BFXFORWARD</stp>
        <stp>EURUSD</stp>
        <stp>SETTLEMENTDATE</stp>
        <stp>41915</stp>
        <stp>OUTPUT</stp>
        <stp>askpoints</stp>
        <stp>pricingdate</stp>
        <stp>41851</stp>
        <stp>markettype</stp>
        <stp/>
        <stp>source</stp>
        <stp>BGN</stp>
        <stp>holidayvalues=true</stp>
        <stp>truedecimal=yes</stp>
        <tr r="P21" s="28"/>
      </tp>
      <tp>
        <v>44501</v>
        <stp/>
        <stp>##V3_BFXFORWARDV12</stp>
        <stp>[7-25-XFRC_FXTK.xlsm]FXTK-Swaps!R30C20</stp>
        <stp>BFXFORWARD</stp>
        <stp>USDNOK</stp>
        <stp>SETTLEMENTDATE</stp>
        <stp>44501</stp>
        <stp>OUTPUT</stp>
        <stp>SETTLEMENTDATE</stp>
        <stp>PRICINGDATE</stp>
        <stp>40665</stp>
        <tr r="T30" s="30"/>
      </tp>
      <tp>
        <v>-1287</v>
        <stp/>
        <stp>##V3_BCOUNTPERIODS</stp>
        <stp>9/16/2016</stp>
        <stp>9/6/2011</stp>
        <stp>[7-25-XFRC_FXTK.xlsm]FXTK-Forward Dates!R73C11</stp>
        <stp>CDR= TE</stp>
        <tr r="K73" s="29"/>
      </tp>
      <tp>
        <v>-859</v>
        <stp/>
        <stp>##V3_BCOUNTPERIODS</stp>
        <stp>1/16/2015</stp>
        <stp>9/6/2011</stp>
        <stp>[7-25-XFRC_FXTK.xlsm]FXTK-Forward Dates!R74C11</stp>
        <stp>CDR= TE</stp>
        <tr r="K74" s="29"/>
      </tp>
      <tp>
        <v>42104</v>
        <stp/>
        <stp>##V3_BFXFORWARDV12</stp>
        <stp>[7-25-XFRC_FXTK.xlsm]FXTK-Forwards (1)!R12C17</stp>
        <stp>BFXFORWARD</stp>
        <stp>USDJPY</stp>
        <stp>DAYS</stp>
        <stp>93</stp>
        <stp>OUTPUT</stp>
        <stp>SETTLEMENTDATE</stp>
        <stp>PRICINGDATE</stp>
        <stp>42009</stp>
        <tr r="Q12" s="26"/>
      </tp>
      <tp>
        <v>0.77112700000000001</v>
        <stp/>
        <stp>##V3_BFXFORWARDV12</stp>
        <stp>[7-25-XFRC_FXTK.xlsm]FXTK-Swaps!R23C10</stp>
        <stp>BFXFORWARD</stp>
        <stp>USDCHF</stp>
        <stp>SETTLEMENTDATE</stp>
        <stp>43103</stp>
        <stp>OUTPUT</stp>
        <stp>BIDOUTRIGHT</stp>
        <stp>PRICINGDATE</stp>
        <stp>40728</stp>
        <stp>HOLIDAYVALUES=TRUE</stp>
        <stp>MARKETTYPE</stp>
        <stp/>
        <tr r="J23" s="30"/>
      </tp>
      <tp>
        <v>5.7271179999999999</v>
        <stp/>
        <stp>##V3_BFXFORWARDV12</stp>
        <stp>[7-25-XFRC_FXTK.xlsm]FXTK-Swaps!R30C10</stp>
        <stp>BFXFORWARD</stp>
        <stp>USDNOK</stp>
        <stp>SETTLEMENTDATE</stp>
        <stp>44501</stp>
        <stp>OUTPUT</stp>
        <stp>BIDOUTRIGHT</stp>
        <stp>PRICINGDATE</stp>
        <stp>40665</stp>
        <stp>HOLIDAYVALUES=TRUE</stp>
        <stp>MARKETTYPE</stp>
        <stp/>
        <tr r="J30" s="30"/>
      </tp>
      <tp>
        <v>2.8159999999999999E-3</v>
        <stp/>
        <stp>##V3_BFXFORWARDV12</stp>
        <stp>[7-25-XFRC_FXTK.xlsm]FXTK-Forwards (2)!R13C16</stp>
        <stp>BFXFORWARD</stp>
        <stp>EURUSD</stp>
        <stp>SETTLEMENTDATE</stp>
        <stp>42438</stp>
        <stp>OUTPUT</stp>
        <stp>askpoints</stp>
        <stp>pricingdate</stp>
        <stp>42310</stp>
        <stp>markettype</stp>
        <stp/>
        <stp>source</stp>
        <stp>BGN</stp>
        <stp>holidayvalues=true</stp>
        <stp>truedecimal=yes</stp>
        <tr r="P13" s="28"/>
      </tp>
      <tp>
        <v>42325</v>
        <stp/>
        <stp>##V3_BFXFORWARDV12</stp>
        <stp>[7-25-XFRC_FXTK.xlsm]FXTK-Forwards (2)!R12C8</stp>
        <stp>BFXFORWARD</stp>
        <stp>EURUSD</stp>
        <stp>SETTLEMENTDATE</stp>
        <stp>42325</stp>
        <stp>OUTPUT</stp>
        <stp>SETTLEMENTDATE</stp>
        <stp>PRICINGDATE</stp>
        <stp>41850</stp>
        <tr r="H12" s="28"/>
      </tp>
      <tp>
        <v>101.30159999999999</v>
        <stp/>
        <stp>##V3_BFXFORWARDV12</stp>
        <stp>[7-25-XFRC_FXTK.xlsm]FXTK-Swaps!R15C11</stp>
        <stp>BFXFORWARD</stp>
        <stp>USDJPY</stp>
        <stp>SETTLEMENTDATE</stp>
        <stp>42515</stp>
        <stp>OUTPUT</stp>
        <stp>ASKOUTRIGHT</stp>
        <stp>PRICINGDATE</stp>
        <stp>41852</stp>
        <stp>HOLIDAYVALUES=TRUE</stp>
        <stp>MARKETTYPE</stp>
        <stp/>
        <tr r="K15" s="30"/>
      </tp>
      <tp>
        <v>42101</v>
        <stp/>
        <stp>##V3_BFXFORWARDV12</stp>
        <stp>[7-25-XFRC_FXTK.xlsm]FXTK-Forwards (1)!R12C16</stp>
        <stp>BFXFORWARD</stp>
        <stp>USDJPY</stp>
        <stp>DAYS</stp>
        <stp>90</stp>
        <stp>OUTPUT</stp>
        <stp>SETTLEMENTDATE</stp>
        <stp>PRICINGDATE</stp>
        <stp>42009</stp>
        <tr r="P12" s="26"/>
      </tp>
      <tp>
        <v>5.8539999999999998E-3</v>
        <stp/>
        <stp>##V3_BFXFORWARDV12</stp>
        <stp>[7-25-XFRC_FXTK.xlsm]FXTK-Forwards (2)!R12C16</stp>
        <stp>BFXFORWARD</stp>
        <stp>EURUSD</stp>
        <stp>SETTLEMENTDATE</stp>
        <stp>42325</stp>
        <stp>OUTPUT</stp>
        <stp>askpoints</stp>
        <stp>pricingdate</stp>
        <stp>41850</stp>
        <stp>markettype</stp>
        <stp/>
        <stp>source</stp>
        <stp>BGN</stp>
        <stp>holidayvalues=true</stp>
        <stp>truedecimal=yes</stp>
        <tr r="P12" s="28"/>
      </tp>
      <tp t="s">
        <v>2/2/2012</v>
        <stp/>
        <stp>##V3_BDPV12</stp>
        <stp>EUR/USD R 020212@090111 Curncy</stp>
        <stp>SETTLE_DT</stp>
        <stp>[7-25-XFRC_FXTK.xlsm]FXTK-Forward Dates!R91C9</stp>
        <tr r="I91" s="29"/>
      </tp>
      <tp>
        <v>844.37</v>
        <stp/>
        <stp>##V3_BFXFORWARDV12</stp>
        <stp>[7-25-XFRC_FXTK.xlsm]FXTK-Forwards (1)!R26C13</stp>
        <stp>BFXFORWARD</stp>
        <stp>USDIDR</stp>
        <stp>SETTLEMENTDATE</stp>
        <stp>42376</stp>
        <stp>OUTPUT</stp>
        <stp>ASKPoints</stp>
        <stp>markettype</stp>
        <stp>NDF</stp>
        <stp>source</stp>
        <stp>BGN</stp>
        <stp>pricingdate</stp>
        <stp>42019</stp>
        <stp>holidayvalues=true</stp>
        <tr r="M26" s="26"/>
      </tp>
      <tp>
        <v>739.63</v>
        <stp/>
        <stp>##V3_BFXFORWARDV12</stp>
        <stp>[7-25-XFRC_FXTK.xlsm]FXTK-Forwards (1)!R26C10</stp>
        <stp>BFXFORWARD</stp>
        <stp>USDIDR</stp>
        <stp>SETTLEMENTDATE</stp>
        <stp>42310</stp>
        <stp>OUTPUT</stp>
        <stp>ASKPoints</stp>
        <stp>markettype</stp>
        <stp>NDF</stp>
        <stp>source</stp>
        <stp>BGN</stp>
        <stp>pricingdate</stp>
        <stp>42019</stp>
        <stp>holidayvalues=true</stp>
        <tr r="J26" s="26"/>
      </tp>
      <tp>
        <v>-700</v>
        <stp/>
        <stp>##V3_BCOUNTPERIODS</stp>
        <stp>1/20/2015</stp>
        <stp>2/2/2012</stp>
        <stp>[7-25-XFRC_FXTK.xlsm]FXTK-Forward Dates!R91C22</stp>
        <stp>CDR=US JN</stp>
        <tr r="V91" s="29"/>
      </tp>
      <tp>
        <v>42309</v>
        <stp/>
        <stp>##V3_BFXFORWARDV12</stp>
        <stp>[7-25-XFRC_FXTK.xlsm]FXTK-Forwards (1)!R12C10</stp>
        <stp>BFXFORWARD</stp>
        <stp>USDJPY</stp>
        <stp>SETTLEMENTDATE</stp>
        <stp>42309</stp>
        <stp>OUTPUT</stp>
        <stp>SETTLEMENTDATE</stp>
        <stp>PRICINGDATE</stp>
        <stp>42009</stp>
        <tr r="J12" s="26"/>
      </tp>
      <tp>
        <v>364.68</v>
        <stp/>
        <stp>##V3_BFXFORWARDV12</stp>
        <stp>[7-25-XFRC_FXTK.xlsm]FXTK-Forwards (1)!R26C15</stp>
        <stp>BFXFORWARD</stp>
        <stp>USDIDR</stp>
        <stp>SETTLEMENTDATE</stp>
        <stp>42172</stp>
        <stp>OUTPUT</stp>
        <stp>ASKPoints</stp>
        <stp>markettype</stp>
        <stp>NDF</stp>
        <stp>source</stp>
        <stp>BGN</stp>
        <stp>pricingdate</stp>
        <stp>42019</stp>
        <stp>holidayvalues=true</stp>
        <tr r="O26" s="26"/>
      </tp>
      <tp>
        <v>190.81</v>
        <stp/>
        <stp>##V3_BFXFORWARDV12</stp>
        <stp>[7-25-XFRC_FXTK.xlsm]FXTK-Forwards (1)!R26C17</stp>
        <stp>BFXFORWARD</stp>
        <stp>USDIDR</stp>
        <stp>SETTLEMENTDATE</stp>
        <stp>42104</stp>
        <stp>OUTPUT</stp>
        <stp>ASKPoints</stp>
        <stp>markettype</stp>
        <stp>NDF</stp>
        <stp>source</stp>
        <stp>BGN</stp>
        <stp>pricingdate</stp>
        <stp>42019</stp>
        <stp>holidayvalues=true</stp>
        <tr r="Q26" s="26"/>
      </tp>
      <tp>
        <v>183.55</v>
        <stp/>
        <stp>##V3_BFXFORWARDV12</stp>
        <stp>[7-25-XFRC_FXTK.xlsm]FXTK-Forwards (1)!R26C12</stp>
        <stp>BFXFORWARD</stp>
        <stp>USDIDR</stp>
        <stp>SETTLEMENTDATE</stp>
        <stp>42101</stp>
        <stp>OUTPUT</stp>
        <stp>ASKPoints</stp>
        <stp>markettype</stp>
        <stp>NDF</stp>
        <stp>source</stp>
        <stp>BGN</stp>
        <stp>pricingdate</stp>
        <stp>42019</stp>
        <stp>holidayvalues=true</stp>
        <tr r="L26" s="26"/>
      </tp>
      <tp>
        <v>183.55</v>
        <stp/>
        <stp>##V3_BFXFORWARDV12</stp>
        <stp>[7-25-XFRC_FXTK.xlsm]FXTK-Forwards (1)!R26C16</stp>
        <stp>BFXFORWARD</stp>
        <stp>USDIDR</stp>
        <stp>SETTLEMENTDATE</stp>
        <stp>42101</stp>
        <stp>OUTPUT</stp>
        <stp>ASKPoints</stp>
        <stp>markettype</stp>
        <stp>NDF</stp>
        <stp>source</stp>
        <stp>BGN</stp>
        <stp>pricingdate</stp>
        <stp>42019</stp>
        <stp>holidayvalues=true</stp>
        <tr r="P26" s="26"/>
      </tp>
      <tp>
        <v>12.08</v>
        <stp/>
        <stp>##V3_BFXFORWARDV12</stp>
        <stp>[7-25-XFRC_FXTK.xlsm]FXTK-Forwards (2)!R16C15</stp>
        <stp>BFXFORWARD</stp>
        <stp>USDKRW</stp>
        <stp>SETTLEMENTDATE</stp>
        <stp>42370</stp>
        <stp>OUTPUT</stp>
        <stp>bidpoints</stp>
        <stp>pricingdate</stp>
        <stp>41883</stp>
        <stp>markettype</stp>
        <stp>NDF</stp>
        <stp>source</stp>
        <stp>BGN</stp>
        <stp>holidayvalues=true</stp>
        <stp>truedecimal=yes</stp>
        <tr r="O16" s="28"/>
      </tp>
      <tp>
        <v>13.654999999999999</v>
        <stp/>
        <stp>##V3_BFXFORWARDV12</stp>
        <stp>[7-25-XFRC_FXTK.xlsm]FXTK-Forwards (2)!R16C17</stp>
        <stp>BFXFORWARD</stp>
        <stp>USDKRW</stp>
        <stp>SETTLEMENTDATE</stp>
        <stp>42370</stp>
        <stp>OUTPUT</stp>
        <stp>midpoints</stp>
        <stp>pricingdate</stp>
        <stp>41883</stp>
        <stp>markettype</stp>
        <stp>NDF</stp>
        <stp>source</stp>
        <stp>BGN</stp>
        <stp>holidayvalues=true</stp>
        <stp>truedecimal=yes</stp>
        <tr r="Q16" s="28"/>
      </tp>
      <tp>
        <v>118.46805000000001</v>
        <stp/>
        <stp>##V3_BFXFORWARDV12</stp>
        <stp>[7-25-XFRC_FXTK.xlsm]FXTK-Forwards (2)!R15C20</stp>
        <stp>BFXFORWARD</stp>
        <stp>USDJPY</stp>
        <stp>SETTLEMENTDATE</stp>
        <stp>42825</stp>
        <stp>OUTPUT</stp>
        <stp>midoutright</stp>
        <stp>pricingdate</stp>
        <stp>42282</stp>
        <stp>markettype</stp>
        <stp/>
        <stp>source</stp>
        <stp>BGN</stp>
        <stp>holidayvalues=true</stp>
        <stp>truedecimal=yes</stp>
        <tr r="T15" s="28"/>
      </tp>
      <tp>
        <v>5.14</v>
        <stp/>
        <stp>##V3_BFXFORWARDV12</stp>
        <stp>[7-25-XFRC_FXTK.xlsm]FXTK-Forwards (1)!R26C11</stp>
        <stp>BFXFORWARD</stp>
        <stp>USDIDR</stp>
        <stp>SETTLEMENTDATE</stp>
        <stp>42025</stp>
        <stp>OUTPUT</stp>
        <stp>ASKPoints</stp>
        <stp>markettype</stp>
        <stp>NDF</stp>
        <stp>source</stp>
        <stp>BGN</stp>
        <stp>pricingdate</stp>
        <stp>42019</stp>
        <stp>holidayvalues=true</stp>
        <tr r="K26" s="26"/>
      </tp>
      <tp>
        <v>135.36000000000001</v>
        <stp/>
        <stp>##V3_BFXFORWARDV12</stp>
        <stp>[7-25-XFRC_FXTK.xlsm]FXTK-Forwards (1)!R26C14</stp>
        <stp>BFXFORWARD</stp>
        <stp>USDIDR</stp>
        <stp>SETTLEMENTDATE</stp>
        <stp>42081</stp>
        <stp>OUTPUT</stp>
        <stp>ASKPoints</stp>
        <stp>markettype</stp>
        <stp>NDF</stp>
        <stp>source</stp>
        <stp>BGN</stp>
        <stp>pricingdate</stp>
        <stp>42019</stp>
        <stp>holidayvalues=true</stp>
        <tr r="N26" s="26"/>
      </tp>
      <tp>
        <v>118.4002</v>
        <stp/>
        <stp>##V3_BFXFORWARDV12</stp>
        <stp>[7-25-XFRC_FXTK.xlsm]FXTK-Forwards (2)!R15C18</stp>
        <stp>BFXFORWARD</stp>
        <stp>USDJPY</stp>
        <stp>SETTLEMENTDATE</stp>
        <stp>42825</stp>
        <stp>OUTPUT</stp>
        <stp>bidoutright</stp>
        <stp>pricingdate</stp>
        <stp>42282</stp>
        <stp>markettype</stp>
        <stp/>
        <stp>source</stp>
        <stp>BGN</stp>
        <stp>holidayvalues=true</stp>
        <stp>truedecimal=yes</stp>
        <tr r="R15" s="28"/>
      </tp>
      <tp>
        <v>118.5359</v>
        <stp/>
        <stp>##V3_BFXFORWARDV12</stp>
        <stp>[7-25-XFRC_FXTK.xlsm]FXTK-Forwards (2)!R15C19</stp>
        <stp>BFXFORWARD</stp>
        <stp>USDJPY</stp>
        <stp>SETTLEMENTDATE</stp>
        <stp>42825</stp>
        <stp>OUTPUT</stp>
        <stp>askoutright</stp>
        <stp>pricingdate</stp>
        <stp>42282</stp>
        <stp>markettype</stp>
        <stp/>
        <stp>source</stp>
        <stp>BGN</stp>
        <stp>holidayvalues=true</stp>
        <stp>truedecimal=yes</stp>
        <tr r="S15" s="28"/>
      </tp>
      <tp>
        <v>1155.53</v>
        <stp/>
        <stp>##V3_BFXFORWARDV12</stp>
        <stp>[7-25-XFRC_FXTK.xlsm]FXTK-Forwards (1)!R24C13</stp>
        <stp>BFXFORWARD</stp>
        <stp>USDCNY</stp>
        <stp>SETTLEMENTDATE</stp>
        <stp>42376</stp>
        <stp>OUTPUT</stp>
        <stp>ASKPoints</stp>
        <stp>markettype</stp>
        <stp>NDF</stp>
        <stp>source</stp>
        <stp>BGN</stp>
        <stp>pricingdate</stp>
        <stp>42019</stp>
        <stp>holidayvalues=true</stp>
        <tr r="M24" s="26"/>
      </tp>
      <tp>
        <v>843.47</v>
        <stp/>
        <stp>##V3_BFXFORWARDV12</stp>
        <stp>[7-25-XFRC_FXTK.xlsm]FXTK-Forwards (1)!R24C10</stp>
        <stp>BFXFORWARD</stp>
        <stp>USDCNY</stp>
        <stp>SETTLEMENTDATE</stp>
        <stp>42310</stp>
        <stp>OUTPUT</stp>
        <stp>ASKPoints</stp>
        <stp>markettype</stp>
        <stp>NDF</stp>
        <stp>source</stp>
        <stp>BGN</stp>
        <stp>pricingdate</stp>
        <stp>42019</stp>
        <stp>holidayvalues=true</stp>
        <tr r="J24" s="26"/>
      </tp>
      <tp>
        <v>343.49</v>
        <stp/>
        <stp>##V3_BFXFORWARDV12</stp>
        <stp>[7-25-XFRC_FXTK.xlsm]FXTK-Forwards (1)!R25C13</stp>
        <stp>BFXFORWARD</stp>
        <stp>USDINR</stp>
        <stp>SETTLEMENTDATE</stp>
        <stp>42376</stp>
        <stp>OUTPUT</stp>
        <stp>ASKPoints</stp>
        <stp>markettype</stp>
        <stp>NDF</stp>
        <stp>source</stp>
        <stp>BGN</stp>
        <stp>pricingdate</stp>
        <stp>42019</stp>
        <stp>holidayvalues=true</stp>
        <tr r="M25" s="26"/>
      </tp>
      <tp>
        <v>271.11</v>
        <stp/>
        <stp>##V3_BFXFORWARDV12</stp>
        <stp>[7-25-XFRC_FXTK.xlsm]FXTK-Forwards (1)!R25C10</stp>
        <stp>BFXFORWARD</stp>
        <stp>USDINR</stp>
        <stp>SETTLEMENTDATE</stp>
        <stp>42310</stp>
        <stp>OUTPUT</stp>
        <stp>ASKPoints</stp>
        <stp>markettype</stp>
        <stp>NDF</stp>
        <stp>source</stp>
        <stp>BGN</stp>
        <stp>pricingdate</stp>
        <stp>42019</stp>
        <stp>holidayvalues=true</stp>
        <tr r="J25" s="26"/>
      </tp>
      <tp>
        <v>2.34</v>
        <stp/>
        <stp>##V3_BFXFORWARDV12</stp>
        <stp>[7-25-XFRC_FXTK.xlsm]FXTK-Forwards (1)!R23C13</stp>
        <stp>BFXFORWARD</stp>
        <stp>USDKRW</stp>
        <stp>SETTLEMENTDATE</stp>
        <stp>42376</stp>
        <stp>OUTPUT</stp>
        <stp>BIDPoints</stp>
        <stp>markettype</stp>
        <stp>NDF</stp>
        <stp>source</stp>
        <stp>BGN</stp>
        <stp>pricingdate</stp>
        <stp>42019</stp>
        <stp>holidayvalues=true</stp>
        <tr r="M23" s="26"/>
      </tp>
      <tp>
        <v>0.73</v>
        <stp/>
        <stp>##V3_BFXFORWARDV12</stp>
        <stp>[7-25-XFRC_FXTK.xlsm]FXTK-Forwards (1)!R23C10</stp>
        <stp>BFXFORWARD</stp>
        <stp>USDKRW</stp>
        <stp>SETTLEMENTDATE</stp>
        <stp>42310</stp>
        <stp>OUTPUT</stp>
        <stp>BIDPoints</stp>
        <stp>markettype</stp>
        <stp>NDF</stp>
        <stp>source</stp>
        <stp>BGN</stp>
        <stp>pricingdate</stp>
        <stp>42019</stp>
        <stp>holidayvalues=true</stp>
        <tr r="J23" s="26"/>
      </tp>
      <tp>
        <v>1.101559</v>
        <stp/>
        <stp>##V3_BFXFORWARDV12</stp>
        <stp>[7-25-XFRC_FXTK.xlsm]FXTK-Forwards (2)!R14C20</stp>
        <stp>BFXFORWARD</stp>
        <stp>USDCAD</stp>
        <stp>SETTLEMENTDATE</stp>
        <stp>42362</stp>
        <stp>OUTPUT</stp>
        <stp>midoutright</stp>
        <stp>pricingdate</stp>
        <stp>41850</stp>
        <stp>markettype</stp>
        <stp/>
        <stp>source</stp>
        <stp>BGN</stp>
        <stp>holidayvalues=true</stp>
        <stp>truedecimal=yes</stp>
        <tr r="T14" s="28"/>
      </tp>
      <tp>
        <v>-1.68</v>
        <stp/>
        <stp>##V3_BFXFORWARDV12</stp>
        <stp>[7-25-XFRC_FXTK.xlsm]FXTK-Forwards (1)!R25C11</stp>
        <stp>BFXFORWARD</stp>
        <stp>USDINR</stp>
        <stp>SETTLEMENTDATE</stp>
        <stp>42025</stp>
        <stp>OUTPUT</stp>
        <stp>ASKPoints</stp>
        <stp>markettype</stp>
        <stp>NDF</stp>
        <stp>source</stp>
        <stp>BGN</stp>
        <stp>pricingdate</stp>
        <stp>42019</stp>
        <stp>holidayvalues=true</stp>
        <tr r="K25" s="26"/>
      </tp>
      <tp>
        <v>-5.17</v>
        <stp/>
        <stp>##V3_BFXFORWARDV12</stp>
        <stp>[7-25-XFRC_FXTK.xlsm]FXTK-Forwards (1)!R23C14</stp>
        <stp>BFXFORWARD</stp>
        <stp>USDKRW</stp>
        <stp>SETTLEMENTDATE</stp>
        <stp>42081</stp>
        <stp>OUTPUT</stp>
        <stp>BIDPoints</stp>
        <stp>markettype</stp>
        <stp>NDF</stp>
        <stp>source</stp>
        <stp>BGN</stp>
        <stp>pricingdate</stp>
        <stp>42019</stp>
        <stp>holidayvalues=true</stp>
        <tr r="N23" s="26"/>
      </tp>
      <tp>
        <v>112.42</v>
        <stp/>
        <stp>##V3_BFXFORWARDV12</stp>
        <stp>[7-25-XFRC_FXTK.xlsm]FXTK-Forwards (1)!R24C15</stp>
        <stp>BFXFORWARD</stp>
        <stp>USDCNY</stp>
        <stp>SETTLEMENTDATE</stp>
        <stp>42172</stp>
        <stp>OUTPUT</stp>
        <stp>ASKPoints</stp>
        <stp>markettype</stp>
        <stp>NDF</stp>
        <stp>source</stp>
        <stp>BGN</stp>
        <stp>pricingdate</stp>
        <stp>42019</stp>
        <stp>holidayvalues=true</stp>
        <tr r="O24" s="26"/>
      </tp>
      <tp>
        <v>-186.05</v>
        <stp/>
        <stp>##V3_BFXFORWARDV12</stp>
        <stp>[7-25-XFRC_FXTK.xlsm]FXTK-Forwards (1)!R24C17</stp>
        <stp>BFXFORWARD</stp>
        <stp>USDCNY</stp>
        <stp>SETTLEMENTDATE</stp>
        <stp>42104</stp>
        <stp>OUTPUT</stp>
        <stp>ASKPoints</stp>
        <stp>markettype</stp>
        <stp>NDF</stp>
        <stp>source</stp>
        <stp>BGN</stp>
        <stp>pricingdate</stp>
        <stp>42019</stp>
        <stp>holidayvalues=true</stp>
        <tr r="Q24" s="26"/>
      </tp>
      <tp>
        <v>-209.9</v>
        <stp/>
        <stp>##V3_BFXFORWARDV12</stp>
        <stp>[7-25-XFRC_FXTK.xlsm]FXTK-Forwards (1)!R24C12</stp>
        <stp>BFXFORWARD</stp>
        <stp>USDCNY</stp>
        <stp>SETTLEMENTDATE</stp>
        <stp>42101</stp>
        <stp>OUTPUT</stp>
        <stp>ASKPoints</stp>
        <stp>markettype</stp>
        <stp>NDF</stp>
        <stp>source</stp>
        <stp>BGN</stp>
        <stp>pricingdate</stp>
        <stp>42019</stp>
        <stp>holidayvalues=true</stp>
        <tr r="L24" s="26"/>
      </tp>
      <tp>
        <v>-209.9</v>
        <stp/>
        <stp>##V3_BFXFORWARDV12</stp>
        <stp>[7-25-XFRC_FXTK.xlsm]FXTK-Forwards (1)!R24C16</stp>
        <stp>BFXFORWARD</stp>
        <stp>USDCNY</stp>
        <stp>SETTLEMENTDATE</stp>
        <stp>42101</stp>
        <stp>OUTPUT</stp>
        <stp>ASKPoints</stp>
        <stp>markettype</stp>
        <stp>NDF</stp>
        <stp>source</stp>
        <stp>BGN</stp>
        <stp>pricingdate</stp>
        <stp>42019</stp>
        <stp>holidayvalues=true</stp>
        <tr r="P24" s="26"/>
      </tp>
      <tp>
        <v>-1.1100000000000001</v>
        <stp/>
        <stp>##V3_BFXFORWARDV12</stp>
        <stp>[7-25-XFRC_FXTK.xlsm]FXTK-Forwards (1)!R23C11</stp>
        <stp>BFXFORWARD</stp>
        <stp>USDKRW</stp>
        <stp>SETTLEMENTDATE</stp>
        <stp>42025</stp>
        <stp>OUTPUT</stp>
        <stp>BIDPoints</stp>
        <stp>markettype</stp>
        <stp>NDF</stp>
        <stp>source</stp>
        <stp>BGN</stp>
        <stp>pricingdate</stp>
        <stp>42019</stp>
        <stp>holidayvalues=true</stp>
        <tr r="K23" s="26"/>
      </tp>
      <tp>
        <v>42.46</v>
        <stp/>
        <stp>##V3_BFXFORWARDV12</stp>
        <stp>[7-25-XFRC_FXTK.xlsm]FXTK-Forwards (1)!R25C14</stp>
        <stp>BFXFORWARD</stp>
        <stp>USDINR</stp>
        <stp>SETTLEMENTDATE</stp>
        <stp>42081</stp>
        <stp>OUTPUT</stp>
        <stp>ASKPoints</stp>
        <stp>markettype</stp>
        <stp>NDF</stp>
        <stp>source</stp>
        <stp>BGN</stp>
        <stp>pricingdate</stp>
        <stp>42019</stp>
        <stp>holidayvalues=true</stp>
        <tr r="N25" s="26"/>
      </tp>
      <tp>
        <v>115.6109</v>
        <stp/>
        <stp>##V3_BDPV12</stp>
        <stp>USD/JPY R 11M@011515 Curncy</stp>
        <stp>PX_ASK</stp>
        <stp>[7-25-XFRC_FXTK.xlsm]FXTK-Forward Dates!R89C24</stp>
        <tr r="X89" s="29"/>
      </tp>
      <tp>
        <v>115.50530000000001</v>
        <stp/>
        <stp>##V3_BDPV12</stp>
        <stp>USD/JPY R 12M@011515 Curncy</stp>
        <stp>PX_BID</stp>
        <stp>[7-25-XFRC_FXTK.xlsm]FXTK-Forward Dates!R90C23</stp>
        <tr r="W90" s="29"/>
      </tp>
      <tp>
        <v>115.69370000000001</v>
        <stp/>
        <stp>##V3_BDPV12</stp>
        <stp>USD/JPY R 10M@011515 Curncy</stp>
        <stp>PX_ASK</stp>
        <stp>[7-25-XFRC_FXTK.xlsm]FXTK-Forward Dates!R88C24</stp>
        <tr r="X88" s="29"/>
      </tp>
      <tp>
        <v>115.66849999999999</v>
        <stp/>
        <stp>##V3_BDPV12</stp>
        <stp>USD/JPY R 10M@011515 Curncy</stp>
        <stp>PX_BID</stp>
        <stp>[7-25-XFRC_FXTK.xlsm]FXTK-Forward Dates!R88C23</stp>
        <tr r="W88" s="29"/>
      </tp>
      <tp>
        <v>115.5307</v>
        <stp/>
        <stp>##V3_BDPV12</stp>
        <stp>USD/JPY R 12M@011515 Curncy</stp>
        <stp>PX_ASK</stp>
        <stp>[7-25-XFRC_FXTK.xlsm]FXTK-Forward Dates!R90C24</stp>
        <tr r="X90" s="29"/>
      </tp>
      <tp>
        <v>115.5856</v>
        <stp/>
        <stp>##V3_BDPV12</stp>
        <stp>USD/JPY R 11M@011515 Curncy</stp>
        <stp>PX_BID</stp>
        <stp>[7-25-XFRC_FXTK.xlsm]FXTK-Forward Dates!R89C23</stp>
        <tr r="W89" s="29"/>
      </tp>
      <tp>
        <v>131.43</v>
        <stp/>
        <stp>##V3_BFXFORWARDV12</stp>
        <stp>[7-25-XFRC_FXTK.xlsm]FXTK-Forwards (1)!R25C15</stp>
        <stp>BFXFORWARD</stp>
        <stp>USDINR</stp>
        <stp>SETTLEMENTDATE</stp>
        <stp>42172</stp>
        <stp>OUTPUT</stp>
        <stp>ASKPoints</stp>
        <stp>markettype</stp>
        <stp>NDF</stp>
        <stp>source</stp>
        <stp>BGN</stp>
        <stp>pricingdate</stp>
        <stp>42019</stp>
        <stp>holidayvalues=true</stp>
        <tr r="O25" s="26"/>
      </tp>
      <tp>
        <v>-359.97</v>
        <stp/>
        <stp>##V3_BFXFORWARDV12</stp>
        <stp>[7-25-XFRC_FXTK.xlsm]FXTK-Forwards (1)!R24C14</stp>
        <stp>BFXFORWARD</stp>
        <stp>USDCNY</stp>
        <stp>SETTLEMENTDATE</stp>
        <stp>42081</stp>
        <stp>OUTPUT</stp>
        <stp>ASKPoints</stp>
        <stp>markettype</stp>
        <stp>NDF</stp>
        <stp>source</stp>
        <stp>BGN</stp>
        <stp>pricingdate</stp>
        <stp>42019</stp>
        <stp>holidayvalues=true</stp>
        <tr r="N24" s="26"/>
      </tp>
      <tp>
        <v>66.599999999999994</v>
        <stp/>
        <stp>##V3_BFXFORWARDV12</stp>
        <stp>[7-25-XFRC_FXTK.xlsm]FXTK-Forwards (1)!R25C17</stp>
        <stp>BFXFORWARD</stp>
        <stp>USDINR</stp>
        <stp>SETTLEMENTDATE</stp>
        <stp>42104</stp>
        <stp>OUTPUT</stp>
        <stp>ASKPoints</stp>
        <stp>markettype</stp>
        <stp>NDF</stp>
        <stp>source</stp>
        <stp>BGN</stp>
        <stp>pricingdate</stp>
        <stp>42019</stp>
        <stp>holidayvalues=true</stp>
        <tr r="Q25" s="26"/>
      </tp>
      <tp>
        <v>63.41</v>
        <stp/>
        <stp>##V3_BFXFORWARDV12</stp>
        <stp>[7-25-XFRC_FXTK.xlsm]FXTK-Forwards (1)!R25C12</stp>
        <stp>BFXFORWARD</stp>
        <stp>USDINR</stp>
        <stp>SETTLEMENTDATE</stp>
        <stp>42101</stp>
        <stp>OUTPUT</stp>
        <stp>ASKPoints</stp>
        <stp>markettype</stp>
        <stp>NDF</stp>
        <stp>source</stp>
        <stp>BGN</stp>
        <stp>pricingdate</stp>
        <stp>42019</stp>
        <stp>holidayvalues=true</stp>
        <tr r="L25" s="26"/>
      </tp>
      <tp>
        <v>63.41</v>
        <stp/>
        <stp>##V3_BFXFORWARDV12</stp>
        <stp>[7-25-XFRC_FXTK.xlsm]FXTK-Forwards (1)!R25C16</stp>
        <stp>BFXFORWARD</stp>
        <stp>USDINR</stp>
        <stp>SETTLEMENTDATE</stp>
        <stp>42101</stp>
        <stp>OUTPUT</stp>
        <stp>ASKPoints</stp>
        <stp>markettype</stp>
        <stp>NDF</stp>
        <stp>source</stp>
        <stp>BGN</stp>
        <stp>pricingdate</stp>
        <stp>42019</stp>
        <stp>holidayvalues=true</stp>
        <tr r="P25" s="26"/>
      </tp>
      <tp>
        <v>-2.21</v>
        <stp/>
        <stp>##V3_BFXFORWARDV12</stp>
        <stp>[7-25-XFRC_FXTK.xlsm]FXTK-Forwards (1)!R23C15</stp>
        <stp>BFXFORWARD</stp>
        <stp>USDKRW</stp>
        <stp>SETTLEMENTDATE</stp>
        <stp>42172</stp>
        <stp>OUTPUT</stp>
        <stp>BIDPoints</stp>
        <stp>markettype</stp>
        <stp>NDF</stp>
        <stp>source</stp>
        <stp>BGN</stp>
        <stp>pricingdate</stp>
        <stp>42019</stp>
        <stp>holidayvalues=true</stp>
        <tr r="O23" s="26"/>
      </tp>
      <tp>
        <v>-4.46</v>
        <stp/>
        <stp>##V3_BFXFORWARDV12</stp>
        <stp>[7-25-XFRC_FXTK.xlsm]FXTK-Forwards (1)!R23C17</stp>
        <stp>BFXFORWARD</stp>
        <stp>USDKRW</stp>
        <stp>SETTLEMENTDATE</stp>
        <stp>42104</stp>
        <stp>OUTPUT</stp>
        <stp>BIDPoints</stp>
        <stp>markettype</stp>
        <stp>NDF</stp>
        <stp>source</stp>
        <stp>BGN</stp>
        <stp>pricingdate</stp>
        <stp>42019</stp>
        <stp>holidayvalues=true</stp>
        <tr r="Q23" s="26"/>
      </tp>
      <tp>
        <v>-4.54</v>
        <stp/>
        <stp>##V3_BFXFORWARDV12</stp>
        <stp>[7-25-XFRC_FXTK.xlsm]FXTK-Forwards (1)!R23C12</stp>
        <stp>BFXFORWARD</stp>
        <stp>USDKRW</stp>
        <stp>SETTLEMENTDATE</stp>
        <stp>42101</stp>
        <stp>OUTPUT</stp>
        <stp>BIDPoints</stp>
        <stp>markettype</stp>
        <stp>NDF</stp>
        <stp>source</stp>
        <stp>BGN</stp>
        <stp>pricingdate</stp>
        <stp>42019</stp>
        <stp>holidayvalues=true</stp>
        <tr r="L23" s="26"/>
      </tp>
      <tp>
        <v>-4.54</v>
        <stp/>
        <stp>##V3_BFXFORWARDV12</stp>
        <stp>[7-25-XFRC_FXTK.xlsm]FXTK-Forwards (1)!R23C16</stp>
        <stp>BFXFORWARD</stp>
        <stp>USDKRW</stp>
        <stp>SETTLEMENTDATE</stp>
        <stp>42101</stp>
        <stp>OUTPUT</stp>
        <stp>BIDPoints</stp>
        <stp>markettype</stp>
        <stp>NDF</stp>
        <stp>source</stp>
        <stp>BGN</stp>
        <stp>pricingdate</stp>
        <stp>42019</stp>
        <stp>holidayvalues=true</stp>
        <tr r="P23" s="26"/>
      </tp>
      <tp>
        <v>-82.84</v>
        <stp/>
        <stp>##V3_BFXFORWARDV12</stp>
        <stp>[7-25-XFRC_FXTK.xlsm]FXTK-Forwards (1)!R24C11</stp>
        <stp>BFXFORWARD</stp>
        <stp>USDCNY</stp>
        <stp>SETTLEMENTDATE</stp>
        <stp>42025</stp>
        <stp>OUTPUT</stp>
        <stp>ASKPoints</stp>
        <stp>markettype</stp>
        <stp>NDF</stp>
        <stp>source</stp>
        <stp>BGN</stp>
        <stp>pricingdate</stp>
        <stp>42019</stp>
        <stp>holidayvalues=true</stp>
        <tr r="K24" s="26"/>
      </tp>
      <tp>
        <v>1.1019639999999999</v>
        <stp/>
        <stp>##V3_BFXFORWARDV12</stp>
        <stp>[7-25-XFRC_FXTK.xlsm]FXTK-Forwards (2)!R14C19</stp>
        <stp>BFXFORWARD</stp>
        <stp>USDCAD</stp>
        <stp>SETTLEMENTDATE</stp>
        <stp>42362</stp>
        <stp>OUTPUT</stp>
        <stp>askoutright</stp>
        <stp>pricingdate</stp>
        <stp>41850</stp>
        <stp>markettype</stp>
        <stp/>
        <stp>source</stp>
        <stp>BGN</stp>
        <stp>holidayvalues=true</stp>
        <stp>truedecimal=yes</stp>
        <tr r="S14" s="28"/>
      </tp>
    </main>
    <main first="bloomberg.rtd">
      <tp>
        <v>1.101154</v>
        <stp/>
        <stp>##V3_BFXFORWARDV12</stp>
        <stp>[7-25-XFRC_FXTK.xlsm]FXTK-Forwards (2)!R14C18</stp>
        <stp>BFXFORWARD</stp>
        <stp>USDCAD</stp>
        <stp>SETTLEMENTDATE</stp>
        <stp>42362</stp>
        <stp>OUTPUT</stp>
        <stp>bidoutright</stp>
        <stp>pricingdate</stp>
        <stp>41850</stp>
        <stp>markettype</stp>
        <stp/>
        <stp>source</stp>
        <stp>BGN</stp>
        <stp>holidayvalues=true</stp>
        <stp>truedecimal=yes</stp>
        <tr r="R14" s="28"/>
      </tp>
      <tp>
        <v>10</v>
        <stp/>
        <stp>##V3_BCOUNTPERIODS</stp>
        <stp>1/20/2015</stp>
        <stp>2/3/2015</stp>
        <stp>[7-25-XFRC_FXTK.xlsm]FXTK-Forward Dates!R77C22</stp>
        <stp>CDR=US JN</stp>
        <tr r="V77" s="29"/>
      </tp>
      <tp t="s">
        <v>TE</v>
        <stp/>
        <stp>##V3_BDPV12</stp>
        <stp>EUR Curncy</stp>
        <stp>CALENDAR_CODE</stp>
        <stp>[7-25-XFRC_FXTK.xlsm]FXTK-Forward Dates!R7C5</stp>
        <tr r="E7" s="29"/>
      </tp>
      <tp>
        <v>42020</v>
        <stp/>
        <stp>##V3_BADDPERIODS</stp>
        <stp>1/16/2015</stp>
        <stp>[7-25-XFRC_FXTK.xlsm]FXTK-Forward Dates!R9C4</stp>
        <stp>busdayadj=-1</stp>
        <tr r="D9" s="29"/>
      </tp>
      <tp t="s">
        <v>2/2/2012</v>
        <stp/>
        <stp>##V3_BDPV12</stp>
        <stp>USD/JPY R 020212@011515 Curncy</stp>
        <stp>SETTLE_DT</stp>
        <stp>[7-25-XFRC_FXTK.xlsm]FXTK-Forward Dates!R91C20</stp>
        <tr r="T91" s="29"/>
      </tp>
      <tp>
        <v>1.3451690000000001</v>
        <stp/>
        <stp>##V3_BFXFORWARDV12</stp>
        <stp>[7-25-XFRC_FXTK.xlsm]FXTK-Forwards (2)!R12C18</stp>
        <stp>BFXFORWARD</stp>
        <stp>EURUSD</stp>
        <stp>SETTLEMENTDATE</stp>
        <stp>42325</stp>
        <stp>OUTPUT</stp>
        <stp>bidoutright</stp>
        <stp>pricingdate</stp>
        <stp>41850</stp>
        <stp>markettype</stp>
        <stp/>
        <stp>source</stp>
        <stp>BGN</stp>
        <stp>holidayvalues=true</stp>
        <stp>truedecimal=yes</stp>
        <tr r="R12" s="28"/>
      </tp>
      <tp>
        <v>0.85409250000000003</v>
        <stp/>
        <stp>##V3_BFXFORWARDV12</stp>
        <stp>[7-25-XFRC_FXTK.xlsm]FXTK-Forwards (2)!R11C20</stp>
        <stp>BFXFORWARD</stp>
        <stp>AUDUSD</stp>
        <stp>SETTLEMENTDATE</stp>
        <stp>42325</stp>
        <stp>OUTPUT</stp>
        <stp>midoutright</stp>
        <stp>pricingdate</stp>
        <stp>41907</stp>
        <stp>markettype</stp>
        <stp/>
        <stp>source</stp>
        <stp>BGN</stp>
        <stp>holidayvalues=true</stp>
        <stp>truedecimal=yes</stp>
        <tr r="T11" s="28"/>
      </tp>
      <tp>
        <v>1.1042590000000001</v>
        <stp/>
        <stp>##V3_BFXFORWARDV12</stp>
        <stp>[7-25-XFRC_FXTK.xlsm]FXTK-Forwards (2)!R13C18</stp>
        <stp>BFXFORWARD</stp>
        <stp>EURUSD</stp>
        <stp>SETTLEMENTDATE</stp>
        <stp>42438</stp>
        <stp>OUTPUT</stp>
        <stp>bidoutright</stp>
        <stp>pricingdate</stp>
        <stp>42310</stp>
        <stp>markettype</stp>
        <stp/>
        <stp>source</stp>
        <stp>BGN</stp>
        <stp>holidayvalues=true</stp>
        <stp>truedecimal=yes</stp>
        <tr r="R13" s="28"/>
      </tp>
      <tp>
        <v>15.23</v>
        <stp/>
        <stp>##V3_BFXFORWARDV12</stp>
        <stp>[7-25-XFRC_FXTK.xlsm]FXTK-Forwards (2)!R16C16</stp>
        <stp>BFXFORWARD</stp>
        <stp>USDKRW</stp>
        <stp>SETTLEMENTDATE</stp>
        <stp>42370</stp>
        <stp>OUTPUT</stp>
        <stp>askpoints</stp>
        <stp>pricingdate</stp>
        <stp>41883</stp>
        <stp>markettype</stp>
        <stp>NDF</stp>
        <stp>source</stp>
        <stp>BGN</stp>
        <stp>holidayvalues=true</stp>
        <stp>truedecimal=yes</stp>
        <tr r="P16" s="28"/>
      </tp>
      <tp>
        <v>1.252462</v>
        <stp/>
        <stp>##V3_BFXFORWARDV12</stp>
        <stp>[7-25-XFRC_FXTK.xlsm]FXTK-Forwards (2)!R17C18</stp>
        <stp>BFXFORWARD</stp>
        <stp>EURUSD</stp>
        <stp>SETTLEMENTDATE</stp>
        <stp>41955</stp>
        <stp>OUTPUT</stp>
        <stp>bidoutright</stp>
        <stp>pricingdate</stp>
        <stp>41943</stp>
        <stp>markettype</stp>
        <stp/>
        <stp>source</stp>
        <stp>BGN</stp>
        <stp>holidayvalues=true</stp>
        <stp>truedecimal=yes</stp>
        <tr r="R17" s="28"/>
      </tp>
      <tp>
        <v>1.339237</v>
        <stp/>
        <stp>##V3_BFXFORWARDV12</stp>
        <stp>[7-25-XFRC_FXTK.xlsm]FXTK-Forwards (2)!R19C19</stp>
        <stp>BFXFORWARD</stp>
        <stp>EURUSD</stp>
        <stp>SETTLEMENTDATE</stp>
        <stp>41886</stp>
        <stp>OUTPUT</stp>
        <stp>askoutright</stp>
        <stp>pricingdate</stp>
        <stp>41851</stp>
        <stp>markettype</stp>
        <stp/>
        <stp>source</stp>
        <stp>BGN</stp>
        <stp>holidayvalues=true</stp>
        <stp>truedecimal=yes</stp>
        <tr r="S19" s="28"/>
      </tp>
      <tp>
        <v>1.3391930000000001</v>
        <stp/>
        <stp>##V3_BFXFORWARDV12</stp>
        <stp>[7-25-XFRC_FXTK.xlsm]FXTK-Forwards (2)!R18C19</stp>
        <stp>BFXFORWARD</stp>
        <stp>EURUSD</stp>
        <stp>SETTLEMENTDATE</stp>
        <stp>41869</stp>
        <stp>OUTPUT</stp>
        <stp>askoutright</stp>
        <stp>pricingdate</stp>
        <stp>41851</stp>
        <stp>markettype</stp>
        <stp/>
        <stp>source</stp>
        <stp>BGN</stp>
        <stp>holidayvalues=true</stp>
        <stp>truedecimal=yes</stp>
        <tr r="S18" s="28"/>
      </tp>
      <tp>
        <v>1.340104</v>
        <stp/>
        <stp>##V3_BFXFORWARDV12</stp>
        <stp>[7-25-XFRC_FXTK.xlsm]FXTK-Forwards (2)!R22C19</stp>
        <stp>BFXFORWARD</stp>
        <stp>EURUSD</stp>
        <stp>SETTLEMENTDATE</stp>
        <stp>42044</stp>
        <stp>OUTPUT</stp>
        <stp>askoutright</stp>
        <stp>pricingdate</stp>
        <stp>41851</stp>
        <stp>markettype</stp>
        <stp/>
        <stp>source</stp>
        <stp>BGN</stp>
        <stp>holidayvalues=true</stp>
        <stp>truedecimal=yes</stp>
        <tr r="S22" s="28"/>
      </tp>
      <tp>
        <v>1.339636</v>
        <stp/>
        <stp>##V3_BFXFORWARDV12</stp>
        <stp>[7-25-XFRC_FXTK.xlsm]FXTK-Forwards (2)!R20C18</stp>
        <stp>BFXFORWARD</stp>
        <stp>EURUSD</stp>
        <stp>SETTLEMENTDATE</stp>
        <stp>41990</stp>
        <stp>OUTPUT</stp>
        <stp>bidoutright</stp>
        <stp>pricingdate</stp>
        <stp>41851</stp>
        <stp>markettype</stp>
        <stp/>
        <stp>source</stp>
        <stp>BGN</stp>
        <stp>holidayvalues=true</stp>
        <stp>truedecimal=yes</stp>
        <tr r="R20" s="28"/>
      </tp>
      <tp>
        <v>1.3392459999999999</v>
        <stp/>
        <stp>##V3_BFXFORWARDV12</stp>
        <stp>[7-25-XFRC_FXTK.xlsm]FXTK-Forwards (2)!R21C18</stp>
        <stp>BFXFORWARD</stp>
        <stp>EURUSD</stp>
        <stp>SETTLEMENTDATE</stp>
        <stp>41915</stp>
        <stp>OUTPUT</stp>
        <stp>bidoutright</stp>
        <stp>pricingdate</stp>
        <stp>41851</stp>
        <stp>markettype</stp>
        <stp/>
        <stp>source</stp>
        <stp>BGN</stp>
        <stp>holidayvalues=true</stp>
        <stp>truedecimal=yes</stp>
        <tr r="R21" s="28"/>
      </tp>
      <tp>
        <v>1.339947</v>
        <stp/>
        <stp>##V3_BFXFORWARDV12</stp>
        <stp>[7-25-XFRC_FXTK.xlsm]FXTK-Forwards (2)!R22C18</stp>
        <stp>BFXFORWARD</stp>
        <stp>EURUSD</stp>
        <stp>SETTLEMENTDATE</stp>
        <stp>42044</stp>
        <stp>OUTPUT</stp>
        <stp>bidoutright</stp>
        <stp>pricingdate</stp>
        <stp>41851</stp>
        <stp>markettype</stp>
        <stp/>
        <stp>source</stp>
        <stp>BGN</stp>
        <stp>holidayvalues=true</stp>
        <stp>truedecimal=yes</stp>
        <tr r="R22" s="28"/>
      </tp>
      <tp>
        <v>1.3391189999999999</v>
        <stp/>
        <stp>##V3_BFXFORWARDV12</stp>
        <stp>[7-25-XFRC_FXTK.xlsm]FXTK-Forwards (2)!R19C18</stp>
        <stp>BFXFORWARD</stp>
        <stp>EURUSD</stp>
        <stp>SETTLEMENTDATE</stp>
        <stp>41886</stp>
        <stp>OUTPUT</stp>
        <stp>bidoutright</stp>
        <stp>pricingdate</stp>
        <stp>41851</stp>
        <stp>markettype</stp>
        <stp/>
        <stp>source</stp>
        <stp>BGN</stp>
        <stp>holidayvalues=true</stp>
        <stp>truedecimal=yes</stp>
        <tr r="R19" s="28"/>
      </tp>
      <tp>
        <v>1.3390839999999999</v>
        <stp/>
        <stp>##V3_BFXFORWARDV12</stp>
        <stp>[7-25-XFRC_FXTK.xlsm]FXTK-Forwards (2)!R18C18</stp>
        <stp>BFXFORWARD</stp>
        <stp>EURUSD</stp>
        <stp>SETTLEMENTDATE</stp>
        <stp>41869</stp>
        <stp>OUTPUT</stp>
        <stp>bidoutright</stp>
        <stp>pricingdate</stp>
        <stp>41851</stp>
        <stp>markettype</stp>
        <stp/>
        <stp>source</stp>
        <stp>BGN</stp>
        <stp>holidayvalues=true</stp>
        <stp>truedecimal=yes</stp>
        <tr r="R18" s="28"/>
      </tp>
      <tp>
        <v>1.2525679999999999</v>
        <stp/>
        <stp>##V3_BFXFORWARDV12</stp>
        <stp>[7-25-XFRC_FXTK.xlsm]FXTK-Forwards (2)!R17C19</stp>
        <stp>BFXFORWARD</stp>
        <stp>EURUSD</stp>
        <stp>SETTLEMENTDATE</stp>
        <stp>41955</stp>
        <stp>OUTPUT</stp>
        <stp>askoutright</stp>
        <stp>pricingdate</stp>
        <stp>41943</stp>
        <stp>markettype</stp>
        <stp/>
        <stp>source</stp>
        <stp>BGN</stp>
        <stp>holidayvalues=true</stp>
        <stp>truedecimal=yes</stp>
        <tr r="S17" s="28"/>
      </tp>
      <tp>
        <v>1.3456539999999999</v>
        <stp/>
        <stp>##V3_BFXFORWARDV12</stp>
        <stp>[7-25-XFRC_FXTK.xlsm]FXTK-Forwards (2)!R12C19</stp>
        <stp>BFXFORWARD</stp>
        <stp>EURUSD</stp>
        <stp>SETTLEMENTDATE</stp>
        <stp>42325</stp>
        <stp>OUTPUT</stp>
        <stp>askoutright</stp>
        <stp>pricingdate</stp>
        <stp>41850</stp>
        <stp>markettype</stp>
        <stp/>
        <stp>source</stp>
        <stp>BGN</stp>
        <stp>holidayvalues=true</stp>
        <stp>truedecimal=yes</stp>
        <tr r="S12" s="28"/>
      </tp>
      <tp>
        <v>1.1044160000000001</v>
        <stp/>
        <stp>##V3_BFXFORWARDV12</stp>
        <stp>[7-25-XFRC_FXTK.xlsm]FXTK-Forwards (2)!R13C19</stp>
        <stp>BFXFORWARD</stp>
        <stp>EURUSD</stp>
        <stp>SETTLEMENTDATE</stp>
        <stp>42438</stp>
        <stp>OUTPUT</stp>
        <stp>askoutright</stp>
        <stp>pricingdate</stp>
        <stp>42310</stp>
        <stp>markettype</stp>
        <stp/>
        <stp>source</stp>
        <stp>BGN</stp>
        <stp>holidayvalues=true</stp>
        <stp>truedecimal=yes</stp>
        <tr r="S13" s="28"/>
      </tp>
      <tp>
        <v>1.3397730000000001</v>
        <stp/>
        <stp>##V3_BFXFORWARDV12</stp>
        <stp>[7-25-XFRC_FXTK.xlsm]FXTK-Forwards (2)!R20C19</stp>
        <stp>BFXFORWARD</stp>
        <stp>EURUSD</stp>
        <stp>SETTLEMENTDATE</stp>
        <stp>41990</stp>
        <stp>OUTPUT</stp>
        <stp>askoutright</stp>
        <stp>pricingdate</stp>
        <stp>41851</stp>
        <stp>markettype</stp>
        <stp/>
        <stp>source</stp>
        <stp>BGN</stp>
        <stp>holidayvalues=true</stp>
        <stp>truedecimal=yes</stp>
        <tr r="S20" s="28"/>
      </tp>
      <tp>
        <v>1.3393660000000001</v>
        <stp/>
        <stp>##V3_BFXFORWARDV12</stp>
        <stp>[7-25-XFRC_FXTK.xlsm]FXTK-Forwards (2)!R21C19</stp>
        <stp>BFXFORWARD</stp>
        <stp>EURUSD</stp>
        <stp>SETTLEMENTDATE</stp>
        <stp>41915</stp>
        <stp>OUTPUT</stp>
        <stp>askoutright</stp>
        <stp>pricingdate</stp>
        <stp>41851</stp>
        <stp>markettype</stp>
        <stp/>
        <stp>source</stp>
        <stp>BGN</stp>
        <stp>holidayvalues=true</stp>
        <stp>truedecimal=yes</stp>
        <tr r="S21" s="28"/>
      </tp>
      <tp t="s">
        <v>Tenor</v>
        <stp/>
        <stp>##V3_BFXCURVEV12</stp>
        <stp>[7-25-XFRC_FXTK.xlsm]FXTK-Forward Dates!R120C2</stp>
        <stp>BFXCURVE</stp>
        <stp>EURJPY</stp>
        <stp>output=TENOR,DAYS,SETTLEMENTDATE,ASKPOINTS,BIDPOINTS,ASKOUTRIGHT,BIDOUTRIGHT</stp>
        <stp>LEG1MARKETTYPE</stp>
        <stp/>
        <stp>PRICINGDATE</stp>
        <stp>42019</stp>
        <stp>USEIMMTENORS</stp>
        <stp>Yes</stp>
        <stp>LEG2MARKETTYPE</stp>
        <stp/>
        <stp>VIA</stp>
        <stp>USD</stp>
        <tr r="B120" s="29"/>
      </tp>
      <tp>
        <v>1.3400255000000001</v>
        <stp/>
        <stp>##V3_BFXFORWARDV12</stp>
        <stp>[7-25-XFRC_FXTK.xlsm]FXTK-Forwards (2)!R22C20</stp>
        <stp>BFXFORWARD</stp>
        <stp>EURUSD</stp>
        <stp>SETTLEMENTDATE</stp>
        <stp>42044</stp>
        <stp>OUTPUT</stp>
        <stp>midoutright</stp>
        <stp>pricingdate</stp>
        <stp>41851</stp>
        <stp>markettype</stp>
        <stp/>
        <stp>source</stp>
        <stp>BGN</stp>
        <stp>holidayvalues=true</stp>
        <stp>truedecimal=yes</stp>
        <tr r="T22" s="28"/>
      </tp>
      <tp>
        <v>1.339178</v>
        <stp/>
        <stp>##V3_BFXFORWARDV12</stp>
        <stp>[7-25-XFRC_FXTK.xlsm]FXTK-Forwards (2)!R19C20</stp>
        <stp>BFXFORWARD</stp>
        <stp>EURUSD</stp>
        <stp>SETTLEMENTDATE</stp>
        <stp>41886</stp>
        <stp>OUTPUT</stp>
        <stp>midoutright</stp>
        <stp>pricingdate</stp>
        <stp>41851</stp>
        <stp>markettype</stp>
        <stp/>
        <stp>source</stp>
        <stp>BGN</stp>
        <stp>holidayvalues=true</stp>
        <stp>truedecimal=yes</stp>
        <tr r="T19" s="28"/>
      </tp>
      <tp>
        <v>1.3391385</v>
        <stp/>
        <stp>##V3_BFXFORWARDV12</stp>
        <stp>[7-25-XFRC_FXTK.xlsm]FXTK-Forwards (2)!R18C20</stp>
        <stp>BFXFORWARD</stp>
        <stp>EURUSD</stp>
        <stp>SETTLEMENTDATE</stp>
        <stp>41869</stp>
        <stp>OUTPUT</stp>
        <stp>midoutright</stp>
        <stp>pricingdate</stp>
        <stp>41851</stp>
        <stp>markettype</stp>
        <stp/>
        <stp>source</stp>
        <stp>BGN</stp>
        <stp>holidayvalues=true</stp>
        <stp>truedecimal=yes</stp>
        <tr r="T18" s="28"/>
      </tp>
      <tp>
        <v>0.85428800000000005</v>
        <stp/>
        <stp>##V3_BFXFORWARDV12</stp>
        <stp>[7-25-XFRC_FXTK.xlsm]FXTK-Forwards (2)!R11C19</stp>
        <stp>BFXFORWARD</stp>
        <stp>AUDUSD</stp>
        <stp>SETTLEMENTDATE</stp>
        <stp>42325</stp>
        <stp>OUTPUT</stp>
        <stp>askoutright</stp>
        <stp>pricingdate</stp>
        <stp>41907</stp>
        <stp>markettype</stp>
        <stp/>
        <stp>source</stp>
        <stp>BGN</stp>
        <stp>holidayvalues=true</stp>
        <stp>truedecimal=yes</stp>
        <tr r="S11" s="28"/>
      </tp>
      <tp>
        <v>42019</v>
        <stp/>
        <stp>##V3_BADDPERIODS</stp>
        <stp>1/15/2015</stp>
        <stp>[7-25-XFRC_FXTK.xlsm]FXTK-Forward Dates!R9C15</stp>
        <stp>busdayadj=-1</stp>
        <tr r="O9" s="29"/>
      </tp>
      <tp>
        <v>1.3397045000000001</v>
        <stp/>
        <stp>##V3_BFXFORWARDV12</stp>
        <stp>[7-25-XFRC_FXTK.xlsm]FXTK-Forwards (2)!R20C20</stp>
        <stp>BFXFORWARD</stp>
        <stp>EURUSD</stp>
        <stp>SETTLEMENTDATE</stp>
        <stp>41990</stp>
        <stp>OUTPUT</stp>
        <stp>midoutright</stp>
        <stp>pricingdate</stp>
        <stp>41851</stp>
        <stp>markettype</stp>
        <stp/>
        <stp>source</stp>
        <stp>BGN</stp>
        <stp>holidayvalues=true</stp>
        <stp>truedecimal=yes</stp>
        <tr r="T20" s="28"/>
      </tp>
      <tp>
        <v>1.3393060000000001</v>
        <stp/>
        <stp>##V3_BFXFORWARDV12</stp>
        <stp>[7-25-XFRC_FXTK.xlsm]FXTK-Forwards (2)!R21C20</stp>
        <stp>BFXFORWARD</stp>
        <stp>EURUSD</stp>
        <stp>SETTLEMENTDATE</stp>
        <stp>41915</stp>
        <stp>OUTPUT</stp>
        <stp>midoutright</stp>
        <stp>pricingdate</stp>
        <stp>41851</stp>
        <stp>markettype</stp>
        <stp/>
        <stp>source</stp>
        <stp>BGN</stp>
        <stp>holidayvalues=true</stp>
        <stp>truedecimal=yes</stp>
        <tr r="T21" s="28"/>
      </tp>
      <tp>
        <v>1.3454115</v>
        <stp/>
        <stp>##V3_BFXFORWARDV12</stp>
        <stp>[7-25-XFRC_FXTK.xlsm]FXTK-Forwards (2)!R12C20</stp>
        <stp>BFXFORWARD</stp>
        <stp>EURUSD</stp>
        <stp>SETTLEMENTDATE</stp>
        <stp>42325</stp>
        <stp>OUTPUT</stp>
        <stp>midoutright</stp>
        <stp>pricingdate</stp>
        <stp>41850</stp>
        <stp>markettype</stp>
        <stp/>
        <stp>source</stp>
        <stp>BGN</stp>
        <stp>holidayvalues=true</stp>
        <stp>truedecimal=yes</stp>
        <tr r="T12" s="28"/>
      </tp>
      <tp>
        <v>0.85389700000000002</v>
        <stp/>
        <stp>##V3_BFXFORWARDV12</stp>
        <stp>[7-25-XFRC_FXTK.xlsm]FXTK-Forwards (2)!R11C18</stp>
        <stp>BFXFORWARD</stp>
        <stp>AUDUSD</stp>
        <stp>SETTLEMENTDATE</stp>
        <stp>42325</stp>
        <stp>OUTPUT</stp>
        <stp>bidoutright</stp>
        <stp>pricingdate</stp>
        <stp>41907</stp>
        <stp>markettype</stp>
        <stp/>
        <stp>source</stp>
        <stp>BGN</stp>
        <stp>holidayvalues=true</stp>
        <stp>truedecimal=yes</stp>
        <tr r="R11" s="28"/>
      </tp>
      <tp>
        <v>1.1043375</v>
        <stp/>
        <stp>##V3_BFXFORWARDV12</stp>
        <stp>[7-25-XFRC_FXTK.xlsm]FXTK-Forwards (2)!R13C20</stp>
        <stp>BFXFORWARD</stp>
        <stp>EURUSD</stp>
        <stp>SETTLEMENTDATE</stp>
        <stp>42438</stp>
        <stp>OUTPUT</stp>
        <stp>midoutright</stp>
        <stp>pricingdate</stp>
        <stp>42310</stp>
        <stp>markettype</stp>
        <stp/>
        <stp>source</stp>
        <stp>BGN</stp>
        <stp>holidayvalues=true</stp>
        <stp>truedecimal=yes</stp>
        <tr r="T13" s="28"/>
      </tp>
      <tp>
        <v>1.252515</v>
        <stp/>
        <stp>##V3_BFXFORWARDV12</stp>
        <stp>[7-25-XFRC_FXTK.xlsm]FXTK-Forwards (2)!R17C20</stp>
        <stp>BFXFORWARD</stp>
        <stp>EURUSD</stp>
        <stp>SETTLEMENTDATE</stp>
        <stp>41955</stp>
        <stp>OUTPUT</stp>
        <stp>midoutright</stp>
        <stp>pricingdate</stp>
        <stp>41943</stp>
        <stp>markettype</stp>
        <stp/>
        <stp>source</stp>
        <stp>BGN</stp>
        <stp>holidayvalues=true</stp>
        <stp>truedecimal=yes</stp>
        <tr r="T17" s="2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392430</xdr:colOff>
      <xdr:row>3</xdr:row>
      <xdr:rowOff>182880</xdr:rowOff>
    </xdr:to>
    <xdr:pic>
      <xdr:nvPicPr>
        <xdr:cNvPr id="4" name="Bloomber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3</xdr:col>
      <xdr:colOff>369874</xdr:colOff>
      <xdr:row>1</xdr:row>
      <xdr:rowOff>0</xdr:rowOff>
    </xdr:from>
    <xdr:to>
      <xdr:col>18</xdr:col>
      <xdr:colOff>28574</xdr:colOff>
      <xdr:row>3</xdr:row>
      <xdr:rowOff>185928</xdr:rowOff>
    </xdr:to>
    <xdr:sp macro="" textlink="">
      <xdr:nvSpPr>
        <xdr:cNvPr id="5" name="BannerTitle"/>
        <xdr:cNvSpPr>
          <a:spLocks noChangeArrowheads="1"/>
        </xdr:cNvSpPr>
      </xdr:nvSpPr>
      <xdr:spPr bwMode="auto">
        <a:xfrm>
          <a:off x="1912924" y="57150"/>
          <a:ext cx="10945825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Backdated &amp; Broken Dated FX Forward Rates Monitor</a:t>
          </a:r>
        </a:p>
      </xdr:txBody>
    </xdr:sp>
    <xdr:clientData/>
  </xdr:twoCellAnchor>
  <xdr:twoCellAnchor>
    <xdr:from>
      <xdr:col>1</xdr:col>
      <xdr:colOff>28575</xdr:colOff>
      <xdr:row>35</xdr:row>
      <xdr:rowOff>123824</xdr:rowOff>
    </xdr:from>
    <xdr:to>
      <xdr:col>17</xdr:col>
      <xdr:colOff>28575</xdr:colOff>
      <xdr:row>38</xdr:row>
      <xdr:rowOff>47625</xdr:rowOff>
    </xdr:to>
    <xdr:sp macro="" textlink="">
      <xdr:nvSpPr>
        <xdr:cNvPr id="7" name="DbgShadowBox"/>
        <xdr:cNvSpPr/>
      </xdr:nvSpPr>
      <xdr:spPr bwMode="auto">
        <a:xfrm>
          <a:off x="142875" y="5953124"/>
          <a:ext cx="12001500" cy="495301"/>
        </a:xfrm>
        <a:prstGeom prst="rect">
          <a:avLst/>
        </a:prstGeom>
        <a:solidFill>
          <a:schemeClr val="bg1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 rtl="0">
            <a:defRPr sz="1000"/>
          </a:pPr>
          <a:r>
            <a:rPr lang="en-GB" sz="1200" b="0" i="0" u="none" strike="noStrike" baseline="0">
              <a:solidFill>
                <a:sysClr val="windowText" lastClr="000000"/>
              </a:solidFill>
              <a:latin typeface="+mn-lt"/>
            </a:rPr>
            <a:t>The Bloomberg FX Toolkit (FXTK) is a comprehensive solution for pricing FX forwards. </a:t>
          </a:r>
          <a:r>
            <a:rPr lang="en-GB" sz="12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FXTK allows Bloomberg Anywhere (BBA) users to generate FX curves and forward rates for standard settlement dates, custom broken dates, and forward-forwards in Microsoft® Excel.</a:t>
          </a:r>
          <a:endParaRPr lang="en-GB" sz="1200" b="0" i="0" u="none" strike="noStrike" baseline="0">
            <a:solidFill>
              <a:sysClr val="windowText" lastClr="000000"/>
            </a:solidFill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392430</xdr:colOff>
      <xdr:row>3</xdr:row>
      <xdr:rowOff>182880</xdr:rowOff>
    </xdr:to>
    <xdr:pic>
      <xdr:nvPicPr>
        <xdr:cNvPr id="4" name="Bloomber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3</xdr:col>
      <xdr:colOff>369875</xdr:colOff>
      <xdr:row>1</xdr:row>
      <xdr:rowOff>0</xdr:rowOff>
    </xdr:from>
    <xdr:to>
      <xdr:col>25</xdr:col>
      <xdr:colOff>456447</xdr:colOff>
      <xdr:row>3</xdr:row>
      <xdr:rowOff>185928</xdr:rowOff>
    </xdr:to>
    <xdr:sp macro="" textlink="">
      <xdr:nvSpPr>
        <xdr:cNvPr id="5" name="BannerTitle"/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Backdated &amp; Broken Dated FX Forward Rates Monitor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525780</xdr:colOff>
      <xdr:row>3</xdr:row>
      <xdr:rowOff>182880</xdr:rowOff>
    </xdr:to>
    <xdr:pic>
      <xdr:nvPicPr>
        <xdr:cNvPr id="2" name="Bloomber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3</xdr:col>
      <xdr:colOff>503224</xdr:colOff>
      <xdr:row>1</xdr:row>
      <xdr:rowOff>0</xdr:rowOff>
    </xdr:from>
    <xdr:to>
      <xdr:col>24</xdr:col>
      <xdr:colOff>57149</xdr:colOff>
      <xdr:row>3</xdr:row>
      <xdr:rowOff>185928</xdr:rowOff>
    </xdr:to>
    <xdr:sp macro="" textlink="">
      <xdr:nvSpPr>
        <xdr:cNvPr id="3" name="BannerTitle"/>
        <xdr:cNvSpPr>
          <a:spLocks noChangeArrowheads="1"/>
        </xdr:cNvSpPr>
      </xdr:nvSpPr>
      <xdr:spPr bwMode="auto">
        <a:xfrm>
          <a:off x="1912924" y="57150"/>
          <a:ext cx="9974275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Backdated &amp; Broken Dated FX Forward Rates and Swaps Monitor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5</xdr:col>
      <xdr:colOff>11430</xdr:colOff>
      <xdr:row>3</xdr:row>
      <xdr:rowOff>182880</xdr:rowOff>
    </xdr:to>
    <xdr:pic>
      <xdr:nvPicPr>
        <xdr:cNvPr id="4" name="Bloomber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4</xdr:col>
      <xdr:colOff>836600</xdr:colOff>
      <xdr:row>1</xdr:row>
      <xdr:rowOff>0</xdr:rowOff>
    </xdr:from>
    <xdr:to>
      <xdr:col>21</xdr:col>
      <xdr:colOff>495605</xdr:colOff>
      <xdr:row>3</xdr:row>
      <xdr:rowOff>185928</xdr:rowOff>
    </xdr:to>
    <xdr:sp macro="" textlink="">
      <xdr:nvSpPr>
        <xdr:cNvPr id="5" name="BannerTitle"/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Backdated &amp; Broken Dated FX Forward Rates and Swaps Monitor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342900</xdr:colOff>
          <xdr:row>34</xdr:row>
          <xdr:rowOff>152400</xdr:rowOff>
        </xdr:to>
        <xdr:sp macro="" textlink="">
          <xdr:nvSpPr>
            <xdr:cNvPr id="6145" name="btnFRD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9525</xdr:rowOff>
        </xdr:from>
        <xdr:to>
          <xdr:col>11</xdr:col>
          <xdr:colOff>342900</xdr:colOff>
          <xdr:row>37</xdr:row>
          <xdr:rowOff>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1</xdr:row>
      <xdr:rowOff>0</xdr:rowOff>
    </xdr:from>
    <xdr:to>
      <xdr:col>3</xdr:col>
      <xdr:colOff>601980</xdr:colOff>
      <xdr:row>3</xdr:row>
      <xdr:rowOff>182880</xdr:rowOff>
    </xdr:to>
    <xdr:pic>
      <xdr:nvPicPr>
        <xdr:cNvPr id="2" name="Bloomber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3</xdr:col>
      <xdr:colOff>579425</xdr:colOff>
      <xdr:row>1</xdr:row>
      <xdr:rowOff>0</xdr:rowOff>
    </xdr:from>
    <xdr:to>
      <xdr:col>18</xdr:col>
      <xdr:colOff>533705</xdr:colOff>
      <xdr:row>3</xdr:row>
      <xdr:rowOff>185928</xdr:rowOff>
    </xdr:to>
    <xdr:sp macro="" textlink="">
      <xdr:nvSpPr>
        <xdr:cNvPr id="7" name="BannerTitle"/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Backdated &amp; Broken Dated FX Forward Rates and Swaps Monitor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BrokenDates1"/>
  <dimension ref="B1:R43"/>
  <sheetViews>
    <sheetView showGridLines="0" showRowColHeaders="0" tabSelected="1" zoomScaleNormal="100" workbookViewId="0">
      <selection activeCell="B7" sqref="B7"/>
    </sheetView>
  </sheetViews>
  <sheetFormatPr defaultRowHeight="12.75" x14ac:dyDescent="0.2"/>
  <cols>
    <col min="1" max="1" width="1.7109375" customWidth="1"/>
    <col min="2" max="5" width="10.7109375" customWidth="1"/>
    <col min="6" max="7" width="10.7109375" style="122" hidden="1" customWidth="1"/>
    <col min="8" max="17" width="13.7109375" customWidth="1"/>
    <col min="18" max="18" width="10.7109375" customWidth="1"/>
  </cols>
  <sheetData>
    <row r="1" spans="2:18" ht="5.0999999999999996" customHeight="1" x14ac:dyDescent="0.2"/>
    <row r="2" spans="2:18" ht="15" customHeight="1" x14ac:dyDescent="0.2"/>
    <row r="3" spans="2:18" ht="15" customHeight="1" x14ac:dyDescent="0.2"/>
    <row r="4" spans="2:18" ht="15" customHeight="1" x14ac:dyDescent="0.2"/>
    <row r="5" spans="2:18" ht="5.0999999999999996" customHeight="1" x14ac:dyDescent="0.2"/>
    <row r="6" spans="2:18" ht="15" customHeight="1" x14ac:dyDescent="0.2">
      <c r="K6" s="233"/>
      <c r="L6" s="233"/>
      <c r="M6" s="233"/>
      <c r="N6" s="233"/>
      <c r="O6" s="233"/>
      <c r="P6" s="233"/>
      <c r="Q6" s="233"/>
    </row>
    <row r="7" spans="2:18" ht="15" customHeight="1" x14ac:dyDescent="0.2">
      <c r="B7" s="67" t="s">
        <v>12</v>
      </c>
      <c r="C7" s="94" t="s">
        <v>13</v>
      </c>
      <c r="D7" s="3" t="s">
        <v>14</v>
      </c>
      <c r="J7" s="234" t="str">
        <f>IF(_xll.BSettings("BBA")="YES","","The FX Toolkit is only available to Bloomberg Anywhere (BBA) users. To find out more information about BBA terminals, please contact your Bloomberg sales representative by typing BREP &lt;GO&gt; on the terminal.")</f>
        <v/>
      </c>
      <c r="K7" s="234"/>
      <c r="L7" s="234"/>
      <c r="M7" s="234"/>
      <c r="N7" s="234"/>
      <c r="O7" s="234"/>
      <c r="P7" s="234"/>
      <c r="Q7" s="234"/>
    </row>
    <row r="8" spans="2:18" ht="15" customHeight="1" x14ac:dyDescent="0.2">
      <c r="B8" s="67" t="s">
        <v>125</v>
      </c>
      <c r="C8" s="94" t="s">
        <v>176</v>
      </c>
      <c r="D8" s="3" t="s">
        <v>129</v>
      </c>
      <c r="J8" s="234"/>
      <c r="K8" s="234"/>
      <c r="L8" s="234"/>
      <c r="M8" s="234"/>
      <c r="N8" s="234"/>
      <c r="O8" s="234"/>
      <c r="P8" s="234"/>
      <c r="Q8" s="234"/>
    </row>
    <row r="9" spans="2:18" ht="15" customHeight="1" x14ac:dyDescent="0.2">
      <c r="H9" s="129"/>
    </row>
    <row r="10" spans="2:18" s="122" customFormat="1" ht="15" hidden="1" customHeight="1" x14ac:dyDescent="0.2">
      <c r="F10" s="123" t="s">
        <v>179</v>
      </c>
      <c r="H10" s="184">
        <f t="shared" ref="H10:Q10" si="0">IF(H11=1,WORKDAY(H12-1,1),IF(H11=7,WORKDAY(H12-1,0),H12))</f>
        <v>42094</v>
      </c>
      <c r="I10" s="184">
        <f t="shared" si="0"/>
        <v>42185</v>
      </c>
      <c r="J10" s="184">
        <f t="shared" si="0"/>
        <v>42310</v>
      </c>
      <c r="K10" s="184">
        <f t="shared" si="0"/>
        <v>42025</v>
      </c>
      <c r="L10" s="184">
        <f t="shared" si="0"/>
        <v>42101</v>
      </c>
      <c r="M10" s="184">
        <f t="shared" si="0"/>
        <v>42376</v>
      </c>
      <c r="N10" s="184">
        <f t="shared" si="0"/>
        <v>42081</v>
      </c>
      <c r="O10" s="184">
        <f t="shared" si="0"/>
        <v>42172</v>
      </c>
      <c r="P10" s="184">
        <f t="shared" si="0"/>
        <v>42101</v>
      </c>
      <c r="Q10" s="184">
        <f t="shared" si="0"/>
        <v>42104</v>
      </c>
    </row>
    <row r="11" spans="2:18" s="122" customFormat="1" ht="15" hidden="1" customHeight="1" x14ac:dyDescent="0.2">
      <c r="B11" s="182"/>
      <c r="F11" s="123" t="s">
        <v>178</v>
      </c>
      <c r="H11" s="181">
        <f>IFERROR(WEEKDAY(H12),"")</f>
        <v>3</v>
      </c>
      <c r="I11" s="181">
        <f t="shared" ref="I11:Q11" si="1">IFERROR(WEEKDAY(I12),"")</f>
        <v>3</v>
      </c>
      <c r="J11" s="181">
        <f t="shared" si="1"/>
        <v>1</v>
      </c>
      <c r="K11" s="181">
        <f t="shared" si="1"/>
        <v>4</v>
      </c>
      <c r="L11" s="181">
        <f t="shared" si="1"/>
        <v>3</v>
      </c>
      <c r="M11" s="181">
        <f t="shared" si="1"/>
        <v>5</v>
      </c>
      <c r="N11" s="181">
        <f t="shared" si="1"/>
        <v>4</v>
      </c>
      <c r="O11" s="181">
        <f t="shared" si="1"/>
        <v>4</v>
      </c>
      <c r="P11" s="181">
        <f t="shared" si="1"/>
        <v>3</v>
      </c>
      <c r="Q11" s="181">
        <f t="shared" si="1"/>
        <v>6</v>
      </c>
    </row>
    <row r="12" spans="2:18" s="130" customFormat="1" ht="18" hidden="1" customHeight="1" x14ac:dyDescent="0.2">
      <c r="F12" s="183" t="s">
        <v>177</v>
      </c>
      <c r="H12" s="130">
        <f>_xll.BFxForward($B15,H$14,"SETTLEMENTDATE","PRICINGDATE",$G15)</f>
        <v>42094</v>
      </c>
      <c r="I12" s="130">
        <f>_xll.BFxForward($B15,I$14,"SETTLEMENTDATE","PRICINGDATE",$G15)</f>
        <v>42185</v>
      </c>
      <c r="J12" s="130">
        <f>_xll.BFxForward($B15,J$14,"SETTLEMENTDATE","PRICINGDATE",$G15)</f>
        <v>42309</v>
      </c>
      <c r="K12" s="130">
        <f>_xll.BFxForward($B15,K$14,"SETTLEMENTDATE","PRICINGDATE",$G15)</f>
        <v>42025</v>
      </c>
      <c r="L12" s="130">
        <f>_xll.BFxForward($B15,L$14,"SETTLEMENTDATE","PRICINGDATE",$G15)</f>
        <v>42101</v>
      </c>
      <c r="M12" s="130">
        <f>_xll.BFxForward($B15,M$14,"SETTLEMENTDATE","PRICINGDATE",$G15)</f>
        <v>42376</v>
      </c>
      <c r="N12" s="130">
        <f>_xll.BFxForward($B15,N$14,"SETTLEMENTDATE","PRICINGDATE",$G15)</f>
        <v>42081</v>
      </c>
      <c r="O12" s="130">
        <f>_xll.BFxForward($B15,O$14,"SETTLEMENTDATE","PRICINGDATE",$G15)</f>
        <v>42172</v>
      </c>
      <c r="P12" s="130">
        <f>_xll.BFxForward($B15,P$14,"SETTLEMENTDATE","PRICINGDATE",$G15)</f>
        <v>42101</v>
      </c>
      <c r="Q12" s="130">
        <f>_xll.BFxForward($B15,Q$14,"SETTLEMENTDATE","PRICINGDATE",$G15)</f>
        <v>42104</v>
      </c>
    </row>
    <row r="13" spans="2:18" ht="15" customHeight="1" x14ac:dyDescent="0.25">
      <c r="B13" s="235" t="s">
        <v>2</v>
      </c>
      <c r="C13" s="237" t="s">
        <v>28</v>
      </c>
      <c r="D13" s="237" t="s">
        <v>29</v>
      </c>
      <c r="E13" s="237" t="s">
        <v>46</v>
      </c>
      <c r="F13" s="187" t="s">
        <v>43</v>
      </c>
      <c r="G13" s="188" t="s">
        <v>46</v>
      </c>
      <c r="H13" s="239" t="s">
        <v>30</v>
      </c>
      <c r="I13" s="240"/>
      <c r="J13" s="240"/>
      <c r="K13" s="240"/>
      <c r="L13" s="240"/>
      <c r="M13" s="240"/>
      <c r="N13" s="240"/>
      <c r="O13" s="240"/>
      <c r="P13" s="240"/>
      <c r="Q13" s="240"/>
    </row>
    <row r="14" spans="2:18" ht="15" customHeight="1" x14ac:dyDescent="0.2">
      <c r="B14" s="236"/>
      <c r="C14" s="238"/>
      <c r="D14" s="238" t="s">
        <v>43</v>
      </c>
      <c r="E14" s="238" t="s">
        <v>44</v>
      </c>
      <c r="F14" s="224" t="s">
        <v>45</v>
      </c>
      <c r="G14" s="225" t="s">
        <v>47</v>
      </c>
      <c r="H14" s="226">
        <v>42094</v>
      </c>
      <c r="I14" s="83">
        <v>42185</v>
      </c>
      <c r="J14" s="83">
        <v>42309</v>
      </c>
      <c r="K14" s="120" t="s">
        <v>54</v>
      </c>
      <c r="L14" s="120" t="s">
        <v>58</v>
      </c>
      <c r="M14" s="120" t="s">
        <v>130</v>
      </c>
      <c r="N14" s="120" t="s">
        <v>131</v>
      </c>
      <c r="O14" s="120" t="s">
        <v>132</v>
      </c>
      <c r="P14" s="120">
        <v>90</v>
      </c>
      <c r="Q14" s="121">
        <v>93</v>
      </c>
      <c r="R14" s="8"/>
    </row>
    <row r="15" spans="2:18" ht="15" customHeight="1" x14ac:dyDescent="0.2">
      <c r="B15" s="119" t="s">
        <v>27</v>
      </c>
      <c r="C15" s="116" t="s">
        <v>126</v>
      </c>
      <c r="D15" s="116" t="s">
        <v>41</v>
      </c>
      <c r="E15" s="118">
        <v>42007</v>
      </c>
      <c r="F15" s="185" t="str">
        <f>IF($B15="","",IF($D15="regular","",IF($D15="NDF","NDF",IF($D15="onshore","onshore","offshore"))))</f>
        <v/>
      </c>
      <c r="G15" s="189">
        <f>IF(E15="","",_xll.BAddPeriods(E15,"BUSDAYADJ=-1"))</f>
        <v>42009</v>
      </c>
      <c r="H15" s="32">
        <f>IF($B15="","",_xll.BFxForward($B15,H$10,$C15&amp;$C$8,"markettype",$F15,"source",Input_Source_BrokenDates,"pricingdate",$G15,"holidayvalues=true"))</f>
        <v>-9.31</v>
      </c>
      <c r="I15" s="33">
        <f>IF($B15="","",_xll.BFxForward($B15,I$10,$C15&amp;$C$8,"markettype",$F15,"source",Input_Source_BrokenDates,"pricingdate",$G15,"holidayvalues=true"))</f>
        <v>-22.77</v>
      </c>
      <c r="J15" s="33">
        <f>IF($B15="","",_xll.BFxForward($B15,J$10,$C15&amp;$C$8,"markettype",$F15,"source",Input_Source_BrokenDates,"pricingdate",$G15,"holidayvalues=true"))</f>
        <v>-51.6</v>
      </c>
      <c r="K15" s="33">
        <f>IF($B15="","",_xll.BFxForward($B15,K$10,$C15&amp;$C$8,"markettype",$F15,"source",Input_Source_BrokenDates,"pricingdate",$G15,"holidayvalues=true"))</f>
        <v>-1.46</v>
      </c>
      <c r="L15" s="33">
        <f>IF($B15="","",_xll.BFxForward($B15,L$10,$C15&amp;$C$8,"markettype",$F15,"source",Input_Source_BrokenDates,"pricingdate",$G15,"holidayvalues=true"))</f>
        <v>-10.31</v>
      </c>
      <c r="M15" s="33">
        <f>IF($B15="","",_xll.BFxForward($B15,M$10,$C15&amp;$C$8,"markettype",$F15,"source",Input_Source_BrokenDates,"pricingdate",$G15,"holidayvalues=true"))</f>
        <v>-74.28</v>
      </c>
      <c r="N15" s="33">
        <f>IF($B15="","",_xll.BFxForward($B15,N$10,$C15&amp;$C$8,"markettype",$F15,"source",Input_Source_BrokenDates,"pricingdate",$G15,"holidayvalues=true"))</f>
        <v>-7.46</v>
      </c>
      <c r="O15" s="33">
        <f>IF($B15="","",_xll.BFxForward($B15,O$10,$C15&amp;$C$8,"markettype",$F15,"source",Input_Source_BrokenDates,"pricingdate",$G15,"holidayvalues=true"))</f>
        <v>-20.52</v>
      </c>
      <c r="P15" s="33">
        <f>IF($B15="","",_xll.BFxForward($B15,P$10,$C15&amp;$C$8,"markettype",$F15,"source",Input_Source_BrokenDates,"pricingdate",$G15,"holidayvalues=true"))</f>
        <v>-10.31</v>
      </c>
      <c r="Q15" s="85">
        <f>IF($B15="","",_xll.BFxForward($B15,Q$10,$C15&amp;$C$8,"markettype",$F15,"source",Input_Source_BrokenDates,"pricingdate",$G15,"holidayvalues=true"))</f>
        <v>-10.75</v>
      </c>
    </row>
    <row r="16" spans="2:18" ht="15" customHeight="1" x14ac:dyDescent="0.2">
      <c r="B16" s="84" t="s">
        <v>31</v>
      </c>
      <c r="C16" s="53" t="s">
        <v>126</v>
      </c>
      <c r="D16" s="53" t="s">
        <v>41</v>
      </c>
      <c r="E16" s="55">
        <v>42019</v>
      </c>
      <c r="F16" s="185" t="str">
        <f t="shared" ref="F16:F34" si="2">IF($B16="","",IF($D16="regular","",IF($D16="NDF","NDF",IF($D16="onshore","onshore","offshore"))))</f>
        <v/>
      </c>
      <c r="G16" s="189">
        <f>IF(E16="","",_xll.BAddPeriods(E16,"BUSDAYADJ=-1"))</f>
        <v>42019</v>
      </c>
      <c r="H16" s="34">
        <f>IF($B16="","",_xll.BFxForward($B16,H$10,$C16&amp;$C$8,"markettype",$F16,"source",Input_Source_BrokenDates,"pricingdate",$G16,"holidayvalues=true"))</f>
        <v>-24.951799999999999</v>
      </c>
      <c r="I16" s="29">
        <f>IF($B16="","",_xll.BFxForward($B16,I$10,$C16&amp;$C$8,"markettype",$F16,"source",Input_Source_BrokenDates,"pricingdate",$G16,"holidayvalues=true"))</f>
        <v>-54.996000000000002</v>
      </c>
      <c r="J16" s="29">
        <f>IF($B16="","",_xll.BFxForward($B16,J$10,$C16&amp;$C$8,"markettype",$F16,"source",Input_Source_BrokenDates,"pricingdate",$G16,"holidayvalues=true"))</f>
        <v>-93.373500000000007</v>
      </c>
      <c r="K16" s="29">
        <f>IF($B16="","",_xll.BFxForward($B16,K$10,$C16&amp;$C$8,"markettype",$F16,"source",Input_Source_BrokenDates,"pricingdate",$G16,"holidayvalues=true"))</f>
        <v>-0.38540000000000002</v>
      </c>
      <c r="L16" s="29">
        <f>IF($B16="","",_xll.BFxForward($B16,L$10,$C16&amp;$C$8,"markettype",$F16,"source",Input_Source_BrokenDates,"pricingdate",$G16,"holidayvalues=true"))</f>
        <v>-27.383900000000001</v>
      </c>
      <c r="M16" s="29">
        <f>IF($B16="","",_xll.BFxForward($B16,M$10,$C16&amp;$C$8,"markettype",$F16,"source",Input_Source_BrokenDates,"pricingdate",$G16,"holidayvalues=true"))</f>
        <v>-112.6671</v>
      </c>
      <c r="N16" s="29">
        <f>IF($B16="","",_xll.BFxForward($B16,N$10,$C16&amp;$C$8,"markettype",$F16,"source",Input_Source_BrokenDates,"pricingdate",$G16,"holidayvalues=true"))</f>
        <v>-20.4146</v>
      </c>
      <c r="O16" s="29">
        <f>IF($B16="","",_xll.BFxForward($B16,O$10,$C16&amp;$C$8,"markettype",$F16,"source",Input_Source_BrokenDates,"pricingdate",$G16,"holidayvalues=true"))</f>
        <v>-50.846200000000003</v>
      </c>
      <c r="P16" s="29">
        <f>IF($B16="","",_xll.BFxForward($B16,P$10,$C16&amp;$C$8,"markettype",$F16,"source",Input_Source_BrokenDates,"pricingdate",$G16,"holidayvalues=true"))</f>
        <v>-27.383900000000001</v>
      </c>
      <c r="Q16" s="86">
        <f>IF($B16="","",_xll.BFxForward($B16,Q$10,$C16&amp;$C$8,"markettype",$F16,"source",Input_Source_BrokenDates,"pricingdate",$G16,"holidayvalues=true"))</f>
        <v>-28.426400000000001</v>
      </c>
    </row>
    <row r="17" spans="2:17" ht="15" customHeight="1" x14ac:dyDescent="0.2">
      <c r="B17" s="119" t="s">
        <v>32</v>
      </c>
      <c r="C17" s="116" t="s">
        <v>126</v>
      </c>
      <c r="D17" s="116" t="s">
        <v>41</v>
      </c>
      <c r="E17" s="118">
        <v>42019</v>
      </c>
      <c r="F17" s="185" t="str">
        <f t="shared" si="2"/>
        <v/>
      </c>
      <c r="G17" s="189">
        <f>IF(E17="","",_xll.BAddPeriods(E17,"BUSDAYADJ=-1"))</f>
        <v>42019</v>
      </c>
      <c r="H17" s="35">
        <f>IF($B17="","",_xll.BFxForward($B17,H$10,$C17&amp;$C$8,"markettype",$F17,"source",Input_Source_BrokenDates,"pricingdate",$G17,"holidayvalues=true"))</f>
        <v>16.64</v>
      </c>
      <c r="I17" s="26">
        <f>IF($B17="","",_xll.BFxForward($B17,I$10,$C17&amp;$C$8,"markettype",$F17,"source",Input_Source_BrokenDates,"pricingdate",$G17,"holidayvalues=true"))</f>
        <v>43.8</v>
      </c>
      <c r="J17" s="26">
        <f>IF($B17="","",_xll.BFxForward($B17,J$10,$C17&amp;$C$8,"markettype",$F17,"source",Input_Source_BrokenDates,"pricingdate",$G17,"holidayvalues=true"))</f>
        <v>85.92</v>
      </c>
      <c r="K17" s="26">
        <f>IF($B17="","",_xll.BFxForward($B17,K$10,$C17&amp;$C$8,"markettype",$F17,"source",Input_Source_BrokenDates,"pricingdate",$G17,"holidayvalues=true"))</f>
        <v>0.12</v>
      </c>
      <c r="L17" s="26">
        <f>IF($B17="","",_xll.BFxForward($B17,L$10,$C17&amp;$C$8,"markettype",$F17,"source",Input_Source_BrokenDates,"pricingdate",$G17,"holidayvalues=true"))</f>
        <v>18.59</v>
      </c>
      <c r="M17" s="26">
        <f>IF($B17="","",_xll.BFxForward($B17,M$10,$C17&amp;$C$8,"markettype",$F17,"source",Input_Source_BrokenDates,"pricingdate",$G17,"holidayvalues=true"))</f>
        <v>110.01</v>
      </c>
      <c r="N17" s="26">
        <f>IF($B17="","",_xll.BFxForward($B17,N$10,$C17&amp;$C$8,"markettype",$F17,"source",Input_Source_BrokenDates,"pricingdate",$G17,"holidayvalues=true"))</f>
        <v>13.01</v>
      </c>
      <c r="O17" s="26">
        <f>IF($B17="","",_xll.BFxForward($B17,O$10,$C17&amp;$C$8,"markettype",$F17,"source",Input_Source_BrokenDates,"pricingdate",$G17,"holidayvalues=true"))</f>
        <v>39.72</v>
      </c>
      <c r="P17" s="26">
        <f>IF($B17="","",_xll.BFxForward($B17,P$10,$C17&amp;$C$8,"markettype",$F17,"source",Input_Source_BrokenDates,"pricingdate",$G17,"holidayvalues=true"))</f>
        <v>18.59</v>
      </c>
      <c r="Q17" s="87">
        <f>IF($B17="","",_xll.BFxForward($B17,Q$10,$C17&amp;$C$8,"markettype",$F17,"source",Input_Source_BrokenDates,"pricingdate",$G17,"holidayvalues=true"))</f>
        <v>19.420000000000002</v>
      </c>
    </row>
    <row r="18" spans="2:17" ht="15" customHeight="1" x14ac:dyDescent="0.2">
      <c r="B18" s="84" t="s">
        <v>33</v>
      </c>
      <c r="C18" s="53" t="s">
        <v>126</v>
      </c>
      <c r="D18" s="53" t="s">
        <v>41</v>
      </c>
      <c r="E18" s="55">
        <v>42019</v>
      </c>
      <c r="F18" s="185" t="str">
        <f t="shared" si="2"/>
        <v/>
      </c>
      <c r="G18" s="189">
        <f>IF(E18="","",_xll.BAddPeriods(E18,"BUSDAYADJ=-1"))</f>
        <v>42019</v>
      </c>
      <c r="H18" s="34">
        <f>IF($B18="","",_xll.BFxForward($B18,H$10,$C18&amp;$C$8,"markettype",$F18,"source",Input_Source_BrokenDates,"pricingdate",$G18,"holidayvalues=true"))</f>
        <v>-41.395699999999998</v>
      </c>
      <c r="I18" s="29">
        <f>IF($B18="","",_xll.BFxForward($B18,I$10,$C18&amp;$C$8,"markettype",$F18,"source",Input_Source_BrokenDates,"pricingdate",$G18,"holidayvalues=true"))</f>
        <v>-92.9739</v>
      </c>
      <c r="J18" s="29">
        <f>IF($B18="","",_xll.BFxForward($B18,J$10,$C18&amp;$C$8,"markettype",$F18,"source",Input_Source_BrokenDates,"pricingdate",$G18,"holidayvalues=true"))</f>
        <v>-161.73849999999999</v>
      </c>
      <c r="K18" s="29">
        <f>IF($B18="","",_xll.BFxForward($B18,K$10,$C18&amp;$C$8,"markettype",$F18,"source",Input_Source_BrokenDates,"pricingdate",$G18,"holidayvalues=true"))</f>
        <v>-0.65169999999999995</v>
      </c>
      <c r="L18" s="29">
        <f>IF($B18="","",_xll.BFxForward($B18,L$10,$C18&amp;$C$8,"markettype",$F18,"source",Input_Source_BrokenDates,"pricingdate",$G18,"holidayvalues=true"))</f>
        <v>-45.470100000000002</v>
      </c>
      <c r="M18" s="29">
        <f>IF($B18="","",_xll.BFxForward($B18,M$10,$C18&amp;$C$8,"markettype",$F18,"source",Input_Source_BrokenDates,"pricingdate",$G18,"holidayvalues=true"))</f>
        <v>-197.94329999999999</v>
      </c>
      <c r="N18" s="29">
        <f>IF($B18="","",_xll.BFxForward($B18,N$10,$C18&amp;$C$8,"markettype",$F18,"source",Input_Source_BrokenDates,"pricingdate",$G18,"holidayvalues=true"))</f>
        <v>-33.819899999999997</v>
      </c>
      <c r="O18" s="29">
        <f>IF($B18="","",_xll.BFxForward($B18,O$10,$C18&amp;$C$8,"markettype",$F18,"source",Input_Source_BrokenDates,"pricingdate",$G18,"holidayvalues=true"))</f>
        <v>-85.677099999999996</v>
      </c>
      <c r="P18" s="29">
        <f>IF($B18="","",_xll.BFxForward($B18,P$10,$C18&amp;$C$8,"markettype",$F18,"source",Input_Source_BrokenDates,"pricingdate",$G18,"holidayvalues=true"))</f>
        <v>-45.470100000000002</v>
      </c>
      <c r="Q18" s="86">
        <f>IF($B18="","",_xll.BFxForward($B18,Q$10,$C18&amp;$C$8,"markettype",$F18,"source",Input_Source_BrokenDates,"pricingdate",$G18,"holidayvalues=true"))</f>
        <v>-47.214799999999997</v>
      </c>
    </row>
    <row r="19" spans="2:17" ht="15" customHeight="1" x14ac:dyDescent="0.2">
      <c r="B19" s="119" t="s">
        <v>20</v>
      </c>
      <c r="C19" s="116" t="s">
        <v>126</v>
      </c>
      <c r="D19" s="116" t="s">
        <v>41</v>
      </c>
      <c r="E19" s="118">
        <v>42019</v>
      </c>
      <c r="F19" s="185" t="str">
        <f t="shared" si="2"/>
        <v/>
      </c>
      <c r="G19" s="189">
        <f>IF(E19="","",_xll.BAddPeriods(E19,"BUSDAYADJ=-1"))</f>
        <v>42019</v>
      </c>
      <c r="H19" s="35">
        <f>IF($B19="","",_xll.BFxForward($B19,H$10,$C19&amp;$C$8,"markettype",$F19,"source",Input_Source_BrokenDates,"pricingdate",$G19,"holidayvalues=true"))</f>
        <v>-42.42</v>
      </c>
      <c r="I19" s="26">
        <f>IF($B19="","",_xll.BFxForward($B19,I$10,$C19&amp;$C$8,"markettype",$F19,"source",Input_Source_BrokenDates,"pricingdate",$G19,"holidayvalues=true"))</f>
        <v>-93.58</v>
      </c>
      <c r="J19" s="26">
        <f>IF($B19="","",_xll.BFxForward($B19,J$10,$C19&amp;$C$8,"markettype",$F19,"source",Input_Source_BrokenDates,"pricingdate",$G19,"holidayvalues=true"))</f>
        <v>-156.66</v>
      </c>
      <c r="K19" s="26">
        <f>IF($B19="","",_xll.BFxForward($B19,K$10,$C19&amp;$C$8,"markettype",$F19,"source",Input_Source_BrokenDates,"pricingdate",$G19,"holidayvalues=true"))</f>
        <v>-0.66800000000000004</v>
      </c>
      <c r="L19" s="26">
        <f>IF($B19="","",_xll.BFxForward($B19,L$10,$C19&amp;$C$8,"markettype",$F19,"source",Input_Source_BrokenDates,"pricingdate",$G19,"holidayvalues=true"))</f>
        <v>-46.56</v>
      </c>
      <c r="M19" s="26">
        <f>IF($B19="","",_xll.BFxForward($B19,M$10,$C19&amp;$C$8,"markettype",$F19,"source",Input_Source_BrokenDates,"pricingdate",$G19,"holidayvalues=true"))</f>
        <v>-187.19</v>
      </c>
      <c r="N19" s="26">
        <f>IF($B19="","",_xll.BFxForward($B19,N$10,$C19&amp;$C$8,"markettype",$F19,"source",Input_Source_BrokenDates,"pricingdate",$G19,"holidayvalues=true"))</f>
        <v>-34.71</v>
      </c>
      <c r="O19" s="26">
        <f>IF($B19="","",_xll.BFxForward($B19,O$10,$C19&amp;$C$8,"markettype",$F19,"source",Input_Source_BrokenDates,"pricingdate",$G19,"holidayvalues=true"))</f>
        <v>-86.54</v>
      </c>
      <c r="P19" s="26">
        <f>IF($B19="","",_xll.BFxForward($B19,P$10,$C19&amp;$C$8,"markettype",$F19,"source",Input_Source_BrokenDates,"pricingdate",$G19,"holidayvalues=true"))</f>
        <v>-46.56</v>
      </c>
      <c r="Q19" s="87">
        <f>IF($B19="","",_xll.BFxForward($B19,Q$10,$C19&amp;$C$8,"markettype",$F19,"source",Input_Source_BrokenDates,"pricingdate",$G19,"holidayvalues=true"))</f>
        <v>-48.33</v>
      </c>
    </row>
    <row r="20" spans="2:17" ht="15" customHeight="1" x14ac:dyDescent="0.2">
      <c r="B20" s="84" t="s">
        <v>34</v>
      </c>
      <c r="C20" s="53" t="s">
        <v>126</v>
      </c>
      <c r="D20" s="53" t="s">
        <v>41</v>
      </c>
      <c r="E20" s="55">
        <v>42019</v>
      </c>
      <c r="F20" s="185" t="str">
        <f t="shared" si="2"/>
        <v/>
      </c>
      <c r="G20" s="189">
        <f>IF(E20="","",_xll.BAddPeriods(E20,"BUSDAYADJ=-1"))</f>
        <v>42019</v>
      </c>
      <c r="H20" s="34">
        <f>IF($B20="","",_xll.BFxForward($B20,H$10,$C20&amp;$C$8,"markettype",$F20,"source",Input_Source_BrokenDates,"pricingdate",$G20,"holidayvalues=true"))</f>
        <v>-35.08</v>
      </c>
      <c r="I20" s="29">
        <f>IF($B20="","",_xll.BFxForward($B20,I$10,$C20&amp;$C$8,"markettype",$F20,"source",Input_Source_BrokenDates,"pricingdate",$G20,"holidayvalues=true"))</f>
        <v>-77.569999999999993</v>
      </c>
      <c r="J20" s="29">
        <f>IF($B20="","",_xll.BFxForward($B20,J$10,$C20&amp;$C$8,"markettype",$F20,"source",Input_Source_BrokenDates,"pricingdate",$G20,"holidayvalues=true"))</f>
        <v>-130.88</v>
      </c>
      <c r="K20" s="29">
        <f>IF($B20="","",_xll.BFxForward($B20,K$10,$C20&amp;$C$8,"markettype",$F20,"source",Input_Source_BrokenDates,"pricingdate",$G20,"holidayvalues=true"))</f>
        <v>-0.55000000000000004</v>
      </c>
      <c r="L20" s="29">
        <f>IF($B20="","",_xll.BFxForward($B20,L$10,$C20&amp;$C$8,"markettype",$F20,"source",Input_Source_BrokenDates,"pricingdate",$G20,"holidayvalues=true"))</f>
        <v>-38.68</v>
      </c>
      <c r="M20" s="29">
        <f>IF($B20="","",_xll.BFxForward($B20,M$10,$C20&amp;$C$8,"markettype",$F20,"source",Input_Source_BrokenDates,"pricingdate",$G20,"holidayvalues=true"))</f>
        <v>-157.65</v>
      </c>
      <c r="N20" s="29">
        <f>IF($B20="","",_xll.BFxForward($B20,N$10,$C20&amp;$C$8,"markettype",$F20,"source",Input_Source_BrokenDates,"pricingdate",$G20,"holidayvalues=true"))</f>
        <v>-28.44</v>
      </c>
      <c r="O20" s="29">
        <f>IF($B20="","",_xll.BFxForward($B20,O$10,$C20&amp;$C$8,"markettype",$F20,"source",Input_Source_BrokenDates,"pricingdate",$G20,"holidayvalues=true"))</f>
        <v>-71.7</v>
      </c>
      <c r="P20" s="29">
        <f>IF($B20="","",_xll.BFxForward($B20,P$10,$C20&amp;$C$8,"markettype",$F20,"source",Input_Source_BrokenDates,"pricingdate",$G20,"holidayvalues=true"))</f>
        <v>-38.68</v>
      </c>
      <c r="Q20" s="86">
        <f>IF($B20="","",_xll.BFxForward($B20,Q$10,$C20&amp;$C$8,"markettype",$F20,"source",Input_Source_BrokenDates,"pricingdate",$G20,"holidayvalues=true"))</f>
        <v>-40.22</v>
      </c>
    </row>
    <row r="21" spans="2:17" ht="15" customHeight="1" x14ac:dyDescent="0.2">
      <c r="B21" s="119" t="s">
        <v>35</v>
      </c>
      <c r="C21" s="116" t="s">
        <v>126</v>
      </c>
      <c r="D21" s="116" t="s">
        <v>41</v>
      </c>
      <c r="E21" s="118">
        <v>42019</v>
      </c>
      <c r="F21" s="185" t="str">
        <f t="shared" si="2"/>
        <v/>
      </c>
      <c r="G21" s="189">
        <f>IF(E21="","",_xll.BAddPeriods(E21,"BUSDAYADJ=-1"))</f>
        <v>42019</v>
      </c>
      <c r="H21" s="35">
        <f>IF($B21="","",_xll.BFxForward($B21,H$10,$C21&amp;$C$8,"markettype",$F21,"source",Input_Source_BrokenDates,"pricingdate",$G21,"holidayvalues=true"))</f>
        <v>-76.689400000000006</v>
      </c>
      <c r="I21" s="26">
        <f>IF($B21="","",_xll.BFxForward($B21,I$10,$C21&amp;$C$8,"markettype",$F21,"source",Input_Source_BrokenDates,"pricingdate",$G21,"holidayvalues=true"))</f>
        <v>746.93460000000005</v>
      </c>
      <c r="J21" s="26">
        <f>IF($B21="","",_xll.BFxForward($B21,J$10,$C21&amp;$C$8,"markettype",$F21,"source",Input_Source_BrokenDates,"pricingdate",$G21,"holidayvalues=true"))</f>
        <v>354.91050000000001</v>
      </c>
      <c r="K21" s="26">
        <f>IF($B21="","",_xll.BFxForward($B21,K$10,$C21&amp;$C$8,"markettype",$F21,"source",Input_Source_BrokenDates,"pricingdate",$G21,"holidayvalues=true"))</f>
        <v>-19.732600000000001</v>
      </c>
      <c r="L21" s="26">
        <f>IF($B21="","",_xll.BFxForward($B21,L$10,$C21&amp;$C$8,"markettype",$F21,"source",Input_Source_BrokenDates,"pricingdate",$G21,"holidayvalues=true"))</f>
        <v>-25.665199999999999</v>
      </c>
      <c r="M21" s="26">
        <f>IF($B21="","",_xll.BFxForward($B21,M$10,$C21&amp;$C$8,"markettype",$F21,"source",Input_Source_BrokenDates,"pricingdate",$G21,"holidayvalues=true"))</f>
        <v>160.27940000000001</v>
      </c>
      <c r="N21" s="26">
        <f>IF($B21="","",_xll.BFxForward($B21,N$10,$C21&amp;$C$8,"markettype",$F21,"source",Input_Source_BrokenDates,"pricingdate",$G21,"holidayvalues=true"))</f>
        <v>-153.23439999999999</v>
      </c>
      <c r="O21" s="26">
        <f>IF($B21="","",_xll.BFxForward($B21,O$10,$C21&amp;$C$8,"markettype",$F21,"source",Input_Source_BrokenDates,"pricingdate",$G21,"holidayvalues=true"))</f>
        <v>761.90549999999996</v>
      </c>
      <c r="P21" s="26">
        <f>IF($B21="","",_xll.BFxForward($B21,P$10,$C21&amp;$C$8,"markettype",$F21,"source",Input_Source_BrokenDates,"pricingdate",$G21,"holidayvalues=true"))</f>
        <v>-25.665199999999999</v>
      </c>
      <c r="Q21" s="87">
        <f>IF($B21="","",_xll.BFxForward($B21,Q$10,$C21&amp;$C$8,"markettype",$F21,"source",Input_Source_BrokenDates,"pricingdate",$G21,"holidayvalues=true"))</f>
        <v>-3.7976999999999999</v>
      </c>
    </row>
    <row r="22" spans="2:17" ht="15" customHeight="1" x14ac:dyDescent="0.2">
      <c r="B22" s="84" t="s">
        <v>36</v>
      </c>
      <c r="C22" s="53" t="s">
        <v>126</v>
      </c>
      <c r="D22" s="53" t="s">
        <v>128</v>
      </c>
      <c r="E22" s="55">
        <v>42019</v>
      </c>
      <c r="F22" s="185" t="str">
        <f t="shared" si="2"/>
        <v>offshore</v>
      </c>
      <c r="G22" s="189">
        <f>IF(E22="","",_xll.BAddPeriods(E22,"BUSDAYADJ=-1"))</f>
        <v>42019</v>
      </c>
      <c r="H22" s="34">
        <f>IF($B22="","",_xll.BFxForward($B22,H$10,$C22&amp;$C$8,"markettype",$F22,"source",Input_Source_BrokenDates,"pricingdate",$G22,"holidayvalues=true"))</f>
        <v>17.13</v>
      </c>
      <c r="I22" s="29">
        <f>IF($B22="","",_xll.BFxForward($B22,I$10,$C22&amp;$C$8,"markettype",$F22,"source",Input_Source_BrokenDates,"pricingdate",$G22,"holidayvalues=true"))</f>
        <v>43.41</v>
      </c>
      <c r="J22" s="29">
        <f>IF($B22="","",_xll.BFxForward($B22,J$10,$C22&amp;$C$8,"markettype",$F22,"source",Input_Source_BrokenDates,"pricingdate",$G22,"holidayvalues=true"))</f>
        <v>67.540000000000006</v>
      </c>
      <c r="K22" s="29">
        <f>IF($B22="","",_xll.BFxForward($B22,K$10,$C22&amp;$C$8,"markettype",$F22,"source",Input_Source_BrokenDates,"pricingdate",$G22,"holidayvalues=true"))</f>
        <v>0.06</v>
      </c>
      <c r="L22" s="29">
        <f>IF($B22="","",_xll.BFxForward($B22,L$10,$C22&amp;$C$8,"markettype",$F22,"source",Input_Source_BrokenDates,"pricingdate",$G22,"holidayvalues=true"))</f>
        <v>18.62</v>
      </c>
      <c r="M22" s="29">
        <f>IF($B22="","",_xll.BFxForward($B22,M$10,$C22&amp;$C$8,"markettype",$F22,"source",Input_Source_BrokenDates,"pricingdate",$G22,"holidayvalues=true"))</f>
        <v>77.67</v>
      </c>
      <c r="N22" s="29">
        <f>IF($B22="","",_xll.BFxForward($B22,N$10,$C22&amp;$C$8,"markettype",$F22,"source",Input_Source_BrokenDates,"pricingdate",$G22,"holidayvalues=true"))</f>
        <v>14.14</v>
      </c>
      <c r="O22" s="29">
        <f>IF($B22="","",_xll.BFxForward($B22,O$10,$C22&amp;$C$8,"markettype",$F22,"source",Input_Source_BrokenDates,"pricingdate",$G22,"holidayvalues=true"))</f>
        <v>39.369999999999997</v>
      </c>
      <c r="P22" s="29">
        <f>IF($B22="","",_xll.BFxForward($B22,P$10,$C22&amp;$C$8,"markettype",$F22,"source",Input_Source_BrokenDates,"pricingdate",$G22,"holidayvalues=true"))</f>
        <v>18.62</v>
      </c>
      <c r="Q22" s="86">
        <f>IF($B22="","",_xll.BFxForward($B22,Q$10,$C22&amp;$C$8,"markettype",$F22,"source",Input_Source_BrokenDates,"pricingdate",$G22,"holidayvalues=true"))</f>
        <v>19.260000000000002</v>
      </c>
    </row>
    <row r="23" spans="2:17" ht="15" customHeight="1" x14ac:dyDescent="0.2">
      <c r="B23" s="119" t="s">
        <v>37</v>
      </c>
      <c r="C23" s="116" t="s">
        <v>126</v>
      </c>
      <c r="D23" s="116" t="s">
        <v>42</v>
      </c>
      <c r="E23" s="118">
        <v>42019</v>
      </c>
      <c r="F23" s="185" t="str">
        <f t="shared" si="2"/>
        <v>NDF</v>
      </c>
      <c r="G23" s="189">
        <f>IF(E23="","",_xll.BAddPeriods(E23,"BUSDAYADJ=-1"))</f>
        <v>42019</v>
      </c>
      <c r="H23" s="35">
        <f>IF($B23="","",_xll.BFxForward($B23,H$10,$C23&amp;$C$8,"markettype",$F23,"source",Input_Source_BrokenDates,"pricingdate",$G23,"holidayvalues=true"))</f>
        <v>-4.74</v>
      </c>
      <c r="I23" s="26">
        <f>IF($B23="","",_xll.BFxForward($B23,I$10,$C23&amp;$C$8,"markettype",$F23,"source",Input_Source_BrokenDates,"pricingdate",$G23,"holidayvalues=true"))</f>
        <v>-1.77</v>
      </c>
      <c r="J23" s="26">
        <f>IF($B23="","",_xll.BFxForward($B23,J$10,$C23&amp;$C$8,"markettype",$F23,"source",Input_Source_BrokenDates,"pricingdate",$G23,"holidayvalues=true"))</f>
        <v>0.73</v>
      </c>
      <c r="K23" s="26">
        <f>IF($B23="","",_xll.BFxForward($B23,K$10,$C23&amp;$C$8,"markettype",$F23,"source",Input_Source_BrokenDates,"pricingdate",$G23,"holidayvalues=true"))</f>
        <v>-1.1100000000000001</v>
      </c>
      <c r="L23" s="26">
        <f>IF($B23="","",_xll.BFxForward($B23,L$10,$C23&amp;$C$8,"markettype",$F23,"source",Input_Source_BrokenDates,"pricingdate",$G23,"holidayvalues=true"))</f>
        <v>-4.54</v>
      </c>
      <c r="M23" s="26">
        <f>IF($B23="","",_xll.BFxForward($B23,M$10,$C23&amp;$C$8,"markettype",$F23,"source",Input_Source_BrokenDates,"pricingdate",$G23,"holidayvalues=true"))</f>
        <v>2.34</v>
      </c>
      <c r="N23" s="26">
        <f>IF($B23="","",_xll.BFxForward($B23,N$10,$C23&amp;$C$8,"markettype",$F23,"source",Input_Source_BrokenDates,"pricingdate",$G23,"holidayvalues=true"))</f>
        <v>-5.17</v>
      </c>
      <c r="O23" s="26">
        <f>IF($B23="","",_xll.BFxForward($B23,O$10,$C23&amp;$C$8,"markettype",$F23,"source",Input_Source_BrokenDates,"pricingdate",$G23,"holidayvalues=true"))</f>
        <v>-2.21</v>
      </c>
      <c r="P23" s="26">
        <f>IF($B23="","",_xll.BFxForward($B23,P$10,$C23&amp;$C$8,"markettype",$F23,"source",Input_Source_BrokenDates,"pricingdate",$G23,"holidayvalues=true"))</f>
        <v>-4.54</v>
      </c>
      <c r="Q23" s="87">
        <f>IF($B23="","",_xll.BFxForward($B23,Q$10,$C23&amp;$C$8,"markettype",$F23,"source",Input_Source_BrokenDates,"pricingdate",$G23,"holidayvalues=true"))</f>
        <v>-4.46</v>
      </c>
    </row>
    <row r="24" spans="2:17" ht="15" customHeight="1" x14ac:dyDescent="0.2">
      <c r="B24" s="84" t="s">
        <v>38</v>
      </c>
      <c r="C24" s="53" t="s">
        <v>127</v>
      </c>
      <c r="D24" s="53" t="s">
        <v>42</v>
      </c>
      <c r="E24" s="55">
        <v>42019</v>
      </c>
      <c r="F24" s="185" t="str">
        <f t="shared" si="2"/>
        <v>NDF</v>
      </c>
      <c r="G24" s="189">
        <f>IF(E24="","",_xll.BAddPeriods(E24,"BUSDAYADJ=-1"))</f>
        <v>42019</v>
      </c>
      <c r="H24" s="34">
        <f>IF($B24="","",_xll.BFxForward($B24,H$10,$C24&amp;$C$8,"markettype",$F24,"source",Input_Source_BrokenDates,"pricingdate",$G24,"holidayvalues=true"))</f>
        <v>-265.55</v>
      </c>
      <c r="I24" s="29">
        <f>IF($B24="","",_xll.BFxForward($B24,I$10,$C24&amp;$C$8,"markettype",$F24,"source",Input_Source_BrokenDates,"pricingdate",$G24,"holidayvalues=true"))</f>
        <v>161.49</v>
      </c>
      <c r="J24" s="29">
        <f>IF($B24="","",_xll.BFxForward($B24,J$10,$C24&amp;$C$8,"markettype",$F24,"source",Input_Source_BrokenDates,"pricingdate",$G24,"holidayvalues=true"))</f>
        <v>843.47</v>
      </c>
      <c r="K24" s="29">
        <f>IF($B24="","",_xll.BFxForward($B24,K$10,$C24&amp;$C$8,"markettype",$F24,"source",Input_Source_BrokenDates,"pricingdate",$G24,"holidayvalues=true"))</f>
        <v>-82.84</v>
      </c>
      <c r="L24" s="29">
        <f>IF($B24="","",_xll.BFxForward($B24,L$10,$C24&amp;$C$8,"markettype",$F24,"source",Input_Source_BrokenDates,"pricingdate",$G24,"holidayvalues=true"))</f>
        <v>-209.9</v>
      </c>
      <c r="M24" s="29">
        <f>IF($B24="","",_xll.BFxForward($B24,M$10,$C24&amp;$C$8,"markettype",$F24,"source",Input_Source_BrokenDates,"pricingdate",$G24,"holidayvalues=true"))</f>
        <v>1155.53</v>
      </c>
      <c r="N24" s="29">
        <f>IF($B24="","",_xll.BFxForward($B24,N$10,$C24&amp;$C$8,"markettype",$F24,"source",Input_Source_BrokenDates,"pricingdate",$G24,"holidayvalues=true"))</f>
        <v>-359.97</v>
      </c>
      <c r="O24" s="29">
        <f>IF($B24="","",_xll.BFxForward($B24,O$10,$C24&amp;$C$8,"markettype",$F24,"source",Input_Source_BrokenDates,"pricingdate",$G24,"holidayvalues=true"))</f>
        <v>112.42</v>
      </c>
      <c r="P24" s="29">
        <f>IF($B24="","",_xll.BFxForward($B24,P$10,$C24&amp;$C$8,"markettype",$F24,"source",Input_Source_BrokenDates,"pricingdate",$G24,"holidayvalues=true"))</f>
        <v>-209.9</v>
      </c>
      <c r="Q24" s="86">
        <f>IF($B24="","",_xll.BFxForward($B24,Q$10,$C24&amp;$C$8,"markettype",$F24,"source",Input_Source_BrokenDates,"pricingdate",$G24,"holidayvalues=true"))</f>
        <v>-186.05</v>
      </c>
    </row>
    <row r="25" spans="2:17" ht="15" customHeight="1" x14ac:dyDescent="0.2">
      <c r="B25" s="119" t="s">
        <v>39</v>
      </c>
      <c r="C25" s="116" t="s">
        <v>127</v>
      </c>
      <c r="D25" s="116" t="s">
        <v>42</v>
      </c>
      <c r="E25" s="118">
        <v>42019</v>
      </c>
      <c r="F25" s="185" t="str">
        <f t="shared" si="2"/>
        <v>NDF</v>
      </c>
      <c r="G25" s="189">
        <f>IF(E25="","",_xll.BAddPeriods(E25,"BUSDAYADJ=-1"))</f>
        <v>42019</v>
      </c>
      <c r="H25" s="35">
        <f>IF($B25="","",_xll.BFxForward($B25,H$10,$C25&amp;$C$8,"markettype",$F25,"source",Input_Source_BrokenDates,"pricingdate",$G25,"holidayvalues=true"))</f>
        <v>55.96</v>
      </c>
      <c r="I25" s="26">
        <f>IF($B25="","",_xll.BFxForward($B25,I$10,$C25&amp;$C$8,"markettype",$F25,"source",Input_Source_BrokenDates,"pricingdate",$G25,"holidayvalues=true"))</f>
        <v>143.57</v>
      </c>
      <c r="J25" s="26">
        <f>IF($B25="","",_xll.BFxForward($B25,J$10,$C25&amp;$C$8,"markettype",$F25,"source",Input_Source_BrokenDates,"pricingdate",$G25,"holidayvalues=true"))</f>
        <v>271.11</v>
      </c>
      <c r="K25" s="26">
        <f>IF($B25="","",_xll.BFxForward($B25,K$10,$C25&amp;$C$8,"markettype",$F25,"source",Input_Source_BrokenDates,"pricingdate",$G25,"holidayvalues=true"))</f>
        <v>-1.68</v>
      </c>
      <c r="L25" s="26">
        <f>IF($B25="","",_xll.BFxForward($B25,L$10,$C25&amp;$C$8,"markettype",$F25,"source",Input_Source_BrokenDates,"pricingdate",$G25,"holidayvalues=true"))</f>
        <v>63.41</v>
      </c>
      <c r="M25" s="26">
        <f>IF($B25="","",_xll.BFxForward($B25,M$10,$C25&amp;$C$8,"markettype",$F25,"source",Input_Source_BrokenDates,"pricingdate",$G25,"holidayvalues=true"))</f>
        <v>343.49</v>
      </c>
      <c r="N25" s="26">
        <f>IF($B25="","",_xll.BFxForward($B25,N$10,$C25&amp;$C$8,"markettype",$F25,"source",Input_Source_BrokenDates,"pricingdate",$G25,"holidayvalues=true"))</f>
        <v>42.46</v>
      </c>
      <c r="O25" s="26">
        <f>IF($B25="","",_xll.BFxForward($B25,O$10,$C25&amp;$C$8,"markettype",$F25,"source",Input_Source_BrokenDates,"pricingdate",$G25,"holidayvalues=true"))</f>
        <v>131.43</v>
      </c>
      <c r="P25" s="26">
        <f>IF($B25="","",_xll.BFxForward($B25,P$10,$C25&amp;$C$8,"markettype",$F25,"source",Input_Source_BrokenDates,"pricingdate",$G25,"holidayvalues=true"))</f>
        <v>63.41</v>
      </c>
      <c r="Q25" s="87">
        <f>IF($B25="","",_xll.BFxForward($B25,Q$10,$C25&amp;$C$8,"markettype",$F25,"source",Input_Source_BrokenDates,"pricingdate",$G25,"holidayvalues=true"))</f>
        <v>66.599999999999994</v>
      </c>
    </row>
    <row r="26" spans="2:17" ht="15" customHeight="1" x14ac:dyDescent="0.2">
      <c r="B26" s="84" t="s">
        <v>40</v>
      </c>
      <c r="C26" s="53" t="s">
        <v>127</v>
      </c>
      <c r="D26" s="53" t="s">
        <v>42</v>
      </c>
      <c r="E26" s="55">
        <v>42019</v>
      </c>
      <c r="F26" s="185" t="str">
        <f t="shared" si="2"/>
        <v>NDF</v>
      </c>
      <c r="G26" s="189">
        <f>IF(E26="","",_xll.BAddPeriods(E26,"BUSDAYADJ=-1"))</f>
        <v>42019</v>
      </c>
      <c r="H26" s="34">
        <f>IF($B26="","",_xll.BFxForward($B26,H$10,$C26&amp;$C$8,"markettype",$F26,"source",Input_Source_BrokenDates,"pricingdate",$G26,"holidayvalues=true"))</f>
        <v>166.61</v>
      </c>
      <c r="I26" s="29">
        <f>IF($B26="","",_xll.BFxForward($B26,I$10,$C26&amp;$C$8,"markettype",$F26,"source",Input_Source_BrokenDates,"pricingdate",$G26,"holidayvalues=true"))</f>
        <v>398.23</v>
      </c>
      <c r="J26" s="29">
        <f>IF($B26="","",_xll.BFxForward($B26,J$10,$C26&amp;$C$8,"markettype",$F26,"source",Input_Source_BrokenDates,"pricingdate",$G26,"holidayvalues=true"))</f>
        <v>739.63</v>
      </c>
      <c r="K26" s="29">
        <f>IF($B26="","",_xll.BFxForward($B26,K$10,$C26&amp;$C$8,"markettype",$F26,"source",Input_Source_BrokenDates,"pricingdate",$G26,"holidayvalues=true"))</f>
        <v>5.14</v>
      </c>
      <c r="L26" s="29">
        <f>IF($B26="","",_xll.BFxForward($B26,L$10,$C26&amp;$C$8,"markettype",$F26,"source",Input_Source_BrokenDates,"pricingdate",$G26,"holidayvalues=true"))</f>
        <v>183.55</v>
      </c>
      <c r="M26" s="29">
        <f>IF($B26="","",_xll.BFxForward($B26,M$10,$C26&amp;$C$8,"markettype",$F26,"source",Input_Source_BrokenDates,"pricingdate",$G26,"holidayvalues=true"))</f>
        <v>844.37</v>
      </c>
      <c r="N26" s="29">
        <f>IF($B26="","",_xll.BFxForward($B26,N$10,$C26&amp;$C$8,"markettype",$F26,"source",Input_Source_BrokenDates,"pricingdate",$G26,"holidayvalues=true"))</f>
        <v>135.36000000000001</v>
      </c>
      <c r="O26" s="29">
        <f>IF($B26="","",_xll.BFxForward($B26,O$10,$C26&amp;$C$8,"markettype",$F26,"source",Input_Source_BrokenDates,"pricingdate",$G26,"holidayvalues=true"))</f>
        <v>364.68</v>
      </c>
      <c r="P26" s="29">
        <f>IF($B26="","",_xll.BFxForward($B26,P$10,$C26&amp;$C$8,"markettype",$F26,"source",Input_Source_BrokenDates,"pricingdate",$G26,"holidayvalues=true"))</f>
        <v>183.55</v>
      </c>
      <c r="Q26" s="86">
        <f>IF($B26="","",_xll.BFxForward($B26,Q$10,$C26&amp;$C$8,"markettype",$F26,"source",Input_Source_BrokenDates,"pricingdate",$G26,"holidayvalues=true"))</f>
        <v>190.81</v>
      </c>
    </row>
    <row r="27" spans="2:17" ht="15" customHeight="1" x14ac:dyDescent="0.2">
      <c r="B27" s="119" t="s">
        <v>0</v>
      </c>
      <c r="C27" s="116" t="s">
        <v>127</v>
      </c>
      <c r="D27" s="116" t="s">
        <v>41</v>
      </c>
      <c r="E27" s="118">
        <v>42019</v>
      </c>
      <c r="F27" s="185" t="str">
        <f t="shared" si="2"/>
        <v/>
      </c>
      <c r="G27" s="189">
        <f>IF(E27="","",_xll.BAddPeriods(E27,"BUSDAYADJ=-1"))</f>
        <v>42019</v>
      </c>
      <c r="H27" s="35">
        <f>IF($B27="","",_xll.BFxForward($B27,H$10,$C27&amp;$C$8,"markettype",$F27,"source",Input_Source_BrokenDates,"pricingdate",$G27,"holidayvalues=true"))</f>
        <v>8.32</v>
      </c>
      <c r="I27" s="26">
        <f>IF($B27="","",_xll.BFxForward($B27,I$10,$C27&amp;$C$8,"markettype",$F27,"source",Input_Source_BrokenDates,"pricingdate",$G27,"holidayvalues=true"))</f>
        <v>21.22</v>
      </c>
      <c r="J27" s="26">
        <f>IF($B27="","",_xll.BFxForward($B27,J$10,$C27&amp;$C$8,"markettype",$F27,"source",Input_Source_BrokenDates,"pricingdate",$G27,"holidayvalues=true"))</f>
        <v>46.51</v>
      </c>
      <c r="K27" s="26">
        <f>IF($B27="","",_xll.BFxForward($B27,K$10,$C27&amp;$C$8,"markettype",$F27,"source",Input_Source_BrokenDates,"pricingdate",$G27,"holidayvalues=true"))</f>
        <v>0.14000000000000001</v>
      </c>
      <c r="L27" s="26">
        <f>IF($B27="","",_xll.BFxForward($B27,L$10,$C27&amp;$C$8,"markettype",$F27,"source",Input_Source_BrokenDates,"pricingdate",$G27,"holidayvalues=true"))</f>
        <v>9.2200000000000006</v>
      </c>
      <c r="M27" s="26">
        <f>IF($B27="","",_xll.BFxForward($B27,M$10,$C27&amp;$C$8,"markettype",$F27,"source",Input_Source_BrokenDates,"pricingdate",$G27,"holidayvalues=true"))</f>
        <v>63.5</v>
      </c>
      <c r="N27" s="26">
        <f>IF($B27="","",_xll.BFxForward($B27,N$10,$C27&amp;$C$8,"markettype",$F27,"source",Input_Source_BrokenDates,"pricingdate",$G27,"holidayvalues=true"))</f>
        <v>6.7</v>
      </c>
      <c r="O27" s="26">
        <f>IF($B27="","",_xll.BFxForward($B27,O$10,$C27&amp;$C$8,"markettype",$F27,"source",Input_Source_BrokenDates,"pricingdate",$G27,"holidayvalues=true"))</f>
        <v>19.05</v>
      </c>
      <c r="P27" s="26">
        <f>IF($B27="","",_xll.BFxForward($B27,P$10,$C27&amp;$C$8,"markettype",$F27,"source",Input_Source_BrokenDates,"pricingdate",$G27,"holidayvalues=true"))</f>
        <v>9.2200000000000006</v>
      </c>
      <c r="Q27" s="87">
        <f>IF($B27="","",_xll.BFxForward($B27,Q$10,$C27&amp;$C$8,"markettype",$F27,"source",Input_Source_BrokenDates,"pricingdate",$G27,"holidayvalues=true"))</f>
        <v>9.61</v>
      </c>
    </row>
    <row r="28" spans="2:17" ht="15" customHeight="1" x14ac:dyDescent="0.2">
      <c r="B28" s="84"/>
      <c r="C28" s="53"/>
      <c r="D28" s="53"/>
      <c r="E28" s="53"/>
      <c r="F28" s="185" t="str">
        <f t="shared" si="2"/>
        <v/>
      </c>
      <c r="G28" s="189" t="str">
        <f>IF(E28="","",_xll.BAddPeriods(E28,"BUSDAYADJ=-1"))</f>
        <v/>
      </c>
      <c r="H28" s="34" t="str">
        <f>IF($B28="","",_xll.BFxForward($B28,H$10,$C28&amp;$C$8,"markettype",$F28,"source",Input_Source_BrokenDates,"pricingdate",$G28,"holidayvalues=true"))</f>
        <v/>
      </c>
      <c r="I28" s="29" t="str">
        <f>IF($B28="","",_xll.BFxForward($B28,I$10,$C28&amp;$C$8,"markettype",$F28,"source",Input_Source_BrokenDates,"pricingdate",$G28,"holidayvalues=true"))</f>
        <v/>
      </c>
      <c r="J28" s="29" t="str">
        <f>IF($B28="","",_xll.BFxForward($B28,J$10,$C28&amp;$C$8,"markettype",$F28,"source",Input_Source_BrokenDates,"pricingdate",$G28,"holidayvalues=true"))</f>
        <v/>
      </c>
      <c r="K28" s="29" t="str">
        <f>IF($B28="","",_xll.BFxForward($B28,K$10,$C28&amp;$C$8,"markettype",$F28,"source",Input_Source_BrokenDates,"pricingdate",$G28,"holidayvalues=true"))</f>
        <v/>
      </c>
      <c r="L28" s="29" t="str">
        <f>IF($B28="","",_xll.BFxForward($B28,L$10,$C28&amp;$C$8,"markettype",$F28,"source",Input_Source_BrokenDates,"pricingdate",$G28,"holidayvalues=true"))</f>
        <v/>
      </c>
      <c r="M28" s="29" t="str">
        <f>IF($B28="","",_xll.BFxForward($B28,M$10,$C28&amp;$C$8,"markettype",$F28,"source",Input_Source_BrokenDates,"pricingdate",$G28,"holidayvalues=true"))</f>
        <v/>
      </c>
      <c r="N28" s="29" t="str">
        <f>IF($B28="","",_xll.BFxForward($B28,N$10,$C28&amp;$C$8,"markettype",$F28,"source",Input_Source_BrokenDates,"pricingdate",$G28,"holidayvalues=true"))</f>
        <v/>
      </c>
      <c r="O28" s="29" t="str">
        <f>IF($B28="","",_xll.BFxForward($B28,O$10,$C28&amp;$C$8,"markettype",$F28,"source",Input_Source_BrokenDates,"pricingdate",$G28,"holidayvalues=true"))</f>
        <v/>
      </c>
      <c r="P28" s="29" t="str">
        <f>IF($B28="","",_xll.BFxForward($B28,P$10,$C28&amp;$C$8,"markettype",$F28,"source",Input_Source_BrokenDates,"pricingdate",$G28,"holidayvalues=true"))</f>
        <v/>
      </c>
      <c r="Q28" s="86" t="str">
        <f>IF($B28="","",_xll.BFxForward($B28,Q$10,$C28&amp;$C$8,"markettype",$F28,"source",Input_Source_BrokenDates,"pricingdate",$G28,"holidayvalues=true"))</f>
        <v/>
      </c>
    </row>
    <row r="29" spans="2:17" ht="15" customHeight="1" x14ac:dyDescent="0.2">
      <c r="B29" s="119"/>
      <c r="C29" s="116"/>
      <c r="D29" s="116"/>
      <c r="E29" s="116"/>
      <c r="F29" s="185" t="str">
        <f t="shared" si="2"/>
        <v/>
      </c>
      <c r="G29" s="189" t="str">
        <f>IF(E29="","",_xll.BAddPeriods(E29,"BUSDAYADJ=-1"))</f>
        <v/>
      </c>
      <c r="H29" s="35" t="str">
        <f>IF($B29="","",_xll.BFxForward($B29,H$10,$C29&amp;$C$8,"markettype",$F29,"source",Input_Source_BrokenDates,"pricingdate",$G29,"holidayvalues=true"))</f>
        <v/>
      </c>
      <c r="I29" s="26" t="str">
        <f>IF($B29="","",_xll.BFxForward($B29,I$10,$C29&amp;$C$8,"markettype",$F29,"source",Input_Source_BrokenDates,"pricingdate",$G29,"holidayvalues=true"))</f>
        <v/>
      </c>
      <c r="J29" s="26" t="str">
        <f>IF($B29="","",_xll.BFxForward($B29,J$10,$C29&amp;$C$8,"markettype",$F29,"source",Input_Source_BrokenDates,"pricingdate",$G29,"holidayvalues=true"))</f>
        <v/>
      </c>
      <c r="K29" s="26" t="str">
        <f>IF($B29="","",_xll.BFxForward($B29,K$10,$C29&amp;$C$8,"markettype",$F29,"source",Input_Source_BrokenDates,"pricingdate",$G29,"holidayvalues=true"))</f>
        <v/>
      </c>
      <c r="L29" s="26" t="str">
        <f>IF($B29="","",_xll.BFxForward($B29,L$10,$C29&amp;$C$8,"markettype",$F29,"source",Input_Source_BrokenDates,"pricingdate",$G29,"holidayvalues=true"))</f>
        <v/>
      </c>
      <c r="M29" s="26" t="str">
        <f>IF($B29="","",_xll.BFxForward($B29,M$10,$C29&amp;$C$8,"markettype",$F29,"source",Input_Source_BrokenDates,"pricingdate",$G29,"holidayvalues=true"))</f>
        <v/>
      </c>
      <c r="N29" s="26" t="str">
        <f>IF($B29="","",_xll.BFxForward($B29,N$10,$C29&amp;$C$8,"markettype",$F29,"source",Input_Source_BrokenDates,"pricingdate",$G29,"holidayvalues=true"))</f>
        <v/>
      </c>
      <c r="O29" s="26" t="str">
        <f>IF($B29="","",_xll.BFxForward($B29,O$10,$C29&amp;$C$8,"markettype",$F29,"source",Input_Source_BrokenDates,"pricingdate",$G29,"holidayvalues=true"))</f>
        <v/>
      </c>
      <c r="P29" s="26" t="str">
        <f>IF($B29="","",_xll.BFxForward($B29,P$10,$C29&amp;$C$8,"markettype",$F29,"source",Input_Source_BrokenDates,"pricingdate",$G29,"holidayvalues=true"))</f>
        <v/>
      </c>
      <c r="Q29" s="87" t="str">
        <f>IF($B29="","",_xll.BFxForward($B29,Q$10,$C29&amp;$C$8,"markettype",$F29,"source",Input_Source_BrokenDates,"pricingdate",$G29,"holidayvalues=true"))</f>
        <v/>
      </c>
    </row>
    <row r="30" spans="2:17" ht="15" customHeight="1" x14ac:dyDescent="0.2">
      <c r="B30" s="84"/>
      <c r="C30" s="53"/>
      <c r="D30" s="53"/>
      <c r="E30" s="53"/>
      <c r="F30" s="185" t="str">
        <f t="shared" si="2"/>
        <v/>
      </c>
      <c r="G30" s="189" t="str">
        <f>IF(E30="","",_xll.BAddPeriods(E30,"BUSDAYADJ=-1"))</f>
        <v/>
      </c>
      <c r="H30" s="34" t="str">
        <f>IF($B30="","",_xll.BFxForward($B30,H$10,$C30&amp;$C$8,"markettype",$F30,"source",Input_Source_BrokenDates,"pricingdate",$G30,"holidayvalues=true"))</f>
        <v/>
      </c>
      <c r="I30" s="29" t="str">
        <f>IF($B30="","",_xll.BFxForward($B30,I$10,$C30&amp;$C$8,"markettype",$F30,"source",Input_Source_BrokenDates,"pricingdate",$G30,"holidayvalues=true"))</f>
        <v/>
      </c>
      <c r="J30" s="29" t="str">
        <f>IF($B30="","",_xll.BFxForward($B30,J$10,$C30&amp;$C$8,"markettype",$F30,"source",Input_Source_BrokenDates,"pricingdate",$G30,"holidayvalues=true"))</f>
        <v/>
      </c>
      <c r="K30" s="29" t="str">
        <f>IF($B30="","",_xll.BFxForward($B30,K$10,$C30&amp;$C$8,"markettype",$F30,"source",Input_Source_BrokenDates,"pricingdate",$G30,"holidayvalues=true"))</f>
        <v/>
      </c>
      <c r="L30" s="29" t="str">
        <f>IF($B30="","",_xll.BFxForward($B30,L$10,$C30&amp;$C$8,"markettype",$F30,"source",Input_Source_BrokenDates,"pricingdate",$G30,"holidayvalues=true"))</f>
        <v/>
      </c>
      <c r="M30" s="29" t="str">
        <f>IF($B30="","",_xll.BFxForward($B30,M$10,$C30&amp;$C$8,"markettype",$F30,"source",Input_Source_BrokenDates,"pricingdate",$G30,"holidayvalues=true"))</f>
        <v/>
      </c>
      <c r="N30" s="29" t="str">
        <f>IF($B30="","",_xll.BFxForward($B30,N$10,$C30&amp;$C$8,"markettype",$F30,"source",Input_Source_BrokenDates,"pricingdate",$G30,"holidayvalues=true"))</f>
        <v/>
      </c>
      <c r="O30" s="29" t="str">
        <f>IF($B30="","",_xll.BFxForward($B30,O$10,$C30&amp;$C$8,"markettype",$F30,"source",Input_Source_BrokenDates,"pricingdate",$G30,"holidayvalues=true"))</f>
        <v/>
      </c>
      <c r="P30" s="29" t="str">
        <f>IF($B30="","",_xll.BFxForward($B30,P$10,$C30&amp;$C$8,"markettype",$F30,"source",Input_Source_BrokenDates,"pricingdate",$G30,"holidayvalues=true"))</f>
        <v/>
      </c>
      <c r="Q30" s="86" t="str">
        <f>IF($B30="","",_xll.BFxForward($B30,Q$10,$C30&amp;$C$8,"markettype",$F30,"source",Input_Source_BrokenDates,"pricingdate",$G30,"holidayvalues=true"))</f>
        <v/>
      </c>
    </row>
    <row r="31" spans="2:17" ht="15" customHeight="1" x14ac:dyDescent="0.2">
      <c r="B31" s="119"/>
      <c r="C31" s="116"/>
      <c r="D31" s="116"/>
      <c r="E31" s="116"/>
      <c r="F31" s="185" t="str">
        <f t="shared" si="2"/>
        <v/>
      </c>
      <c r="G31" s="189" t="str">
        <f>IF(E31="","",_xll.BAddPeriods(E31,"BUSDAYADJ=-1"))</f>
        <v/>
      </c>
      <c r="H31" s="35" t="str">
        <f>IF($B31="","",_xll.BFxForward($B31,H$10,$C31&amp;$C$8,"markettype",$F31,"source",Input_Source_BrokenDates,"pricingdate",$G31,"holidayvalues=true"))</f>
        <v/>
      </c>
      <c r="I31" s="26" t="str">
        <f>IF($B31="","",_xll.BFxForward($B31,I$10,$C31&amp;$C$8,"markettype",$F31,"source",Input_Source_BrokenDates,"pricingdate",$G31,"holidayvalues=true"))</f>
        <v/>
      </c>
      <c r="J31" s="26" t="str">
        <f>IF($B31="","",_xll.BFxForward($B31,J$10,$C31&amp;$C$8,"markettype",$F31,"source",Input_Source_BrokenDates,"pricingdate",$G31,"holidayvalues=true"))</f>
        <v/>
      </c>
      <c r="K31" s="26" t="str">
        <f>IF($B31="","",_xll.BFxForward($B31,K$10,$C31&amp;$C$8,"markettype",$F31,"source",Input_Source_BrokenDates,"pricingdate",$G31,"holidayvalues=true"))</f>
        <v/>
      </c>
      <c r="L31" s="26" t="str">
        <f>IF($B31="","",_xll.BFxForward($B31,L$10,$C31&amp;$C$8,"markettype",$F31,"source",Input_Source_BrokenDates,"pricingdate",$G31,"holidayvalues=true"))</f>
        <v/>
      </c>
      <c r="M31" s="26" t="str">
        <f>IF($B31="","",_xll.BFxForward($B31,M$10,$C31&amp;$C$8,"markettype",$F31,"source",Input_Source_BrokenDates,"pricingdate",$G31,"holidayvalues=true"))</f>
        <v/>
      </c>
      <c r="N31" s="26" t="str">
        <f>IF($B31="","",_xll.BFxForward($B31,N$10,$C31&amp;$C$8,"markettype",$F31,"source",Input_Source_BrokenDates,"pricingdate",$G31,"holidayvalues=true"))</f>
        <v/>
      </c>
      <c r="O31" s="26" t="str">
        <f>IF($B31="","",_xll.BFxForward($B31,O$10,$C31&amp;$C$8,"markettype",$F31,"source",Input_Source_BrokenDates,"pricingdate",$G31,"holidayvalues=true"))</f>
        <v/>
      </c>
      <c r="P31" s="26" t="str">
        <f>IF($B31="","",_xll.BFxForward($B31,P$10,$C31&amp;$C$8,"markettype",$F31,"source",Input_Source_BrokenDates,"pricingdate",$G31,"holidayvalues=true"))</f>
        <v/>
      </c>
      <c r="Q31" s="87" t="str">
        <f>IF($B31="","",_xll.BFxForward($B31,Q$10,$C31&amp;$C$8,"markettype",$F31,"source",Input_Source_BrokenDates,"pricingdate",$G31,"holidayvalues=true"))</f>
        <v/>
      </c>
    </row>
    <row r="32" spans="2:17" ht="15" customHeight="1" x14ac:dyDescent="0.2">
      <c r="B32" s="84"/>
      <c r="C32" s="53"/>
      <c r="D32" s="53"/>
      <c r="E32" s="53"/>
      <c r="F32" s="185" t="str">
        <f t="shared" si="2"/>
        <v/>
      </c>
      <c r="G32" s="189" t="str">
        <f>IF(E32="","",_xll.BAddPeriods(E32,"BUSDAYADJ=-1"))</f>
        <v/>
      </c>
      <c r="H32" s="34" t="str">
        <f>IF($B32="","",_xll.BFxForward($B32,H$10,$C32&amp;$C$8,"markettype",$F32,"source",Input_Source_BrokenDates,"pricingdate",$G32,"holidayvalues=true"))</f>
        <v/>
      </c>
      <c r="I32" s="29" t="str">
        <f>IF($B32="","",_xll.BFxForward($B32,I$10,$C32&amp;$C$8,"markettype",$F32,"source",Input_Source_BrokenDates,"pricingdate",$G32,"holidayvalues=true"))</f>
        <v/>
      </c>
      <c r="J32" s="29" t="str">
        <f>IF($B32="","",_xll.BFxForward($B32,J$10,$C32&amp;$C$8,"markettype",$F32,"source",Input_Source_BrokenDates,"pricingdate",$G32,"holidayvalues=true"))</f>
        <v/>
      </c>
      <c r="K32" s="29" t="str">
        <f>IF($B32="","",_xll.BFxForward($B32,K$10,$C32&amp;$C$8,"markettype",$F32,"source",Input_Source_BrokenDates,"pricingdate",$G32,"holidayvalues=true"))</f>
        <v/>
      </c>
      <c r="L32" s="29" t="str">
        <f>IF($B32="","",_xll.BFxForward($B32,L$10,$C32&amp;$C$8,"markettype",$F32,"source",Input_Source_BrokenDates,"pricingdate",$G32,"holidayvalues=true"))</f>
        <v/>
      </c>
      <c r="M32" s="29" t="str">
        <f>IF($B32="","",_xll.BFxForward($B32,M$10,$C32&amp;$C$8,"markettype",$F32,"source",Input_Source_BrokenDates,"pricingdate",$G32,"holidayvalues=true"))</f>
        <v/>
      </c>
      <c r="N32" s="29" t="str">
        <f>IF($B32="","",_xll.BFxForward($B32,N$10,$C32&amp;$C$8,"markettype",$F32,"source",Input_Source_BrokenDates,"pricingdate",$G32,"holidayvalues=true"))</f>
        <v/>
      </c>
      <c r="O32" s="29" t="str">
        <f>IF($B32="","",_xll.BFxForward($B32,O$10,$C32&amp;$C$8,"markettype",$F32,"source",Input_Source_BrokenDates,"pricingdate",$G32,"holidayvalues=true"))</f>
        <v/>
      </c>
      <c r="P32" s="29" t="str">
        <f>IF($B32="","",_xll.BFxForward($B32,P$10,$C32&amp;$C$8,"markettype",$F32,"source",Input_Source_BrokenDates,"pricingdate",$G32,"holidayvalues=true"))</f>
        <v/>
      </c>
      <c r="Q32" s="86" t="str">
        <f>IF($B32="","",_xll.BFxForward($B32,Q$10,$C32&amp;$C$8,"markettype",$F32,"source",Input_Source_BrokenDates,"pricingdate",$G32,"holidayvalues=true"))</f>
        <v/>
      </c>
    </row>
    <row r="33" spans="2:17" ht="15" customHeight="1" x14ac:dyDescent="0.2">
      <c r="B33" s="119"/>
      <c r="C33" s="116"/>
      <c r="D33" s="116"/>
      <c r="E33" s="116"/>
      <c r="F33" s="185" t="str">
        <f t="shared" si="2"/>
        <v/>
      </c>
      <c r="G33" s="189" t="str">
        <f>IF(E33="","",_xll.BAddPeriods(E33,"BUSDAYADJ=-1"))</f>
        <v/>
      </c>
      <c r="H33" s="35" t="str">
        <f>IF($B33="","",_xll.BFxForward($B33,H$10,$C33&amp;$C$8,"markettype",$F33,"source",Input_Source_BrokenDates,"pricingdate",$G33,"holidayvalues=true"))</f>
        <v/>
      </c>
      <c r="I33" s="26" t="str">
        <f>IF($B33="","",_xll.BFxForward($B33,I$10,$C33&amp;$C$8,"markettype",$F33,"source",Input_Source_BrokenDates,"pricingdate",$G33,"holidayvalues=true"))</f>
        <v/>
      </c>
      <c r="J33" s="26" t="str">
        <f>IF($B33="","",_xll.BFxForward($B33,J$10,$C33&amp;$C$8,"markettype",$F33,"source",Input_Source_BrokenDates,"pricingdate",$G33,"holidayvalues=true"))</f>
        <v/>
      </c>
      <c r="K33" s="26" t="str">
        <f>IF($B33="","",_xll.BFxForward($B33,K$10,$C33&amp;$C$8,"markettype",$F33,"source",Input_Source_BrokenDates,"pricingdate",$G33,"holidayvalues=true"))</f>
        <v/>
      </c>
      <c r="L33" s="26" t="str">
        <f>IF($B33="","",_xll.BFxForward($B33,L$10,$C33&amp;$C$8,"markettype",$F33,"source",Input_Source_BrokenDates,"pricingdate",$G33,"holidayvalues=true"))</f>
        <v/>
      </c>
      <c r="M33" s="26" t="str">
        <f>IF($B33="","",_xll.BFxForward($B33,M$10,$C33&amp;$C$8,"markettype",$F33,"source",Input_Source_BrokenDates,"pricingdate",$G33,"holidayvalues=true"))</f>
        <v/>
      </c>
      <c r="N33" s="26" t="str">
        <f>IF($B33="","",_xll.BFxForward($B33,N$10,$C33&amp;$C$8,"markettype",$F33,"source",Input_Source_BrokenDates,"pricingdate",$G33,"holidayvalues=true"))</f>
        <v/>
      </c>
      <c r="O33" s="26" t="str">
        <f>IF($B33="","",_xll.BFxForward($B33,O$10,$C33&amp;$C$8,"markettype",$F33,"source",Input_Source_BrokenDates,"pricingdate",$G33,"holidayvalues=true"))</f>
        <v/>
      </c>
      <c r="P33" s="26" t="str">
        <f>IF($B33="","",_xll.BFxForward($B33,P$10,$C33&amp;$C$8,"markettype",$F33,"source",Input_Source_BrokenDates,"pricingdate",$G33,"holidayvalues=true"))</f>
        <v/>
      </c>
      <c r="Q33" s="87" t="str">
        <f>IF($B33="","",_xll.BFxForward($B33,Q$10,$C33&amp;$C$8,"markettype",$F33,"source",Input_Source_BrokenDates,"pricingdate",$G33,"holidayvalues=true"))</f>
        <v/>
      </c>
    </row>
    <row r="34" spans="2:17" ht="15" customHeight="1" x14ac:dyDescent="0.2">
      <c r="B34" s="88"/>
      <c r="C34" s="89"/>
      <c r="D34" s="89"/>
      <c r="E34" s="89"/>
      <c r="F34" s="186" t="str">
        <f t="shared" si="2"/>
        <v/>
      </c>
      <c r="G34" s="190" t="str">
        <f>IF(E34="","",_xll.BAddPeriods(E34,"BUSDAYADJ=-1"))</f>
        <v/>
      </c>
      <c r="H34" s="90" t="str">
        <f>IF($B34="","",_xll.BFxForward($B34,H$10,$C34&amp;$C$8,"markettype",$F34,"source",Input_Source_BrokenDates,"pricingdate",$G34,"holidayvalues=true"))</f>
        <v/>
      </c>
      <c r="I34" s="91" t="str">
        <f>IF($B34="","",_xll.BFxForward($B34,I$10,$C34&amp;$C$8,"markettype",$F34,"source",Input_Source_BrokenDates,"pricingdate",$G34,"holidayvalues=true"))</f>
        <v/>
      </c>
      <c r="J34" s="91" t="str">
        <f>IF($B34="","",_xll.BFxForward($B34,J$10,$C34&amp;$C$8,"markettype",$F34,"source",Input_Source_BrokenDates,"pricingdate",$G34,"holidayvalues=true"))</f>
        <v/>
      </c>
      <c r="K34" s="91" t="str">
        <f>IF($B34="","",_xll.BFxForward($B34,K$10,$C34&amp;$C$8,"markettype",$F34,"source",Input_Source_BrokenDates,"pricingdate",$G34,"holidayvalues=true"))</f>
        <v/>
      </c>
      <c r="L34" s="91" t="str">
        <f>IF($B34="","",_xll.BFxForward($B34,L$10,$C34&amp;$C$8,"markettype",$F34,"source",Input_Source_BrokenDates,"pricingdate",$G34,"holidayvalues=true"))</f>
        <v/>
      </c>
      <c r="M34" s="91" t="str">
        <f>IF($B34="","",_xll.BFxForward($B34,M$10,$C34&amp;$C$8,"markettype",$F34,"source",Input_Source_BrokenDates,"pricingdate",$G34,"holidayvalues=true"))</f>
        <v/>
      </c>
      <c r="N34" s="91" t="str">
        <f>IF($B34="","",_xll.BFxForward($B34,N$10,$C34&amp;$C$8,"markettype",$F34,"source",Input_Source_BrokenDates,"pricingdate",$G34,"holidayvalues=true"))</f>
        <v/>
      </c>
      <c r="O34" s="91" t="str">
        <f>IF($B34="","",_xll.BFxForward($B34,O$10,$C34&amp;$C$8,"markettype",$F34,"source",Input_Source_BrokenDates,"pricingdate",$G34,"holidayvalues=true"))</f>
        <v/>
      </c>
      <c r="P34" s="91" t="str">
        <f>IF($B34="","",_xll.BFxForward($B34,P$10,$C34&amp;$C$8,"markettype",$F34,"source",Input_Source_BrokenDates,"pricingdate",$G34,"holidayvalues=true"))</f>
        <v/>
      </c>
      <c r="Q34" s="92" t="str">
        <f>IF($B34="","",_xll.BFxForward($B34,Q$10,$C34&amp;$C$8,"markettype",$F34,"source",Input_Source_BrokenDates,"pricingdate",$G34,"holidayvalues=true"))</f>
        <v/>
      </c>
    </row>
    <row r="35" spans="2:17" ht="15" customHeight="1" x14ac:dyDescent="0.2">
      <c r="B35" s="6"/>
      <c r="C35" s="6"/>
      <c r="D35" s="6"/>
      <c r="E35" s="6"/>
      <c r="F35" s="180"/>
      <c r="G35" s="180"/>
    </row>
    <row r="36" spans="2:17" ht="15" customHeight="1" x14ac:dyDescent="0.2">
      <c r="B36" s="5"/>
      <c r="C36" s="6"/>
      <c r="D36" s="6"/>
      <c r="E36" s="6"/>
      <c r="F36" s="180"/>
      <c r="G36" s="180"/>
    </row>
    <row r="37" spans="2:17" ht="15" customHeight="1" x14ac:dyDescent="0.2">
      <c r="B37" s="5"/>
      <c r="C37" s="6"/>
      <c r="D37" s="6"/>
      <c r="E37" s="6"/>
      <c r="F37" s="180"/>
      <c r="G37" s="180"/>
    </row>
    <row r="38" spans="2:17" ht="15" customHeight="1" x14ac:dyDescent="0.2">
      <c r="B38" s="5"/>
      <c r="C38" s="6"/>
      <c r="D38" s="6"/>
      <c r="E38" s="6"/>
      <c r="F38" s="180"/>
      <c r="G38" s="180"/>
    </row>
    <row r="39" spans="2:17" ht="15" customHeight="1" x14ac:dyDescent="0.2">
      <c r="B39" s="7"/>
      <c r="C39" s="6"/>
      <c r="D39" s="6"/>
      <c r="E39" s="6"/>
      <c r="F39" s="180"/>
      <c r="G39" s="180"/>
    </row>
    <row r="40" spans="2:17" ht="15" customHeight="1" x14ac:dyDescent="0.2">
      <c r="B40" s="5"/>
      <c r="C40" s="6"/>
      <c r="D40" s="6"/>
      <c r="E40" s="6"/>
      <c r="F40" s="180"/>
      <c r="G40" s="180"/>
    </row>
    <row r="41" spans="2:17" ht="16.5" customHeight="1" x14ac:dyDescent="0.2">
      <c r="B41" s="5"/>
      <c r="C41" s="6"/>
      <c r="D41" s="6"/>
      <c r="E41" s="6"/>
      <c r="F41" s="180"/>
      <c r="G41" s="180"/>
    </row>
    <row r="42" spans="2:17" ht="16.5" customHeight="1" x14ac:dyDescent="0.2">
      <c r="B42" s="5"/>
      <c r="C42" s="6"/>
      <c r="D42" s="6"/>
      <c r="E42" s="6"/>
      <c r="F42" s="180"/>
      <c r="G42" s="180"/>
    </row>
    <row r="43" spans="2:17" ht="16.5" customHeight="1" x14ac:dyDescent="0.2">
      <c r="B43" s="5"/>
      <c r="C43" s="6"/>
      <c r="D43" s="6"/>
      <c r="E43" s="6"/>
      <c r="F43" s="180"/>
      <c r="G43" s="180"/>
    </row>
  </sheetData>
  <mergeCells count="6">
    <mergeCell ref="J7:Q8"/>
    <mergeCell ref="B13:B14"/>
    <mergeCell ref="C13:C14"/>
    <mergeCell ref="D13:D14"/>
    <mergeCell ref="E13:E14"/>
    <mergeCell ref="H13:Q13"/>
  </mergeCells>
  <dataValidations count="4">
    <dataValidation type="list" allowBlank="1" showInputMessage="1" showErrorMessage="1" sqref="C15:C34">
      <formula1>"BID, ASK"</formula1>
    </dataValidation>
    <dataValidation type="list" allowBlank="1" sqref="C7">
      <formula1>"BGN, BGL, BGT, CMPN, CMPL, CMPT"</formula1>
    </dataValidation>
    <dataValidation type="list" allowBlank="1" showInputMessage="1" showErrorMessage="1" sqref="D15:D34">
      <formula1>"Regular, NDF, Onshore,Offshore"</formula1>
    </dataValidation>
    <dataValidation type="list" allowBlank="1" sqref="C8">
      <formula1>"Outright,Points"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Forwards1"/>
  <dimension ref="A1:AC32"/>
  <sheetViews>
    <sheetView showGridLines="0" showRowColHeaders="0" zoomScaleNormal="100" workbookViewId="0">
      <selection activeCell="B7" sqref="B7"/>
    </sheetView>
  </sheetViews>
  <sheetFormatPr defaultRowHeight="12.75" x14ac:dyDescent="0.2"/>
  <cols>
    <col min="1" max="1" width="1.7109375" customWidth="1"/>
    <col min="2" max="3" width="10.7109375" customWidth="1"/>
    <col min="4" max="5" width="10.7109375" style="9" customWidth="1"/>
    <col min="6" max="7" width="10.7109375" style="122" hidden="1" customWidth="1"/>
    <col min="8" max="8" width="13.7109375" style="191" hidden="1" customWidth="1"/>
    <col min="9" max="11" width="10.7109375" style="191" hidden="1" customWidth="1"/>
    <col min="12" max="13" width="10.7109375" style="1" customWidth="1"/>
    <col min="14" max="14" width="10.7109375" style="2" customWidth="1"/>
    <col min="15" max="15" width="11.7109375" style="2" customWidth="1"/>
    <col min="16" max="16" width="12.140625" style="2" customWidth="1"/>
    <col min="17" max="17" width="10.7109375" customWidth="1"/>
    <col min="18" max="18" width="11.7109375" customWidth="1"/>
    <col min="19" max="19" width="13.28515625" customWidth="1"/>
    <col min="20" max="20" width="11.5703125" customWidth="1"/>
    <col min="21" max="21" width="10.7109375" customWidth="1"/>
    <col min="22" max="25" width="10.7109375" hidden="1" customWidth="1"/>
    <col min="26" max="26" width="10.7109375" customWidth="1"/>
    <col min="27" max="27" width="11.85546875" customWidth="1"/>
  </cols>
  <sheetData>
    <row r="1" spans="1:29" ht="5.0999999999999996" customHeight="1" x14ac:dyDescent="0.2"/>
    <row r="2" spans="1:29" ht="15" customHeight="1" x14ac:dyDescent="0.2"/>
    <row r="3" spans="1:29" ht="15" customHeight="1" x14ac:dyDescent="0.2"/>
    <row r="4" spans="1:29" ht="15" customHeight="1" x14ac:dyDescent="0.2"/>
    <row r="5" spans="1:29" ht="5.0999999999999996" customHeight="1" x14ac:dyDescent="0.2"/>
    <row r="6" spans="1:29" ht="5.0999999999999996" customHeight="1" x14ac:dyDescent="0.2"/>
    <row r="7" spans="1:29" ht="15" customHeight="1" x14ac:dyDescent="0.2">
      <c r="B7" s="68" t="s">
        <v>12</v>
      </c>
      <c r="C7" s="94" t="s">
        <v>13</v>
      </c>
      <c r="D7" s="232" t="s">
        <v>14</v>
      </c>
    </row>
    <row r="8" spans="1:29" ht="15" customHeight="1" x14ac:dyDescent="0.2"/>
    <row r="9" spans="1:29" ht="15" customHeight="1" x14ac:dyDescent="0.2">
      <c r="A9" s="69"/>
      <c r="B9" s="261" t="s">
        <v>2</v>
      </c>
      <c r="C9" s="263" t="s">
        <v>29</v>
      </c>
      <c r="D9" s="263" t="s">
        <v>3</v>
      </c>
      <c r="E9" s="257" t="s">
        <v>46</v>
      </c>
      <c r="F9" s="193" t="s">
        <v>48</v>
      </c>
      <c r="G9" s="211" t="s">
        <v>18</v>
      </c>
      <c r="H9" s="196" t="s">
        <v>181</v>
      </c>
      <c r="I9" s="206" t="s">
        <v>183</v>
      </c>
      <c r="J9" s="216" t="s">
        <v>184</v>
      </c>
      <c r="K9" s="197"/>
      <c r="L9" s="251" t="s">
        <v>4</v>
      </c>
      <c r="M9" s="251" t="s">
        <v>5</v>
      </c>
      <c r="N9" s="251" t="s">
        <v>10</v>
      </c>
      <c r="O9" s="253" t="s">
        <v>6</v>
      </c>
      <c r="P9" s="253" t="s">
        <v>7</v>
      </c>
      <c r="Q9" s="253" t="s">
        <v>15</v>
      </c>
      <c r="R9" s="255" t="s">
        <v>8</v>
      </c>
      <c r="S9" s="255" t="s">
        <v>9</v>
      </c>
      <c r="T9" s="255" t="s">
        <v>11</v>
      </c>
      <c r="U9" s="247" t="s">
        <v>16</v>
      </c>
      <c r="V9" s="257" t="s">
        <v>19</v>
      </c>
      <c r="W9" s="257"/>
      <c r="X9" s="258"/>
      <c r="Y9" s="247" t="s">
        <v>22</v>
      </c>
    </row>
    <row r="10" spans="1:29" ht="15" customHeight="1" x14ac:dyDescent="0.2">
      <c r="A10" s="69"/>
      <c r="B10" s="262"/>
      <c r="C10" s="238"/>
      <c r="D10" s="238"/>
      <c r="E10" s="259"/>
      <c r="F10" s="194"/>
      <c r="G10" s="212" t="s">
        <v>180</v>
      </c>
      <c r="H10" s="198" t="s">
        <v>182</v>
      </c>
      <c r="I10" s="207"/>
      <c r="J10" s="217" t="s">
        <v>22</v>
      </c>
      <c r="K10" s="199"/>
      <c r="L10" s="252"/>
      <c r="M10" s="252"/>
      <c r="N10" s="252"/>
      <c r="O10" s="254"/>
      <c r="P10" s="254"/>
      <c r="Q10" s="254"/>
      <c r="R10" s="256"/>
      <c r="S10" s="256"/>
      <c r="T10" s="256"/>
      <c r="U10" s="248"/>
      <c r="V10" s="259"/>
      <c r="W10" s="259"/>
      <c r="X10" s="260"/>
      <c r="Y10" s="248"/>
    </row>
    <row r="11" spans="1:29" ht="15" customHeight="1" x14ac:dyDescent="0.2">
      <c r="B11" s="53" t="s">
        <v>20</v>
      </c>
      <c r="C11" s="53" t="s">
        <v>41</v>
      </c>
      <c r="D11" s="227">
        <v>42325</v>
      </c>
      <c r="E11" s="227">
        <v>41907</v>
      </c>
      <c r="F11" s="192" t="str">
        <f>IF($C11="regular","",IF($C11="NDF","NDF",IF($C11="onshore","onshore","offshore")))</f>
        <v/>
      </c>
      <c r="G11" s="213">
        <f>IF($B11="","",_xll.BAddPeriods($E11,"BUSDAYADJ=-1"))</f>
        <v>41907</v>
      </c>
      <c r="H11" s="200">
        <f>_xll.BFxForward($B11,$D11,"SETTLEMENTDATE","PRICINGDATE",$G11)</f>
        <v>42325</v>
      </c>
      <c r="I11" s="208">
        <f>IFERROR(WEEKDAY(H11),"")</f>
        <v>3</v>
      </c>
      <c r="J11" s="218">
        <f>IF(I11=1,WORKDAY(H11-1,1),IF(I11=7,WORKDAY(H11-1,0),H11))</f>
        <v>42325</v>
      </c>
      <c r="K11" s="201"/>
      <c r="L11" s="56">
        <f>IF($B11="","",_xll.BDH($B11 &amp; " " &amp; $C$7 &amp; " Curncy","PX_BID", $G11, $G11, "Days=A", "Fill=P"))</f>
        <v>0.87870000000000004</v>
      </c>
      <c r="M11" s="56">
        <f>IF($B11="","",_xll.BDH($B11 &amp; " " &amp; $C$7 &amp; " Curncy","PX_ASK", $G11, $G11, "Days=A", "Fill=P"))</f>
        <v>0.87880000000000003</v>
      </c>
      <c r="N11" s="56">
        <f>IF($B11="","",_xll.BDH($B11 &amp; " " &amp; $C$7 &amp; " Curncy","PX_MID", $G11, $G11, "Days=A", "Fill=P"))</f>
        <v>0.87873999999999997</v>
      </c>
      <c r="O11" s="57">
        <f>IF($B11="","",_xll.BFxForward($B11,$J11,"bidpoints","pricingdate",$G11,"markettype",$F11,"source",Input_Source_Forwards,"holidayvalues=true","truedecimal=yes"))</f>
        <v>-2.4802999999999999E-2</v>
      </c>
      <c r="P11" s="57">
        <f>IF($B11="","",_xll.BFxForward($B11,$J11,"askpoints","pricingdate",$G11,"markettype",$F11,"source",Input_Source_Forwards,"holidayvalues=true","truedecimal=yes"))</f>
        <v>-2.4511999999999999E-2</v>
      </c>
      <c r="Q11" s="58">
        <f>IF($B11="","",_xll.BFxForward($B11,$J11,"midpoints","pricingdate",$G11,"markettype",$F11,"source",Input_Source_Forwards,"holidayvalues=true","truedecimal=yes"))</f>
        <v>-2.4657499999999999E-2</v>
      </c>
      <c r="R11" s="59">
        <f>IF($B11="","",_xll.BFxForward($B11,$J11,"bidoutright","pricingdate",$G11,"markettype",$F11,"source",Input_Source_Forwards,"holidayvalues=true","truedecimal=yes"))</f>
        <v>0.85389700000000002</v>
      </c>
      <c r="S11" s="59">
        <f>IF($B11="","",_xll.BFxForward($B11,$J11,"askoutright","pricingdate",$G11,"markettype",$F11,"source",Input_Source_Forwards,"holidayvalues=true","truedecimal=yes"))</f>
        <v>0.85428800000000005</v>
      </c>
      <c r="T11" s="57">
        <f>IF($B11="","",_xll.BFxForward($B11,$J11,"midoutright","pricingdate",$G11,"markettype",$F11,"source",Input_Source_Forwards,"holidayvalues=true","truedecimal=yes"))</f>
        <v>0.85409250000000003</v>
      </c>
      <c r="U11" s="132">
        <f>IF($B11="","",_xll.BFxForward(B11,$J11,"DAYS","PRICINGDATE",$G11))</f>
        <v>414</v>
      </c>
      <c r="V11" s="249" t="str">
        <f t="shared" ref="V11:V30" si="0">LEFT($B11,3) &amp; "/" &amp; RIGHT($B11,3) &amp;" " &amp; "SPOT@" &amp; TEXT(MONTH($G11)*10000+DAY($G11)*100+MOD(YEAR($G11),100),"000000")  &amp; " Curncy"</f>
        <v>AUD/USD SPOT@092514 Curncy</v>
      </c>
      <c r="W11" s="249"/>
      <c r="X11" s="250"/>
      <c r="Y11" s="60">
        <f>DATEVALUE(_xll.BDP(V11, "SETTLE_DT"))</f>
        <v>41911</v>
      </c>
      <c r="AA11" s="2"/>
      <c r="AC11" s="131"/>
    </row>
    <row r="12" spans="1:29" ht="15" customHeight="1" x14ac:dyDescent="0.2">
      <c r="B12" s="116" t="s">
        <v>0</v>
      </c>
      <c r="C12" s="116" t="s">
        <v>41</v>
      </c>
      <c r="D12" s="228">
        <v>42325</v>
      </c>
      <c r="E12" s="228">
        <v>41850</v>
      </c>
      <c r="F12" s="192" t="str">
        <f t="shared" ref="F12:F30" si="1">IF($C12="regular","",IF($C12="NDF","NDF",IF($C12="onshore","onshore","offshore")))</f>
        <v/>
      </c>
      <c r="G12" s="214">
        <f>IF($B12="","",_xll.BAddPeriods($E12,"BUSDAYADJ=-1"))</f>
        <v>41850</v>
      </c>
      <c r="H12" s="202">
        <f>_xll.BFxForward($B12,$D12,"SETTLEMENTDATE","PRICINGDATE",$G12)</f>
        <v>42325</v>
      </c>
      <c r="I12" s="209">
        <f t="shared" ref="I12:I30" si="2">IFERROR(WEEKDAY(H12),"")</f>
        <v>3</v>
      </c>
      <c r="J12" s="219">
        <f t="shared" ref="J12:J30" si="3">IF(I12=1,WORKDAY(H12-1,1),IF(I12=7,WORKDAY(H12-1,0),H12))</f>
        <v>42325</v>
      </c>
      <c r="K12" s="203"/>
      <c r="L12" s="26">
        <f>IF($B12="","",_xll.BDH($B12 &amp; " " &amp; $C$7 &amp; " Curncy","PX_BID", $G12, $G12, "Days=A", "Fill=P"))</f>
        <v>1.3397000000000001</v>
      </c>
      <c r="M12" s="26">
        <f>IF($B12="","",_xll.BDH($B12 &amp; " " &amp; $C$7 &amp; " Curncy","PX_ASK", $G12, $G12, "Days=A", "Fill=P"))</f>
        <v>1.3397999999999999</v>
      </c>
      <c r="N12" s="26">
        <f>IF($B12="","",_xll.BDH($B12 &amp; " " &amp; $C$7 &amp; " Curncy","PX_MID", $G12, $G12, "Days=A", "Fill=P"))</f>
        <v>1.3397000000000001</v>
      </c>
      <c r="O12" s="27">
        <f>IF($B12="","",_xll.BFxForward($B12,$J12,"bidpoints","pricingdate",$G12,"markettype",$F12,"source",Input_Source_Forwards,"holidayvalues=true","truedecimal=yes"))</f>
        <v>5.4689999999999999E-3</v>
      </c>
      <c r="P12" s="27">
        <f>IF($B12="","",_xll.BFxForward($B12,$J12,"askpoints","pricingdate",$G12,"markettype",$F12,"source",Input_Source_Forwards,"holidayvalues=true","truedecimal=yes"))</f>
        <v>5.8539999999999998E-3</v>
      </c>
      <c r="Q12" s="28">
        <f>IF($B12="","",_xll.BFxForward($B12,$J12,"midpoints","pricingdate",$G12,"markettype",$F12,"source",Input_Source_Forwards,"holidayvalues=true","truedecimal=yes"))</f>
        <v>5.6614999999999999E-3</v>
      </c>
      <c r="R12" s="27">
        <f>IF($B12="","",_xll.BFxForward($B12,$J12,"bidoutright","pricingdate",$G12,"markettype",$F12,"source",Input_Source_Forwards,"holidayvalues=true","truedecimal=yes"))</f>
        <v>1.3451690000000001</v>
      </c>
      <c r="S12" s="27">
        <f>IF($B12="","",_xll.BFxForward($B12,$J12,"askoutright","pricingdate",$G12,"markettype",$F12,"source",Input_Source_Forwards,"holidayvalues=true","truedecimal=yes"))</f>
        <v>1.3456539999999999</v>
      </c>
      <c r="T12" s="27">
        <f>IF($B12="","",_xll.BFxForward($B12,$J12,"midoutright","pricingdate",$G12,"markettype",$F12,"source",Input_Source_Forwards,"holidayvalues=true","truedecimal=yes"))</f>
        <v>1.3454115</v>
      </c>
      <c r="U12" s="133">
        <f>IF($B12="","",_xll.BFxForward(B12,$J12,"DAYS","PRICINGDATE",$G12))</f>
        <v>473</v>
      </c>
      <c r="V12" s="241" t="str">
        <f t="shared" si="0"/>
        <v>EUR/USD SPOT@073014 Curncy</v>
      </c>
      <c r="W12" s="241"/>
      <c r="X12" s="242"/>
      <c r="Y12" s="61">
        <f>DATEVALUE(_xll.BDP(V12, "SETTLE_DT"))</f>
        <v>41852</v>
      </c>
      <c r="AA12" s="2"/>
      <c r="AC12" s="131"/>
    </row>
    <row r="13" spans="1:29" ht="15" customHeight="1" x14ac:dyDescent="0.2">
      <c r="B13" s="53" t="s">
        <v>0</v>
      </c>
      <c r="C13" s="53" t="s">
        <v>41</v>
      </c>
      <c r="D13" s="227">
        <v>42438</v>
      </c>
      <c r="E13" s="227">
        <v>42308</v>
      </c>
      <c r="F13" s="192" t="str">
        <f t="shared" si="1"/>
        <v/>
      </c>
      <c r="G13" s="214">
        <f>IF($B13="","",_xll.BAddPeriods($E13,"BUSDAYADJ=-1"))</f>
        <v>42310</v>
      </c>
      <c r="H13" s="202">
        <f>_xll.BFxForward($B13,$D13,"SETTLEMENTDATE","PRICINGDATE",$G13)</f>
        <v>42438</v>
      </c>
      <c r="I13" s="209">
        <f t="shared" si="2"/>
        <v>4</v>
      </c>
      <c r="J13" s="219">
        <f t="shared" si="3"/>
        <v>42438</v>
      </c>
      <c r="K13" s="203"/>
      <c r="L13" s="29">
        <f>IF($B13="","",_xll.BDH($B13 &amp; " " &amp; $C$7 &amp; " Curncy","PX_BID", $G13, $G13, "Days=A", "Fill=P"))</f>
        <v>1.1014999999999999</v>
      </c>
      <c r="M13" s="29">
        <f>IF($B13="","",_xll.BDH($B13 &amp; " " &amp; $C$7 &amp; " Curncy","PX_ASK", $G13, $G13, "Days=A", "Fill=P"))</f>
        <v>1.1015999999999999</v>
      </c>
      <c r="N13" s="29">
        <f>IF($B13="","",_xll.BDH($B13 &amp; " " &amp; $C$7 &amp; " Curncy","PX_MID", $G13, $G13, "Days=A", "Fill=P"))</f>
        <v>1.1015699999999999</v>
      </c>
      <c r="O13" s="30">
        <f>IF($B13="","",_xll.BFxForward($B13,$J13,"bidpoints","pricingdate",$G13,"markettype",$F13,"source",Input_Source_Forwards,"holidayvalues=true","truedecimal=yes"))</f>
        <v>2.7590000000000002E-3</v>
      </c>
      <c r="P13" s="30">
        <f>IF($B13="","",_xll.BFxForward($B13,$J13,"askpoints","pricingdate",$G13,"markettype",$F13,"source",Input_Source_Forwards,"holidayvalues=true","truedecimal=yes"))</f>
        <v>2.8159999999999999E-3</v>
      </c>
      <c r="Q13" s="31">
        <f>IF($B13="","",_xll.BFxForward($B13,$J13,"midpoints","pricingdate",$G13,"markettype",$F13,"source",Input_Source_Forwards,"holidayvalues=true","truedecimal=yes"))</f>
        <v>2.7875E-3</v>
      </c>
      <c r="R13" s="30">
        <f>IF($B13="","",_xll.BFxForward($B13,$J13,"bidoutright","pricingdate",$G13,"markettype",$F13,"source",Input_Source_Forwards,"holidayvalues=true","truedecimal=yes"))</f>
        <v>1.1042590000000001</v>
      </c>
      <c r="S13" s="30">
        <f>IF($B13="","",_xll.BFxForward($B13,$J13,"askoutright","pricingdate",$G13,"markettype",$F13,"source",Input_Source_Forwards,"holidayvalues=true","truedecimal=yes"))</f>
        <v>1.1044160000000001</v>
      </c>
      <c r="T13" s="30">
        <f>IF($B13="","",_xll.BFxForward($B13,$J13,"midoutright","pricingdate",$G13,"markettype",$F13,"source",Input_Source_Forwards,"holidayvalues=true","truedecimal=yes"))</f>
        <v>1.1043375</v>
      </c>
      <c r="U13" s="134">
        <f>IF($B13="","",_xll.BFxForward(B13,$J13,"DAYS","PRICINGDATE",$G13))</f>
        <v>126</v>
      </c>
      <c r="V13" s="243" t="str">
        <f t="shared" si="0"/>
        <v>EUR/USD SPOT@110215 Curncy</v>
      </c>
      <c r="W13" s="243"/>
      <c r="X13" s="244"/>
      <c r="Y13" s="62">
        <f>DATEVALUE(_xll.BDP(V13, "SETTLE_DT"))</f>
        <v>42312</v>
      </c>
      <c r="AA13" s="2"/>
      <c r="AC13" s="131"/>
    </row>
    <row r="14" spans="1:29" ht="15" customHeight="1" x14ac:dyDescent="0.2">
      <c r="B14" s="116" t="s">
        <v>1</v>
      </c>
      <c r="C14" s="116" t="s">
        <v>41</v>
      </c>
      <c r="D14" s="228">
        <v>42362</v>
      </c>
      <c r="E14" s="228">
        <v>41850</v>
      </c>
      <c r="F14" s="192" t="str">
        <f t="shared" si="1"/>
        <v/>
      </c>
      <c r="G14" s="214">
        <f>IF($B14="","",_xll.BAddPeriods($E14,"BUSDAYADJ=-1"))</f>
        <v>41850</v>
      </c>
      <c r="H14" s="202">
        <f>_xll.BFxForward($B14,$D14,"SETTLEMENTDATE","PRICINGDATE",$G14)</f>
        <v>42362</v>
      </c>
      <c r="I14" s="209">
        <f t="shared" si="2"/>
        <v>5</v>
      </c>
      <c r="J14" s="219">
        <f t="shared" si="3"/>
        <v>42362</v>
      </c>
      <c r="K14" s="203"/>
      <c r="L14" s="26">
        <f>IF($B14="","",_xll.BDH($B14 &amp; " " &amp; $C$7 &amp; " Curncy","PX_BID", $G14, $G14, "Days=A", "Fill=P"))</f>
        <v>1.0902000000000001</v>
      </c>
      <c r="M14" s="26">
        <f>IF($B14="","",_xll.BDH($B14 &amp; " " &amp; $C$7 &amp; " Curncy","PX_ASK", $G14, $G14, "Days=A", "Fill=P"))</f>
        <v>1.0903</v>
      </c>
      <c r="N14" s="26">
        <f>IF($B14="","",_xll.BDH($B14 &amp; " " &amp; $C$7 &amp; " Curncy","PX_MID", $G14, $G14, "Days=A", "Fill=P"))</f>
        <v>1.0902700000000001</v>
      </c>
      <c r="O14" s="27">
        <f>IF($B14="","",_xll.BFxForward($B14,$J14,"bidpoints","pricingdate",$G14,"markettype",$F14,"source",Input_Source_Forwards,"holidayvalues=true","truedecimal=yes"))</f>
        <v>1.0954E-2</v>
      </c>
      <c r="P14" s="27">
        <f>IF($B14="","",_xll.BFxForward($B14,$J14,"askpoints","pricingdate",$G14,"markettype",$F14,"source",Input_Source_Forwards,"holidayvalues=true","truedecimal=yes"))</f>
        <v>1.1664000000000001E-2</v>
      </c>
      <c r="Q14" s="28">
        <f>IF($B14="","",_xll.BFxForward($B14,$J14,"midpoints","pricingdate",$G14,"markettype",$F14,"source",Input_Source_Forwards,"holidayvalues=true","truedecimal=yes"))</f>
        <v>1.1309E-2</v>
      </c>
      <c r="R14" s="27">
        <f>IF($B14="","",_xll.BFxForward($B14,$J14,"bidoutright","pricingdate",$G14,"markettype",$F14,"source",Input_Source_Forwards,"holidayvalues=true","truedecimal=yes"))</f>
        <v>1.101154</v>
      </c>
      <c r="S14" s="27">
        <f>IF($B14="","",_xll.BFxForward($B14,$J14,"askoutright","pricingdate",$G14,"markettype",$F14,"source",Input_Source_Forwards,"holidayvalues=true","truedecimal=yes"))</f>
        <v>1.1019639999999999</v>
      </c>
      <c r="T14" s="27">
        <f>IF($B14="","",_xll.BFxForward($B14,$J14,"midoutright","pricingdate",$G14,"markettype",$F14,"source",Input_Source_Forwards,"holidayvalues=true","truedecimal=yes"))</f>
        <v>1.101559</v>
      </c>
      <c r="U14" s="133">
        <f>IF($B14="","",_xll.BFxForward(B14,$J14,"DAYS","PRICINGDATE",$G14))</f>
        <v>511</v>
      </c>
      <c r="V14" s="241" t="str">
        <f t="shared" si="0"/>
        <v>USD/CAD SPOT@073014 Curncy</v>
      </c>
      <c r="W14" s="241"/>
      <c r="X14" s="242"/>
      <c r="Y14" s="61">
        <f>DATEVALUE(_xll.BDP(V14, "SETTLE_DT"))</f>
        <v>41851</v>
      </c>
      <c r="AA14" s="2"/>
      <c r="AC14" s="131"/>
    </row>
    <row r="15" spans="1:29" ht="15" customHeight="1" x14ac:dyDescent="0.2">
      <c r="B15" s="53" t="s">
        <v>27</v>
      </c>
      <c r="C15" s="53" t="s">
        <v>41</v>
      </c>
      <c r="D15" s="227">
        <v>42826</v>
      </c>
      <c r="E15" s="227">
        <v>42280</v>
      </c>
      <c r="F15" s="192" t="str">
        <f t="shared" si="1"/>
        <v/>
      </c>
      <c r="G15" s="214">
        <f>IF($B15="","",_xll.BAddPeriods($E15,"BUSDAYADJ=-1"))</f>
        <v>42282</v>
      </c>
      <c r="H15" s="202">
        <f>_xll.BFxForward($B15,$D15,"SETTLEMENTDATE","PRICINGDATE",$G15)</f>
        <v>42826</v>
      </c>
      <c r="I15" s="209">
        <f t="shared" si="2"/>
        <v>7</v>
      </c>
      <c r="J15" s="219">
        <f t="shared" si="3"/>
        <v>42825</v>
      </c>
      <c r="K15" s="203"/>
      <c r="L15" s="29">
        <f>IF($B15="","",_xll.BDH($B15 &amp; " " &amp; $C$7 &amp; " Curncy","PX_BID", $G15, $G15, "Days=A", "Fill=P"))</f>
        <v>120.45</v>
      </c>
      <c r="M15" s="29">
        <f>IF($B15="","",_xll.BDH($B15 &amp; " " &amp; $C$7 &amp; " Curncy","PX_ASK", $G15, $G15, "Days=A", "Fill=P"))</f>
        <v>120.47</v>
      </c>
      <c r="N15" s="29">
        <f>IF($B15="","",_xll.BDH($B15 &amp; " " &amp; $C$7 &amp; " Curncy","PX_MID", $G15, $G15, "Days=A", "Fill=P"))</f>
        <v>120.46</v>
      </c>
      <c r="O15" s="30">
        <f>IF($B15="","",_xll.BFxForward($B15,$J15,"bidpoints","pricingdate",$G15,"markettype",$F15,"source",Input_Source_Forwards,"holidayvalues=true","truedecimal=yes"))</f>
        <v>-2.0497999999999998</v>
      </c>
      <c r="P15" s="30">
        <f>IF($B15="","",_xll.BFxForward($B15,$J15,"askpoints","pricingdate",$G15,"markettype",$F15,"source",Input_Source_Forwards,"holidayvalues=true","truedecimal=yes"))</f>
        <v>-1.9340999999999999</v>
      </c>
      <c r="Q15" s="31">
        <f>IF($B15="","",_xll.BFxForward($B15,$J15,"midpoints","pricingdate",$G15,"markettype",$F15,"source",Input_Source_Forwards,"holidayvalues=true","truedecimal=yes"))</f>
        <v>-1.9919500000000001</v>
      </c>
      <c r="R15" s="30">
        <f>IF($B15="","",_xll.BFxForward($B15,$J15,"bidoutright","pricingdate",$G15,"markettype",$F15,"source",Input_Source_Forwards,"holidayvalues=true","truedecimal=yes"))</f>
        <v>118.4002</v>
      </c>
      <c r="S15" s="30">
        <f>IF($B15="","",_xll.BFxForward($B15,$J15,"askoutright","pricingdate",$G15,"markettype",$F15,"source",Input_Source_Forwards,"holidayvalues=true","truedecimal=yes"))</f>
        <v>118.5359</v>
      </c>
      <c r="T15" s="30">
        <f>IF($B15="","",_xll.BFxForward($B15,$J15,"midoutright","pricingdate",$G15,"markettype",$F15,"source",Input_Source_Forwards,"holidayvalues=true","truedecimal=yes"))</f>
        <v>118.46805000000001</v>
      </c>
      <c r="U15" s="134">
        <f>IF($B15="","",_xll.BFxForward(B15,$J15,"DAYS","PRICINGDATE",$G15))</f>
        <v>541</v>
      </c>
      <c r="V15" s="243" t="str">
        <f t="shared" si="0"/>
        <v>USD/JPY SPOT@100515 Curncy</v>
      </c>
      <c r="W15" s="243"/>
      <c r="X15" s="244"/>
      <c r="Y15" s="62">
        <f>DATEVALUE(_xll.BDP(V15, "SETTLE_DT"))</f>
        <v>42284</v>
      </c>
      <c r="AA15" s="2"/>
      <c r="AC15" s="131"/>
    </row>
    <row r="16" spans="1:29" ht="15" customHeight="1" x14ac:dyDescent="0.2">
      <c r="B16" s="116" t="s">
        <v>37</v>
      </c>
      <c r="C16" s="116" t="s">
        <v>42</v>
      </c>
      <c r="D16" s="228">
        <v>42370</v>
      </c>
      <c r="E16" s="228">
        <v>41881</v>
      </c>
      <c r="F16" s="192" t="str">
        <f t="shared" si="1"/>
        <v>NDF</v>
      </c>
      <c r="G16" s="214">
        <f>IF($B16="","",_xll.BAddPeriods($E16,"BUSDAYADJ=-1"))</f>
        <v>41883</v>
      </c>
      <c r="H16" s="202">
        <f>_xll.BFxForward($B16,$D16,"SETTLEMENTDATE","PRICINGDATE",$G16)</f>
        <v>42370</v>
      </c>
      <c r="I16" s="209">
        <f t="shared" si="2"/>
        <v>6</v>
      </c>
      <c r="J16" s="219">
        <f t="shared" si="3"/>
        <v>42370</v>
      </c>
      <c r="K16" s="203"/>
      <c r="L16" s="26">
        <f>IF($B16="","",_xll.BDH($B16 &amp; " " &amp; $C$7 &amp; " Curncy","PX_BID", $G16, $G16, "Days=A", "Fill=P"))</f>
        <v>1013</v>
      </c>
      <c r="M16" s="26">
        <f>IF($B16="","",_xll.BDH($B16 &amp; " " &amp; $C$7 &amp; " Curncy","PX_ASK", $G16, $G16, "Days=A", "Fill=P"))</f>
        <v>1013.3</v>
      </c>
      <c r="N16" s="26">
        <f>IF($B16="","",_xll.BDH($B16 &amp; " " &amp; $C$7 &amp; " Curncy","PX_MID", $G16, $G16, "Days=A", "Fill=P"))</f>
        <v>1013.15</v>
      </c>
      <c r="O16" s="27">
        <f>IF($B16="","",_xll.BFxForward($B16,$J16,"bidpoints","pricingdate",$G16,"markettype",$F16,"source",Input_Source_Forwards,"holidayvalues=true","truedecimal=yes"))</f>
        <v>12.08</v>
      </c>
      <c r="P16" s="27">
        <f>IF($B16="","",_xll.BFxForward($B16,$J16,"askpoints","pricingdate",$G16,"markettype",$F16,"source",Input_Source_Forwards,"holidayvalues=true","truedecimal=yes"))</f>
        <v>15.23</v>
      </c>
      <c r="Q16" s="28">
        <f>IF($B16="","",_xll.BFxForward($B16,$J16,"midpoints","pricingdate",$G16,"markettype",$F16,"source",Input_Source_Forwards,"holidayvalues=true","truedecimal=yes"))</f>
        <v>13.654999999999999</v>
      </c>
      <c r="R16" s="27">
        <f>IF($B16="","",_xll.BFxForward($B16,$J16,"bidoutright","pricingdate",$G16,"markettype",$F16,"source",Input_Source_Forwards,"holidayvalues=true","truedecimal=yes"))</f>
        <v>1025.23</v>
      </c>
      <c r="S16" s="27">
        <f>IF($B16="","",_xll.BFxForward($B16,$J16,"askoutright","pricingdate",$G16,"markettype",$F16,"source",Input_Source_Forwards,"holidayvalues=true","truedecimal=yes"))</f>
        <v>1028.3800000000001</v>
      </c>
      <c r="T16" s="27">
        <f>IF($B16="","",_xll.BFxForward($B16,$J16,"midoutright","pricingdate",$G16,"markettype",$F16,"source",Input_Source_Forwards,"holidayvalues=true","truedecimal=yes"))</f>
        <v>1026.8050000000001</v>
      </c>
      <c r="U16" s="133">
        <f>IF($B16="","",_xll.BFxForward(B16,$J16,"DAYS","PRICINGDATE",$G16))</f>
        <v>485</v>
      </c>
      <c r="V16" s="241" t="str">
        <f t="shared" si="0"/>
        <v>USD/KRW SPOT@090114 Curncy</v>
      </c>
      <c r="W16" s="241"/>
      <c r="X16" s="242"/>
      <c r="Y16" s="61">
        <f>DATEVALUE(_xll.BDP(V16, "SETTLE_DT"))</f>
        <v>41885</v>
      </c>
      <c r="AA16" s="2"/>
      <c r="AC16" s="131"/>
    </row>
    <row r="17" spans="2:29" ht="15" customHeight="1" x14ac:dyDescent="0.2">
      <c r="B17" s="53" t="s">
        <v>0</v>
      </c>
      <c r="C17" s="53" t="s">
        <v>41</v>
      </c>
      <c r="D17" s="227" t="s">
        <v>53</v>
      </c>
      <c r="E17" s="227">
        <v>41943</v>
      </c>
      <c r="F17" s="192" t="str">
        <f t="shared" si="1"/>
        <v/>
      </c>
      <c r="G17" s="214">
        <f>IF($B17="","",_xll.BAddPeriods($E17,"BUSDAYADJ=-1"))</f>
        <v>41943</v>
      </c>
      <c r="H17" s="202">
        <f>_xll.BFxForward($B17,$D17,"SETTLEMENTDATE","PRICINGDATE",$G17)</f>
        <v>41955</v>
      </c>
      <c r="I17" s="209">
        <f t="shared" si="2"/>
        <v>4</v>
      </c>
      <c r="J17" s="219">
        <f t="shared" si="3"/>
        <v>41955</v>
      </c>
      <c r="K17" s="203"/>
      <c r="L17" s="29">
        <f>IF($B17="","",_xll.BDH($B17 &amp; " " &amp; $C$7 &amp; " Curncy","PX_BID", $G17, $G17, "Days=A", "Fill=P"))</f>
        <v>1.2524</v>
      </c>
      <c r="M17" s="29">
        <f>IF($B17="","",_xll.BDH($B17 &amp; " " &amp; $C$7 &amp; " Curncy","PX_ASK", $G17, $G17, "Days=A", "Fill=P"))</f>
        <v>1.2524999999999999</v>
      </c>
      <c r="N17" s="29">
        <f>IF($B17="","",_xll.BDH($B17 &amp; " " &amp; $C$7 &amp; " Curncy","PX_MID", $G17, $G17, "Days=A", "Fill=P"))</f>
        <v>1.2524500000000001</v>
      </c>
      <c r="O17" s="30">
        <f>IF($B17="","",_xll.BFxForward($B17,$J17,"bidpoints","pricingdate",$G17,"markettype",$F17,"source",Input_Source_Forwards,"holidayvalues=true","truedecimal=yes"))</f>
        <v>6.2000000000000003E-5</v>
      </c>
      <c r="P17" s="30">
        <f>IF($B17="","",_xll.BFxForward($B17,$J17,"askpoints","pricingdate",$G17,"markettype",$F17,"source",Input_Source_Forwards,"holidayvalues=true","truedecimal=yes"))</f>
        <v>6.7999999999999999E-5</v>
      </c>
      <c r="Q17" s="31">
        <f>IF($B17="","",_xll.BFxForward($B17,$J17,"midpoints","pricingdate",$G17,"markettype",$F17,"source",Input_Source_Forwards,"holidayvalues=true","truedecimal=yes"))</f>
        <v>6.4999999999999994E-5</v>
      </c>
      <c r="R17" s="30">
        <f>IF($B17="","",_xll.BFxForward($B17,$J17,"bidoutright","pricingdate",$G17,"markettype",$F17,"source",Input_Source_Forwards,"holidayvalues=true","truedecimal=yes"))</f>
        <v>1.252462</v>
      </c>
      <c r="S17" s="30">
        <f>IF($B17="","",_xll.BFxForward($B17,$J17,"askoutright","pricingdate",$G17,"markettype",$F17,"source",Input_Source_Forwards,"holidayvalues=true","truedecimal=yes"))</f>
        <v>1.2525679999999999</v>
      </c>
      <c r="T17" s="30">
        <f>IF($B17="","",_xll.BFxForward($B17,$J17,"midoutright","pricingdate",$G17,"markettype",$F17,"source",Input_Source_Forwards,"holidayvalues=true","truedecimal=yes"))</f>
        <v>1.252515</v>
      </c>
      <c r="U17" s="134">
        <f>IF($B17="","",_xll.BFxForward(B17,$J17,"DAYS","PRICINGDATE",$G17))</f>
        <v>8</v>
      </c>
      <c r="V17" s="243" t="str">
        <f t="shared" si="0"/>
        <v>EUR/USD SPOT@103114 Curncy</v>
      </c>
      <c r="W17" s="243"/>
      <c r="X17" s="244"/>
      <c r="Y17" s="62">
        <f>DATEVALUE(_xll.BDP(V17, "SETTLE_DT"))</f>
        <v>41947</v>
      </c>
      <c r="AA17" s="2"/>
      <c r="AC17" s="131"/>
    </row>
    <row r="18" spans="2:29" ht="15" customHeight="1" x14ac:dyDescent="0.2">
      <c r="B18" s="116" t="s">
        <v>0</v>
      </c>
      <c r="C18" s="116" t="s">
        <v>41</v>
      </c>
      <c r="D18" s="228" t="s">
        <v>54</v>
      </c>
      <c r="E18" s="228">
        <v>41851</v>
      </c>
      <c r="F18" s="192" t="str">
        <f t="shared" si="1"/>
        <v/>
      </c>
      <c r="G18" s="214">
        <f>IF($B18="","",_xll.BAddPeriods($E18,"BUSDAYADJ=-1"))</f>
        <v>41851</v>
      </c>
      <c r="H18" s="202">
        <f>_xll.BFxForward($B18,$D18,"SETTLEMENTDATE","PRICINGDATE",$G18)</f>
        <v>41869</v>
      </c>
      <c r="I18" s="209">
        <f t="shared" si="2"/>
        <v>2</v>
      </c>
      <c r="J18" s="219">
        <f t="shared" si="3"/>
        <v>41869</v>
      </c>
      <c r="K18" s="203"/>
      <c r="L18" s="26">
        <f>IF($B18="","",_xll.BDH($B18 &amp; " " &amp; $C$7 &amp; " Curncy","PX_BID", $G18, $G18, "Days=A", "Fill=P"))</f>
        <v>1.339</v>
      </c>
      <c r="M18" s="26">
        <f>IF($B18="","",_xll.BDH($B18 &amp; " " &amp; $C$7 &amp; " Curncy","PX_ASK", $G18, $G18, "Days=A", "Fill=P"))</f>
        <v>1.3391</v>
      </c>
      <c r="N18" s="26">
        <f>IF($B18="","",_xll.BDH($B18 &amp; " " &amp; $C$7 &amp; " Curncy","PX_MID", $G18, $G18, "Days=A", "Fill=P"))</f>
        <v>1.3390500000000001</v>
      </c>
      <c r="O18" s="27">
        <f>IF($B18="","",_xll.BFxForward($B18,$J18,"bidpoints","pricingdate",$G18,"markettype",$F18,"source",Input_Source_Forwards,"holidayvalues=true","truedecimal=yes"))</f>
        <v>8.3999999999999995E-5</v>
      </c>
      <c r="P18" s="27">
        <f>IF($B18="","",_xll.BFxForward($B18,$J18,"askpoints","pricingdate",$G18,"markettype",$F18,"source",Input_Source_Forwards,"holidayvalues=true","truedecimal=yes"))</f>
        <v>9.2999999999999997E-5</v>
      </c>
      <c r="Q18" s="28">
        <f>IF($B18="","",_xll.BFxForward($B18,$J18,"midpoints","pricingdate",$G18,"markettype",$F18,"source",Input_Source_Forwards,"holidayvalues=true","truedecimal=yes"))</f>
        <v>8.8499999999999996E-5</v>
      </c>
      <c r="R18" s="27">
        <f>IF($B18="","",_xll.BFxForward($B18,$J18,"bidoutright","pricingdate",$G18,"markettype",$F18,"source",Input_Source_Forwards,"holidayvalues=true","truedecimal=yes"))</f>
        <v>1.3390839999999999</v>
      </c>
      <c r="S18" s="27">
        <f>IF($B18="","",_xll.BFxForward($B18,$J18,"askoutright","pricingdate",$G18,"markettype",$F18,"source",Input_Source_Forwards,"holidayvalues=true","truedecimal=yes"))</f>
        <v>1.3391930000000001</v>
      </c>
      <c r="T18" s="27">
        <f>IF($B18="","",_xll.BFxForward($B18,$J18,"midoutright","pricingdate",$G18,"markettype",$F18,"source",Input_Source_Forwards,"holidayvalues=true","truedecimal=yes"))</f>
        <v>1.3391385</v>
      </c>
      <c r="U18" s="133">
        <f>IF($B18="","",_xll.BFxForward(B18,$J18,"DAYS","PRICINGDATE",$G18))</f>
        <v>14</v>
      </c>
      <c r="V18" s="241" t="str">
        <f t="shared" si="0"/>
        <v>EUR/USD SPOT@073114 Curncy</v>
      </c>
      <c r="W18" s="241"/>
      <c r="X18" s="242"/>
      <c r="Y18" s="61">
        <f>DATEVALUE(_xll.BDP(V18, "SETTLE_DT"))</f>
        <v>41855</v>
      </c>
      <c r="AA18" s="2"/>
      <c r="AC18" s="131"/>
    </row>
    <row r="19" spans="2:29" ht="15" customHeight="1" x14ac:dyDescent="0.2">
      <c r="B19" s="53" t="s">
        <v>0</v>
      </c>
      <c r="C19" s="53" t="s">
        <v>41</v>
      </c>
      <c r="D19" s="227" t="s">
        <v>56</v>
      </c>
      <c r="E19" s="227">
        <v>41851</v>
      </c>
      <c r="F19" s="192" t="str">
        <f t="shared" si="1"/>
        <v/>
      </c>
      <c r="G19" s="214">
        <f>IF($B19="","",_xll.BAddPeriods($E19,"BUSDAYADJ=-1"))</f>
        <v>41851</v>
      </c>
      <c r="H19" s="202">
        <f>_xll.BFxForward($B19,$D19,"SETTLEMENTDATE","PRICINGDATE",$G19)</f>
        <v>41886</v>
      </c>
      <c r="I19" s="209">
        <f t="shared" si="2"/>
        <v>5</v>
      </c>
      <c r="J19" s="219">
        <f t="shared" si="3"/>
        <v>41886</v>
      </c>
      <c r="K19" s="203"/>
      <c r="L19" s="29">
        <f>IF($B19="","",_xll.BDH($B19 &amp; " " &amp; $C$7 &amp; " Curncy","PX_BID", $G19, $G19, "Days=A", "Fill=P"))</f>
        <v>1.339</v>
      </c>
      <c r="M19" s="29">
        <f>IF($B19="","",_xll.BDH($B19 &amp; " " &amp; $C$7 &amp; " Curncy","PX_ASK", $G19, $G19, "Days=A", "Fill=P"))</f>
        <v>1.3391</v>
      </c>
      <c r="N19" s="29">
        <f>IF($B19="","",_xll.BDH($B19 &amp; " " &amp; $C$7 &amp; " Curncy","PX_MID", $G19, $G19, "Days=A", "Fill=P"))</f>
        <v>1.3390500000000001</v>
      </c>
      <c r="O19" s="30">
        <f>IF($B19="","",_xll.BFxForward($B19,$J19,"bidpoints","pricingdate",$G19,"markettype",$F19,"source",Input_Source_Forwards,"holidayvalues=true","truedecimal=yes"))</f>
        <v>1.1900000000000001E-4</v>
      </c>
      <c r="P19" s="30">
        <f>IF($B19="","",_xll.BFxForward($B19,$J19,"askpoints","pricingdate",$G19,"markettype",$F19,"source",Input_Source_Forwards,"holidayvalues=true","truedecimal=yes"))</f>
        <v>1.37E-4</v>
      </c>
      <c r="Q19" s="31">
        <f>IF($B19="","",_xll.BFxForward($B19,$J19,"midpoints","pricingdate",$G19,"markettype",$F19,"source",Input_Source_Forwards,"holidayvalues=true","truedecimal=yes"))</f>
        <v>1.2799999999999999E-4</v>
      </c>
      <c r="R19" s="30">
        <f>IF($B19="","",_xll.BFxForward($B19,$J19,"bidoutright","pricingdate",$G19,"markettype",$F19,"source",Input_Source_Forwards,"holidayvalues=true","truedecimal=yes"))</f>
        <v>1.3391189999999999</v>
      </c>
      <c r="S19" s="30">
        <f>IF($B19="","",_xll.BFxForward($B19,$J19,"askoutright","pricingdate",$G19,"markettype",$F19,"source",Input_Source_Forwards,"holidayvalues=true","truedecimal=yes"))</f>
        <v>1.339237</v>
      </c>
      <c r="T19" s="30">
        <f>IF($B19="","",_xll.BFxForward($B19,$J19,"midoutright","pricingdate",$G19,"markettype",$F19,"source",Input_Source_Forwards,"holidayvalues=true","truedecimal=yes"))</f>
        <v>1.339178</v>
      </c>
      <c r="U19" s="134">
        <f>IF($B19="","",_xll.BFxForward(B19,$J19,"DAYS","PRICINGDATE",$G19))</f>
        <v>31</v>
      </c>
      <c r="V19" s="243" t="str">
        <f t="shared" si="0"/>
        <v>EUR/USD SPOT@073114 Curncy</v>
      </c>
      <c r="W19" s="243"/>
      <c r="X19" s="244"/>
      <c r="Y19" s="62">
        <f>DATEVALUE(_xll.BDP(V19, "SETTLE_DT"))</f>
        <v>41855</v>
      </c>
      <c r="AA19" s="2"/>
      <c r="AC19" s="131"/>
    </row>
    <row r="20" spans="2:29" ht="15" customHeight="1" x14ac:dyDescent="0.2">
      <c r="B20" s="116" t="s">
        <v>0</v>
      </c>
      <c r="C20" s="116" t="s">
        <v>41</v>
      </c>
      <c r="D20" s="228" t="s">
        <v>132</v>
      </c>
      <c r="E20" s="228">
        <v>41851</v>
      </c>
      <c r="F20" s="192" t="str">
        <f t="shared" si="1"/>
        <v/>
      </c>
      <c r="G20" s="214">
        <f>IF($B20="","",_xll.BAddPeriods($E20,"BUSDAYADJ=-1"))</f>
        <v>41851</v>
      </c>
      <c r="H20" s="202">
        <f>_xll.BFxForward($B20,$D20,"SETTLEMENTDATE","PRICINGDATE",$G20)</f>
        <v>41990</v>
      </c>
      <c r="I20" s="209">
        <f t="shared" si="2"/>
        <v>4</v>
      </c>
      <c r="J20" s="219">
        <f t="shared" si="3"/>
        <v>41990</v>
      </c>
      <c r="K20" s="203"/>
      <c r="L20" s="26">
        <f>IF($B20="","",_xll.BDH($B20 &amp; " " &amp; $C$7 &amp; " Curncy","PX_BID", $G20, $G20, "Days=A", "Fill=P"))</f>
        <v>1.339</v>
      </c>
      <c r="M20" s="26">
        <f>IF($B20="","",_xll.BDH($B20 &amp; " " &amp; $C$7 &amp; " Curncy","PX_ASK", $G20, $G20, "Days=A", "Fill=P"))</f>
        <v>1.3391</v>
      </c>
      <c r="N20" s="26">
        <f>IF($B20="","",_xll.BDH($B20 &amp; " " &amp; $C$7 &amp; " Curncy","PX_MID", $G20, $G20, "Days=A", "Fill=P"))</f>
        <v>1.3390500000000001</v>
      </c>
      <c r="O20" s="27">
        <f>IF($B20="","",_xll.BFxForward($B20,$J20,"bidpoints","pricingdate",$G20,"markettype",$F20,"source",Input_Source_Forwards,"holidayvalues=true","truedecimal=yes"))</f>
        <v>6.3599999999999996E-4</v>
      </c>
      <c r="P20" s="27">
        <f>IF($B20="","",_xll.BFxForward($B20,$J20,"askpoints","pricingdate",$G20,"markettype",$F20,"source",Input_Source_Forwards,"holidayvalues=true","truedecimal=yes"))</f>
        <v>6.7299999999999999E-4</v>
      </c>
      <c r="Q20" s="28">
        <f>IF($B20="","",_xll.BFxForward($B20,$J20,"midpoints","pricingdate",$G20,"markettype",$F20,"source",Input_Source_Forwards,"holidayvalues=true","truedecimal=yes"))</f>
        <v>6.5450000000000003E-4</v>
      </c>
      <c r="R20" s="27">
        <f>IF($B20="","",_xll.BFxForward($B20,$J20,"bidoutright","pricingdate",$G20,"markettype",$F20,"source",Input_Source_Forwards,"holidayvalues=true","truedecimal=yes"))</f>
        <v>1.339636</v>
      </c>
      <c r="S20" s="27">
        <f>IF($B20="","",_xll.BFxForward($B20,$J20,"askoutright","pricingdate",$G20,"markettype",$F20,"source",Input_Source_Forwards,"holidayvalues=true","truedecimal=yes"))</f>
        <v>1.3397730000000001</v>
      </c>
      <c r="T20" s="27">
        <f>IF($B20="","",_xll.BFxForward($B20,$J20,"midoutright","pricingdate",$G20,"markettype",$F20,"source",Input_Source_Forwards,"holidayvalues=true","truedecimal=yes"))</f>
        <v>1.3397045000000001</v>
      </c>
      <c r="U20" s="133">
        <f>IF($B20="","",_xll.BFxForward(B20,$J20,"DAYS","PRICINGDATE",$G20))</f>
        <v>135</v>
      </c>
      <c r="V20" s="241" t="str">
        <f t="shared" si="0"/>
        <v>EUR/USD SPOT@073114 Curncy</v>
      </c>
      <c r="W20" s="241"/>
      <c r="X20" s="242"/>
      <c r="Y20" s="61">
        <f>DATEVALUE(_xll.BDP(V20, "SETTLE_DT"))</f>
        <v>41855</v>
      </c>
      <c r="AA20" s="2"/>
      <c r="AC20" s="131"/>
    </row>
    <row r="21" spans="2:29" ht="15" customHeight="1" x14ac:dyDescent="0.2">
      <c r="B21" s="53" t="s">
        <v>0</v>
      </c>
      <c r="C21" s="53" t="s">
        <v>41</v>
      </c>
      <c r="D21" s="229">
        <v>60</v>
      </c>
      <c r="E21" s="227">
        <v>41851</v>
      </c>
      <c r="F21" s="192" t="str">
        <f t="shared" si="1"/>
        <v/>
      </c>
      <c r="G21" s="214">
        <f>IF($B21="","",_xll.BAddPeriods($E21,"BUSDAYADJ=-1"))</f>
        <v>41851</v>
      </c>
      <c r="H21" s="202">
        <f>_xll.BFxForward($B21,$D21,"SETTLEMENTDATE","PRICINGDATE",$G21)</f>
        <v>41915</v>
      </c>
      <c r="I21" s="209">
        <f t="shared" si="2"/>
        <v>6</v>
      </c>
      <c r="J21" s="219">
        <f t="shared" si="3"/>
        <v>41915</v>
      </c>
      <c r="K21" s="203"/>
      <c r="L21" s="29">
        <f>IF($B21="","",_xll.BDH($B21 &amp; " " &amp; $C$7 &amp; " Curncy","PX_BID", $G21, $G21, "Days=A", "Fill=P"))</f>
        <v>1.339</v>
      </c>
      <c r="M21" s="29">
        <f>IF($B21="","",_xll.BDH($B21 &amp; " " &amp; $C$7 &amp; " Curncy","PX_ASK", $G21, $G21, "Days=A", "Fill=P"))</f>
        <v>1.3391</v>
      </c>
      <c r="N21" s="29">
        <f>IF($B21="","",_xll.BDH($B21 &amp; " " &amp; $C$7 &amp; " Curncy","PX_MID", $G21, $G21, "Days=A", "Fill=P"))</f>
        <v>1.3390500000000001</v>
      </c>
      <c r="O21" s="30">
        <f>IF($B21="","",_xll.BFxForward($B21,$J21,"bidpoints","pricingdate",$G21,"markettype",$F21,"source",Input_Source_Forwards,"holidayvalues=true","truedecimal=yes"))</f>
        <v>2.4600000000000002E-4</v>
      </c>
      <c r="P21" s="30">
        <f>IF($B21="","",_xll.BFxForward($B21,$J21,"askpoints","pricingdate",$G21,"markettype",$F21,"source",Input_Source_Forwards,"holidayvalues=true","truedecimal=yes"))</f>
        <v>2.6600000000000001E-4</v>
      </c>
      <c r="Q21" s="31">
        <f>IF($B21="","",_xll.BFxForward($B21,$J21,"midpoints","pricingdate",$G21,"markettype",$F21,"source",Input_Source_Forwards,"holidayvalues=true","truedecimal=yes"))</f>
        <v>2.5599999999999999E-4</v>
      </c>
      <c r="R21" s="30">
        <f>IF($B21="","",_xll.BFxForward($B21,$J21,"bidoutright","pricingdate",$G21,"markettype",$F21,"source",Input_Source_Forwards,"holidayvalues=true","truedecimal=yes"))</f>
        <v>1.3392459999999999</v>
      </c>
      <c r="S21" s="30">
        <f>IF($B21="","",_xll.BFxForward($B21,$J21,"askoutright","pricingdate",$G21,"markettype",$F21,"source",Input_Source_Forwards,"holidayvalues=true","truedecimal=yes"))</f>
        <v>1.3393660000000001</v>
      </c>
      <c r="T21" s="30">
        <f>IF($B21="","",_xll.BFxForward($B21,$J21,"midoutright","pricingdate",$G21,"markettype",$F21,"source",Input_Source_Forwards,"holidayvalues=true","truedecimal=yes"))</f>
        <v>1.3393060000000001</v>
      </c>
      <c r="U21" s="134">
        <f>IF($B21="","",_xll.BFxForward(B21,$J21,"DAYS","PRICINGDATE",$G21))</f>
        <v>60</v>
      </c>
      <c r="V21" s="243" t="str">
        <f t="shared" si="0"/>
        <v>EUR/USD SPOT@073114 Curncy</v>
      </c>
      <c r="W21" s="243"/>
      <c r="X21" s="244"/>
      <c r="Y21" s="62">
        <f>DATEVALUE(_xll.BDP(V21, "SETTLE_DT"))</f>
        <v>41855</v>
      </c>
      <c r="AA21" s="2"/>
      <c r="AC21" s="131"/>
    </row>
    <row r="22" spans="2:29" ht="15" customHeight="1" x14ac:dyDescent="0.2">
      <c r="B22" s="116" t="s">
        <v>0</v>
      </c>
      <c r="C22" s="116" t="s">
        <v>41</v>
      </c>
      <c r="D22" s="230">
        <v>189</v>
      </c>
      <c r="E22" s="228">
        <v>41851</v>
      </c>
      <c r="F22" s="192" t="str">
        <f t="shared" si="1"/>
        <v/>
      </c>
      <c r="G22" s="214">
        <f>IF($B22="","",_xll.BAddPeriods($E22,"BUSDAYADJ=-1"))</f>
        <v>41851</v>
      </c>
      <c r="H22" s="202">
        <f>_xll.BFxForward($B22,$D22,"SETTLEMENTDATE","PRICINGDATE",$G22)</f>
        <v>42044</v>
      </c>
      <c r="I22" s="209">
        <f t="shared" si="2"/>
        <v>2</v>
      </c>
      <c r="J22" s="219">
        <f t="shared" si="3"/>
        <v>42044</v>
      </c>
      <c r="K22" s="203"/>
      <c r="L22" s="26">
        <f>IF($B22="","",_xll.BDH($B22 &amp; " " &amp; $C$7 &amp; " Curncy","PX_BID", $G22, $G22, "Days=A", "Fill=P"))</f>
        <v>1.339</v>
      </c>
      <c r="M22" s="26">
        <f>IF($B22="","",_xll.BDH($B22 &amp; " " &amp; $C$7 &amp; " Curncy","PX_ASK", $G22, $G22, "Days=A", "Fill=P"))</f>
        <v>1.3391</v>
      </c>
      <c r="N22" s="26">
        <f>IF($B22="","",_xll.BDH($B22 &amp; " " &amp; $C$7 &amp; " Curncy","PX_MID", $G22, $G22, "Days=A", "Fill=P"))</f>
        <v>1.3390500000000001</v>
      </c>
      <c r="O22" s="27">
        <f>IF($B22="","",_xll.BFxForward($B22,$J22,"bidpoints","pricingdate",$G22,"markettype",$F22,"source",Input_Source_Forwards,"holidayvalues=true","truedecimal=yes"))</f>
        <v>9.4700000000000003E-4</v>
      </c>
      <c r="P22" s="27">
        <f>IF($B22="","",_xll.BFxForward($B22,$J22,"askpoints","pricingdate",$G22,"markettype",$F22,"source",Input_Source_Forwards,"holidayvalues=true","truedecimal=yes"))</f>
        <v>1.0039999999999999E-3</v>
      </c>
      <c r="Q22" s="28">
        <f>IF($B22="","",_xll.BFxForward($B22,$J22,"midpoints","pricingdate",$G22,"markettype",$F22,"source",Input_Source_Forwards,"holidayvalues=true","truedecimal=yes"))</f>
        <v>9.7550000000000002E-4</v>
      </c>
      <c r="R22" s="27">
        <f>IF($B22="","",_xll.BFxForward($B22,$J22,"bidoutright","pricingdate",$G22,"markettype",$F22,"source",Input_Source_Forwards,"holidayvalues=true","truedecimal=yes"))</f>
        <v>1.339947</v>
      </c>
      <c r="S22" s="27">
        <f>IF($B22="","",_xll.BFxForward($B22,$J22,"askoutright","pricingdate",$G22,"markettype",$F22,"source",Input_Source_Forwards,"holidayvalues=true","truedecimal=yes"))</f>
        <v>1.340104</v>
      </c>
      <c r="T22" s="27">
        <f>IF($B22="","",_xll.BFxForward($B22,$J22,"midoutright","pricingdate",$G22,"markettype",$F22,"source",Input_Source_Forwards,"holidayvalues=true","truedecimal=yes"))</f>
        <v>1.3400255000000001</v>
      </c>
      <c r="U22" s="133">
        <f>IF($B22="","",_xll.BFxForward(B22,$J22,"DAYS","PRICINGDATE",$G22))</f>
        <v>189</v>
      </c>
      <c r="V22" s="241" t="str">
        <f t="shared" si="0"/>
        <v>EUR/USD SPOT@073114 Curncy</v>
      </c>
      <c r="W22" s="241"/>
      <c r="X22" s="242"/>
      <c r="Y22" s="61">
        <f>DATEVALUE(_xll.BDP(V22, "SETTLE_DT"))</f>
        <v>41855</v>
      </c>
      <c r="AA22" s="2"/>
      <c r="AC22" s="131"/>
    </row>
    <row r="23" spans="2:29" ht="15" customHeight="1" x14ac:dyDescent="0.2">
      <c r="B23" s="53"/>
      <c r="C23" s="53"/>
      <c r="D23" s="227"/>
      <c r="E23" s="227"/>
      <c r="F23" s="192" t="str">
        <f t="shared" si="1"/>
        <v>offshore</v>
      </c>
      <c r="G23" s="214" t="str">
        <f>IF($B23="","",_xll.BAddPeriods($E23,"BUSDAYADJ=-1"))</f>
        <v/>
      </c>
      <c r="H23" s="202" t="str">
        <f>_xll.BFxForward($B23,$D23,"SETTLEMENTDATE","PRICINGDATE",$G23)</f>
        <v>#N/A Invalid currency</v>
      </c>
      <c r="I23" s="209" t="str">
        <f t="shared" si="2"/>
        <v/>
      </c>
      <c r="J23" s="219" t="str">
        <f t="shared" si="3"/>
        <v>#N/A Invalid currency</v>
      </c>
      <c r="K23" s="203"/>
      <c r="L23" s="29" t="str">
        <f>IF($B23="","",_xll.BDH($B23 &amp; " " &amp; $C$7 &amp; " Curncy","PX_BID", $G23, $G23, "Days=A", "Fill=P"))</f>
        <v/>
      </c>
      <c r="M23" s="29" t="str">
        <f>IF($B23="","",_xll.BDH($B23 &amp; " " &amp; $C$7 &amp; " Curncy","PX_ASK", $G23, $G23, "Days=A", "Fill=P"))</f>
        <v/>
      </c>
      <c r="N23" s="29" t="str">
        <f>IF($B23="","",_xll.BDH($B23 &amp; " " &amp; $C$7 &amp; " Curncy","PX_MID", $G23, $G23, "Days=A", "Fill=P"))</f>
        <v/>
      </c>
      <c r="O23" s="30" t="str">
        <f>IF($B23="","",_xll.BFxForward($B23,$J23,"bidpoints","pricingdate",$G23,"markettype",$F23,"source",Input_Source_Forwards,"holidayvalues=true","truedecimal=yes"))</f>
        <v/>
      </c>
      <c r="P23" s="30" t="str">
        <f>IF($B23="","",_xll.BFxForward($B23,$J23,"askpoints","pricingdate",$G23,"markettype",$F23,"source",Input_Source_Forwards,"holidayvalues=true","truedecimal=yes"))</f>
        <v/>
      </c>
      <c r="Q23" s="31" t="str">
        <f>IF($B23="","",_xll.BFxForward($B23,$J23,"midpoints","pricingdate",$G23,"markettype",$F23,"source",Input_Source_Forwards,"holidayvalues=true","truedecimal=yes"))</f>
        <v/>
      </c>
      <c r="R23" s="30" t="str">
        <f>IF($B23="","",_xll.BFxForward($B23,$J23,"bidoutright","pricingdate",$G23,"markettype",$F23,"source",Input_Source_Forwards,"holidayvalues=true","truedecimal=yes"))</f>
        <v/>
      </c>
      <c r="S23" s="30" t="str">
        <f>IF($B23="","",_xll.BFxForward($B23,$J23,"askoutright","pricingdate",$G23,"markettype",$F23,"source",Input_Source_Forwards,"holidayvalues=true","truedecimal=yes"))</f>
        <v/>
      </c>
      <c r="T23" s="30" t="str">
        <f>IF($B23="","",_xll.BFxForward($B23,$J23,"midoutright","pricingdate",$G23,"markettype",$F23,"source",Input_Source_Forwards,"holidayvalues=true","truedecimal=yes"))</f>
        <v/>
      </c>
      <c r="U23" s="134" t="str">
        <f>IF($B23="","",_xll.BFxForward(B23,$J23,"DAYS","PRICINGDATE",$G23))</f>
        <v/>
      </c>
      <c r="V23" s="243" t="e">
        <f t="shared" si="0"/>
        <v>#VALUE!</v>
      </c>
      <c r="W23" s="243"/>
      <c r="X23" s="244"/>
      <c r="Y23" s="62" t="e">
        <f>DATEVALUE(_xll.BDP(V23, "SETTLE_DT"))</f>
        <v>#VALUE!</v>
      </c>
      <c r="AA23" s="2"/>
      <c r="AC23" s="131"/>
    </row>
    <row r="24" spans="2:29" ht="15" customHeight="1" x14ac:dyDescent="0.2">
      <c r="B24" s="116"/>
      <c r="C24" s="116"/>
      <c r="D24" s="228"/>
      <c r="E24" s="228"/>
      <c r="F24" s="192" t="str">
        <f t="shared" si="1"/>
        <v>offshore</v>
      </c>
      <c r="G24" s="214" t="str">
        <f>IF($B24="","",_xll.BAddPeriods($E24,"BUSDAYADJ=-1"))</f>
        <v/>
      </c>
      <c r="H24" s="202" t="str">
        <f>_xll.BFxForward($B24,$D24,"SETTLEMENTDATE","PRICINGDATE",$G24)</f>
        <v>#N/A Invalid currency</v>
      </c>
      <c r="I24" s="209" t="str">
        <f t="shared" si="2"/>
        <v/>
      </c>
      <c r="J24" s="219" t="str">
        <f t="shared" si="3"/>
        <v>#N/A Invalid currency</v>
      </c>
      <c r="K24" s="203"/>
      <c r="L24" s="26" t="str">
        <f>IF($B24="","",_xll.BDH($B24 &amp; " " &amp; $C$7 &amp; " Curncy","PX_BID", $G24, $G24, "Days=A", "Fill=P"))</f>
        <v/>
      </c>
      <c r="M24" s="26" t="str">
        <f>IF($B24="","",_xll.BDH($B24 &amp; " " &amp; $C$7 &amp; " Curncy","PX_ASK", $G24, $G24, "Days=A", "Fill=P"))</f>
        <v/>
      </c>
      <c r="N24" s="26" t="str">
        <f>IF($B24="","",_xll.BDH($B24 &amp; " " &amp; $C$7 &amp; " Curncy","PX_MID", $G24, $G24, "Days=A", "Fill=P"))</f>
        <v/>
      </c>
      <c r="O24" s="27" t="str">
        <f>IF($B24="","",_xll.BFxForward($B24,$J24,"bidpoints","pricingdate",$G24,"markettype",$F24,"source",Input_Source_Forwards,"holidayvalues=true","truedecimal=yes"))</f>
        <v/>
      </c>
      <c r="P24" s="27" t="str">
        <f>IF($B24="","",_xll.BFxForward($B24,$J24,"askpoints","pricingdate",$G24,"markettype",$F24,"source",Input_Source_Forwards,"holidayvalues=true","truedecimal=yes"))</f>
        <v/>
      </c>
      <c r="Q24" s="28" t="str">
        <f>IF($B24="","",_xll.BFxForward($B24,$J24,"midpoints","pricingdate",$G24,"markettype",$F24,"source",Input_Source_Forwards,"holidayvalues=true","truedecimal=yes"))</f>
        <v/>
      </c>
      <c r="R24" s="27" t="str">
        <f>IF($B24="","",_xll.BFxForward($B24,$J24,"bidoutright","pricingdate",$G24,"markettype",$F24,"source",Input_Source_Forwards,"holidayvalues=true","truedecimal=yes"))</f>
        <v/>
      </c>
      <c r="S24" s="27" t="str">
        <f>IF($B24="","",_xll.BFxForward($B24,$J24,"askoutright","pricingdate",$G24,"markettype",$F24,"source",Input_Source_Forwards,"holidayvalues=true","truedecimal=yes"))</f>
        <v/>
      </c>
      <c r="T24" s="27" t="str">
        <f>IF($B24="","",_xll.BFxForward($B24,$J24,"midoutright","pricingdate",$G24,"markettype",$F24,"source",Input_Source_Forwards,"holidayvalues=true","truedecimal=yes"))</f>
        <v/>
      </c>
      <c r="U24" s="133" t="str">
        <f>IF($B24="","",_xll.BFxForward(B24,$J24,"DAYS","PRICINGDATE",$G24))</f>
        <v/>
      </c>
      <c r="V24" s="241" t="e">
        <f t="shared" si="0"/>
        <v>#VALUE!</v>
      </c>
      <c r="W24" s="241"/>
      <c r="X24" s="242"/>
      <c r="Y24" s="61" t="e">
        <f>DATEVALUE(_xll.BDP(V24, "SETTLE_DT"))</f>
        <v>#VALUE!</v>
      </c>
      <c r="AA24" s="2"/>
      <c r="AC24" s="131"/>
    </row>
    <row r="25" spans="2:29" ht="15" customHeight="1" x14ac:dyDescent="0.2">
      <c r="B25" s="53"/>
      <c r="C25" s="53"/>
      <c r="D25" s="227"/>
      <c r="E25" s="227"/>
      <c r="F25" s="192" t="str">
        <f t="shared" si="1"/>
        <v>offshore</v>
      </c>
      <c r="G25" s="214" t="str">
        <f>IF($B25="","",_xll.BAddPeriods($E25,"BUSDAYADJ=-1"))</f>
        <v/>
      </c>
      <c r="H25" s="202" t="str">
        <f>_xll.BFxForward($B25,$D25,"SETTLEMENTDATE","PRICINGDATE",$G25)</f>
        <v>#N/A Invalid currency</v>
      </c>
      <c r="I25" s="209" t="str">
        <f t="shared" si="2"/>
        <v/>
      </c>
      <c r="J25" s="219" t="str">
        <f t="shared" si="3"/>
        <v>#N/A Invalid currency</v>
      </c>
      <c r="K25" s="203"/>
      <c r="L25" s="29" t="str">
        <f>IF($B25="","",_xll.BDH($B25 &amp; " " &amp; $C$7 &amp; " Curncy","PX_BID", $G25, $G25, "Days=A", "Fill=P"))</f>
        <v/>
      </c>
      <c r="M25" s="29" t="str">
        <f>IF($B25="","",_xll.BDH($B25 &amp; " " &amp; $C$7 &amp; " Curncy","PX_ASK", $G25, $G25, "Days=A", "Fill=P"))</f>
        <v/>
      </c>
      <c r="N25" s="29" t="str">
        <f>IF($B25="","",_xll.BDH($B25 &amp; " " &amp; $C$7 &amp; " Curncy","PX_MID", $G25, $G25, "Days=A", "Fill=P"))</f>
        <v/>
      </c>
      <c r="O25" s="30" t="str">
        <f>IF($B25="","",_xll.BFxForward($B25,$J25,"bidpoints","pricingdate",$G25,"markettype",$F25,"source",Input_Source_Forwards,"holidayvalues=true","truedecimal=yes"))</f>
        <v/>
      </c>
      <c r="P25" s="30" t="str">
        <f>IF($B25="","",_xll.BFxForward($B25,$J25,"askpoints","pricingdate",$G25,"markettype",$F25,"source",Input_Source_Forwards,"holidayvalues=true","truedecimal=yes"))</f>
        <v/>
      </c>
      <c r="Q25" s="31" t="str">
        <f>IF($B25="","",_xll.BFxForward($B25,$J25,"midpoints","pricingdate",$G25,"markettype",$F25,"source",Input_Source_Forwards,"holidayvalues=true","truedecimal=yes"))</f>
        <v/>
      </c>
      <c r="R25" s="30" t="str">
        <f>IF($B25="","",_xll.BFxForward($B25,$J25,"bidoutright","pricingdate",$G25,"markettype",$F25,"source",Input_Source_Forwards,"holidayvalues=true","truedecimal=yes"))</f>
        <v/>
      </c>
      <c r="S25" s="30" t="str">
        <f>IF($B25="","",_xll.BFxForward($B25,$J25,"askoutright","pricingdate",$G25,"markettype",$F25,"source",Input_Source_Forwards,"holidayvalues=true","truedecimal=yes"))</f>
        <v/>
      </c>
      <c r="T25" s="30" t="str">
        <f>IF($B25="","",_xll.BFxForward($B25,$J25,"midoutright","pricingdate",$G25,"markettype",$F25,"source",Input_Source_Forwards,"holidayvalues=true","truedecimal=yes"))</f>
        <v/>
      </c>
      <c r="U25" s="134" t="str">
        <f>IF($B25="","",_xll.BFxForward(B25,$J25,"DAYS","PRICINGDATE",$G25))</f>
        <v/>
      </c>
      <c r="V25" s="243" t="e">
        <f t="shared" si="0"/>
        <v>#VALUE!</v>
      </c>
      <c r="W25" s="243"/>
      <c r="X25" s="244"/>
      <c r="Y25" s="62" t="e">
        <f>DATEVALUE(_xll.BDP(V25, "SETTLE_DT"))</f>
        <v>#VALUE!</v>
      </c>
      <c r="AA25" s="2"/>
      <c r="AC25" s="131"/>
    </row>
    <row r="26" spans="2:29" ht="15" customHeight="1" x14ac:dyDescent="0.2">
      <c r="B26" s="116"/>
      <c r="C26" s="116"/>
      <c r="D26" s="228"/>
      <c r="E26" s="228"/>
      <c r="F26" s="192" t="str">
        <f t="shared" si="1"/>
        <v>offshore</v>
      </c>
      <c r="G26" s="214" t="str">
        <f>IF($B26="","",_xll.BAddPeriods($E26,"BUSDAYADJ=-1"))</f>
        <v/>
      </c>
      <c r="H26" s="202" t="str">
        <f>_xll.BFxForward($B26,$D26,"SETTLEMENTDATE","PRICINGDATE",$G26)</f>
        <v>#N/A Invalid currency</v>
      </c>
      <c r="I26" s="209" t="str">
        <f t="shared" si="2"/>
        <v/>
      </c>
      <c r="J26" s="219" t="str">
        <f t="shared" si="3"/>
        <v>#N/A Invalid currency</v>
      </c>
      <c r="K26" s="203"/>
      <c r="L26" s="26" t="str">
        <f>IF($B26="","",_xll.BDH($B26 &amp; " " &amp; $C$7 &amp; " Curncy","PX_BID", $G26, $G26, "Days=A", "Fill=P"))</f>
        <v/>
      </c>
      <c r="M26" s="26" t="str">
        <f>IF($B26="","",_xll.BDH($B26 &amp; " " &amp; $C$7 &amp; " Curncy","PX_ASK", $G26, $G26, "Days=A", "Fill=P"))</f>
        <v/>
      </c>
      <c r="N26" s="26" t="str">
        <f>IF($B26="","",_xll.BDH($B26 &amp; " " &amp; $C$7 &amp; " Curncy","PX_MID", $G26, $G26, "Days=A", "Fill=P"))</f>
        <v/>
      </c>
      <c r="O26" s="27" t="str">
        <f>IF($B26="","",_xll.BFxForward($B26,$J26,"bidpoints","pricingdate",$G26,"markettype",$F26,"source",Input_Source_Forwards,"holidayvalues=true","truedecimal=yes"))</f>
        <v/>
      </c>
      <c r="P26" s="27" t="str">
        <f>IF($B26="","",_xll.BFxForward($B26,$J26,"askpoints","pricingdate",$G26,"markettype",$F26,"source",Input_Source_Forwards,"holidayvalues=true","truedecimal=yes"))</f>
        <v/>
      </c>
      <c r="Q26" s="28" t="str">
        <f>IF($B26="","",_xll.BFxForward($B26,$J26,"midpoints","pricingdate",$G26,"markettype",$F26,"source",Input_Source_Forwards,"holidayvalues=true","truedecimal=yes"))</f>
        <v/>
      </c>
      <c r="R26" s="27" t="str">
        <f>IF($B26="","",_xll.BFxForward($B26,$J26,"bidoutright","pricingdate",$G26,"markettype",$F26,"source",Input_Source_Forwards,"holidayvalues=true","truedecimal=yes"))</f>
        <v/>
      </c>
      <c r="S26" s="27" t="str">
        <f>IF($B26="","",_xll.BFxForward($B26,$J26,"askoutright","pricingdate",$G26,"markettype",$F26,"source",Input_Source_Forwards,"holidayvalues=true","truedecimal=yes"))</f>
        <v/>
      </c>
      <c r="T26" s="27" t="str">
        <f>IF($B26="","",_xll.BFxForward($B26,$J26,"midoutright","pricingdate",$G26,"markettype",$F26,"source",Input_Source_Forwards,"holidayvalues=true","truedecimal=yes"))</f>
        <v/>
      </c>
      <c r="U26" s="133" t="str">
        <f>IF($B26="","",_xll.BFxForward(B26,$J26,"DAYS","PRICINGDATE",$G26))</f>
        <v/>
      </c>
      <c r="V26" s="241" t="e">
        <f t="shared" si="0"/>
        <v>#VALUE!</v>
      </c>
      <c r="W26" s="241"/>
      <c r="X26" s="242"/>
      <c r="Y26" s="61" t="e">
        <f>DATEVALUE(_xll.BDP(V26, "SETTLE_DT"))</f>
        <v>#VALUE!</v>
      </c>
      <c r="AA26" s="2"/>
      <c r="AC26" s="131"/>
    </row>
    <row r="27" spans="2:29" ht="15" customHeight="1" x14ac:dyDescent="0.2">
      <c r="B27" s="53"/>
      <c r="C27" s="53"/>
      <c r="D27" s="227"/>
      <c r="E27" s="227"/>
      <c r="F27" s="192" t="str">
        <f t="shared" si="1"/>
        <v>offshore</v>
      </c>
      <c r="G27" s="214" t="str">
        <f>IF($B27="","",_xll.BAddPeriods($E27,"BUSDAYADJ=-1"))</f>
        <v/>
      </c>
      <c r="H27" s="202" t="str">
        <f>_xll.BFxForward($B27,$D27,"SETTLEMENTDATE","PRICINGDATE",$G27)</f>
        <v>#N/A Invalid currency</v>
      </c>
      <c r="I27" s="209" t="str">
        <f t="shared" si="2"/>
        <v/>
      </c>
      <c r="J27" s="219" t="str">
        <f t="shared" si="3"/>
        <v>#N/A Invalid currency</v>
      </c>
      <c r="K27" s="203"/>
      <c r="L27" s="29" t="str">
        <f>IF($B27="","",_xll.BDH($B27 &amp; " " &amp; $C$7 &amp; " Curncy","PX_BID", $G27, $G27, "Days=A", "Fill=P"))</f>
        <v/>
      </c>
      <c r="M27" s="29" t="str">
        <f>IF($B27="","",_xll.BDH($B27 &amp; " " &amp; $C$7 &amp; " Curncy","PX_ASK", $G27, $G27, "Days=A", "Fill=P"))</f>
        <v/>
      </c>
      <c r="N27" s="29" t="str">
        <f>IF($B27="","",_xll.BDH($B27 &amp; " " &amp; $C$7 &amp; " Curncy","PX_MID", $G27, $G27, "Days=A", "Fill=P"))</f>
        <v/>
      </c>
      <c r="O27" s="30" t="str">
        <f>IF($B27="","",_xll.BFxForward($B27,$J27,"bidpoints","pricingdate",$G27,"markettype",$F27,"source",Input_Source_Forwards,"holidayvalues=true","truedecimal=yes"))</f>
        <v/>
      </c>
      <c r="P27" s="30" t="str">
        <f>IF($B27="","",_xll.BFxForward($B27,$J27,"askpoints","pricingdate",$G27,"markettype",$F27,"source",Input_Source_Forwards,"holidayvalues=true","truedecimal=yes"))</f>
        <v/>
      </c>
      <c r="Q27" s="31" t="str">
        <f>IF($B27="","",_xll.BFxForward($B27,$J27,"midpoints","pricingdate",$G27,"markettype",$F27,"source",Input_Source_Forwards,"holidayvalues=true","truedecimal=yes"))</f>
        <v/>
      </c>
      <c r="R27" s="30" t="str">
        <f>IF($B27="","",_xll.BFxForward($B27,$J27,"bidoutright","pricingdate",$G27,"markettype",$F27,"source",Input_Source_Forwards,"holidayvalues=true","truedecimal=yes"))</f>
        <v/>
      </c>
      <c r="S27" s="30" t="str">
        <f>IF($B27="","",_xll.BFxForward($B27,$J27,"askoutright","pricingdate",$G27,"markettype",$F27,"source",Input_Source_Forwards,"holidayvalues=true","truedecimal=yes"))</f>
        <v/>
      </c>
      <c r="T27" s="30" t="str">
        <f>IF($B27="","",_xll.BFxForward($B27,$J27,"midoutright","pricingdate",$G27,"markettype",$F27,"source",Input_Source_Forwards,"holidayvalues=true","truedecimal=yes"))</f>
        <v/>
      </c>
      <c r="U27" s="134" t="str">
        <f>IF($B27="","",_xll.BFxForward(B27,$J27,"DAYS","PRICINGDATE",$G27))</f>
        <v/>
      </c>
      <c r="V27" s="243" t="e">
        <f t="shared" si="0"/>
        <v>#VALUE!</v>
      </c>
      <c r="W27" s="243"/>
      <c r="X27" s="244"/>
      <c r="Y27" s="62" t="e">
        <f>DATEVALUE(_xll.BDP(V27, "SETTLE_DT"))</f>
        <v>#VALUE!</v>
      </c>
      <c r="AA27" s="2"/>
      <c r="AC27" s="131"/>
    </row>
    <row r="28" spans="2:29" ht="15" customHeight="1" x14ac:dyDescent="0.2">
      <c r="B28" s="116"/>
      <c r="C28" s="116"/>
      <c r="D28" s="228"/>
      <c r="E28" s="228"/>
      <c r="F28" s="192" t="str">
        <f t="shared" si="1"/>
        <v>offshore</v>
      </c>
      <c r="G28" s="214" t="str">
        <f>IF($B28="","",_xll.BAddPeriods($E28,"BUSDAYADJ=-1"))</f>
        <v/>
      </c>
      <c r="H28" s="202" t="str">
        <f>_xll.BFxForward($B28,$D28,"SETTLEMENTDATE","PRICINGDATE",$G28)</f>
        <v>#N/A Invalid currency</v>
      </c>
      <c r="I28" s="209" t="str">
        <f t="shared" si="2"/>
        <v/>
      </c>
      <c r="J28" s="219" t="str">
        <f t="shared" si="3"/>
        <v>#N/A Invalid currency</v>
      </c>
      <c r="K28" s="203"/>
      <c r="L28" s="26" t="str">
        <f>IF($B28="","",_xll.BDH($B28 &amp; " " &amp; $C$7 &amp; " Curncy","PX_BID", $G28, $G28, "Days=A", "Fill=P"))</f>
        <v/>
      </c>
      <c r="M28" s="26" t="str">
        <f>IF($B28="","",_xll.BDH($B28 &amp; " " &amp; $C$7 &amp; " Curncy","PX_ASK", $G28, $G28, "Days=A", "Fill=P"))</f>
        <v/>
      </c>
      <c r="N28" s="26" t="str">
        <f>IF($B28="","",_xll.BDH($B28 &amp; " " &amp; $C$7 &amp; " Curncy","PX_MID", $G28, $G28, "Days=A", "Fill=P"))</f>
        <v/>
      </c>
      <c r="O28" s="27" t="str">
        <f>IF($B28="","",_xll.BFxForward($B28,$J28,"bidpoints","pricingdate",$G28,"markettype",$F28,"source",Input_Source_Forwards,"holidayvalues=true","truedecimal=yes"))</f>
        <v/>
      </c>
      <c r="P28" s="27" t="str">
        <f>IF($B28="","",_xll.BFxForward($B28,$J28,"askpoints","pricingdate",$G28,"markettype",$F28,"source",Input_Source_Forwards,"holidayvalues=true","truedecimal=yes"))</f>
        <v/>
      </c>
      <c r="Q28" s="28" t="str">
        <f>IF($B28="","",_xll.BFxForward($B28,$J28,"midpoints","pricingdate",$G28,"markettype",$F28,"source",Input_Source_Forwards,"holidayvalues=true","truedecimal=yes"))</f>
        <v/>
      </c>
      <c r="R28" s="27" t="str">
        <f>IF($B28="","",_xll.BFxForward($B28,$J28,"bidoutright","pricingdate",$G28,"markettype",$F28,"source",Input_Source_Forwards,"holidayvalues=true","truedecimal=yes"))</f>
        <v/>
      </c>
      <c r="S28" s="27" t="str">
        <f>IF($B28="","",_xll.BFxForward($B28,$J28,"askoutright","pricingdate",$G28,"markettype",$F28,"source",Input_Source_Forwards,"holidayvalues=true","truedecimal=yes"))</f>
        <v/>
      </c>
      <c r="T28" s="27" t="str">
        <f>IF($B28="","",_xll.BFxForward($B28,$J28,"midoutright","pricingdate",$G28,"markettype",$F28,"source",Input_Source_Forwards,"holidayvalues=true","truedecimal=yes"))</f>
        <v/>
      </c>
      <c r="U28" s="133" t="str">
        <f>IF($B28="","",_xll.BFxForward(B28,$J28,"DAYS","PRICINGDATE",$G28))</f>
        <v/>
      </c>
      <c r="V28" s="241" t="e">
        <f t="shared" si="0"/>
        <v>#VALUE!</v>
      </c>
      <c r="W28" s="241"/>
      <c r="X28" s="242"/>
      <c r="Y28" s="61" t="e">
        <f>DATEVALUE(_xll.BDP(V28, "SETTLE_DT"))</f>
        <v>#VALUE!</v>
      </c>
      <c r="AA28" s="2"/>
      <c r="AC28" s="131"/>
    </row>
    <row r="29" spans="2:29" ht="15" customHeight="1" x14ac:dyDescent="0.2">
      <c r="B29" s="53"/>
      <c r="C29" s="53"/>
      <c r="D29" s="227"/>
      <c r="E29" s="227"/>
      <c r="F29" s="192" t="str">
        <f t="shared" si="1"/>
        <v>offshore</v>
      </c>
      <c r="G29" s="214" t="str">
        <f>IF($B29="","",_xll.BAddPeriods($E29,"BUSDAYADJ=-1"))</f>
        <v/>
      </c>
      <c r="H29" s="202" t="str">
        <f>_xll.BFxForward($B29,$D29,"SETTLEMENTDATE","PRICINGDATE",$G29)</f>
        <v>#N/A Invalid currency</v>
      </c>
      <c r="I29" s="209" t="str">
        <f t="shared" si="2"/>
        <v/>
      </c>
      <c r="J29" s="219" t="str">
        <f t="shared" si="3"/>
        <v>#N/A Invalid currency</v>
      </c>
      <c r="K29" s="203"/>
      <c r="L29" s="29" t="str">
        <f>IF($B29="","",_xll.BDH($B29 &amp; " " &amp; $C$7 &amp; " Curncy","PX_BID", $G29, $G29, "Days=A", "Fill=P"))</f>
        <v/>
      </c>
      <c r="M29" s="29" t="str">
        <f>IF($B29="","",_xll.BDH($B29 &amp; " " &amp; $C$7 &amp; " Curncy","PX_ASK", $G29, $G29, "Days=A", "Fill=P"))</f>
        <v/>
      </c>
      <c r="N29" s="29" t="str">
        <f>IF($B29="","",_xll.BDH($B29 &amp; " " &amp; $C$7 &amp; " Curncy","PX_MID", $G29, $G29, "Days=A", "Fill=P"))</f>
        <v/>
      </c>
      <c r="O29" s="30" t="str">
        <f>IF($B29="","",_xll.BFxForward($B29,$J29,"bidpoints","pricingdate",$G29,"markettype",$F29,"source",Input_Source_Forwards,"holidayvalues=true","truedecimal=yes"))</f>
        <v/>
      </c>
      <c r="P29" s="30" t="str">
        <f>IF($B29="","",_xll.BFxForward($B29,$J29,"askpoints","pricingdate",$G29,"markettype",$F29,"source",Input_Source_Forwards,"holidayvalues=true","truedecimal=yes"))</f>
        <v/>
      </c>
      <c r="Q29" s="31" t="str">
        <f>IF($B29="","",_xll.BFxForward($B29,$J29,"midpoints","pricingdate",$G29,"markettype",$F29,"source",Input_Source_Forwards,"holidayvalues=true","truedecimal=yes"))</f>
        <v/>
      </c>
      <c r="R29" s="30" t="str">
        <f>IF($B29="","",_xll.BFxForward($B29,$J29,"bidoutright","pricingdate",$G29,"markettype",$F29,"source",Input_Source_Forwards,"holidayvalues=true","truedecimal=yes"))</f>
        <v/>
      </c>
      <c r="S29" s="30" t="str">
        <f>IF($B29="","",_xll.BFxForward($B29,$J29,"askoutright","pricingdate",$G29,"markettype",$F29,"source",Input_Source_Forwards,"holidayvalues=true","truedecimal=yes"))</f>
        <v/>
      </c>
      <c r="T29" s="30" t="str">
        <f>IF($B29="","",_xll.BFxForward($B29,$J29,"midoutright","pricingdate",$G29,"markettype",$F29,"source",Input_Source_Forwards,"holidayvalues=true","truedecimal=yes"))</f>
        <v/>
      </c>
      <c r="U29" s="134" t="str">
        <f>IF($B29="","",_xll.BFxForward(B29,$J29,"DAYS","PRICINGDATE",$G29))</f>
        <v/>
      </c>
      <c r="V29" s="243" t="e">
        <f t="shared" si="0"/>
        <v>#VALUE!</v>
      </c>
      <c r="W29" s="243"/>
      <c r="X29" s="244"/>
      <c r="Y29" s="62" t="e">
        <f>DATEVALUE(_xll.BDP(V29, "SETTLE_DT"))</f>
        <v>#VALUE!</v>
      </c>
      <c r="AA29" s="2"/>
      <c r="AC29" s="131"/>
    </row>
    <row r="30" spans="2:29" ht="15" customHeight="1" x14ac:dyDescent="0.2">
      <c r="B30" s="116"/>
      <c r="C30" s="116"/>
      <c r="D30" s="228"/>
      <c r="E30" s="228"/>
      <c r="F30" s="195" t="str">
        <f t="shared" si="1"/>
        <v>offshore</v>
      </c>
      <c r="G30" s="215" t="str">
        <f>IF($B30="","",_xll.BAddPeriods($E30,"BUSDAYADJ=-1"))</f>
        <v/>
      </c>
      <c r="H30" s="204" t="str">
        <f>_xll.BFxForward($B30,$D30,"SETTLEMENTDATE","PRICINGDATE",$G30)</f>
        <v>#N/A Invalid currency</v>
      </c>
      <c r="I30" s="210" t="str">
        <f t="shared" si="2"/>
        <v/>
      </c>
      <c r="J30" s="220" t="str">
        <f t="shared" si="3"/>
        <v>#N/A Invalid currency</v>
      </c>
      <c r="K30" s="205"/>
      <c r="L30" s="63" t="str">
        <f>IF($B30="","",_xll.BDH($B30 &amp; " " &amp; $C$7 &amp; " Curncy","PX_BID", $G30, $G30, "Days=A", "Fill=P"))</f>
        <v/>
      </c>
      <c r="M30" s="63" t="str">
        <f>IF($B30="","",_xll.BDH($B30 &amp; " " &amp; $C$7 &amp; " Curncy","PX_ASK", $G30, $G30, "Days=A", "Fill=P"))</f>
        <v/>
      </c>
      <c r="N30" s="63" t="str">
        <f>IF($B30="","",_xll.BDH($B30 &amp; " " &amp; $C$7 &amp; " Curncy","PX_MID", $G30, $G30, "Days=A", "Fill=P"))</f>
        <v/>
      </c>
      <c r="O30" s="64" t="str">
        <f>IF($B30="","",_xll.BFxForward($B30,$J30,"bidpoints","pricingdate",$G30,"markettype",$F30,"source",Input_Source_Forwards,"holidayvalues=true","truedecimal=yes"))</f>
        <v/>
      </c>
      <c r="P30" s="64" t="str">
        <f>IF($B30="","",_xll.BFxForward($B30,$J30,"askpoints","pricingdate",$G30,"markettype",$F30,"source",Input_Source_Forwards,"holidayvalues=true","truedecimal=yes"))</f>
        <v/>
      </c>
      <c r="Q30" s="65" t="str">
        <f>IF($B30="","",_xll.BFxForward($B30,$J30,"midpoints","pricingdate",$G30,"markettype",$F30,"source",Input_Source_Forwards,"holidayvalues=true","truedecimal=yes"))</f>
        <v/>
      </c>
      <c r="R30" s="64" t="str">
        <f>IF($B30="","",_xll.BFxForward($B30,$J30,"bidoutright","pricingdate",$G30,"markettype",$F30,"source",Input_Source_Forwards,"holidayvalues=true","truedecimal=yes"))</f>
        <v/>
      </c>
      <c r="S30" s="64" t="str">
        <f>IF($B30="","",_xll.BFxForward($B30,$J30,"askoutright","pricingdate",$G30,"markettype",$F30,"source",Input_Source_Forwards,"holidayvalues=true","truedecimal=yes"))</f>
        <v/>
      </c>
      <c r="T30" s="64" t="str">
        <f>IF($B30="","",_xll.BFxForward($B30,$J30,"midoutright","pricingdate",$G30,"markettype",$F30,"source",Input_Source_Forwards,"holidayvalues=true","truedecimal=yes"))</f>
        <v/>
      </c>
      <c r="U30" s="135" t="str">
        <f>IF($B30="","",_xll.BFxForward(B30,$J30,"DAYS","PRICINGDATE",$G30))</f>
        <v/>
      </c>
      <c r="V30" s="245" t="e">
        <f t="shared" si="0"/>
        <v>#VALUE!</v>
      </c>
      <c r="W30" s="245"/>
      <c r="X30" s="246"/>
      <c r="Y30" s="66" t="e">
        <f>DATEVALUE(_xll.BDP(V30, "SETTLE_DT"))</f>
        <v>#VALUE!</v>
      </c>
      <c r="AA30" s="2"/>
      <c r="AC30" s="131"/>
    </row>
    <row r="31" spans="2:29" ht="15" customHeight="1" x14ac:dyDescent="0.2"/>
    <row r="32" spans="2:29" x14ac:dyDescent="0.2">
      <c r="D32" s="231"/>
    </row>
  </sheetData>
  <mergeCells count="36">
    <mergeCell ref="B9:B10"/>
    <mergeCell ref="C9:C10"/>
    <mergeCell ref="D9:D10"/>
    <mergeCell ref="E9:E10"/>
    <mergeCell ref="L9:L10"/>
    <mergeCell ref="Y9:Y10"/>
    <mergeCell ref="V12:X12"/>
    <mergeCell ref="V13:X13"/>
    <mergeCell ref="V11:X11"/>
    <mergeCell ref="M9:M10"/>
    <mergeCell ref="N9:N10"/>
    <mergeCell ref="O9:O10"/>
    <mergeCell ref="P9:P10"/>
    <mergeCell ref="Q9:Q10"/>
    <mergeCell ref="R9:R10"/>
    <mergeCell ref="S9:S10"/>
    <mergeCell ref="T9:T10"/>
    <mergeCell ref="U9:U10"/>
    <mergeCell ref="V9:X10"/>
    <mergeCell ref="V14:X14"/>
    <mergeCell ref="V15:X15"/>
    <mergeCell ref="V16:X16"/>
    <mergeCell ref="V17:X17"/>
    <mergeCell ref="V18:X18"/>
    <mergeCell ref="V19:X19"/>
    <mergeCell ref="V20:X20"/>
    <mergeCell ref="V21:X21"/>
    <mergeCell ref="V22:X22"/>
    <mergeCell ref="V23:X23"/>
    <mergeCell ref="V24:X24"/>
    <mergeCell ref="V25:X25"/>
    <mergeCell ref="V26:X26"/>
    <mergeCell ref="V30:X30"/>
    <mergeCell ref="V27:X27"/>
    <mergeCell ref="V28:X28"/>
    <mergeCell ref="V29:X29"/>
  </mergeCells>
  <dataValidations count="2">
    <dataValidation type="list" allowBlank="1" sqref="C7">
      <formula1>"BGN, BGL, BGT, CMPN, CMPL, CMPT"</formula1>
    </dataValidation>
    <dataValidation type="list" allowBlank="1" showInputMessage="1" showErrorMessage="1" sqref="C11:C30">
      <formula1>"Regular, NDF, Onshore,Offshore"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wardCurve1"/>
  <dimension ref="A1:X180"/>
  <sheetViews>
    <sheetView showGridLines="0" showRowColHeaders="0" workbookViewId="0">
      <pane ySplit="5" topLeftCell="A6" activePane="bottomLeft" state="frozen"/>
      <selection pane="bottomLeft" activeCell="B7" sqref="B7:C7"/>
    </sheetView>
  </sheetViews>
  <sheetFormatPr defaultRowHeight="12.75" x14ac:dyDescent="0.2"/>
  <cols>
    <col min="1" max="1" width="1.7109375" customWidth="1"/>
    <col min="2" max="2" width="8.5703125" customWidth="1"/>
    <col min="3" max="3" width="10.85546875" customWidth="1"/>
    <col min="4" max="4" width="17" customWidth="1"/>
    <col min="5" max="8" width="13.140625" customWidth="1"/>
    <col min="9" max="11" width="10.7109375" hidden="1" customWidth="1"/>
    <col min="12" max="12" width="1.7109375" customWidth="1"/>
    <col min="13" max="13" width="8.42578125" customWidth="1"/>
    <col min="14" max="14" width="10.7109375" customWidth="1"/>
    <col min="15" max="15" width="15.5703125" customWidth="1"/>
    <col min="16" max="19" width="12.5703125" customWidth="1"/>
    <col min="20" max="24" width="10.7109375" hidden="1" customWidth="1"/>
  </cols>
  <sheetData>
    <row r="1" spans="2:24" ht="5.0999999999999996" customHeight="1" x14ac:dyDescent="0.2"/>
    <row r="2" spans="2:24" ht="15" customHeight="1" x14ac:dyDescent="0.2"/>
    <row r="3" spans="2:24" ht="15" customHeight="1" x14ac:dyDescent="0.2"/>
    <row r="4" spans="2:24" ht="15" customHeight="1" x14ac:dyDescent="0.2"/>
    <row r="5" spans="2:24" ht="5.0999999999999996" customHeight="1" x14ac:dyDescent="0.2"/>
    <row r="6" spans="2:24" ht="5.0999999999999996" customHeight="1" x14ac:dyDescent="0.2">
      <c r="B6" s="71"/>
      <c r="C6" s="71"/>
    </row>
    <row r="7" spans="2:24" ht="15" customHeight="1" x14ac:dyDescent="0.2">
      <c r="B7" s="270" t="s">
        <v>71</v>
      </c>
      <c r="C7" s="271"/>
      <c r="D7" s="93" t="s">
        <v>72</v>
      </c>
      <c r="E7" s="10" t="str">
        <f>_xll.BDP(D7 &amp; " Curncy", "CALENDAR_CODE")</f>
        <v>TE</v>
      </c>
      <c r="F7" s="270" t="s">
        <v>29</v>
      </c>
      <c r="G7" s="271"/>
      <c r="H7" s="93" t="s">
        <v>41</v>
      </c>
      <c r="M7" s="272" t="s">
        <v>73</v>
      </c>
      <c r="N7" s="273"/>
      <c r="O7" s="93" t="s">
        <v>74</v>
      </c>
      <c r="P7" s="76" t="str">
        <f>_xll.BDP(O7&amp;" curncy", "calendar code")</f>
        <v>JN</v>
      </c>
      <c r="Q7" s="270" t="s">
        <v>29</v>
      </c>
      <c r="R7" s="271"/>
      <c r="S7" s="93" t="s">
        <v>41</v>
      </c>
    </row>
    <row r="8" spans="2:24" ht="15" customHeight="1" x14ac:dyDescent="0.2">
      <c r="B8" s="274" t="s">
        <v>46</v>
      </c>
      <c r="C8" s="275"/>
      <c r="D8" s="95">
        <v>42020</v>
      </c>
      <c r="F8" s="288" t="s">
        <v>154</v>
      </c>
      <c r="G8" s="289"/>
      <c r="H8" s="93" t="s">
        <v>155</v>
      </c>
      <c r="M8" s="276" t="s">
        <v>46</v>
      </c>
      <c r="N8" s="275"/>
      <c r="O8" s="95">
        <v>42019</v>
      </c>
      <c r="Q8" s="288" t="s">
        <v>154</v>
      </c>
      <c r="R8" s="289"/>
      <c r="S8" s="93" t="s">
        <v>155</v>
      </c>
    </row>
    <row r="9" spans="2:24" s="123" customFormat="1" ht="15" hidden="1" customHeight="1" x14ac:dyDescent="0.2">
      <c r="B9" s="137"/>
      <c r="C9" s="137"/>
      <c r="D9" s="138">
        <f>_xll.BAddPeriods(D8,"busdayadj=-1")</f>
        <v>42020</v>
      </c>
      <c r="H9" s="123" t="str">
        <f>IF(H7="regular","",IF(H7="Onshore","onshore",IF(H7="NDF","ndf","offshore")))</f>
        <v/>
      </c>
      <c r="M9" s="137"/>
      <c r="N9" s="137"/>
      <c r="O9" s="138">
        <f>_xll.BAddPeriods(O8,"busdayadj=-1")</f>
        <v>42019</v>
      </c>
      <c r="S9" s="123" t="str">
        <f>IF(S7="regular","",IF(S7="Onshore","onshore",IF(S7="NDF","ndf","offshore")))</f>
        <v/>
      </c>
    </row>
    <row r="10" spans="2:24" ht="5.0999999999999996" customHeight="1" x14ac:dyDescent="0.2"/>
    <row r="11" spans="2:24" ht="15" customHeight="1" x14ac:dyDescent="0.2">
      <c r="B11" s="152" t="str">
        <f>_xll.BFxCurve(D7,"output=TENOR,DAYS,SETTLEMENTDATE,ASKPOINTS,BIDPOINTS,ASKOUTRIGHT,BIDOUTRIGHT","MARKETTYPE",$H$9,"PRICINGDATE",D9,"USEIMMTENORS",H8,"cols=7;rows=41")</f>
        <v>Tenor</v>
      </c>
      <c r="C11" s="147" t="s">
        <v>16</v>
      </c>
      <c r="D11" s="153" t="s">
        <v>152</v>
      </c>
      <c r="E11" s="145" t="s">
        <v>133</v>
      </c>
      <c r="F11" s="145" t="s">
        <v>153</v>
      </c>
      <c r="G11" s="146" t="s">
        <v>135</v>
      </c>
      <c r="H11" s="148" t="s">
        <v>134</v>
      </c>
      <c r="I11" s="169"/>
      <c r="J11" s="147"/>
      <c r="K11" s="148"/>
      <c r="M11" s="152" t="str">
        <f>_xll.BFxCurve(O7,"output=TENOR,DAYS,SETTLEMENTDATE,ASKPOINTS,BIDPOINTS,ASKOUTRIGHT,BIDOUTRIGHT","MARKETTYPE",$S$9,"PRICINGDATE",O9,"USEIMMTENORS",S8,"cols=7;rows=41")</f>
        <v>Tenor</v>
      </c>
      <c r="N11" s="147" t="s">
        <v>16</v>
      </c>
      <c r="O11" s="153" t="s">
        <v>152</v>
      </c>
      <c r="P11" s="145" t="s">
        <v>133</v>
      </c>
      <c r="Q11" s="145" t="s">
        <v>153</v>
      </c>
      <c r="R11" s="146" t="s">
        <v>135</v>
      </c>
      <c r="S11" s="148" t="s">
        <v>134</v>
      </c>
      <c r="T11" s="169"/>
      <c r="U11" s="147"/>
      <c r="V11" s="147"/>
      <c r="W11" s="147"/>
      <c r="X11" s="148"/>
    </row>
    <row r="12" spans="2:24" ht="15" customHeight="1" x14ac:dyDescent="0.2">
      <c r="B12" s="126" t="s">
        <v>50</v>
      </c>
      <c r="C12" s="51">
        <v>4</v>
      </c>
      <c r="D12" s="50">
        <v>42024</v>
      </c>
      <c r="E12" s="43">
        <v>0.42599999999999999</v>
      </c>
      <c r="F12" s="43">
        <v>0.38900000000000001</v>
      </c>
      <c r="G12" s="149">
        <v>1.1567611</v>
      </c>
      <c r="H12" s="171">
        <v>1.1566574000000001</v>
      </c>
      <c r="I12" s="52"/>
      <c r="J12" s="51"/>
      <c r="K12" s="98"/>
      <c r="M12" s="126" t="s">
        <v>50</v>
      </c>
      <c r="N12" s="51">
        <v>1</v>
      </c>
      <c r="O12" s="50">
        <v>42020</v>
      </c>
      <c r="P12" s="43">
        <v>1.615</v>
      </c>
      <c r="Q12" s="43">
        <v>-1.8049999999999999</v>
      </c>
      <c r="R12" s="149">
        <v>116.19213999999999</v>
      </c>
      <c r="S12" s="171">
        <v>116.14324000000001</v>
      </c>
      <c r="T12" s="52"/>
      <c r="U12" s="51"/>
      <c r="V12" s="51"/>
      <c r="W12" s="54"/>
      <c r="X12" s="106"/>
    </row>
    <row r="13" spans="2:24" ht="15" customHeight="1" x14ac:dyDescent="0.2">
      <c r="B13" s="126" t="s">
        <v>51</v>
      </c>
      <c r="C13" s="141">
        <v>0</v>
      </c>
      <c r="D13" s="140">
        <v>42024</v>
      </c>
      <c r="E13" s="151"/>
      <c r="F13" s="151"/>
      <c r="G13" s="150"/>
      <c r="H13" s="172"/>
      <c r="I13" s="139"/>
      <c r="J13" s="141"/>
      <c r="K13" s="142"/>
      <c r="M13" s="126" t="s">
        <v>51</v>
      </c>
      <c r="N13" s="141">
        <v>4</v>
      </c>
      <c r="O13" s="140">
        <v>42024</v>
      </c>
      <c r="P13" s="151">
        <v>6.0999999999999999E-2</v>
      </c>
      <c r="Q13" s="151">
        <v>-0.40899999999999997</v>
      </c>
      <c r="R13" s="150">
        <v>116.17409000000001</v>
      </c>
      <c r="S13" s="172">
        <v>116.15939</v>
      </c>
      <c r="T13" s="139"/>
      <c r="U13" s="141"/>
      <c r="V13" s="141"/>
      <c r="W13" s="143"/>
      <c r="X13" s="144"/>
    </row>
    <row r="14" spans="2:24" ht="15" customHeight="1" x14ac:dyDescent="0.2">
      <c r="B14" s="126" t="s">
        <v>136</v>
      </c>
      <c r="C14" s="141">
        <v>0</v>
      </c>
      <c r="D14" s="140">
        <v>42024</v>
      </c>
      <c r="E14" s="151">
        <v>1.1568000000000001</v>
      </c>
      <c r="F14" s="151">
        <v>1.1567000000000001</v>
      </c>
      <c r="G14" s="150">
        <v>1.1568000000000001</v>
      </c>
      <c r="H14" s="172">
        <v>1.1567000000000001</v>
      </c>
      <c r="I14" s="139"/>
      <c r="J14" s="141"/>
      <c r="K14" s="142"/>
      <c r="M14" s="126" t="s">
        <v>136</v>
      </c>
      <c r="N14" s="141">
        <v>0</v>
      </c>
      <c r="O14" s="140">
        <v>42024</v>
      </c>
      <c r="P14" s="151">
        <v>116.17</v>
      </c>
      <c r="Q14" s="151">
        <v>116.16</v>
      </c>
      <c r="R14" s="150">
        <v>116.17</v>
      </c>
      <c r="S14" s="172">
        <v>116.16</v>
      </c>
      <c r="T14" s="139"/>
      <c r="U14" s="141"/>
      <c r="V14" s="141"/>
      <c r="W14" s="143"/>
      <c r="X14" s="144"/>
    </row>
    <row r="15" spans="2:24" ht="15" customHeight="1" x14ac:dyDescent="0.2">
      <c r="B15" s="126" t="s">
        <v>52</v>
      </c>
      <c r="C15" s="141">
        <v>1</v>
      </c>
      <c r="D15" s="140">
        <v>42025</v>
      </c>
      <c r="E15" s="151">
        <v>0.14000000000000001</v>
      </c>
      <c r="F15" s="151">
        <v>9.5000000000000001E-2</v>
      </c>
      <c r="G15" s="150">
        <v>1.156814</v>
      </c>
      <c r="H15" s="172">
        <v>1.1567095000000001</v>
      </c>
      <c r="I15" s="139"/>
      <c r="J15" s="141"/>
      <c r="K15" s="142"/>
      <c r="M15" s="126" t="s">
        <v>52</v>
      </c>
      <c r="N15" s="141">
        <v>1</v>
      </c>
      <c r="O15" s="140">
        <v>42025</v>
      </c>
      <c r="P15" s="151">
        <v>-8.1000000000000003E-2</v>
      </c>
      <c r="Q15" s="151">
        <v>-0.187</v>
      </c>
      <c r="R15" s="150">
        <v>116.16919</v>
      </c>
      <c r="S15" s="172">
        <v>116.15813</v>
      </c>
      <c r="T15" s="139"/>
      <c r="U15" s="141"/>
      <c r="V15" s="141"/>
      <c r="W15" s="143"/>
      <c r="X15" s="144"/>
    </row>
    <row r="16" spans="2:24" ht="15" customHeight="1" x14ac:dyDescent="0.2">
      <c r="B16" s="126" t="s">
        <v>53</v>
      </c>
      <c r="C16" s="141">
        <v>7</v>
      </c>
      <c r="D16" s="140">
        <v>42031</v>
      </c>
      <c r="E16" s="151">
        <v>0.99</v>
      </c>
      <c r="F16" s="151">
        <v>0.67</v>
      </c>
      <c r="G16" s="150">
        <v>1.1568989999999999</v>
      </c>
      <c r="H16" s="172">
        <v>1.1567670000000001</v>
      </c>
      <c r="I16" s="139"/>
      <c r="J16" s="141"/>
      <c r="K16" s="142"/>
      <c r="M16" s="126" t="s">
        <v>53</v>
      </c>
      <c r="N16" s="141">
        <v>7</v>
      </c>
      <c r="O16" s="140">
        <v>42031</v>
      </c>
      <c r="P16" s="151">
        <v>-0.74</v>
      </c>
      <c r="Q16" s="151">
        <v>-0.97</v>
      </c>
      <c r="R16" s="150">
        <v>116.1626</v>
      </c>
      <c r="S16" s="172">
        <v>116.1503</v>
      </c>
      <c r="T16" s="139"/>
      <c r="U16" s="141"/>
      <c r="V16" s="141"/>
      <c r="W16" s="143"/>
      <c r="X16" s="144"/>
    </row>
    <row r="17" spans="2:24" ht="15" customHeight="1" x14ac:dyDescent="0.2">
      <c r="B17" s="126" t="s">
        <v>170</v>
      </c>
      <c r="C17" s="141">
        <v>10</v>
      </c>
      <c r="D17" s="140">
        <v>42034</v>
      </c>
      <c r="E17" s="151">
        <v>1.34</v>
      </c>
      <c r="F17" s="151">
        <v>1.1000000000000001</v>
      </c>
      <c r="G17" s="150">
        <v>1.1569339999999999</v>
      </c>
      <c r="H17" s="172">
        <v>1.1568099999999999</v>
      </c>
      <c r="I17" s="139"/>
      <c r="J17" s="141"/>
      <c r="K17" s="142"/>
      <c r="M17" s="126" t="s">
        <v>170</v>
      </c>
      <c r="N17" s="141">
        <v>10</v>
      </c>
      <c r="O17" s="140">
        <v>42034</v>
      </c>
      <c r="P17" s="151">
        <v>-1.1299999999999999</v>
      </c>
      <c r="Q17" s="151">
        <v>-1.33</v>
      </c>
      <c r="R17" s="150">
        <v>116.1587</v>
      </c>
      <c r="S17" s="172">
        <v>116.1467</v>
      </c>
      <c r="T17" s="139"/>
      <c r="U17" s="141"/>
      <c r="V17" s="141"/>
      <c r="W17" s="143"/>
      <c r="X17" s="144"/>
    </row>
    <row r="18" spans="2:24" ht="15" customHeight="1" x14ac:dyDescent="0.2">
      <c r="B18" s="126" t="s">
        <v>171</v>
      </c>
      <c r="C18" s="141">
        <v>13</v>
      </c>
      <c r="D18" s="140">
        <v>42037</v>
      </c>
      <c r="E18" s="151">
        <v>1.69</v>
      </c>
      <c r="F18" s="151">
        <v>1.53</v>
      </c>
      <c r="G18" s="150">
        <v>1.1569689999999999</v>
      </c>
      <c r="H18" s="172">
        <v>1.1568529999999999</v>
      </c>
      <c r="I18" s="139"/>
      <c r="J18" s="141"/>
      <c r="K18" s="142"/>
      <c r="M18" s="126" t="s">
        <v>171</v>
      </c>
      <c r="N18" s="141">
        <v>13</v>
      </c>
      <c r="O18" s="140">
        <v>42037</v>
      </c>
      <c r="P18" s="151">
        <v>-1.51</v>
      </c>
      <c r="Q18" s="151">
        <v>-1.7</v>
      </c>
      <c r="R18" s="150">
        <v>116.1549</v>
      </c>
      <c r="S18" s="172">
        <v>116.143</v>
      </c>
      <c r="T18" s="139"/>
      <c r="U18" s="141"/>
      <c r="V18" s="141"/>
      <c r="W18" s="143"/>
      <c r="X18" s="144"/>
    </row>
    <row r="19" spans="2:24" ht="15" customHeight="1" x14ac:dyDescent="0.2">
      <c r="B19" s="126" t="s">
        <v>54</v>
      </c>
      <c r="C19" s="141">
        <v>14</v>
      </c>
      <c r="D19" s="140">
        <v>42038</v>
      </c>
      <c r="E19" s="151">
        <v>1.81</v>
      </c>
      <c r="F19" s="151">
        <v>1.67</v>
      </c>
      <c r="G19" s="150">
        <v>1.156981</v>
      </c>
      <c r="H19" s="172">
        <v>1.1568670000000001</v>
      </c>
      <c r="I19" s="139"/>
      <c r="J19" s="141"/>
      <c r="K19" s="142"/>
      <c r="M19" s="126" t="s">
        <v>54</v>
      </c>
      <c r="N19" s="141">
        <v>14</v>
      </c>
      <c r="O19" s="140">
        <v>42038</v>
      </c>
      <c r="P19" s="151">
        <v>-1.64</v>
      </c>
      <c r="Q19" s="151">
        <v>-1.82</v>
      </c>
      <c r="R19" s="150">
        <v>116.1536</v>
      </c>
      <c r="S19" s="172">
        <v>116.1418</v>
      </c>
      <c r="T19" s="139"/>
      <c r="U19" s="141"/>
      <c r="V19" s="141"/>
      <c r="W19" s="143"/>
      <c r="X19" s="144"/>
    </row>
    <row r="20" spans="2:24" ht="15" customHeight="1" x14ac:dyDescent="0.2">
      <c r="B20" s="126" t="s">
        <v>55</v>
      </c>
      <c r="C20" s="141">
        <v>21</v>
      </c>
      <c r="D20" s="140">
        <v>42045</v>
      </c>
      <c r="E20" s="151">
        <v>2.72</v>
      </c>
      <c r="F20" s="151">
        <v>2.64</v>
      </c>
      <c r="G20" s="150">
        <v>1.1570720000000001</v>
      </c>
      <c r="H20" s="172">
        <v>1.1569640000000001</v>
      </c>
      <c r="I20" s="139"/>
      <c r="J20" s="141"/>
      <c r="K20" s="142"/>
      <c r="M20" s="126" t="s">
        <v>55</v>
      </c>
      <c r="N20" s="141">
        <v>21</v>
      </c>
      <c r="O20" s="140">
        <v>42045</v>
      </c>
      <c r="P20" s="151">
        <v>-2.4</v>
      </c>
      <c r="Q20" s="151">
        <v>-2.68</v>
      </c>
      <c r="R20" s="150">
        <v>116.146</v>
      </c>
      <c r="S20" s="172">
        <v>116.1332</v>
      </c>
      <c r="T20" s="139"/>
      <c r="U20" s="141"/>
      <c r="V20" s="141"/>
      <c r="W20" s="143"/>
      <c r="X20" s="144"/>
    </row>
    <row r="21" spans="2:24" ht="15" customHeight="1" x14ac:dyDescent="0.2">
      <c r="B21" s="126" t="s">
        <v>56</v>
      </c>
      <c r="C21" s="141">
        <v>31</v>
      </c>
      <c r="D21" s="140">
        <v>42055</v>
      </c>
      <c r="E21" s="151">
        <v>4.16</v>
      </c>
      <c r="F21" s="151">
        <v>3.77</v>
      </c>
      <c r="G21" s="150">
        <v>1.157216</v>
      </c>
      <c r="H21" s="172">
        <v>1.1570769999999999</v>
      </c>
      <c r="I21" s="139"/>
      <c r="J21" s="141"/>
      <c r="K21" s="142"/>
      <c r="M21" s="126" t="s">
        <v>56</v>
      </c>
      <c r="N21" s="141">
        <v>31</v>
      </c>
      <c r="O21" s="140">
        <v>42055</v>
      </c>
      <c r="P21" s="151">
        <v>-3.51</v>
      </c>
      <c r="Q21" s="151">
        <v>-3.98</v>
      </c>
      <c r="R21" s="150">
        <v>116.1349</v>
      </c>
      <c r="S21" s="172">
        <v>116.1202</v>
      </c>
      <c r="T21" s="139"/>
      <c r="U21" s="141"/>
      <c r="V21" s="141"/>
      <c r="W21" s="143"/>
      <c r="X21" s="144"/>
    </row>
    <row r="22" spans="2:24" ht="15" customHeight="1" x14ac:dyDescent="0.2">
      <c r="B22" s="126" t="s">
        <v>172</v>
      </c>
      <c r="C22" s="141">
        <v>38</v>
      </c>
      <c r="D22" s="140">
        <v>42062</v>
      </c>
      <c r="E22" s="151">
        <v>4.91</v>
      </c>
      <c r="F22" s="151">
        <v>4.55</v>
      </c>
      <c r="G22" s="150">
        <v>1.1572910000000001</v>
      </c>
      <c r="H22" s="172">
        <v>1.1571549999999999</v>
      </c>
      <c r="I22" s="139"/>
      <c r="J22" s="141"/>
      <c r="K22" s="142"/>
      <c r="M22" s="126" t="s">
        <v>172</v>
      </c>
      <c r="N22" s="141">
        <v>38</v>
      </c>
      <c r="O22" s="140">
        <v>42062</v>
      </c>
      <c r="P22" s="151">
        <v>-4.3099999999999996</v>
      </c>
      <c r="Q22" s="151">
        <v>-4.7300000000000004</v>
      </c>
      <c r="R22" s="150">
        <v>116.12690000000001</v>
      </c>
      <c r="S22" s="172">
        <v>116.1127</v>
      </c>
      <c r="T22" s="139"/>
      <c r="U22" s="141"/>
      <c r="V22" s="141"/>
      <c r="W22" s="143"/>
      <c r="X22" s="144"/>
    </row>
    <row r="23" spans="2:24" ht="15" customHeight="1" x14ac:dyDescent="0.2">
      <c r="B23" s="126" t="s">
        <v>173</v>
      </c>
      <c r="C23" s="141">
        <v>41</v>
      </c>
      <c r="D23" s="140">
        <v>42065</v>
      </c>
      <c r="E23" s="151">
        <v>5.22</v>
      </c>
      <c r="F23" s="151">
        <v>4.88</v>
      </c>
      <c r="G23" s="150">
        <v>1.157322</v>
      </c>
      <c r="H23" s="172">
        <v>1.1571880000000001</v>
      </c>
      <c r="I23" s="139"/>
      <c r="J23" s="141"/>
      <c r="K23" s="142"/>
      <c r="M23" s="126" t="s">
        <v>173</v>
      </c>
      <c r="N23" s="141">
        <v>41</v>
      </c>
      <c r="O23" s="140">
        <v>42065</v>
      </c>
      <c r="P23" s="151">
        <v>-4.6500000000000004</v>
      </c>
      <c r="Q23" s="151">
        <v>-5.0599999999999996</v>
      </c>
      <c r="R23" s="150">
        <v>116.12350000000001</v>
      </c>
      <c r="S23" s="172">
        <v>116.10939999999999</v>
      </c>
      <c r="T23" s="139"/>
      <c r="U23" s="141"/>
      <c r="V23" s="141"/>
      <c r="W23" s="143"/>
      <c r="X23" s="144"/>
    </row>
    <row r="24" spans="2:24" ht="15" customHeight="1" x14ac:dyDescent="0.2">
      <c r="B24" s="126" t="s">
        <v>131</v>
      </c>
      <c r="C24" s="141">
        <v>57</v>
      </c>
      <c r="D24" s="140">
        <v>42081</v>
      </c>
      <c r="E24" s="151">
        <v>6.93</v>
      </c>
      <c r="F24" s="151">
        <v>6.65</v>
      </c>
      <c r="G24" s="150">
        <v>1.1574930000000001</v>
      </c>
      <c r="H24" s="172">
        <v>1.157365</v>
      </c>
      <c r="I24" s="139"/>
      <c r="J24" s="141"/>
      <c r="K24" s="142"/>
      <c r="M24" s="126" t="s">
        <v>131</v>
      </c>
      <c r="N24" s="141">
        <v>57</v>
      </c>
      <c r="O24" s="140">
        <v>42081</v>
      </c>
      <c r="P24" s="151">
        <v>-6.47</v>
      </c>
      <c r="Q24" s="151">
        <v>-6.78</v>
      </c>
      <c r="R24" s="150">
        <v>116.1053</v>
      </c>
      <c r="S24" s="172">
        <v>116.09220000000001</v>
      </c>
      <c r="T24" s="139"/>
      <c r="U24" s="141"/>
      <c r="V24" s="141"/>
      <c r="W24" s="143"/>
      <c r="X24" s="144"/>
    </row>
    <row r="25" spans="2:24" ht="15" customHeight="1" x14ac:dyDescent="0.2">
      <c r="B25" s="126" t="s">
        <v>57</v>
      </c>
      <c r="C25" s="141">
        <v>59</v>
      </c>
      <c r="D25" s="140">
        <v>42083</v>
      </c>
      <c r="E25" s="151">
        <v>7.14</v>
      </c>
      <c r="F25" s="151">
        <v>6.87</v>
      </c>
      <c r="G25" s="150">
        <v>1.1575139999999999</v>
      </c>
      <c r="H25" s="172">
        <v>1.1573869999999999</v>
      </c>
      <c r="I25" s="139"/>
      <c r="J25" s="141"/>
      <c r="K25" s="142"/>
      <c r="M25" s="126" t="s">
        <v>57</v>
      </c>
      <c r="N25" s="141">
        <v>59</v>
      </c>
      <c r="O25" s="140">
        <v>42083</v>
      </c>
      <c r="P25" s="151">
        <v>-6.7</v>
      </c>
      <c r="Q25" s="151">
        <v>-7</v>
      </c>
      <c r="R25" s="150">
        <v>116.10299999999999</v>
      </c>
      <c r="S25" s="172">
        <v>116.09</v>
      </c>
      <c r="T25" s="139"/>
      <c r="U25" s="141"/>
      <c r="V25" s="141"/>
      <c r="W25" s="143"/>
      <c r="X25" s="144"/>
    </row>
    <row r="26" spans="2:24" ht="15" customHeight="1" x14ac:dyDescent="0.2">
      <c r="B26" s="126" t="s">
        <v>174</v>
      </c>
      <c r="C26" s="141">
        <v>70</v>
      </c>
      <c r="D26" s="140">
        <v>42094</v>
      </c>
      <c r="E26" s="151">
        <v>8.58</v>
      </c>
      <c r="F26" s="151">
        <v>8.3000000000000007</v>
      </c>
      <c r="G26" s="150">
        <v>1.1576580000000001</v>
      </c>
      <c r="H26" s="172">
        <v>1.1575299999999999</v>
      </c>
      <c r="I26" s="139"/>
      <c r="J26" s="141"/>
      <c r="K26" s="142"/>
      <c r="M26" s="126" t="s">
        <v>174</v>
      </c>
      <c r="N26" s="141">
        <v>70</v>
      </c>
      <c r="O26" s="140">
        <v>42094</v>
      </c>
      <c r="P26" s="151">
        <v>-8.19</v>
      </c>
      <c r="Q26" s="151">
        <v>-8.56</v>
      </c>
      <c r="R26" s="150">
        <v>116.0881</v>
      </c>
      <c r="S26" s="172">
        <v>116.0744</v>
      </c>
      <c r="T26" s="139"/>
      <c r="U26" s="141"/>
      <c r="V26" s="141"/>
      <c r="W26" s="143"/>
      <c r="X26" s="144"/>
    </row>
    <row r="27" spans="2:24" ht="15" customHeight="1" x14ac:dyDescent="0.2">
      <c r="B27" s="126" t="s">
        <v>175</v>
      </c>
      <c r="C27" s="141">
        <v>71</v>
      </c>
      <c r="D27" s="140">
        <v>42095</v>
      </c>
      <c r="E27" s="151">
        <v>8.7200000000000006</v>
      </c>
      <c r="F27" s="151">
        <v>8.43</v>
      </c>
      <c r="G27" s="150">
        <v>1.157672</v>
      </c>
      <c r="H27" s="172">
        <v>1.157543</v>
      </c>
      <c r="I27" s="139"/>
      <c r="J27" s="141"/>
      <c r="K27" s="142"/>
      <c r="M27" s="126" t="s">
        <v>175</v>
      </c>
      <c r="N27" s="141">
        <v>71</v>
      </c>
      <c r="O27" s="140">
        <v>42095</v>
      </c>
      <c r="P27" s="151">
        <v>-8.32</v>
      </c>
      <c r="Q27" s="151">
        <v>-8.6999999999999993</v>
      </c>
      <c r="R27" s="150">
        <v>116.0868</v>
      </c>
      <c r="S27" s="172">
        <v>116.07299999999999</v>
      </c>
      <c r="T27" s="139"/>
      <c r="U27" s="141"/>
      <c r="V27" s="141"/>
      <c r="W27" s="143"/>
      <c r="X27" s="144"/>
    </row>
    <row r="28" spans="2:24" ht="15" customHeight="1" x14ac:dyDescent="0.2">
      <c r="B28" s="126" t="s">
        <v>58</v>
      </c>
      <c r="C28" s="141">
        <v>90</v>
      </c>
      <c r="D28" s="140">
        <v>42114</v>
      </c>
      <c r="E28" s="151">
        <v>11.21</v>
      </c>
      <c r="F28" s="151">
        <v>10.91</v>
      </c>
      <c r="G28" s="150">
        <v>1.157921</v>
      </c>
      <c r="H28" s="172">
        <v>1.157791</v>
      </c>
      <c r="I28" s="139"/>
      <c r="J28" s="141"/>
      <c r="K28" s="142"/>
      <c r="M28" s="126" t="s">
        <v>58</v>
      </c>
      <c r="N28" s="141">
        <v>90</v>
      </c>
      <c r="O28" s="140">
        <v>42114</v>
      </c>
      <c r="P28" s="151">
        <v>-10.89</v>
      </c>
      <c r="Q28" s="151">
        <v>-11.4</v>
      </c>
      <c r="R28" s="150">
        <v>116.0611</v>
      </c>
      <c r="S28" s="172">
        <v>116.04600000000001</v>
      </c>
      <c r="T28" s="139"/>
      <c r="U28" s="141"/>
      <c r="V28" s="141"/>
      <c r="W28" s="143"/>
      <c r="X28" s="144"/>
    </row>
    <row r="29" spans="2:24" ht="15" customHeight="1" x14ac:dyDescent="0.2">
      <c r="B29" s="126" t="s">
        <v>59</v>
      </c>
      <c r="C29" s="141">
        <v>120</v>
      </c>
      <c r="D29" s="140">
        <v>42144</v>
      </c>
      <c r="E29" s="151">
        <v>15.7</v>
      </c>
      <c r="F29" s="151">
        <v>15.24</v>
      </c>
      <c r="G29" s="150">
        <v>1.1583699999999999</v>
      </c>
      <c r="H29" s="172">
        <v>1.1582239999999999</v>
      </c>
      <c r="I29" s="139"/>
      <c r="J29" s="141"/>
      <c r="K29" s="142"/>
      <c r="M29" s="126" t="s">
        <v>59</v>
      </c>
      <c r="N29" s="141">
        <v>120</v>
      </c>
      <c r="O29" s="140">
        <v>42144</v>
      </c>
      <c r="P29" s="151">
        <v>-14.55</v>
      </c>
      <c r="Q29" s="151">
        <v>-15.3</v>
      </c>
      <c r="R29" s="150">
        <v>116.0245</v>
      </c>
      <c r="S29" s="172">
        <v>116.00700000000001</v>
      </c>
      <c r="T29" s="139"/>
      <c r="U29" s="141"/>
      <c r="V29" s="141"/>
      <c r="W29" s="143"/>
      <c r="X29" s="144"/>
    </row>
    <row r="30" spans="2:24" ht="15" customHeight="1" x14ac:dyDescent="0.2">
      <c r="B30" s="126" t="s">
        <v>132</v>
      </c>
      <c r="C30" s="141">
        <v>148</v>
      </c>
      <c r="D30" s="140">
        <v>42172</v>
      </c>
      <c r="E30" s="151">
        <v>20.22</v>
      </c>
      <c r="F30" s="151">
        <v>19.66</v>
      </c>
      <c r="G30" s="150">
        <v>1.158822</v>
      </c>
      <c r="H30" s="172">
        <v>1.158666</v>
      </c>
      <c r="I30" s="139"/>
      <c r="J30" s="141"/>
      <c r="K30" s="142"/>
      <c r="M30" s="126" t="s">
        <v>132</v>
      </c>
      <c r="N30" s="141">
        <v>148</v>
      </c>
      <c r="O30" s="140">
        <v>42172</v>
      </c>
      <c r="P30" s="151">
        <v>-17.940000000000001</v>
      </c>
      <c r="Q30" s="151">
        <v>-18.82</v>
      </c>
      <c r="R30" s="150">
        <v>115.9906</v>
      </c>
      <c r="S30" s="172">
        <v>115.9718</v>
      </c>
      <c r="T30" s="139"/>
      <c r="U30" s="141"/>
      <c r="V30" s="141"/>
      <c r="W30" s="143"/>
      <c r="X30" s="144"/>
    </row>
    <row r="31" spans="2:24" ht="15" customHeight="1" x14ac:dyDescent="0.2">
      <c r="B31" s="126" t="s">
        <v>60</v>
      </c>
      <c r="C31" s="141">
        <v>153</v>
      </c>
      <c r="D31" s="140">
        <v>42177</v>
      </c>
      <c r="E31" s="151">
        <v>21.03</v>
      </c>
      <c r="F31" s="151">
        <v>20.45</v>
      </c>
      <c r="G31" s="150">
        <v>1.158903</v>
      </c>
      <c r="H31" s="172">
        <v>1.1587449999999999</v>
      </c>
      <c r="I31" s="139"/>
      <c r="J31" s="141"/>
      <c r="K31" s="142"/>
      <c r="M31" s="126" t="s">
        <v>60</v>
      </c>
      <c r="N31" s="141">
        <v>153</v>
      </c>
      <c r="O31" s="140">
        <v>42177</v>
      </c>
      <c r="P31" s="151">
        <v>-18.55</v>
      </c>
      <c r="Q31" s="151">
        <v>-19.45</v>
      </c>
      <c r="R31" s="150">
        <v>115.9845</v>
      </c>
      <c r="S31" s="172">
        <v>115.96550000000001</v>
      </c>
      <c r="T31" s="139"/>
      <c r="U31" s="141"/>
      <c r="V31" s="141"/>
      <c r="W31" s="143"/>
      <c r="X31" s="144"/>
    </row>
    <row r="32" spans="2:24" ht="15" customHeight="1" x14ac:dyDescent="0.2">
      <c r="B32" s="126" t="s">
        <v>61</v>
      </c>
      <c r="C32" s="141">
        <v>181</v>
      </c>
      <c r="D32" s="140">
        <v>42205</v>
      </c>
      <c r="E32" s="151">
        <v>26.16</v>
      </c>
      <c r="F32" s="151">
        <v>25.39</v>
      </c>
      <c r="G32" s="150">
        <v>1.159416</v>
      </c>
      <c r="H32" s="172">
        <v>1.1592389999999999</v>
      </c>
      <c r="I32" s="139"/>
      <c r="J32" s="141"/>
      <c r="K32" s="142"/>
      <c r="M32" s="126" t="s">
        <v>61</v>
      </c>
      <c r="N32" s="141">
        <v>182</v>
      </c>
      <c r="O32" s="140">
        <v>42206</v>
      </c>
      <c r="P32" s="151">
        <v>-23.2</v>
      </c>
      <c r="Q32" s="151">
        <v>-24.2</v>
      </c>
      <c r="R32" s="150">
        <v>115.938</v>
      </c>
      <c r="S32" s="172">
        <v>115.91800000000001</v>
      </c>
      <c r="T32" s="139"/>
      <c r="U32" s="141"/>
      <c r="V32" s="141"/>
      <c r="W32" s="143"/>
      <c r="X32" s="144"/>
    </row>
    <row r="33" spans="2:24" ht="15" customHeight="1" x14ac:dyDescent="0.2">
      <c r="B33" s="126" t="s">
        <v>156</v>
      </c>
      <c r="C33" s="141">
        <v>239</v>
      </c>
      <c r="D33" s="140">
        <v>42263</v>
      </c>
      <c r="E33" s="151">
        <v>38.619999999999997</v>
      </c>
      <c r="F33" s="151">
        <v>37.61</v>
      </c>
      <c r="G33" s="150">
        <v>1.1606620000000001</v>
      </c>
      <c r="H33" s="172">
        <v>1.160461</v>
      </c>
      <c r="I33" s="139"/>
      <c r="J33" s="141"/>
      <c r="K33" s="142"/>
      <c r="M33" s="126" t="s">
        <v>62</v>
      </c>
      <c r="N33" s="141">
        <v>212</v>
      </c>
      <c r="O33" s="140">
        <v>42236</v>
      </c>
      <c r="P33" s="151">
        <v>-27.78</v>
      </c>
      <c r="Q33" s="151">
        <v>-29.02</v>
      </c>
      <c r="R33" s="150">
        <v>115.8922</v>
      </c>
      <c r="S33" s="172">
        <v>115.8698</v>
      </c>
      <c r="T33" s="139"/>
      <c r="U33" s="141"/>
      <c r="V33" s="141"/>
      <c r="W33" s="143"/>
      <c r="X33" s="144"/>
    </row>
    <row r="34" spans="2:24" ht="15" customHeight="1" x14ac:dyDescent="0.2">
      <c r="B34" s="126" t="s">
        <v>64</v>
      </c>
      <c r="C34" s="141">
        <v>273</v>
      </c>
      <c r="D34" s="140">
        <v>42297</v>
      </c>
      <c r="E34" s="151">
        <v>45.93</v>
      </c>
      <c r="F34" s="151">
        <v>44.77</v>
      </c>
      <c r="G34" s="150">
        <v>1.1613929999999999</v>
      </c>
      <c r="H34" s="172">
        <v>1.1611769999999999</v>
      </c>
      <c r="I34" s="139"/>
      <c r="J34" s="141"/>
      <c r="K34" s="142"/>
      <c r="M34" s="126" t="s">
        <v>156</v>
      </c>
      <c r="N34" s="141">
        <v>239</v>
      </c>
      <c r="O34" s="140">
        <v>42263</v>
      </c>
      <c r="P34" s="151">
        <v>-32.49</v>
      </c>
      <c r="Q34" s="151">
        <v>-33.92</v>
      </c>
      <c r="R34" s="150">
        <v>115.8451</v>
      </c>
      <c r="S34" s="172">
        <v>115.82080000000001</v>
      </c>
      <c r="T34" s="139"/>
      <c r="U34" s="141"/>
      <c r="V34" s="141"/>
      <c r="W34" s="143"/>
      <c r="X34" s="144"/>
    </row>
    <row r="35" spans="2:24" ht="15" customHeight="1" x14ac:dyDescent="0.2">
      <c r="B35" s="126" t="s">
        <v>157</v>
      </c>
      <c r="C35" s="141">
        <v>330</v>
      </c>
      <c r="D35" s="140">
        <v>42354</v>
      </c>
      <c r="E35" s="151">
        <v>62.43</v>
      </c>
      <c r="F35" s="151">
        <v>60.74</v>
      </c>
      <c r="G35" s="150">
        <v>1.163043</v>
      </c>
      <c r="H35" s="172">
        <v>1.162774</v>
      </c>
      <c r="I35" s="139"/>
      <c r="J35" s="141"/>
      <c r="K35" s="142"/>
      <c r="M35" s="126" t="s">
        <v>63</v>
      </c>
      <c r="N35" s="141">
        <v>247</v>
      </c>
      <c r="O35" s="140">
        <v>42271</v>
      </c>
      <c r="P35" s="151">
        <v>-33.880000000000003</v>
      </c>
      <c r="Q35" s="151">
        <v>-35.369999999999997</v>
      </c>
      <c r="R35" s="150">
        <v>115.8312</v>
      </c>
      <c r="S35" s="172">
        <v>115.80629999999999</v>
      </c>
      <c r="T35" s="139"/>
      <c r="U35" s="141"/>
      <c r="V35" s="141"/>
      <c r="W35" s="143"/>
      <c r="X35" s="144"/>
    </row>
    <row r="36" spans="2:24" ht="15" customHeight="1" x14ac:dyDescent="0.2">
      <c r="B36" s="126" t="s">
        <v>130</v>
      </c>
      <c r="C36" s="141">
        <v>365</v>
      </c>
      <c r="D36" s="140">
        <v>42389</v>
      </c>
      <c r="E36" s="151">
        <v>72.56</v>
      </c>
      <c r="F36" s="151">
        <v>70.55</v>
      </c>
      <c r="G36" s="150">
        <v>1.164056</v>
      </c>
      <c r="H36" s="172">
        <v>1.1637550000000001</v>
      </c>
      <c r="I36" s="139"/>
      <c r="J36" s="141"/>
      <c r="K36" s="142"/>
      <c r="M36" s="126" t="s">
        <v>64</v>
      </c>
      <c r="N36" s="141">
        <v>273</v>
      </c>
      <c r="O36" s="140">
        <v>42297</v>
      </c>
      <c r="P36" s="151">
        <v>-39.340000000000003</v>
      </c>
      <c r="Q36" s="151">
        <v>-40.86</v>
      </c>
      <c r="R36" s="150">
        <v>115.7766</v>
      </c>
      <c r="S36" s="172">
        <v>115.7514</v>
      </c>
      <c r="T36" s="139"/>
      <c r="U36" s="141"/>
      <c r="V36" s="141"/>
      <c r="W36" s="143"/>
      <c r="X36" s="144"/>
    </row>
    <row r="37" spans="2:24" ht="15" customHeight="1" x14ac:dyDescent="0.2">
      <c r="B37" s="126" t="s">
        <v>137</v>
      </c>
      <c r="C37" s="141">
        <v>456</v>
      </c>
      <c r="D37" s="140">
        <v>42480</v>
      </c>
      <c r="E37" s="151">
        <v>104.53</v>
      </c>
      <c r="F37" s="151">
        <v>100.53</v>
      </c>
      <c r="G37" s="150">
        <v>1.1672530000000001</v>
      </c>
      <c r="H37" s="172">
        <v>1.1667529999999999</v>
      </c>
      <c r="I37" s="139"/>
      <c r="J37" s="141"/>
      <c r="K37" s="142"/>
      <c r="M37" s="126" t="s">
        <v>65</v>
      </c>
      <c r="N37" s="141">
        <v>304</v>
      </c>
      <c r="O37" s="140">
        <v>42328</v>
      </c>
      <c r="P37" s="151">
        <v>-46.52</v>
      </c>
      <c r="Q37" s="151">
        <v>-47.98</v>
      </c>
      <c r="R37" s="150">
        <v>115.70480000000001</v>
      </c>
      <c r="S37" s="172">
        <v>115.6802</v>
      </c>
      <c r="T37" s="139"/>
      <c r="U37" s="141"/>
      <c r="V37" s="141"/>
      <c r="W37" s="143"/>
      <c r="X37" s="144"/>
    </row>
    <row r="38" spans="2:24" ht="15" customHeight="1" x14ac:dyDescent="0.2">
      <c r="B38" s="126" t="s">
        <v>138</v>
      </c>
      <c r="C38" s="141">
        <v>547</v>
      </c>
      <c r="D38" s="140">
        <v>42571</v>
      </c>
      <c r="E38" s="151">
        <v>141.69999999999999</v>
      </c>
      <c r="F38" s="151">
        <v>136.22999999999999</v>
      </c>
      <c r="G38" s="150">
        <v>1.1709700000000001</v>
      </c>
      <c r="H38" s="172">
        <v>1.170323</v>
      </c>
      <c r="I38" s="139"/>
      <c r="J38" s="141"/>
      <c r="K38" s="142"/>
      <c r="M38" s="126" t="s">
        <v>157</v>
      </c>
      <c r="N38" s="141">
        <v>330</v>
      </c>
      <c r="O38" s="140">
        <v>42354</v>
      </c>
      <c r="P38" s="151">
        <v>-52.87</v>
      </c>
      <c r="Q38" s="151">
        <v>-54.21</v>
      </c>
      <c r="R38" s="150">
        <v>115.6413</v>
      </c>
      <c r="S38" s="172">
        <v>115.61790000000001</v>
      </c>
      <c r="T38" s="139"/>
      <c r="U38" s="141"/>
      <c r="V38" s="141"/>
      <c r="W38" s="143"/>
      <c r="X38" s="144"/>
    </row>
    <row r="39" spans="2:24" ht="15" customHeight="1" x14ac:dyDescent="0.2">
      <c r="B39" s="126" t="s">
        <v>139</v>
      </c>
      <c r="C39" s="141">
        <v>731</v>
      </c>
      <c r="D39" s="140">
        <v>42755</v>
      </c>
      <c r="E39" s="151">
        <v>235.87</v>
      </c>
      <c r="F39" s="151">
        <v>216.55</v>
      </c>
      <c r="G39" s="150">
        <v>1.1803870000000001</v>
      </c>
      <c r="H39" s="172">
        <v>1.178355</v>
      </c>
      <c r="I39" s="139"/>
      <c r="J39" s="141"/>
      <c r="K39" s="142"/>
      <c r="M39" s="126" t="s">
        <v>66</v>
      </c>
      <c r="N39" s="141">
        <v>335</v>
      </c>
      <c r="O39" s="140">
        <v>42359</v>
      </c>
      <c r="P39" s="151">
        <v>-54.09</v>
      </c>
      <c r="Q39" s="151">
        <v>-55.41</v>
      </c>
      <c r="R39" s="150">
        <v>115.62909999999999</v>
      </c>
      <c r="S39" s="172">
        <v>115.60590000000001</v>
      </c>
      <c r="T39" s="139"/>
      <c r="U39" s="141"/>
      <c r="V39" s="141"/>
      <c r="W39" s="143"/>
      <c r="X39" s="144"/>
    </row>
    <row r="40" spans="2:24" ht="15" customHeight="1" x14ac:dyDescent="0.2">
      <c r="B40" s="126" t="s">
        <v>140</v>
      </c>
      <c r="C40" s="141">
        <v>1098</v>
      </c>
      <c r="D40" s="140">
        <v>43122</v>
      </c>
      <c r="E40" s="151">
        <v>445.01</v>
      </c>
      <c r="F40" s="151">
        <v>432.25</v>
      </c>
      <c r="G40" s="150">
        <v>1.201301</v>
      </c>
      <c r="H40" s="172">
        <v>1.1999249999999999</v>
      </c>
      <c r="I40" s="139"/>
      <c r="J40" s="141"/>
      <c r="K40" s="142"/>
      <c r="M40" s="126" t="s">
        <v>130</v>
      </c>
      <c r="N40" s="141">
        <v>365</v>
      </c>
      <c r="O40" s="140">
        <v>42389</v>
      </c>
      <c r="P40" s="151">
        <v>-63.93</v>
      </c>
      <c r="Q40" s="151">
        <v>-65.47</v>
      </c>
      <c r="R40" s="150">
        <v>115.5307</v>
      </c>
      <c r="S40" s="172">
        <v>115.50530000000001</v>
      </c>
      <c r="T40" s="139"/>
      <c r="U40" s="141"/>
      <c r="V40" s="141"/>
      <c r="W40" s="143"/>
      <c r="X40" s="144"/>
    </row>
    <row r="41" spans="2:24" ht="15" customHeight="1" x14ac:dyDescent="0.2">
      <c r="B41" s="126" t="s">
        <v>141</v>
      </c>
      <c r="C41" s="141">
        <v>1463</v>
      </c>
      <c r="D41" s="140">
        <v>43487</v>
      </c>
      <c r="E41" s="151">
        <v>692.09</v>
      </c>
      <c r="F41" s="151">
        <v>672.07</v>
      </c>
      <c r="G41" s="150">
        <v>1.2260089999999999</v>
      </c>
      <c r="H41" s="172">
        <v>1.2239070000000001</v>
      </c>
      <c r="I41" s="139"/>
      <c r="J41" s="141"/>
      <c r="K41" s="142"/>
      <c r="M41" s="126" t="s">
        <v>137</v>
      </c>
      <c r="N41" s="141">
        <v>456</v>
      </c>
      <c r="O41" s="140">
        <v>42480</v>
      </c>
      <c r="P41" s="151">
        <v>-91.53</v>
      </c>
      <c r="Q41" s="151">
        <v>-94.47</v>
      </c>
      <c r="R41" s="150">
        <v>115.2547</v>
      </c>
      <c r="S41" s="172">
        <v>115.2153</v>
      </c>
      <c r="T41" s="139"/>
      <c r="U41" s="141"/>
      <c r="V41" s="141"/>
      <c r="W41" s="143"/>
      <c r="X41" s="144"/>
    </row>
    <row r="42" spans="2:24" ht="15" customHeight="1" x14ac:dyDescent="0.2">
      <c r="B42" s="126" t="s">
        <v>142</v>
      </c>
      <c r="C42" s="141">
        <v>1827</v>
      </c>
      <c r="D42" s="140">
        <v>43851</v>
      </c>
      <c r="E42" s="151">
        <v>940.96</v>
      </c>
      <c r="F42" s="151">
        <v>911.04</v>
      </c>
      <c r="G42" s="150">
        <v>1.250896</v>
      </c>
      <c r="H42" s="172">
        <v>1.2478039999999999</v>
      </c>
      <c r="I42" s="139"/>
      <c r="J42" s="141"/>
      <c r="K42" s="142"/>
      <c r="M42" s="126" t="s">
        <v>138</v>
      </c>
      <c r="N42" s="141">
        <v>547</v>
      </c>
      <c r="O42" s="140">
        <v>42571</v>
      </c>
      <c r="P42" s="151">
        <v>-124.21</v>
      </c>
      <c r="Q42" s="151">
        <v>-127.79</v>
      </c>
      <c r="R42" s="150">
        <v>114.92789999999999</v>
      </c>
      <c r="S42" s="172">
        <v>114.88209999999999</v>
      </c>
      <c r="T42" s="139"/>
      <c r="U42" s="141"/>
      <c r="V42" s="141"/>
      <c r="W42" s="143"/>
      <c r="X42" s="144"/>
    </row>
    <row r="43" spans="2:24" ht="15" customHeight="1" x14ac:dyDescent="0.2">
      <c r="B43" s="126" t="s">
        <v>143</v>
      </c>
      <c r="C43" s="141">
        <v>2192</v>
      </c>
      <c r="D43" s="140">
        <v>44216</v>
      </c>
      <c r="E43" s="151">
        <v>1165.9000000000001</v>
      </c>
      <c r="F43" s="151">
        <v>1115.4000000000001</v>
      </c>
      <c r="G43" s="150">
        <v>1.27339</v>
      </c>
      <c r="H43" s="172">
        <v>1.26824</v>
      </c>
      <c r="I43" s="139"/>
      <c r="J43" s="141"/>
      <c r="K43" s="142"/>
      <c r="M43" s="126" t="s">
        <v>158</v>
      </c>
      <c r="N43" s="141">
        <v>639</v>
      </c>
      <c r="O43" s="140">
        <v>42663</v>
      </c>
      <c r="P43" s="151">
        <v>-163.74</v>
      </c>
      <c r="Q43" s="151">
        <v>-172.01</v>
      </c>
      <c r="R43" s="150">
        <v>114.5326</v>
      </c>
      <c r="S43" s="172">
        <v>114.43989999999999</v>
      </c>
      <c r="T43" s="139"/>
      <c r="U43" s="141"/>
      <c r="V43" s="141"/>
      <c r="W43" s="143"/>
      <c r="X43" s="144"/>
    </row>
    <row r="44" spans="2:24" ht="15" customHeight="1" x14ac:dyDescent="0.2">
      <c r="B44" s="126" t="s">
        <v>144</v>
      </c>
      <c r="C44" s="141">
        <v>2557</v>
      </c>
      <c r="D44" s="140">
        <v>44581</v>
      </c>
      <c r="E44" s="151">
        <v>1412.63</v>
      </c>
      <c r="F44" s="151">
        <v>1342.57</v>
      </c>
      <c r="G44" s="150">
        <v>1.298063</v>
      </c>
      <c r="H44" s="172">
        <v>1.2909569999999999</v>
      </c>
      <c r="I44" s="139"/>
      <c r="J44" s="141"/>
      <c r="K44" s="142"/>
      <c r="M44" s="126" t="s">
        <v>139</v>
      </c>
      <c r="N44" s="141">
        <v>731</v>
      </c>
      <c r="O44" s="140">
        <v>42755</v>
      </c>
      <c r="P44" s="151">
        <v>-209.84</v>
      </c>
      <c r="Q44" s="151">
        <v>-215.66</v>
      </c>
      <c r="R44" s="150">
        <v>114.0716</v>
      </c>
      <c r="S44" s="172">
        <v>114.0034</v>
      </c>
      <c r="T44" s="139"/>
      <c r="U44" s="141"/>
      <c r="V44" s="141"/>
      <c r="W44" s="143"/>
      <c r="X44" s="144"/>
    </row>
    <row r="45" spans="2:24" ht="15" customHeight="1" x14ac:dyDescent="0.2">
      <c r="B45" s="126" t="s">
        <v>145</v>
      </c>
      <c r="C45" s="141">
        <v>2922</v>
      </c>
      <c r="D45" s="140">
        <v>44946</v>
      </c>
      <c r="E45" s="151">
        <v>1607.05</v>
      </c>
      <c r="F45" s="151">
        <v>1524.55</v>
      </c>
      <c r="G45" s="150">
        <v>1.3175049999999999</v>
      </c>
      <c r="H45" s="172">
        <v>1.3091550000000001</v>
      </c>
      <c r="I45" s="139"/>
      <c r="J45" s="141"/>
      <c r="K45" s="142"/>
      <c r="M45" s="126" t="s">
        <v>140</v>
      </c>
      <c r="N45" s="141">
        <v>1098</v>
      </c>
      <c r="O45" s="140">
        <v>43122</v>
      </c>
      <c r="P45" s="151">
        <v>-430.42</v>
      </c>
      <c r="Q45" s="151">
        <v>-440.58</v>
      </c>
      <c r="R45" s="150">
        <v>111.86579999999999</v>
      </c>
      <c r="S45" s="172">
        <v>111.7542</v>
      </c>
      <c r="T45" s="139"/>
      <c r="U45" s="141"/>
      <c r="V45" s="141"/>
      <c r="W45" s="143"/>
      <c r="X45" s="144"/>
    </row>
    <row r="46" spans="2:24" ht="15" customHeight="1" x14ac:dyDescent="0.2">
      <c r="B46" s="126" t="s">
        <v>146</v>
      </c>
      <c r="C46" s="141">
        <v>3289</v>
      </c>
      <c r="D46" s="140">
        <v>45313</v>
      </c>
      <c r="E46" s="151">
        <v>1803.7</v>
      </c>
      <c r="F46" s="151">
        <v>1708.7</v>
      </c>
      <c r="G46" s="150">
        <v>1.33717</v>
      </c>
      <c r="H46" s="172">
        <v>1.3275699999999999</v>
      </c>
      <c r="I46" s="139"/>
      <c r="J46" s="141"/>
      <c r="K46" s="142"/>
      <c r="M46" s="126" t="s">
        <v>141</v>
      </c>
      <c r="N46" s="141">
        <v>1463</v>
      </c>
      <c r="O46" s="140">
        <v>43487</v>
      </c>
      <c r="P46" s="151">
        <v>-678.61</v>
      </c>
      <c r="Q46" s="151">
        <v>-693.39</v>
      </c>
      <c r="R46" s="150">
        <v>109.3839</v>
      </c>
      <c r="S46" s="172">
        <v>109.2261</v>
      </c>
      <c r="T46" s="139"/>
      <c r="U46" s="141"/>
      <c r="V46" s="141"/>
      <c r="W46" s="143"/>
      <c r="X46" s="144"/>
    </row>
    <row r="47" spans="2:24" ht="15" customHeight="1" x14ac:dyDescent="0.2">
      <c r="B47" s="126" t="s">
        <v>147</v>
      </c>
      <c r="C47" s="141">
        <v>3654</v>
      </c>
      <c r="D47" s="140">
        <v>45678</v>
      </c>
      <c r="E47" s="151">
        <v>1985.25</v>
      </c>
      <c r="F47" s="151">
        <v>1880.25</v>
      </c>
      <c r="G47" s="150">
        <v>1.3553249999999999</v>
      </c>
      <c r="H47" s="172">
        <v>1.3447249999999999</v>
      </c>
      <c r="I47" s="139"/>
      <c r="J47" s="141"/>
      <c r="K47" s="142"/>
      <c r="M47" s="126" t="s">
        <v>142</v>
      </c>
      <c r="N47" s="141">
        <v>1827</v>
      </c>
      <c r="O47" s="140">
        <v>43851</v>
      </c>
      <c r="P47" s="151">
        <v>-937.4</v>
      </c>
      <c r="Q47" s="151">
        <v>-957.6</v>
      </c>
      <c r="R47" s="150">
        <v>106.79600000000001</v>
      </c>
      <c r="S47" s="172">
        <v>106.584</v>
      </c>
      <c r="T47" s="139"/>
      <c r="U47" s="141"/>
      <c r="V47" s="141"/>
      <c r="W47" s="143"/>
      <c r="X47" s="144"/>
    </row>
    <row r="48" spans="2:24" ht="15" customHeight="1" x14ac:dyDescent="0.2">
      <c r="B48" s="126" t="s">
        <v>148</v>
      </c>
      <c r="C48" s="141">
        <v>5481</v>
      </c>
      <c r="D48" s="140">
        <v>47505</v>
      </c>
      <c r="E48" s="151">
        <v>2844.2</v>
      </c>
      <c r="F48" s="151">
        <v>2792.02</v>
      </c>
      <c r="G48" s="150">
        <v>1.4412199999999999</v>
      </c>
      <c r="H48" s="172">
        <v>1.435902</v>
      </c>
      <c r="I48" s="139"/>
      <c r="J48" s="141"/>
      <c r="K48" s="142"/>
      <c r="M48" s="126" t="s">
        <v>143</v>
      </c>
      <c r="N48" s="141">
        <v>2192</v>
      </c>
      <c r="O48" s="140">
        <v>44216</v>
      </c>
      <c r="P48" s="151">
        <v>-1191.98</v>
      </c>
      <c r="Q48" s="151">
        <v>-1244.02</v>
      </c>
      <c r="R48" s="150">
        <v>104.25020000000001</v>
      </c>
      <c r="S48" s="172">
        <v>103.71980000000001</v>
      </c>
      <c r="T48" s="139"/>
      <c r="U48" s="141"/>
      <c r="V48" s="141"/>
      <c r="W48" s="143"/>
      <c r="X48" s="144"/>
    </row>
    <row r="49" spans="2:24" ht="15" customHeight="1" x14ac:dyDescent="0.2">
      <c r="B49" s="126" t="s">
        <v>149</v>
      </c>
      <c r="C49" s="141">
        <v>7307</v>
      </c>
      <c r="D49" s="140">
        <v>49331</v>
      </c>
      <c r="E49" s="151">
        <v>3690.21</v>
      </c>
      <c r="F49" s="151">
        <v>3613.69</v>
      </c>
      <c r="G49" s="150">
        <v>1.5258210000000001</v>
      </c>
      <c r="H49" s="172">
        <v>1.5180689999999999</v>
      </c>
      <c r="I49" s="139"/>
      <c r="J49" s="141"/>
      <c r="K49" s="142"/>
      <c r="M49" s="126" t="s">
        <v>144</v>
      </c>
      <c r="N49" s="141">
        <v>2557</v>
      </c>
      <c r="O49" s="140">
        <v>44581</v>
      </c>
      <c r="P49" s="151">
        <v>-1449</v>
      </c>
      <c r="Q49" s="151">
        <v>-1515</v>
      </c>
      <c r="R49" s="150">
        <v>101.68</v>
      </c>
      <c r="S49" s="172">
        <v>101.01</v>
      </c>
      <c r="T49" s="139"/>
      <c r="U49" s="141"/>
      <c r="V49" s="141"/>
      <c r="W49" s="143"/>
      <c r="X49" s="144"/>
    </row>
    <row r="50" spans="2:24" ht="15" customHeight="1" x14ac:dyDescent="0.2">
      <c r="B50" s="126" t="s">
        <v>150</v>
      </c>
      <c r="C50" s="141">
        <v>9131</v>
      </c>
      <c r="D50" s="140">
        <v>51155</v>
      </c>
      <c r="E50" s="151">
        <v>4615.8100000000004</v>
      </c>
      <c r="F50" s="151">
        <v>4493.6099999999997</v>
      </c>
      <c r="G50" s="150">
        <v>1.6183810000000001</v>
      </c>
      <c r="H50" s="172">
        <v>1.606061</v>
      </c>
      <c r="I50" s="139"/>
      <c r="J50" s="141"/>
      <c r="K50" s="142"/>
      <c r="M50" s="126" t="s">
        <v>145</v>
      </c>
      <c r="N50" s="141">
        <v>2922</v>
      </c>
      <c r="O50" s="140">
        <v>44946</v>
      </c>
      <c r="P50" s="151">
        <v>-1681.54</v>
      </c>
      <c r="Q50" s="151">
        <v>-1756.46</v>
      </c>
      <c r="R50" s="150">
        <v>99.354600000000005</v>
      </c>
      <c r="S50" s="172">
        <v>98.595399999999998</v>
      </c>
      <c r="T50" s="139"/>
      <c r="U50" s="141"/>
      <c r="V50" s="141"/>
      <c r="W50" s="143"/>
      <c r="X50" s="144"/>
    </row>
    <row r="51" spans="2:24" ht="15" customHeight="1" x14ac:dyDescent="0.2">
      <c r="B51" s="155" t="s">
        <v>151</v>
      </c>
      <c r="C51" s="159">
        <v>10958</v>
      </c>
      <c r="D51" s="157">
        <v>52982</v>
      </c>
      <c r="E51" s="156">
        <v>5551.53</v>
      </c>
      <c r="F51" s="156">
        <v>5379.97</v>
      </c>
      <c r="G51" s="158">
        <v>1.7119530000000001</v>
      </c>
      <c r="H51" s="173">
        <v>1.6946969999999999</v>
      </c>
      <c r="I51" s="170"/>
      <c r="J51" s="159"/>
      <c r="K51" s="160"/>
      <c r="M51" s="155" t="s">
        <v>146</v>
      </c>
      <c r="N51" s="159">
        <v>3289</v>
      </c>
      <c r="O51" s="157">
        <v>45313</v>
      </c>
      <c r="P51" s="156">
        <v>-1906.51</v>
      </c>
      <c r="Q51" s="156">
        <v>-1986.49</v>
      </c>
      <c r="R51" s="158">
        <v>97.104900000000001</v>
      </c>
      <c r="S51" s="173">
        <v>96.295100000000005</v>
      </c>
      <c r="T51" s="170"/>
      <c r="U51" s="159"/>
      <c r="V51" s="159"/>
      <c r="W51" s="161"/>
      <c r="X51" s="162"/>
    </row>
    <row r="52" spans="2:24" ht="15" hidden="1" customHeight="1" x14ac:dyDescent="0.2">
      <c r="B52" s="154"/>
      <c r="C52" s="151"/>
      <c r="D52" s="140"/>
      <c r="E52" s="151"/>
      <c r="F52" s="151"/>
      <c r="G52" s="150"/>
      <c r="H52" s="151"/>
      <c r="I52" s="140"/>
      <c r="J52" s="141"/>
      <c r="K52" s="142"/>
      <c r="M52" s="154"/>
      <c r="N52" s="151"/>
      <c r="O52" s="140"/>
      <c r="P52" s="151"/>
      <c r="Q52" s="151"/>
      <c r="R52" s="150"/>
      <c r="S52" s="151"/>
      <c r="T52" s="140"/>
      <c r="U52" s="141"/>
      <c r="V52" s="141"/>
      <c r="W52" s="143"/>
      <c r="X52" s="144"/>
    </row>
    <row r="53" spans="2:24" ht="15" hidden="1" customHeight="1" x14ac:dyDescent="0.2">
      <c r="B53" s="126"/>
      <c r="C53" s="151"/>
      <c r="D53" s="140"/>
      <c r="E53" s="151"/>
      <c r="F53" s="151"/>
      <c r="G53" s="150"/>
      <c r="H53" s="151"/>
      <c r="I53" s="140"/>
      <c r="J53" s="141"/>
      <c r="K53" s="142"/>
      <c r="M53" s="126"/>
      <c r="N53" s="151"/>
      <c r="O53" s="140"/>
      <c r="P53" s="151"/>
      <c r="Q53" s="151"/>
      <c r="R53" s="150"/>
      <c r="S53" s="151"/>
      <c r="T53" s="140"/>
      <c r="U53" s="141"/>
      <c r="V53" s="141"/>
      <c r="W53" s="143"/>
      <c r="X53" s="144"/>
    </row>
    <row r="54" spans="2:24" ht="15" hidden="1" customHeight="1" x14ac:dyDescent="0.2">
      <c r="B54" s="126"/>
      <c r="C54" s="151"/>
      <c r="D54" s="140"/>
      <c r="E54" s="151"/>
      <c r="F54" s="151"/>
      <c r="G54" s="150"/>
      <c r="H54" s="151"/>
      <c r="I54" s="140"/>
      <c r="J54" s="141"/>
      <c r="K54" s="142"/>
      <c r="M54" s="126"/>
      <c r="N54" s="151"/>
      <c r="O54" s="140"/>
      <c r="P54" s="151"/>
      <c r="Q54" s="151"/>
      <c r="R54" s="150"/>
      <c r="S54" s="151"/>
      <c r="T54" s="140"/>
      <c r="U54" s="141"/>
      <c r="V54" s="141"/>
      <c r="W54" s="143"/>
      <c r="X54" s="144"/>
    </row>
    <row r="55" spans="2:24" ht="15" hidden="1" customHeight="1" x14ac:dyDescent="0.2">
      <c r="B55" s="126"/>
      <c r="C55" s="151"/>
      <c r="D55" s="140"/>
      <c r="E55" s="151"/>
      <c r="F55" s="151"/>
      <c r="G55" s="150"/>
      <c r="H55" s="151"/>
      <c r="I55" s="140"/>
      <c r="J55" s="141"/>
      <c r="K55" s="142"/>
      <c r="M55" s="126"/>
      <c r="N55" s="151"/>
      <c r="O55" s="140"/>
      <c r="P55" s="151"/>
      <c r="Q55" s="151"/>
      <c r="R55" s="150"/>
      <c r="S55" s="151"/>
      <c r="T55" s="140"/>
      <c r="U55" s="141"/>
      <c r="V55" s="141"/>
      <c r="W55" s="143"/>
      <c r="X55" s="144"/>
    </row>
    <row r="56" spans="2:24" ht="15" hidden="1" customHeight="1" x14ac:dyDescent="0.2">
      <c r="B56" s="126"/>
      <c r="C56" s="151"/>
      <c r="D56" s="140"/>
      <c r="E56" s="151"/>
      <c r="F56" s="151"/>
      <c r="G56" s="150"/>
      <c r="H56" s="151"/>
      <c r="I56" s="140"/>
      <c r="J56" s="141"/>
      <c r="K56" s="142"/>
      <c r="M56" s="126"/>
      <c r="N56" s="151"/>
      <c r="O56" s="140"/>
      <c r="P56" s="151"/>
      <c r="Q56" s="151"/>
      <c r="R56" s="150"/>
      <c r="S56" s="151"/>
      <c r="T56" s="140"/>
      <c r="U56" s="141"/>
      <c r="V56" s="141"/>
      <c r="W56" s="143"/>
      <c r="X56" s="144"/>
    </row>
    <row r="57" spans="2:24" ht="15" hidden="1" customHeight="1" x14ac:dyDescent="0.2">
      <c r="B57" s="126"/>
      <c r="C57" s="151"/>
      <c r="D57" s="140"/>
      <c r="E57" s="151"/>
      <c r="F57" s="151"/>
      <c r="G57" s="150"/>
      <c r="H57" s="151"/>
      <c r="I57" s="140"/>
      <c r="J57" s="141"/>
      <c r="K57" s="142"/>
      <c r="M57" s="126"/>
      <c r="N57" s="151"/>
      <c r="O57" s="140"/>
      <c r="P57" s="151"/>
      <c r="Q57" s="151"/>
      <c r="R57" s="150"/>
      <c r="S57" s="151"/>
      <c r="T57" s="140"/>
      <c r="U57" s="141"/>
      <c r="V57" s="141"/>
      <c r="W57" s="143"/>
      <c r="X57" s="144"/>
    </row>
    <row r="58" spans="2:24" ht="15" hidden="1" customHeight="1" x14ac:dyDescent="0.2">
      <c r="B58" s="126"/>
      <c r="C58" s="151"/>
      <c r="D58" s="140"/>
      <c r="E58" s="151"/>
      <c r="F58" s="151"/>
      <c r="G58" s="150"/>
      <c r="H58" s="151"/>
      <c r="I58" s="140"/>
      <c r="J58" s="141"/>
      <c r="K58" s="142"/>
      <c r="M58" s="126"/>
      <c r="N58" s="151"/>
      <c r="O58" s="140"/>
      <c r="P58" s="151"/>
      <c r="Q58" s="151"/>
      <c r="R58" s="150"/>
      <c r="S58" s="151"/>
      <c r="T58" s="140"/>
      <c r="U58" s="141"/>
      <c r="V58" s="141"/>
      <c r="W58" s="143"/>
      <c r="X58" s="144"/>
    </row>
    <row r="59" spans="2:24" ht="15" hidden="1" customHeight="1" x14ac:dyDescent="0.2">
      <c r="B59" s="126"/>
      <c r="C59" s="151"/>
      <c r="D59" s="140"/>
      <c r="E59" s="151"/>
      <c r="F59" s="151"/>
      <c r="G59" s="150"/>
      <c r="H59" s="151"/>
      <c r="I59" s="140"/>
      <c r="J59" s="141"/>
      <c r="K59" s="142"/>
      <c r="M59" s="126"/>
      <c r="N59" s="151"/>
      <c r="O59" s="140"/>
      <c r="P59" s="151"/>
      <c r="Q59" s="151"/>
      <c r="R59" s="150"/>
      <c r="S59" s="151"/>
      <c r="T59" s="140"/>
      <c r="U59" s="141"/>
      <c r="V59" s="141"/>
      <c r="W59" s="143"/>
      <c r="X59" s="144"/>
    </row>
    <row r="60" spans="2:24" ht="15" hidden="1" customHeight="1" x14ac:dyDescent="0.2">
      <c r="B60" s="126"/>
      <c r="C60" s="151"/>
      <c r="D60" s="140"/>
      <c r="E60" s="151"/>
      <c r="F60" s="151"/>
      <c r="G60" s="150"/>
      <c r="H60" s="151"/>
      <c r="I60" s="140"/>
      <c r="J60" s="141"/>
      <c r="K60" s="142"/>
      <c r="M60" s="126"/>
      <c r="N60" s="151"/>
      <c r="O60" s="140"/>
      <c r="P60" s="151"/>
      <c r="Q60" s="151"/>
      <c r="R60" s="150"/>
      <c r="S60" s="151"/>
      <c r="T60" s="140"/>
      <c r="U60" s="141"/>
      <c r="V60" s="141"/>
      <c r="W60" s="143"/>
      <c r="X60" s="144"/>
    </row>
    <row r="61" spans="2:24" ht="15" hidden="1" customHeight="1" x14ac:dyDescent="0.2">
      <c r="B61" s="126"/>
      <c r="C61" s="151"/>
      <c r="D61" s="140"/>
      <c r="E61" s="151"/>
      <c r="F61" s="151"/>
      <c r="G61" s="150"/>
      <c r="H61" s="151"/>
      <c r="I61" s="140"/>
      <c r="J61" s="141"/>
      <c r="K61" s="142"/>
      <c r="M61" s="126"/>
      <c r="N61" s="151"/>
      <c r="O61" s="140"/>
      <c r="P61" s="151"/>
      <c r="Q61" s="151"/>
      <c r="R61" s="150"/>
      <c r="S61" s="151"/>
      <c r="T61" s="140"/>
      <c r="U61" s="141"/>
      <c r="V61" s="141"/>
      <c r="W61" s="143"/>
      <c r="X61" s="144"/>
    </row>
    <row r="62" spans="2:24" ht="15" hidden="1" customHeight="1" x14ac:dyDescent="0.2">
      <c r="B62" s="126"/>
      <c r="C62" s="151"/>
      <c r="D62" s="140"/>
      <c r="E62" s="151"/>
      <c r="F62" s="151"/>
      <c r="G62" s="150"/>
      <c r="H62" s="151"/>
      <c r="I62" s="140"/>
      <c r="J62" s="141"/>
      <c r="K62" s="142"/>
      <c r="M62" s="126"/>
      <c r="N62" s="151"/>
      <c r="O62" s="140"/>
      <c r="P62" s="151"/>
      <c r="Q62" s="151"/>
      <c r="R62" s="150"/>
      <c r="S62" s="151"/>
      <c r="T62" s="140"/>
      <c r="U62" s="141"/>
      <c r="V62" s="141"/>
      <c r="W62" s="143"/>
      <c r="X62" s="144"/>
    </row>
    <row r="63" spans="2:24" ht="15" hidden="1" customHeight="1" x14ac:dyDescent="0.2">
      <c r="B63" s="126"/>
      <c r="C63" s="151"/>
      <c r="D63" s="140"/>
      <c r="E63" s="151"/>
      <c r="F63" s="151"/>
      <c r="G63" s="150"/>
      <c r="H63" s="151"/>
      <c r="I63" s="140"/>
      <c r="J63" s="141"/>
      <c r="K63" s="142"/>
      <c r="M63" s="126"/>
      <c r="N63" s="151"/>
      <c r="O63" s="140"/>
      <c r="P63" s="151"/>
      <c r="Q63" s="151"/>
      <c r="R63" s="150"/>
      <c r="S63" s="151"/>
      <c r="T63" s="140"/>
      <c r="U63" s="141"/>
      <c r="V63" s="141"/>
      <c r="W63" s="143"/>
      <c r="X63" s="144"/>
    </row>
    <row r="64" spans="2:24" ht="15" hidden="1" customHeight="1" x14ac:dyDescent="0.2">
      <c r="B64" s="126"/>
      <c r="C64" s="151"/>
      <c r="D64" s="140"/>
      <c r="E64" s="151"/>
      <c r="F64" s="151"/>
      <c r="G64" s="150"/>
      <c r="H64" s="151"/>
      <c r="I64" s="140"/>
      <c r="J64" s="141"/>
      <c r="K64" s="142"/>
      <c r="M64" s="126"/>
      <c r="N64" s="151"/>
      <c r="O64" s="140"/>
      <c r="P64" s="151"/>
      <c r="Q64" s="151"/>
      <c r="R64" s="150"/>
      <c r="S64" s="151"/>
      <c r="T64" s="140"/>
      <c r="U64" s="141"/>
      <c r="V64" s="141"/>
      <c r="W64" s="143"/>
      <c r="X64" s="144"/>
    </row>
    <row r="65" spans="2:24" ht="15" hidden="1" customHeight="1" x14ac:dyDescent="0.2">
      <c r="B65" s="126"/>
      <c r="C65" s="151"/>
      <c r="D65" s="140"/>
      <c r="E65" s="151"/>
      <c r="F65" s="151"/>
      <c r="G65" s="150"/>
      <c r="H65" s="151"/>
      <c r="I65" s="140"/>
      <c r="J65" s="141"/>
      <c r="K65" s="142"/>
      <c r="M65" s="126"/>
      <c r="N65" s="151"/>
      <c r="O65" s="140"/>
      <c r="P65" s="151"/>
      <c r="Q65" s="151"/>
      <c r="R65" s="150"/>
      <c r="S65" s="151"/>
      <c r="T65" s="140"/>
      <c r="U65" s="141"/>
      <c r="V65" s="141"/>
      <c r="W65" s="143"/>
      <c r="X65" s="144"/>
    </row>
    <row r="66" spans="2:24" ht="15" hidden="1" customHeight="1" x14ac:dyDescent="0.2">
      <c r="B66" s="126"/>
      <c r="C66" s="151"/>
      <c r="D66" s="140"/>
      <c r="E66" s="151"/>
      <c r="F66" s="151"/>
      <c r="G66" s="150"/>
      <c r="H66" s="151"/>
      <c r="I66" s="140"/>
      <c r="J66" s="141"/>
      <c r="K66" s="142"/>
      <c r="M66" s="126"/>
      <c r="N66" s="151"/>
      <c r="O66" s="140"/>
      <c r="P66" s="151"/>
      <c r="Q66" s="151"/>
      <c r="R66" s="150"/>
      <c r="S66" s="151"/>
      <c r="T66" s="140"/>
      <c r="U66" s="141"/>
      <c r="V66" s="141"/>
      <c r="W66" s="143"/>
      <c r="X66" s="144"/>
    </row>
    <row r="67" spans="2:24" ht="15" hidden="1" customHeight="1" x14ac:dyDescent="0.2">
      <c r="B67" s="126"/>
      <c r="C67" s="151"/>
      <c r="D67" s="140"/>
      <c r="E67" s="151"/>
      <c r="F67" s="151"/>
      <c r="G67" s="150"/>
      <c r="H67" s="151"/>
      <c r="I67" s="140"/>
      <c r="J67" s="141"/>
      <c r="K67" s="142"/>
      <c r="M67" s="126"/>
      <c r="N67" s="151"/>
      <c r="O67" s="140"/>
      <c r="P67" s="151"/>
      <c r="Q67" s="151"/>
      <c r="R67" s="150"/>
      <c r="S67" s="151"/>
      <c r="T67" s="140"/>
      <c r="U67" s="141"/>
      <c r="V67" s="141"/>
      <c r="W67" s="143"/>
      <c r="X67" s="144"/>
    </row>
    <row r="68" spans="2:24" ht="15" hidden="1" customHeight="1" x14ac:dyDescent="0.2">
      <c r="B68" s="126"/>
      <c r="C68" s="151"/>
      <c r="D68" s="140"/>
      <c r="E68" s="151"/>
      <c r="F68" s="151"/>
      <c r="G68" s="150"/>
      <c r="H68" s="151"/>
      <c r="I68" s="140"/>
      <c r="J68" s="141"/>
      <c r="K68" s="142"/>
      <c r="M68" s="126"/>
      <c r="N68" s="151"/>
      <c r="O68" s="140"/>
      <c r="P68" s="151"/>
      <c r="Q68" s="151"/>
      <c r="R68" s="150"/>
      <c r="S68" s="151"/>
      <c r="T68" s="140"/>
      <c r="U68" s="141"/>
      <c r="V68" s="141"/>
      <c r="W68" s="143"/>
      <c r="X68" s="144"/>
    </row>
    <row r="69" spans="2:24" ht="15" hidden="1" customHeight="1" x14ac:dyDescent="0.2">
      <c r="B69" s="126"/>
      <c r="C69" s="151"/>
      <c r="D69" s="140"/>
      <c r="E69" s="151"/>
      <c r="F69" s="151"/>
      <c r="G69" s="150"/>
      <c r="H69" s="151"/>
      <c r="I69" s="140"/>
      <c r="J69" s="141"/>
      <c r="K69" s="142"/>
      <c r="M69" s="126"/>
      <c r="N69" s="151"/>
      <c r="O69" s="140"/>
      <c r="P69" s="151"/>
      <c r="Q69" s="151"/>
      <c r="R69" s="150"/>
      <c r="S69" s="151"/>
      <c r="T69" s="140"/>
      <c r="U69" s="141"/>
      <c r="V69" s="141"/>
      <c r="W69" s="143"/>
      <c r="X69" s="144"/>
    </row>
    <row r="70" spans="2:24" ht="15" hidden="1" customHeight="1" x14ac:dyDescent="0.2">
      <c r="B70" s="126"/>
      <c r="C70" s="151"/>
      <c r="D70" s="140"/>
      <c r="E70" s="151"/>
      <c r="F70" s="151"/>
      <c r="G70" s="150"/>
      <c r="H70" s="151"/>
      <c r="I70" s="140"/>
      <c r="J70" s="141"/>
      <c r="K70" s="142"/>
      <c r="M70" s="126"/>
      <c r="N70" s="151"/>
      <c r="O70" s="140"/>
      <c r="P70" s="151"/>
      <c r="Q70" s="151"/>
      <c r="R70" s="150"/>
      <c r="S70" s="151"/>
      <c r="T70" s="140"/>
      <c r="U70" s="141"/>
      <c r="V70" s="141"/>
      <c r="W70" s="143"/>
      <c r="X70" s="144"/>
    </row>
    <row r="71" spans="2:24" ht="15" hidden="1" customHeight="1" x14ac:dyDescent="0.2">
      <c r="B71" s="126"/>
      <c r="C71" s="151"/>
      <c r="D71" s="140"/>
      <c r="E71" s="151"/>
      <c r="F71" s="151"/>
      <c r="G71" s="150"/>
      <c r="H71" s="151"/>
      <c r="I71" s="140"/>
      <c r="J71" s="141"/>
      <c r="K71" s="142"/>
      <c r="M71" s="126"/>
      <c r="N71" s="151"/>
      <c r="O71" s="140"/>
      <c r="P71" s="151"/>
      <c r="Q71" s="151"/>
      <c r="R71" s="150"/>
      <c r="S71" s="151"/>
      <c r="T71" s="140"/>
      <c r="U71" s="141"/>
      <c r="V71" s="141"/>
      <c r="W71" s="143"/>
      <c r="X71" s="144"/>
    </row>
    <row r="72" spans="2:24" ht="15" hidden="1" customHeight="1" x14ac:dyDescent="0.2">
      <c r="B72" s="126"/>
      <c r="C72" s="151"/>
      <c r="D72" s="140"/>
      <c r="E72" s="151"/>
      <c r="F72" s="151"/>
      <c r="G72" s="150"/>
      <c r="H72" s="151"/>
      <c r="I72" s="140"/>
      <c r="J72" s="141"/>
      <c r="K72" s="142"/>
      <c r="M72" s="126"/>
      <c r="N72" s="127"/>
      <c r="O72" s="128"/>
      <c r="P72" s="114"/>
      <c r="Q72" s="115"/>
      <c r="R72" s="139"/>
      <c r="S72" s="140"/>
      <c r="T72" s="140"/>
      <c r="U72" s="141"/>
      <c r="V72" s="141"/>
      <c r="W72" s="143"/>
      <c r="X72" s="144"/>
    </row>
    <row r="73" spans="2:24" ht="15" hidden="1" customHeight="1" x14ac:dyDescent="0.2">
      <c r="B73" s="264" t="s">
        <v>104</v>
      </c>
      <c r="C73" s="265"/>
      <c r="D73" s="266"/>
      <c r="E73" s="53" t="s">
        <v>41</v>
      </c>
      <c r="F73" s="70" t="s">
        <v>51</v>
      </c>
      <c r="G73" s="124">
        <f t="shared" ref="G73:G91" si="0">$D$8</f>
        <v>42020</v>
      </c>
      <c r="H73" s="22">
        <f>I12</f>
        <v>0</v>
      </c>
      <c r="I73" s="22">
        <f>DATEVALUE(_xll.BDP($B73, "SETTLE_DT"))</f>
        <v>40792</v>
      </c>
      <c r="J73" s="23">
        <f t="shared" ref="J73:J91" si="1">$I73-$H73</f>
        <v>40792</v>
      </c>
      <c r="K73" s="99">
        <f>_xll.BCountPeriods($H73, $I73, "CDR= " &amp; $E$7)</f>
        <v>-1287</v>
      </c>
      <c r="M73" s="264" t="str">
        <f t="shared" ref="M73:M91" si="2">"USD/" &amp; $O$7 &amp; " " &amp; LEFT($P73, 1) &amp; " " &amp; $Q73 &amp; "@" &amp; TEXT(MONTH($O$8)*10000+DAY($O$8)*100+MOD(YEAR($O$8),100),"000000") &amp; " Curncy"</f>
        <v>USD/JPY R TN@011515 Curncy</v>
      </c>
      <c r="N73" s="265"/>
      <c r="O73" s="266"/>
      <c r="P73" s="53" t="s">
        <v>41</v>
      </c>
      <c r="Q73" s="70" t="s">
        <v>51</v>
      </c>
      <c r="R73" s="124">
        <f t="shared" ref="R73:R91" si="3">$O$8</f>
        <v>42019</v>
      </c>
      <c r="S73" s="22">
        <f>T12</f>
        <v>0</v>
      </c>
      <c r="T73" s="22">
        <f>DATEVALUE(_xll.BDP($M73, "SETTLE_DT"))</f>
        <v>42024</v>
      </c>
      <c r="U73" s="23">
        <f t="shared" ref="U73:U91" si="4">$T73-$S73</f>
        <v>42024</v>
      </c>
      <c r="V73" s="23">
        <f>_xll.BCountPeriods($S73, $T73, "CDR=US " &amp;$P$7)</f>
        <v>-395</v>
      </c>
      <c r="W73" s="25">
        <f>_xll.BDP($M73, "PX_BID")</f>
        <v>116.15939</v>
      </c>
      <c r="X73" s="107">
        <f>_xll.BDP($M73, "PX_ASK")</f>
        <v>116.17409000000001</v>
      </c>
    </row>
    <row r="74" spans="2:24" ht="15" hidden="1" customHeight="1" x14ac:dyDescent="0.2">
      <c r="B74" s="267" t="s">
        <v>105</v>
      </c>
      <c r="C74" s="268"/>
      <c r="D74" s="269"/>
      <c r="E74" s="114" t="s">
        <v>41</v>
      </c>
      <c r="F74" s="115"/>
      <c r="G74" s="125">
        <f t="shared" si="0"/>
        <v>42020</v>
      </c>
      <c r="H74" s="20">
        <f>D8</f>
        <v>42020</v>
      </c>
      <c r="I74" s="20">
        <f>DATEVALUE(_xll.BDP($B74, "SETTLE_DT"))</f>
        <v>40792</v>
      </c>
      <c r="J74" s="21">
        <f t="shared" si="1"/>
        <v>-1228</v>
      </c>
      <c r="K74" s="100">
        <f>_xll.BCountPeriods($H74, $I74, "CDR= " &amp; $E$7)</f>
        <v>-859</v>
      </c>
      <c r="M74" s="267" t="str">
        <f t="shared" si="2"/>
        <v>USD/JPY R @011515 Curncy</v>
      </c>
      <c r="N74" s="268"/>
      <c r="O74" s="269"/>
      <c r="P74" s="114" t="s">
        <v>41</v>
      </c>
      <c r="Q74" s="115"/>
      <c r="R74" s="125">
        <f t="shared" si="3"/>
        <v>42019</v>
      </c>
      <c r="S74" s="20">
        <f>O8</f>
        <v>42019</v>
      </c>
      <c r="T74" s="78">
        <f>DATEVALUE(_xll.BDP($M74, "SETTLE_DT"))</f>
        <v>42024</v>
      </c>
      <c r="U74" s="21">
        <f t="shared" si="4"/>
        <v>5</v>
      </c>
      <c r="V74" s="21">
        <f>_xll.BCountPeriods($S74, $T74, "CDR=US " &amp;$P$7)</f>
        <v>2</v>
      </c>
      <c r="W74" s="24">
        <f>_xll.BDP($M74, "PX_BID")</f>
        <v>116.16</v>
      </c>
      <c r="X74" s="108">
        <f>_xll.BDP($M74, "PX_ASK")</f>
        <v>116.17</v>
      </c>
    </row>
    <row r="75" spans="2:24" ht="15" hidden="1" customHeight="1" x14ac:dyDescent="0.2">
      <c r="B75" s="264" t="s">
        <v>106</v>
      </c>
      <c r="C75" s="265"/>
      <c r="D75" s="266"/>
      <c r="E75" s="53" t="s">
        <v>41</v>
      </c>
      <c r="F75" s="70" t="s">
        <v>52</v>
      </c>
      <c r="G75" s="124">
        <f t="shared" si="0"/>
        <v>42020</v>
      </c>
      <c r="H75" s="22">
        <f>$I$74</f>
        <v>40792</v>
      </c>
      <c r="I75" s="22">
        <f>DATEVALUE(_xll.BDP($B75, "SETTLE_DT"))</f>
        <v>40793</v>
      </c>
      <c r="J75" s="23">
        <f t="shared" si="1"/>
        <v>1</v>
      </c>
      <c r="K75" s="99">
        <f>_xll.BCountPeriods($H75, $I75, "CDR= " &amp; $E$7)</f>
        <v>1</v>
      </c>
      <c r="M75" s="264" t="str">
        <f t="shared" si="2"/>
        <v>USD/JPY R SN@011515 Curncy</v>
      </c>
      <c r="N75" s="265"/>
      <c r="O75" s="266"/>
      <c r="P75" s="53" t="s">
        <v>41</v>
      </c>
      <c r="Q75" s="70" t="s">
        <v>52</v>
      </c>
      <c r="R75" s="124">
        <f t="shared" si="3"/>
        <v>42019</v>
      </c>
      <c r="S75" s="22">
        <f>$T$74</f>
        <v>42024</v>
      </c>
      <c r="T75" s="77">
        <f>DATEVALUE(_xll.BDP($M75, "SETTLE_DT"))</f>
        <v>42025</v>
      </c>
      <c r="U75" s="23">
        <f t="shared" si="4"/>
        <v>1</v>
      </c>
      <c r="V75" s="23">
        <f>_xll.BCountPeriods($S75, $T75, "CDR=US " &amp;$P$7)</f>
        <v>1</v>
      </c>
      <c r="W75" s="25">
        <f>_xll.BDP($M75, "PX_BID")</f>
        <v>116.1581</v>
      </c>
      <c r="X75" s="107">
        <f>_xll.BDP($M75, "PX_ASK")</f>
        <v>116.1692</v>
      </c>
    </row>
    <row r="76" spans="2:24" ht="15" hidden="1" customHeight="1" x14ac:dyDescent="0.2">
      <c r="B76" s="267" t="s">
        <v>107</v>
      </c>
      <c r="C76" s="268"/>
      <c r="D76" s="269"/>
      <c r="E76" s="114" t="s">
        <v>41</v>
      </c>
      <c r="F76" s="115" t="s">
        <v>53</v>
      </c>
      <c r="G76" s="125">
        <f t="shared" si="0"/>
        <v>42020</v>
      </c>
      <c r="H76" s="20">
        <f t="shared" ref="H76:H91" si="5">$I$74</f>
        <v>40792</v>
      </c>
      <c r="I76" s="20">
        <f>DATEVALUE(_xll.BDP($B76, "SETTLE_DT"))</f>
        <v>40799</v>
      </c>
      <c r="J76" s="21">
        <f t="shared" si="1"/>
        <v>7</v>
      </c>
      <c r="K76" s="100">
        <f>_xll.BCountPeriods($H76, $I76, "CDR= " &amp; $E$7)</f>
        <v>5</v>
      </c>
      <c r="M76" s="267" t="str">
        <f t="shared" si="2"/>
        <v>USD/JPY R 1W@011515 Curncy</v>
      </c>
      <c r="N76" s="268"/>
      <c r="O76" s="269"/>
      <c r="P76" s="114" t="s">
        <v>41</v>
      </c>
      <c r="Q76" s="115" t="s">
        <v>53</v>
      </c>
      <c r="R76" s="125">
        <f t="shared" si="3"/>
        <v>42019</v>
      </c>
      <c r="S76" s="20">
        <f t="shared" ref="S76:S91" si="6">$T$74</f>
        <v>42024</v>
      </c>
      <c r="T76" s="20">
        <f>DATEVALUE(_xll.BDP($M76, "SETTLE_DT"))</f>
        <v>42031</v>
      </c>
      <c r="U76" s="21">
        <f t="shared" si="4"/>
        <v>7</v>
      </c>
      <c r="V76" s="21">
        <f>_xll.BCountPeriods($S76, $T76, "CDR=US " &amp;$P$7)</f>
        <v>5</v>
      </c>
      <c r="W76" s="24">
        <f>_xll.BDP($M76, "PX_BID")</f>
        <v>116.1503</v>
      </c>
      <c r="X76" s="108">
        <f>_xll.BDP($M76, "PX_ASK")</f>
        <v>116.1626</v>
      </c>
    </row>
    <row r="77" spans="2:24" ht="15" hidden="1" customHeight="1" x14ac:dyDescent="0.2">
      <c r="B77" s="264" t="s">
        <v>108</v>
      </c>
      <c r="C77" s="265"/>
      <c r="D77" s="266"/>
      <c r="E77" s="53" t="s">
        <v>41</v>
      </c>
      <c r="F77" s="70" t="s">
        <v>54</v>
      </c>
      <c r="G77" s="124">
        <f t="shared" si="0"/>
        <v>42020</v>
      </c>
      <c r="H77" s="22">
        <f t="shared" si="5"/>
        <v>40792</v>
      </c>
      <c r="I77" s="22">
        <f>DATEVALUE(_xll.BDP($B77, "SETTLE_DT"))</f>
        <v>40806</v>
      </c>
      <c r="J77" s="23">
        <f t="shared" si="1"/>
        <v>14</v>
      </c>
      <c r="K77" s="99">
        <f>_xll.BCountPeriods($H77, $I77, "CDR= " &amp; $E$7)</f>
        <v>10</v>
      </c>
      <c r="M77" s="264" t="str">
        <f t="shared" si="2"/>
        <v>USD/JPY R 2W@011515 Curncy</v>
      </c>
      <c r="N77" s="265"/>
      <c r="O77" s="266"/>
      <c r="P77" s="53" t="s">
        <v>41</v>
      </c>
      <c r="Q77" s="70" t="s">
        <v>54</v>
      </c>
      <c r="R77" s="124">
        <f t="shared" si="3"/>
        <v>42019</v>
      </c>
      <c r="S77" s="22">
        <f t="shared" si="6"/>
        <v>42024</v>
      </c>
      <c r="T77" s="22">
        <f>DATEVALUE(_xll.BDP($M77, "SETTLE_DT"))</f>
        <v>42038</v>
      </c>
      <c r="U77" s="23">
        <f t="shared" si="4"/>
        <v>14</v>
      </c>
      <c r="V77" s="23">
        <f>_xll.BCountPeriods($S77, $T77, "CDR=US " &amp;$P$7)</f>
        <v>10</v>
      </c>
      <c r="W77" s="25">
        <f>_xll.BDP($M77, "PX_BID")</f>
        <v>116.1418</v>
      </c>
      <c r="X77" s="107">
        <f>_xll.BDP($M77, "PX_ASK")</f>
        <v>116.1536</v>
      </c>
    </row>
    <row r="78" spans="2:24" ht="15" hidden="1" customHeight="1" x14ac:dyDescent="0.2">
      <c r="B78" s="267" t="s">
        <v>109</v>
      </c>
      <c r="C78" s="268"/>
      <c r="D78" s="269"/>
      <c r="E78" s="114" t="s">
        <v>41</v>
      </c>
      <c r="F78" s="115" t="s">
        <v>55</v>
      </c>
      <c r="G78" s="125">
        <f t="shared" si="0"/>
        <v>42020</v>
      </c>
      <c r="H78" s="20">
        <f t="shared" si="5"/>
        <v>40792</v>
      </c>
      <c r="I78" s="20">
        <f>DATEVALUE(_xll.BDP($B78, "SETTLE_DT"))</f>
        <v>40813</v>
      </c>
      <c r="J78" s="21">
        <f t="shared" si="1"/>
        <v>21</v>
      </c>
      <c r="K78" s="100">
        <f>_xll.BCountPeriods($H78, $I78, "CDR= " &amp; $E$7)</f>
        <v>15</v>
      </c>
      <c r="M78" s="267" t="str">
        <f t="shared" si="2"/>
        <v>USD/JPY R 3W@011515 Curncy</v>
      </c>
      <c r="N78" s="268"/>
      <c r="O78" s="269"/>
      <c r="P78" s="114" t="s">
        <v>41</v>
      </c>
      <c r="Q78" s="115" t="s">
        <v>55</v>
      </c>
      <c r="R78" s="125">
        <f t="shared" si="3"/>
        <v>42019</v>
      </c>
      <c r="S78" s="20">
        <f t="shared" si="6"/>
        <v>42024</v>
      </c>
      <c r="T78" s="20">
        <f>DATEVALUE(_xll.BDP($M78, "SETTLE_DT"))</f>
        <v>42045</v>
      </c>
      <c r="U78" s="21">
        <f t="shared" si="4"/>
        <v>21</v>
      </c>
      <c r="V78" s="21">
        <f>_xll.BCountPeriods($S78, $T78, "CDR=US " &amp;$P$7)</f>
        <v>15</v>
      </c>
      <c r="W78" s="24">
        <f>_xll.BDP($M78, "PX_BID")</f>
        <v>116.1332</v>
      </c>
      <c r="X78" s="108">
        <f>_xll.BDP($M78, "PX_ASK")</f>
        <v>116.146</v>
      </c>
    </row>
    <row r="79" spans="2:24" ht="15" hidden="1" customHeight="1" x14ac:dyDescent="0.2">
      <c r="B79" s="264" t="s">
        <v>110</v>
      </c>
      <c r="C79" s="265"/>
      <c r="D79" s="266"/>
      <c r="E79" s="53" t="s">
        <v>41</v>
      </c>
      <c r="F79" s="70" t="s">
        <v>56</v>
      </c>
      <c r="G79" s="124">
        <f t="shared" si="0"/>
        <v>42020</v>
      </c>
      <c r="H79" s="22">
        <f t="shared" si="5"/>
        <v>40792</v>
      </c>
      <c r="I79" s="22">
        <f>DATEVALUE(_xll.BDP($B79, "SETTLE_DT"))</f>
        <v>40822</v>
      </c>
      <c r="J79" s="23">
        <f t="shared" si="1"/>
        <v>30</v>
      </c>
      <c r="K79" s="99">
        <f>_xll.BCountPeriods($H79, $I79, "CDR= " &amp; $E$7)</f>
        <v>22</v>
      </c>
      <c r="M79" s="264" t="str">
        <f t="shared" si="2"/>
        <v>USD/JPY R 1M@011515 Curncy</v>
      </c>
      <c r="N79" s="265"/>
      <c r="O79" s="266"/>
      <c r="P79" s="53" t="s">
        <v>41</v>
      </c>
      <c r="Q79" s="70" t="s">
        <v>56</v>
      </c>
      <c r="R79" s="124">
        <f t="shared" si="3"/>
        <v>42019</v>
      </c>
      <c r="S79" s="22">
        <f t="shared" si="6"/>
        <v>42024</v>
      </c>
      <c r="T79" s="22">
        <f>DATEVALUE(_xll.BDP($M79, "SETTLE_DT"))</f>
        <v>42055</v>
      </c>
      <c r="U79" s="23">
        <f t="shared" si="4"/>
        <v>31</v>
      </c>
      <c r="V79" s="23">
        <f>_xll.BCountPeriods($S79, $T79, "CDR=US " &amp;$P$7)</f>
        <v>21</v>
      </c>
      <c r="W79" s="25">
        <f>_xll.BDP($M79, "PX_BID")</f>
        <v>116.1202</v>
      </c>
      <c r="X79" s="107">
        <f>_xll.BDP($M79, "PX_ASK")</f>
        <v>116.1349</v>
      </c>
    </row>
    <row r="80" spans="2:24" ht="15" hidden="1" customHeight="1" x14ac:dyDescent="0.2">
      <c r="B80" s="267" t="s">
        <v>111</v>
      </c>
      <c r="C80" s="268"/>
      <c r="D80" s="269"/>
      <c r="E80" s="114" t="s">
        <v>41</v>
      </c>
      <c r="F80" s="115" t="s">
        <v>57</v>
      </c>
      <c r="G80" s="125">
        <f t="shared" si="0"/>
        <v>42020</v>
      </c>
      <c r="H80" s="20">
        <f t="shared" si="5"/>
        <v>40792</v>
      </c>
      <c r="I80" s="20">
        <f>DATEVALUE(_xll.BDP($B80, "SETTLE_DT"))</f>
        <v>40854</v>
      </c>
      <c r="J80" s="21">
        <f t="shared" si="1"/>
        <v>62</v>
      </c>
      <c r="K80" s="100">
        <f>_xll.BCountPeriods($H80, $I80, "CDR= " &amp; $E$7)</f>
        <v>44</v>
      </c>
      <c r="M80" s="267" t="str">
        <f t="shared" si="2"/>
        <v>USD/JPY R 2M@011515 Curncy</v>
      </c>
      <c r="N80" s="268"/>
      <c r="O80" s="269"/>
      <c r="P80" s="114" t="s">
        <v>41</v>
      </c>
      <c r="Q80" s="115" t="s">
        <v>57</v>
      </c>
      <c r="R80" s="125">
        <f t="shared" si="3"/>
        <v>42019</v>
      </c>
      <c r="S80" s="20">
        <f t="shared" si="6"/>
        <v>42024</v>
      </c>
      <c r="T80" s="20">
        <f>DATEVALUE(_xll.BDP($M80, "SETTLE_DT"))</f>
        <v>42083</v>
      </c>
      <c r="U80" s="21">
        <f t="shared" si="4"/>
        <v>59</v>
      </c>
      <c r="V80" s="21">
        <f>_xll.BCountPeriods($S80, $T80, "CDR=US " &amp;$P$7)</f>
        <v>41</v>
      </c>
      <c r="W80" s="24">
        <f>_xll.BDP($M80, "PX_BID")</f>
        <v>116.09</v>
      </c>
      <c r="X80" s="108">
        <f>_xll.BDP($M80, "PX_ASK")</f>
        <v>116.10299999999999</v>
      </c>
    </row>
    <row r="81" spans="2:24" ht="15" hidden="1" customHeight="1" x14ac:dyDescent="0.2">
      <c r="B81" s="264" t="s">
        <v>112</v>
      </c>
      <c r="C81" s="265"/>
      <c r="D81" s="266"/>
      <c r="E81" s="53" t="s">
        <v>41</v>
      </c>
      <c r="F81" s="70" t="s">
        <v>58</v>
      </c>
      <c r="G81" s="124">
        <f t="shared" si="0"/>
        <v>42020</v>
      </c>
      <c r="H81" s="22">
        <f t="shared" si="5"/>
        <v>40792</v>
      </c>
      <c r="I81" s="22">
        <f>DATEVALUE(_xll.BDP($B81, "SETTLE_DT"))</f>
        <v>40883</v>
      </c>
      <c r="J81" s="23">
        <f t="shared" si="1"/>
        <v>91</v>
      </c>
      <c r="K81" s="99">
        <f>_xll.BCountPeriods($H81, $I81, "CDR= " &amp; $E$7)</f>
        <v>65</v>
      </c>
      <c r="M81" s="264" t="str">
        <f t="shared" si="2"/>
        <v>USD/JPY R 3M@011515 Curncy</v>
      </c>
      <c r="N81" s="265"/>
      <c r="O81" s="266"/>
      <c r="P81" s="53" t="s">
        <v>41</v>
      </c>
      <c r="Q81" s="70" t="s">
        <v>58</v>
      </c>
      <c r="R81" s="124">
        <f t="shared" si="3"/>
        <v>42019</v>
      </c>
      <c r="S81" s="22">
        <f t="shared" si="6"/>
        <v>42024</v>
      </c>
      <c r="T81" s="22">
        <f>DATEVALUE(_xll.BDP($M81, "SETTLE_DT"))</f>
        <v>42114</v>
      </c>
      <c r="U81" s="23">
        <f t="shared" si="4"/>
        <v>90</v>
      </c>
      <c r="V81" s="23">
        <f>_xll.BCountPeriods($S81, $T81, "CDR=US " &amp;$P$7)</f>
        <v>61</v>
      </c>
      <c r="W81" s="25">
        <f>_xll.BDP($M81, "PX_BID")</f>
        <v>116.04600000000001</v>
      </c>
      <c r="X81" s="107">
        <f>_xll.BDP($M81, "PX_ASK")</f>
        <v>116.0611</v>
      </c>
    </row>
    <row r="82" spans="2:24" ht="15" hidden="1" customHeight="1" x14ac:dyDescent="0.2">
      <c r="B82" s="267" t="s">
        <v>113</v>
      </c>
      <c r="C82" s="268"/>
      <c r="D82" s="269"/>
      <c r="E82" s="114" t="s">
        <v>41</v>
      </c>
      <c r="F82" s="115" t="s">
        <v>59</v>
      </c>
      <c r="G82" s="125">
        <f t="shared" si="0"/>
        <v>42020</v>
      </c>
      <c r="H82" s="20">
        <f t="shared" si="5"/>
        <v>40792</v>
      </c>
      <c r="I82" s="20">
        <f>DATEVALUE(_xll.BDP($B82, "SETTLE_DT"))</f>
        <v>40914</v>
      </c>
      <c r="J82" s="21">
        <f t="shared" si="1"/>
        <v>122</v>
      </c>
      <c r="K82" s="100">
        <f>_xll.BCountPeriods($H82, $I82, "CDR= " &amp; $E$7)</f>
        <v>87</v>
      </c>
      <c r="M82" s="267" t="str">
        <f t="shared" si="2"/>
        <v>USD/JPY R 4M@011515 Curncy</v>
      </c>
      <c r="N82" s="268"/>
      <c r="O82" s="269"/>
      <c r="P82" s="114" t="s">
        <v>41</v>
      </c>
      <c r="Q82" s="115" t="s">
        <v>59</v>
      </c>
      <c r="R82" s="125">
        <f t="shared" si="3"/>
        <v>42019</v>
      </c>
      <c r="S82" s="20">
        <f t="shared" si="6"/>
        <v>42024</v>
      </c>
      <c r="T82" s="20">
        <f>DATEVALUE(_xll.BDP($M82, "SETTLE_DT"))</f>
        <v>42144</v>
      </c>
      <c r="U82" s="21">
        <f t="shared" si="4"/>
        <v>120</v>
      </c>
      <c r="V82" s="21">
        <f>_xll.BCountPeriods($S82, $T82, "CDR=US " &amp;$P$7)</f>
        <v>79</v>
      </c>
      <c r="W82" s="24">
        <f>_xll.BDP($M82, "PX_BID")</f>
        <v>116.00700000000001</v>
      </c>
      <c r="X82" s="108">
        <f>_xll.BDP($M82, "PX_ASK")</f>
        <v>116.0245</v>
      </c>
    </row>
    <row r="83" spans="2:24" ht="15" hidden="1" customHeight="1" x14ac:dyDescent="0.2">
      <c r="B83" s="264" t="s">
        <v>114</v>
      </c>
      <c r="C83" s="265"/>
      <c r="D83" s="266"/>
      <c r="E83" s="53" t="s">
        <v>41</v>
      </c>
      <c r="F83" s="70" t="s">
        <v>60</v>
      </c>
      <c r="G83" s="124">
        <f t="shared" si="0"/>
        <v>42020</v>
      </c>
      <c r="H83" s="22">
        <f t="shared" si="5"/>
        <v>40792</v>
      </c>
      <c r="I83" s="22">
        <f>DATEVALUE(_xll.BDP($B83, "SETTLE_DT"))</f>
        <v>40945</v>
      </c>
      <c r="J83" s="23">
        <f t="shared" si="1"/>
        <v>153</v>
      </c>
      <c r="K83" s="99">
        <f>_xll.BCountPeriods($H83, $I83, "CDR= " &amp; $E$7)</f>
        <v>108</v>
      </c>
      <c r="M83" s="264" t="str">
        <f t="shared" si="2"/>
        <v>USD/JPY R 5M@011515 Curncy</v>
      </c>
      <c r="N83" s="265"/>
      <c r="O83" s="266"/>
      <c r="P83" s="53" t="s">
        <v>41</v>
      </c>
      <c r="Q83" s="70" t="s">
        <v>60</v>
      </c>
      <c r="R83" s="124">
        <f t="shared" si="3"/>
        <v>42019</v>
      </c>
      <c r="S83" s="22">
        <f t="shared" si="6"/>
        <v>42024</v>
      </c>
      <c r="T83" s="22">
        <f>DATEVALUE(_xll.BDP($M83, "SETTLE_DT"))</f>
        <v>42177</v>
      </c>
      <c r="U83" s="23">
        <f t="shared" si="4"/>
        <v>153</v>
      </c>
      <c r="V83" s="23">
        <f>_xll.BCountPeriods($S83, $T83, "CDR=US " &amp;$P$7)</f>
        <v>101</v>
      </c>
      <c r="W83" s="25">
        <f>_xll.BDP($M83, "PX_BID")</f>
        <v>115.96550000000001</v>
      </c>
      <c r="X83" s="107">
        <f>_xll.BDP($M83, "PX_ASK")</f>
        <v>115.9845</v>
      </c>
    </row>
    <row r="84" spans="2:24" ht="15" hidden="1" customHeight="1" x14ac:dyDescent="0.2">
      <c r="B84" s="267" t="s">
        <v>115</v>
      </c>
      <c r="C84" s="268"/>
      <c r="D84" s="269"/>
      <c r="E84" s="114" t="s">
        <v>41</v>
      </c>
      <c r="F84" s="115" t="s">
        <v>61</v>
      </c>
      <c r="G84" s="125">
        <f t="shared" si="0"/>
        <v>42020</v>
      </c>
      <c r="H84" s="20">
        <f t="shared" si="5"/>
        <v>40792</v>
      </c>
      <c r="I84" s="20">
        <f>DATEVALUE(_xll.BDP($B84, "SETTLE_DT"))</f>
        <v>40974</v>
      </c>
      <c r="J84" s="21">
        <f t="shared" si="1"/>
        <v>182</v>
      </c>
      <c r="K84" s="100">
        <f>_xll.BCountPeriods($H84, $I84, "CDR= " &amp; $E$7)</f>
        <v>129</v>
      </c>
      <c r="M84" s="267" t="str">
        <f t="shared" si="2"/>
        <v>USD/JPY R 6M@011515 Curncy</v>
      </c>
      <c r="N84" s="268"/>
      <c r="O84" s="269"/>
      <c r="P84" s="114" t="s">
        <v>41</v>
      </c>
      <c r="Q84" s="115" t="s">
        <v>61</v>
      </c>
      <c r="R84" s="125">
        <f t="shared" si="3"/>
        <v>42019</v>
      </c>
      <c r="S84" s="20">
        <f t="shared" si="6"/>
        <v>42024</v>
      </c>
      <c r="T84" s="20">
        <f>DATEVALUE(_xll.BDP($M84, "SETTLE_DT"))</f>
        <v>42206</v>
      </c>
      <c r="U84" s="21">
        <f t="shared" si="4"/>
        <v>182</v>
      </c>
      <c r="V84" s="21">
        <f>_xll.BCountPeriods($S84, $T84, "CDR=US " &amp;$P$7)</f>
        <v>120</v>
      </c>
      <c r="W84" s="24">
        <f>_xll.BDP($M84, "PX_BID")</f>
        <v>115.91800000000001</v>
      </c>
      <c r="X84" s="108">
        <f>_xll.BDP($M84, "PX_ASK")</f>
        <v>115.938</v>
      </c>
    </row>
    <row r="85" spans="2:24" ht="15" hidden="1" customHeight="1" x14ac:dyDescent="0.2">
      <c r="B85" s="264" t="s">
        <v>116</v>
      </c>
      <c r="C85" s="265"/>
      <c r="D85" s="266"/>
      <c r="E85" s="53" t="s">
        <v>41</v>
      </c>
      <c r="F85" s="70" t="s">
        <v>62</v>
      </c>
      <c r="G85" s="124">
        <f t="shared" si="0"/>
        <v>42020</v>
      </c>
      <c r="H85" s="22">
        <f t="shared" si="5"/>
        <v>40792</v>
      </c>
      <c r="I85" s="22">
        <f>DATEVALUE(_xll.BDP($B85, "SETTLE_DT"))</f>
        <v>41009</v>
      </c>
      <c r="J85" s="23">
        <f t="shared" si="1"/>
        <v>217</v>
      </c>
      <c r="K85" s="99">
        <f>_xll.BCountPeriods($H85, $I85, "CDR= " &amp; $E$7)</f>
        <v>152</v>
      </c>
      <c r="M85" s="264" t="str">
        <f t="shared" si="2"/>
        <v>USD/JPY R 7M@011515 Curncy</v>
      </c>
      <c r="N85" s="265"/>
      <c r="O85" s="266"/>
      <c r="P85" s="53" t="s">
        <v>41</v>
      </c>
      <c r="Q85" s="70" t="s">
        <v>62</v>
      </c>
      <c r="R85" s="124">
        <f t="shared" si="3"/>
        <v>42019</v>
      </c>
      <c r="S85" s="22">
        <f t="shared" si="6"/>
        <v>42024</v>
      </c>
      <c r="T85" s="22">
        <f>DATEVALUE(_xll.BDP($M85, "SETTLE_DT"))</f>
        <v>42236</v>
      </c>
      <c r="U85" s="23">
        <f t="shared" si="4"/>
        <v>212</v>
      </c>
      <c r="V85" s="23">
        <f>_xll.BCountPeriods($S85, $T85, "CDR=US " &amp;$P$7)</f>
        <v>142</v>
      </c>
      <c r="W85" s="25">
        <f>_xll.BDP($M85, "PX_BID")</f>
        <v>115.8631</v>
      </c>
      <c r="X85" s="107">
        <f>_xll.BDP($M85, "PX_ASK")</f>
        <v>115.8848</v>
      </c>
    </row>
    <row r="86" spans="2:24" ht="15" hidden="1" customHeight="1" x14ac:dyDescent="0.2">
      <c r="B86" s="267" t="s">
        <v>117</v>
      </c>
      <c r="C86" s="268"/>
      <c r="D86" s="269"/>
      <c r="E86" s="114" t="s">
        <v>41</v>
      </c>
      <c r="F86" s="115" t="s">
        <v>63</v>
      </c>
      <c r="G86" s="125">
        <f t="shared" si="0"/>
        <v>42020</v>
      </c>
      <c r="H86" s="20">
        <f t="shared" si="5"/>
        <v>40792</v>
      </c>
      <c r="I86" s="20">
        <f>DATEVALUE(_xll.BDP($B86, "SETTLE_DT"))</f>
        <v>41036</v>
      </c>
      <c r="J86" s="21">
        <f t="shared" si="1"/>
        <v>244</v>
      </c>
      <c r="K86" s="100">
        <f>_xll.BCountPeriods($H86, $I86, "CDR= " &amp; $E$7)</f>
        <v>170</v>
      </c>
      <c r="M86" s="267" t="str">
        <f t="shared" si="2"/>
        <v>USD/JPY R 8M@011515 Curncy</v>
      </c>
      <c r="N86" s="268"/>
      <c r="O86" s="269"/>
      <c r="P86" s="114" t="s">
        <v>41</v>
      </c>
      <c r="Q86" s="115" t="s">
        <v>63</v>
      </c>
      <c r="R86" s="125">
        <f t="shared" si="3"/>
        <v>42019</v>
      </c>
      <c r="S86" s="20">
        <f t="shared" si="6"/>
        <v>42024</v>
      </c>
      <c r="T86" s="20">
        <f>DATEVALUE(_xll.BDP($M86, "SETTLE_DT"))</f>
        <v>42271</v>
      </c>
      <c r="U86" s="21">
        <f t="shared" si="4"/>
        <v>247</v>
      </c>
      <c r="V86" s="21">
        <f>_xll.BCountPeriods($S86, $T86, "CDR=US " &amp;$P$7)</f>
        <v>163</v>
      </c>
      <c r="W86" s="24">
        <f>_xll.BDP($M86, "PX_BID")</f>
        <v>115.79900000000001</v>
      </c>
      <c r="X86" s="108">
        <f>_xll.BDP($M86, "PX_ASK")</f>
        <v>115.8227</v>
      </c>
    </row>
    <row r="87" spans="2:24" ht="15" hidden="1" customHeight="1" x14ac:dyDescent="0.2">
      <c r="B87" s="264" t="s">
        <v>118</v>
      </c>
      <c r="C87" s="265"/>
      <c r="D87" s="266"/>
      <c r="E87" s="53" t="s">
        <v>41</v>
      </c>
      <c r="F87" s="70" t="s">
        <v>64</v>
      </c>
      <c r="G87" s="124">
        <f t="shared" si="0"/>
        <v>42020</v>
      </c>
      <c r="H87" s="22">
        <f t="shared" si="5"/>
        <v>40792</v>
      </c>
      <c r="I87" s="22">
        <f>DATEVALUE(_xll.BDP($B87, "SETTLE_DT"))</f>
        <v>41066</v>
      </c>
      <c r="J87" s="23">
        <f t="shared" si="1"/>
        <v>274</v>
      </c>
      <c r="K87" s="99">
        <f>_xll.BCountPeriods($H87, $I87, "CDR= " &amp; $E$7)</f>
        <v>192</v>
      </c>
      <c r="M87" s="264" t="str">
        <f t="shared" si="2"/>
        <v>USD/JPY R 9M@011515 Curncy</v>
      </c>
      <c r="N87" s="265"/>
      <c r="O87" s="266"/>
      <c r="P87" s="53" t="s">
        <v>41</v>
      </c>
      <c r="Q87" s="70" t="s">
        <v>64</v>
      </c>
      <c r="R87" s="124">
        <f t="shared" si="3"/>
        <v>42019</v>
      </c>
      <c r="S87" s="22">
        <f t="shared" si="6"/>
        <v>42024</v>
      </c>
      <c r="T87" s="22">
        <f>DATEVALUE(_xll.BDP($M87, "SETTLE_DT"))</f>
        <v>42297</v>
      </c>
      <c r="U87" s="23">
        <f t="shared" si="4"/>
        <v>273</v>
      </c>
      <c r="V87" s="23">
        <f>_xll.BCountPeriods($S87, $T87, "CDR=US " &amp;$P$7)</f>
        <v>180</v>
      </c>
      <c r="W87" s="25">
        <f>_xll.BDP($M87, "PX_BID")</f>
        <v>115.7514</v>
      </c>
      <c r="X87" s="107">
        <f>_xll.BDP($M87, "PX_ASK")</f>
        <v>115.7766</v>
      </c>
    </row>
    <row r="88" spans="2:24" ht="15" hidden="1" customHeight="1" x14ac:dyDescent="0.2">
      <c r="B88" s="267" t="s">
        <v>119</v>
      </c>
      <c r="C88" s="268"/>
      <c r="D88" s="269"/>
      <c r="E88" s="114" t="s">
        <v>41</v>
      </c>
      <c r="F88" s="115" t="s">
        <v>65</v>
      </c>
      <c r="G88" s="125">
        <f t="shared" si="0"/>
        <v>42020</v>
      </c>
      <c r="H88" s="20">
        <f t="shared" si="5"/>
        <v>40792</v>
      </c>
      <c r="I88" s="20">
        <f>DATEVALUE(_xll.BDP($B88, "SETTLE_DT"))</f>
        <v>41096</v>
      </c>
      <c r="J88" s="21">
        <f t="shared" si="1"/>
        <v>304</v>
      </c>
      <c r="K88" s="100">
        <f>_xll.BCountPeriods($H88, $I88, "CDR= " &amp; $E$7)</f>
        <v>214</v>
      </c>
      <c r="M88" s="267" t="str">
        <f t="shared" si="2"/>
        <v>USD/JPY R 10M@011515 Curncy</v>
      </c>
      <c r="N88" s="268"/>
      <c r="O88" s="269"/>
      <c r="P88" s="114" t="s">
        <v>41</v>
      </c>
      <c r="Q88" s="115" t="s">
        <v>65</v>
      </c>
      <c r="R88" s="125">
        <f t="shared" si="3"/>
        <v>42019</v>
      </c>
      <c r="S88" s="20">
        <f t="shared" si="6"/>
        <v>42024</v>
      </c>
      <c r="T88" s="20">
        <f>DATEVALUE(_xll.BDP($M88, "SETTLE_DT"))</f>
        <v>42328</v>
      </c>
      <c r="U88" s="21">
        <f t="shared" si="4"/>
        <v>304</v>
      </c>
      <c r="V88" s="21">
        <f>_xll.BCountPeriods($S88, $T88, "CDR=US " &amp;$P$7)</f>
        <v>201</v>
      </c>
      <c r="W88" s="24">
        <f>_xll.BDP($M88, "PX_BID")</f>
        <v>115.66849999999999</v>
      </c>
      <c r="X88" s="108">
        <f>_xll.BDP($M88, "PX_ASK")</f>
        <v>115.69370000000001</v>
      </c>
    </row>
    <row r="89" spans="2:24" ht="15" hidden="1" customHeight="1" x14ac:dyDescent="0.2">
      <c r="B89" s="264" t="s">
        <v>120</v>
      </c>
      <c r="C89" s="265"/>
      <c r="D89" s="266"/>
      <c r="E89" s="53" t="s">
        <v>41</v>
      </c>
      <c r="F89" s="70" t="s">
        <v>66</v>
      </c>
      <c r="G89" s="124">
        <f t="shared" si="0"/>
        <v>42020</v>
      </c>
      <c r="H89" s="22">
        <f t="shared" si="5"/>
        <v>40792</v>
      </c>
      <c r="I89" s="22">
        <f>DATEVALUE(_xll.BDP($B89, "SETTLE_DT"))</f>
        <v>41127</v>
      </c>
      <c r="J89" s="23">
        <f t="shared" si="1"/>
        <v>335</v>
      </c>
      <c r="K89" s="99">
        <f>_xll.BCountPeriods($H89, $I89, "CDR= " &amp; $E$7)</f>
        <v>235</v>
      </c>
      <c r="M89" s="264" t="str">
        <f t="shared" si="2"/>
        <v>USD/JPY R 11M@011515 Curncy</v>
      </c>
      <c r="N89" s="265"/>
      <c r="O89" s="266"/>
      <c r="P89" s="53" t="s">
        <v>41</v>
      </c>
      <c r="Q89" s="70" t="s">
        <v>66</v>
      </c>
      <c r="R89" s="124">
        <f t="shared" si="3"/>
        <v>42019</v>
      </c>
      <c r="S89" s="22">
        <f t="shared" si="6"/>
        <v>42024</v>
      </c>
      <c r="T89" s="22">
        <f>DATEVALUE(_xll.BDP($M89, "SETTLE_DT"))</f>
        <v>42359</v>
      </c>
      <c r="U89" s="23">
        <f t="shared" si="4"/>
        <v>335</v>
      </c>
      <c r="V89" s="23">
        <f>_xll.BCountPeriods($S89, $T89, "CDR=US " &amp;$P$7)</f>
        <v>220</v>
      </c>
      <c r="W89" s="25">
        <f>_xll.BDP($M89, "PX_BID")</f>
        <v>115.5856</v>
      </c>
      <c r="X89" s="107">
        <f>_xll.BDP($M89, "PX_ASK")</f>
        <v>115.6109</v>
      </c>
    </row>
    <row r="90" spans="2:24" ht="15" hidden="1" customHeight="1" x14ac:dyDescent="0.2">
      <c r="B90" s="267" t="s">
        <v>121</v>
      </c>
      <c r="C90" s="268"/>
      <c r="D90" s="269"/>
      <c r="E90" s="114" t="s">
        <v>41</v>
      </c>
      <c r="F90" s="115" t="s">
        <v>67</v>
      </c>
      <c r="G90" s="125">
        <f t="shared" si="0"/>
        <v>42020</v>
      </c>
      <c r="H90" s="20">
        <f t="shared" si="5"/>
        <v>40792</v>
      </c>
      <c r="I90" s="20">
        <f>DATEVALUE(_xll.BDP($B90, "SETTLE_DT"))</f>
        <v>41158</v>
      </c>
      <c r="J90" s="21">
        <f t="shared" si="1"/>
        <v>366</v>
      </c>
      <c r="K90" s="100">
        <f>_xll.BCountPeriods($H90, $I90, "CDR= " &amp; $E$7)</f>
        <v>258</v>
      </c>
      <c r="M90" s="267" t="str">
        <f t="shared" si="2"/>
        <v>USD/JPY R 12M@011515 Curncy</v>
      </c>
      <c r="N90" s="268"/>
      <c r="O90" s="269"/>
      <c r="P90" s="114" t="s">
        <v>41</v>
      </c>
      <c r="Q90" s="115" t="s">
        <v>67</v>
      </c>
      <c r="R90" s="125">
        <f t="shared" si="3"/>
        <v>42019</v>
      </c>
      <c r="S90" s="20">
        <f t="shared" si="6"/>
        <v>42024</v>
      </c>
      <c r="T90" s="20">
        <f>DATEVALUE(_xll.BDP($M90, "SETTLE_DT"))</f>
        <v>42389</v>
      </c>
      <c r="U90" s="21">
        <f t="shared" si="4"/>
        <v>365</v>
      </c>
      <c r="V90" s="21">
        <f>_xll.BCountPeriods($S90, $T90, "CDR=US " &amp;$P$7)</f>
        <v>236</v>
      </c>
      <c r="W90" s="24">
        <f>_xll.BDP($M90, "PX_BID")</f>
        <v>115.50530000000001</v>
      </c>
      <c r="X90" s="108">
        <f>_xll.BDP($M90, "PX_ASK")</f>
        <v>115.5307</v>
      </c>
    </row>
    <row r="91" spans="2:24" ht="15" hidden="1" customHeight="1" x14ac:dyDescent="0.2">
      <c r="B91" s="282" t="s">
        <v>122</v>
      </c>
      <c r="C91" s="283"/>
      <c r="D91" s="284"/>
      <c r="E91" s="89" t="s">
        <v>41</v>
      </c>
      <c r="F91" s="101" t="s">
        <v>69</v>
      </c>
      <c r="G91" s="102">
        <f t="shared" si="0"/>
        <v>42020</v>
      </c>
      <c r="H91" s="103">
        <f t="shared" si="5"/>
        <v>40792</v>
      </c>
      <c r="I91" s="103">
        <f>DATEVALUE(_xll.BDP($B91, "SETTLE_DT"))</f>
        <v>40941</v>
      </c>
      <c r="J91" s="104">
        <f t="shared" si="1"/>
        <v>149</v>
      </c>
      <c r="K91" s="105">
        <f>_xll.BCountPeriods($H91, $I91, "CDR= " &amp; $E$7)</f>
        <v>106</v>
      </c>
      <c r="M91" s="282" t="str">
        <f t="shared" si="2"/>
        <v>USD/JPY R 020212@011515 Curncy</v>
      </c>
      <c r="N91" s="283"/>
      <c r="O91" s="284"/>
      <c r="P91" s="89" t="s">
        <v>41</v>
      </c>
      <c r="Q91" s="101" t="s">
        <v>69</v>
      </c>
      <c r="R91" s="102">
        <f t="shared" si="3"/>
        <v>42019</v>
      </c>
      <c r="S91" s="103">
        <f t="shared" si="6"/>
        <v>42024</v>
      </c>
      <c r="T91" s="103">
        <f>DATEVALUE(_xll.BDP($M91, "SETTLE_DT"))</f>
        <v>40941</v>
      </c>
      <c r="U91" s="104">
        <f t="shared" si="4"/>
        <v>-1083</v>
      </c>
      <c r="V91" s="104">
        <f>_xll.BCountPeriods($S91, $T91, "CDR=US " &amp;$P$7)</f>
        <v>-700</v>
      </c>
      <c r="W91" s="109">
        <f>_xll.BDP($M91, "PX_BID")</f>
        <v>1</v>
      </c>
      <c r="X91" s="110">
        <f>_xll.BDP($M91, "PX_ASK")</f>
        <v>1</v>
      </c>
    </row>
    <row r="92" spans="2:24" ht="15" customHeight="1" x14ac:dyDescent="0.2"/>
    <row r="93" spans="2:24" ht="15" customHeight="1" x14ac:dyDescent="0.2">
      <c r="B93" s="71"/>
      <c r="C93" s="71"/>
    </row>
    <row r="94" spans="2:24" ht="15" customHeight="1" x14ac:dyDescent="0.2">
      <c r="B94" s="270" t="s">
        <v>75</v>
      </c>
      <c r="C94" s="271"/>
      <c r="D94" s="96" t="s">
        <v>72</v>
      </c>
      <c r="E94" s="93" t="s">
        <v>74</v>
      </c>
      <c r="F94" s="11" t="str">
        <f>_xll.BDP(D94&amp;" Curncy","CALENDAR_CODE")</f>
        <v>TE</v>
      </c>
      <c r="G94" s="168" t="s">
        <v>159</v>
      </c>
      <c r="H94" s="174" t="s">
        <v>155</v>
      </c>
      <c r="I94" s="166"/>
      <c r="M94" s="278" t="s">
        <v>162</v>
      </c>
      <c r="N94" s="279"/>
      <c r="O94" s="93" t="s">
        <v>41</v>
      </c>
    </row>
    <row r="95" spans="2:24" ht="15" customHeight="1" x14ac:dyDescent="0.2">
      <c r="B95" s="274" t="s">
        <v>46</v>
      </c>
      <c r="C95" s="277"/>
      <c r="D95" s="97">
        <v>42019</v>
      </c>
      <c r="E95" s="9"/>
      <c r="G95" s="167" t="s">
        <v>160</v>
      </c>
      <c r="H95" s="175" t="s">
        <v>161</v>
      </c>
      <c r="M95" s="280" t="s">
        <v>163</v>
      </c>
      <c r="N95" s="281"/>
      <c r="O95" s="93" t="s">
        <v>41</v>
      </c>
    </row>
    <row r="96" spans="2:24" s="122" customFormat="1" ht="15" hidden="1" customHeight="1" x14ac:dyDescent="0.2">
      <c r="B96" s="163"/>
      <c r="C96" s="163"/>
      <c r="D96" s="164">
        <f>_xll.BAddPeriods(D95,"busdayadj=-1")</f>
        <v>42019</v>
      </c>
      <c r="E96" s="165"/>
      <c r="M96" s="122" t="str">
        <f>IF(O94="regular","",IF(O94="Onshore","onshore",IF(O947="NDF","ndf","offshore")))</f>
        <v/>
      </c>
      <c r="O96" s="122" t="str">
        <f>IF(O95="regular","",IF(O95="Onshore","onshore",IF(O95="NDF","ndf","offshore")))</f>
        <v/>
      </c>
    </row>
    <row r="97" spans="1:11" ht="5.0999999999999996" customHeight="1" x14ac:dyDescent="0.2"/>
    <row r="98" spans="1:11" ht="15" hidden="1" customHeight="1" x14ac:dyDescent="0.2">
      <c r="A98" s="111"/>
      <c r="B98" s="292" t="s">
        <v>21</v>
      </c>
      <c r="C98" s="293"/>
      <c r="D98" s="294"/>
      <c r="E98" s="237" t="s">
        <v>29</v>
      </c>
      <c r="F98" s="237" t="s">
        <v>49</v>
      </c>
      <c r="G98" s="298" t="s">
        <v>17</v>
      </c>
      <c r="H98" s="290" t="s">
        <v>68</v>
      </c>
      <c r="I98" s="290" t="s">
        <v>22</v>
      </c>
      <c r="J98" s="290" t="s">
        <v>16</v>
      </c>
      <c r="K98" s="291" t="s">
        <v>70</v>
      </c>
    </row>
    <row r="99" spans="1:11" ht="15" hidden="1" customHeight="1" x14ac:dyDescent="0.2">
      <c r="A99" s="111"/>
      <c r="B99" s="295"/>
      <c r="C99" s="296"/>
      <c r="D99" s="297"/>
      <c r="E99" s="238"/>
      <c r="F99" s="238"/>
      <c r="G99" s="260"/>
      <c r="H99" s="256"/>
      <c r="I99" s="256"/>
      <c r="J99" s="256"/>
      <c r="K99" s="248"/>
    </row>
    <row r="100" spans="1:11" ht="15" hidden="1" customHeight="1" x14ac:dyDescent="0.2">
      <c r="A100" s="111"/>
      <c r="B100" s="267" t="str">
        <f t="shared" ref="B100:B119" si="7">$D$94 &amp; "/" &amp; $E$94 &amp; " " &amp; LEFT($E100,1) &amp; " " &amp; $F100 &amp; "@" &amp; TEXT(MONTH($D$95)*10000+DAY($D$95)*100+MOD(YEAR($D$95),100),"000000") &amp; " Curncy"</f>
        <v>EUR/JPY R ON@011515 Curncy</v>
      </c>
      <c r="C100" s="268"/>
      <c r="D100" s="269"/>
      <c r="E100" s="116" t="s">
        <v>41</v>
      </c>
      <c r="F100" s="117" t="s">
        <v>50</v>
      </c>
      <c r="G100" s="52">
        <f>$D$95</f>
        <v>42019</v>
      </c>
      <c r="H100" s="50">
        <f>$D$95</f>
        <v>42019</v>
      </c>
      <c r="I100" s="50">
        <f>DATEVALUE(_xll.BDP($B100, "SETTLE_DT"))</f>
        <v>42020</v>
      </c>
      <c r="J100" s="51">
        <f>$I100-$H100</f>
        <v>1</v>
      </c>
      <c r="K100" s="98" t="e">
        <f>_xll.BCountPeriods($H100, $I100, "CDR=" &amp;#REF! &amp; " " &amp; $F$94)</f>
        <v>#REF!</v>
      </c>
    </row>
    <row r="101" spans="1:11" ht="15" hidden="1" customHeight="1" x14ac:dyDescent="0.2">
      <c r="B101" s="264" t="str">
        <f t="shared" si="7"/>
        <v>EUR/JPY R TN@011515 Curncy</v>
      </c>
      <c r="C101" s="265"/>
      <c r="D101" s="266"/>
      <c r="E101" s="53" t="s">
        <v>41</v>
      </c>
      <c r="F101" s="70" t="s">
        <v>51</v>
      </c>
      <c r="G101" s="124">
        <f t="shared" ref="G101:G119" si="8">$D$95</f>
        <v>42019</v>
      </c>
      <c r="H101" s="22">
        <f>I100</f>
        <v>42020</v>
      </c>
      <c r="I101" s="22">
        <f>DATEVALUE(_xll.BDP($B101, "SETTLE_DT"))</f>
        <v>42024</v>
      </c>
      <c r="J101" s="23">
        <f t="shared" ref="J101:J119" si="9">$I101-$H101</f>
        <v>4</v>
      </c>
      <c r="K101" s="99" t="e">
        <f>_xll.BCountPeriods($H101, $I101, "CDR=" &amp;#REF! &amp; " " &amp; $F$94)</f>
        <v>#REF!</v>
      </c>
    </row>
    <row r="102" spans="1:11" ht="15" hidden="1" customHeight="1" x14ac:dyDescent="0.2">
      <c r="B102" s="267" t="str">
        <f t="shared" si="7"/>
        <v>EUR/JPY R @011515 Curncy</v>
      </c>
      <c r="C102" s="268"/>
      <c r="D102" s="269"/>
      <c r="E102" s="116" t="s">
        <v>41</v>
      </c>
      <c r="F102" s="117"/>
      <c r="G102" s="125">
        <f t="shared" si="8"/>
        <v>42019</v>
      </c>
      <c r="H102" s="20">
        <f>D95</f>
        <v>42019</v>
      </c>
      <c r="I102" s="20">
        <f>DATEVALUE(_xll.BDP($B102, "SETTLE_DT"))</f>
        <v>42024</v>
      </c>
      <c r="J102" s="21">
        <f t="shared" si="9"/>
        <v>5</v>
      </c>
      <c r="K102" s="100" t="e">
        <f>_xll.BCountPeriods($H102, $I102, "CDR=" &amp;#REF! &amp; " " &amp; $F$94)</f>
        <v>#REF!</v>
      </c>
    </row>
    <row r="103" spans="1:11" ht="15" hidden="1" customHeight="1" x14ac:dyDescent="0.2">
      <c r="B103" s="264" t="str">
        <f t="shared" si="7"/>
        <v>EUR/JPY R SN@011515 Curncy</v>
      </c>
      <c r="C103" s="265"/>
      <c r="D103" s="266"/>
      <c r="E103" s="53" t="s">
        <v>41</v>
      </c>
      <c r="F103" s="70" t="s">
        <v>52</v>
      </c>
      <c r="G103" s="124">
        <f t="shared" si="8"/>
        <v>42019</v>
      </c>
      <c r="H103" s="22">
        <f>$I$102</f>
        <v>42024</v>
      </c>
      <c r="I103" s="22">
        <f>DATEVALUE(_xll.BDP($B103, "SETTLE_DT"))</f>
        <v>42025</v>
      </c>
      <c r="J103" s="23">
        <f t="shared" si="9"/>
        <v>1</v>
      </c>
      <c r="K103" s="99" t="e">
        <f>_xll.BCountPeriods($H103, $I103, "CDR=" &amp;#REF! &amp; " " &amp; $F$94)</f>
        <v>#REF!</v>
      </c>
    </row>
    <row r="104" spans="1:11" ht="15" hidden="1" customHeight="1" x14ac:dyDescent="0.2">
      <c r="B104" s="267" t="str">
        <f t="shared" si="7"/>
        <v>EUR/JPY R 1W@011515 Curncy</v>
      </c>
      <c r="C104" s="268"/>
      <c r="D104" s="269"/>
      <c r="E104" s="116" t="s">
        <v>41</v>
      </c>
      <c r="F104" s="117" t="s">
        <v>53</v>
      </c>
      <c r="G104" s="125">
        <f t="shared" si="8"/>
        <v>42019</v>
      </c>
      <c r="H104" s="20">
        <f t="shared" ref="H104:H119" si="10">$I$102</f>
        <v>42024</v>
      </c>
      <c r="I104" s="20">
        <f>DATEVALUE(_xll.BDP($B104, "SETTLE_DT"))</f>
        <v>42031</v>
      </c>
      <c r="J104" s="21">
        <f t="shared" si="9"/>
        <v>7</v>
      </c>
      <c r="K104" s="100" t="e">
        <f>_xll.BCountPeriods($H104, $I104, "CDR=" &amp;#REF! &amp; " " &amp; $F$94)</f>
        <v>#REF!</v>
      </c>
    </row>
    <row r="105" spans="1:11" ht="15" hidden="1" customHeight="1" x14ac:dyDescent="0.2">
      <c r="B105" s="264" t="str">
        <f t="shared" si="7"/>
        <v>EUR/JPY R 2W@011515 Curncy</v>
      </c>
      <c r="C105" s="265"/>
      <c r="D105" s="266"/>
      <c r="E105" s="53" t="s">
        <v>41</v>
      </c>
      <c r="F105" s="70" t="s">
        <v>54</v>
      </c>
      <c r="G105" s="124">
        <f t="shared" si="8"/>
        <v>42019</v>
      </c>
      <c r="H105" s="22">
        <f t="shared" si="10"/>
        <v>42024</v>
      </c>
      <c r="I105" s="22">
        <f>DATEVALUE(_xll.BDP($B105, "SETTLE_DT"))</f>
        <v>42038</v>
      </c>
      <c r="J105" s="23">
        <f t="shared" si="9"/>
        <v>14</v>
      </c>
      <c r="K105" s="99" t="e">
        <f>_xll.BCountPeriods($H105, $I105, "CDR=" &amp;#REF! &amp; " " &amp; $F$94)</f>
        <v>#REF!</v>
      </c>
    </row>
    <row r="106" spans="1:11" ht="15" hidden="1" customHeight="1" x14ac:dyDescent="0.2">
      <c r="B106" s="267" t="str">
        <f t="shared" si="7"/>
        <v>EUR/JPY R 3W@011515 Curncy</v>
      </c>
      <c r="C106" s="268"/>
      <c r="D106" s="269"/>
      <c r="E106" s="116" t="s">
        <v>41</v>
      </c>
      <c r="F106" s="117" t="s">
        <v>55</v>
      </c>
      <c r="G106" s="125">
        <f t="shared" si="8"/>
        <v>42019</v>
      </c>
      <c r="H106" s="20">
        <f t="shared" si="10"/>
        <v>42024</v>
      </c>
      <c r="I106" s="20">
        <f>DATEVALUE(_xll.BDP($B106, "SETTLE_DT"))</f>
        <v>42045</v>
      </c>
      <c r="J106" s="21">
        <f t="shared" si="9"/>
        <v>21</v>
      </c>
      <c r="K106" s="100" t="e">
        <f>_xll.BCountPeriods($H106, $I106, "CDR=" &amp;#REF! &amp; " " &amp; $F$94)</f>
        <v>#REF!</v>
      </c>
    </row>
    <row r="107" spans="1:11" ht="15" hidden="1" customHeight="1" x14ac:dyDescent="0.2">
      <c r="B107" s="264" t="str">
        <f t="shared" si="7"/>
        <v>EUR/JPY R 1M@011515 Curncy</v>
      </c>
      <c r="C107" s="265"/>
      <c r="D107" s="266"/>
      <c r="E107" s="53" t="s">
        <v>41</v>
      </c>
      <c r="F107" s="70" t="s">
        <v>56</v>
      </c>
      <c r="G107" s="124">
        <f t="shared" si="8"/>
        <v>42019</v>
      </c>
      <c r="H107" s="22">
        <f t="shared" si="10"/>
        <v>42024</v>
      </c>
      <c r="I107" s="22">
        <f>DATEVALUE(_xll.BDP($B107, "SETTLE_DT"))</f>
        <v>42055</v>
      </c>
      <c r="J107" s="23">
        <f t="shared" si="9"/>
        <v>31</v>
      </c>
      <c r="K107" s="99" t="e">
        <f>_xll.BCountPeriods($H107, $I107, "CDR=" &amp;#REF! &amp; " " &amp; $F$94)</f>
        <v>#REF!</v>
      </c>
    </row>
    <row r="108" spans="1:11" ht="15" hidden="1" customHeight="1" x14ac:dyDescent="0.2">
      <c r="B108" s="267" t="str">
        <f t="shared" si="7"/>
        <v>EUR/JPY R 2M@011515 Curncy</v>
      </c>
      <c r="C108" s="268"/>
      <c r="D108" s="269"/>
      <c r="E108" s="116" t="s">
        <v>41</v>
      </c>
      <c r="F108" s="117" t="s">
        <v>57</v>
      </c>
      <c r="G108" s="125">
        <f t="shared" si="8"/>
        <v>42019</v>
      </c>
      <c r="H108" s="20">
        <f t="shared" si="10"/>
        <v>42024</v>
      </c>
      <c r="I108" s="20">
        <f>DATEVALUE(_xll.BDP($B108, "SETTLE_DT"))</f>
        <v>42083</v>
      </c>
      <c r="J108" s="21">
        <f t="shared" si="9"/>
        <v>59</v>
      </c>
      <c r="K108" s="100" t="e">
        <f>_xll.BCountPeriods($H108, $I108, "CDR=" &amp;#REF! &amp; " " &amp; $F$94)</f>
        <v>#REF!</v>
      </c>
    </row>
    <row r="109" spans="1:11" ht="15" hidden="1" customHeight="1" x14ac:dyDescent="0.2">
      <c r="B109" s="264" t="str">
        <f t="shared" si="7"/>
        <v>EUR/JPY R 3M@011515 Curncy</v>
      </c>
      <c r="C109" s="265"/>
      <c r="D109" s="266"/>
      <c r="E109" s="53" t="s">
        <v>41</v>
      </c>
      <c r="F109" s="70" t="s">
        <v>58</v>
      </c>
      <c r="G109" s="124">
        <f t="shared" si="8"/>
        <v>42019</v>
      </c>
      <c r="H109" s="22">
        <f t="shared" si="10"/>
        <v>42024</v>
      </c>
      <c r="I109" s="22">
        <f>DATEVALUE(_xll.BDP($B109, "SETTLE_DT"))</f>
        <v>42114</v>
      </c>
      <c r="J109" s="23">
        <f t="shared" si="9"/>
        <v>90</v>
      </c>
      <c r="K109" s="99" t="e">
        <f>_xll.BCountPeriods($H109, $I109, "CDR=" &amp;#REF! &amp; " " &amp; $F$94)</f>
        <v>#REF!</v>
      </c>
    </row>
    <row r="110" spans="1:11" ht="15" hidden="1" customHeight="1" x14ac:dyDescent="0.2">
      <c r="B110" s="267" t="str">
        <f t="shared" si="7"/>
        <v>EUR/JPY R 4M@011515 Curncy</v>
      </c>
      <c r="C110" s="268"/>
      <c r="D110" s="269"/>
      <c r="E110" s="116" t="s">
        <v>41</v>
      </c>
      <c r="F110" s="117" t="s">
        <v>59</v>
      </c>
      <c r="G110" s="125">
        <f t="shared" si="8"/>
        <v>42019</v>
      </c>
      <c r="H110" s="20">
        <f t="shared" si="10"/>
        <v>42024</v>
      </c>
      <c r="I110" s="20">
        <f>DATEVALUE(_xll.BDP($B110, "SETTLE_DT"))</f>
        <v>42144</v>
      </c>
      <c r="J110" s="21">
        <f t="shared" si="9"/>
        <v>120</v>
      </c>
      <c r="K110" s="100" t="e">
        <f>_xll.BCountPeriods($H110, $I110, "CDR=" &amp;#REF! &amp; " " &amp; $F$94)</f>
        <v>#REF!</v>
      </c>
    </row>
    <row r="111" spans="1:11" ht="15" hidden="1" customHeight="1" x14ac:dyDescent="0.2">
      <c r="B111" s="264" t="str">
        <f t="shared" si="7"/>
        <v>EUR/JPY R 5M@011515 Curncy</v>
      </c>
      <c r="C111" s="265"/>
      <c r="D111" s="266"/>
      <c r="E111" s="53" t="s">
        <v>41</v>
      </c>
      <c r="F111" s="70" t="s">
        <v>60</v>
      </c>
      <c r="G111" s="124">
        <f t="shared" si="8"/>
        <v>42019</v>
      </c>
      <c r="H111" s="22">
        <f t="shared" si="10"/>
        <v>42024</v>
      </c>
      <c r="I111" s="22">
        <f>DATEVALUE(_xll.BDP($B111, "SETTLE_DT"))</f>
        <v>42177</v>
      </c>
      <c r="J111" s="23">
        <f t="shared" si="9"/>
        <v>153</v>
      </c>
      <c r="K111" s="99" t="e">
        <f>_xll.BCountPeriods($H111, $I111, "CDR=" &amp;#REF! &amp; " " &amp; $F$94)</f>
        <v>#REF!</v>
      </c>
    </row>
    <row r="112" spans="1:11" ht="15" hidden="1" customHeight="1" x14ac:dyDescent="0.2">
      <c r="B112" s="267" t="str">
        <f t="shared" si="7"/>
        <v>EUR/JPY R 6M@011515 Curncy</v>
      </c>
      <c r="C112" s="268"/>
      <c r="D112" s="269"/>
      <c r="E112" s="116" t="s">
        <v>41</v>
      </c>
      <c r="F112" s="117" t="s">
        <v>61</v>
      </c>
      <c r="G112" s="125">
        <f t="shared" si="8"/>
        <v>42019</v>
      </c>
      <c r="H112" s="20">
        <f t="shared" si="10"/>
        <v>42024</v>
      </c>
      <c r="I112" s="20">
        <f>DATEVALUE(_xll.BDP($B112, "SETTLE_DT"))</f>
        <v>42206</v>
      </c>
      <c r="J112" s="21">
        <f t="shared" si="9"/>
        <v>182</v>
      </c>
      <c r="K112" s="100" t="e">
        <f>_xll.BCountPeriods($H112, $I112, "CDR=" &amp;#REF! &amp; " " &amp; $F$94)</f>
        <v>#REF!</v>
      </c>
    </row>
    <row r="113" spans="2:11" ht="15" hidden="1" customHeight="1" x14ac:dyDescent="0.2">
      <c r="B113" s="264" t="str">
        <f t="shared" si="7"/>
        <v>EUR/JPY R 7M@011515 Curncy</v>
      </c>
      <c r="C113" s="265"/>
      <c r="D113" s="266"/>
      <c r="E113" s="53" t="s">
        <v>41</v>
      </c>
      <c r="F113" s="70" t="s">
        <v>62</v>
      </c>
      <c r="G113" s="124">
        <f t="shared" si="8"/>
        <v>42019</v>
      </c>
      <c r="H113" s="22">
        <f t="shared" si="10"/>
        <v>42024</v>
      </c>
      <c r="I113" s="22">
        <f>DATEVALUE(_xll.BDP($B113, "SETTLE_DT"))</f>
        <v>42236</v>
      </c>
      <c r="J113" s="23">
        <f t="shared" si="9"/>
        <v>212</v>
      </c>
      <c r="K113" s="99" t="e">
        <f>_xll.BCountPeriods($H113, $I113, "CDR=" &amp;#REF! &amp; " " &amp; $F$94)</f>
        <v>#REF!</v>
      </c>
    </row>
    <row r="114" spans="2:11" ht="15" hidden="1" customHeight="1" x14ac:dyDescent="0.2">
      <c r="B114" s="267" t="str">
        <f t="shared" si="7"/>
        <v>EUR/JPY R 8M@011515 Curncy</v>
      </c>
      <c r="C114" s="268"/>
      <c r="D114" s="269"/>
      <c r="E114" s="116" t="s">
        <v>41</v>
      </c>
      <c r="F114" s="117" t="s">
        <v>63</v>
      </c>
      <c r="G114" s="125">
        <f t="shared" si="8"/>
        <v>42019</v>
      </c>
      <c r="H114" s="20">
        <f t="shared" si="10"/>
        <v>42024</v>
      </c>
      <c r="I114" s="20">
        <f>DATEVALUE(_xll.BDP($B114, "SETTLE_DT"))</f>
        <v>42271</v>
      </c>
      <c r="J114" s="21">
        <f t="shared" si="9"/>
        <v>247</v>
      </c>
      <c r="K114" s="100" t="e">
        <f>_xll.BCountPeriods($H114, $I114, "CDR=" &amp;#REF! &amp; " " &amp; $F$94)</f>
        <v>#REF!</v>
      </c>
    </row>
    <row r="115" spans="2:11" ht="15" hidden="1" customHeight="1" x14ac:dyDescent="0.2">
      <c r="B115" s="264" t="str">
        <f t="shared" si="7"/>
        <v>EUR/JPY R 9M@011515 Curncy</v>
      </c>
      <c r="C115" s="265"/>
      <c r="D115" s="266"/>
      <c r="E115" s="53" t="s">
        <v>41</v>
      </c>
      <c r="F115" s="70" t="s">
        <v>64</v>
      </c>
      <c r="G115" s="124">
        <f t="shared" si="8"/>
        <v>42019</v>
      </c>
      <c r="H115" s="22">
        <f t="shared" si="10"/>
        <v>42024</v>
      </c>
      <c r="I115" s="22">
        <f>DATEVALUE(_xll.BDP($B115, "SETTLE_DT"))</f>
        <v>42297</v>
      </c>
      <c r="J115" s="23">
        <f t="shared" si="9"/>
        <v>273</v>
      </c>
      <c r="K115" s="99" t="e">
        <f>_xll.BCountPeriods($H115, $I115, "CDR=" &amp;#REF! &amp; " " &amp; $F$94)</f>
        <v>#REF!</v>
      </c>
    </row>
    <row r="116" spans="2:11" ht="15" hidden="1" customHeight="1" x14ac:dyDescent="0.2">
      <c r="B116" s="267" t="str">
        <f t="shared" si="7"/>
        <v>EUR/JPY R 10M@011515 Curncy</v>
      </c>
      <c r="C116" s="268"/>
      <c r="D116" s="269"/>
      <c r="E116" s="116" t="s">
        <v>41</v>
      </c>
      <c r="F116" s="117" t="s">
        <v>65</v>
      </c>
      <c r="G116" s="125">
        <f t="shared" si="8"/>
        <v>42019</v>
      </c>
      <c r="H116" s="20">
        <f t="shared" si="10"/>
        <v>42024</v>
      </c>
      <c r="I116" s="20">
        <f>DATEVALUE(_xll.BDP($B116, "SETTLE_DT"))</f>
        <v>42328</v>
      </c>
      <c r="J116" s="21">
        <f t="shared" si="9"/>
        <v>304</v>
      </c>
      <c r="K116" s="100" t="e">
        <f>_xll.BCountPeriods($H116, $I116, "CDR=" &amp;#REF! &amp; " " &amp; $F$94)</f>
        <v>#REF!</v>
      </c>
    </row>
    <row r="117" spans="2:11" ht="15" hidden="1" customHeight="1" x14ac:dyDescent="0.2">
      <c r="B117" s="264" t="str">
        <f t="shared" si="7"/>
        <v>EUR/JPY R 11M@011515 Curncy</v>
      </c>
      <c r="C117" s="265"/>
      <c r="D117" s="266"/>
      <c r="E117" s="53" t="s">
        <v>41</v>
      </c>
      <c r="F117" s="70" t="s">
        <v>66</v>
      </c>
      <c r="G117" s="124">
        <f t="shared" si="8"/>
        <v>42019</v>
      </c>
      <c r="H117" s="22">
        <f t="shared" si="10"/>
        <v>42024</v>
      </c>
      <c r="I117" s="22">
        <f>DATEVALUE(_xll.BDP($B117, "SETTLE_DT"))</f>
        <v>42359</v>
      </c>
      <c r="J117" s="23">
        <f t="shared" si="9"/>
        <v>335</v>
      </c>
      <c r="K117" s="99" t="e">
        <f>_xll.BCountPeriods($H117, $I117, "CDR=" &amp;#REF! &amp; " " &amp; $F$94)</f>
        <v>#REF!</v>
      </c>
    </row>
    <row r="118" spans="2:11" ht="15" hidden="1" customHeight="1" x14ac:dyDescent="0.2">
      <c r="B118" s="267" t="str">
        <f t="shared" si="7"/>
        <v>EUR/JPY R 12M@011515 Curncy</v>
      </c>
      <c r="C118" s="268"/>
      <c r="D118" s="269"/>
      <c r="E118" s="116" t="s">
        <v>41</v>
      </c>
      <c r="F118" s="117" t="s">
        <v>67</v>
      </c>
      <c r="G118" s="125">
        <f t="shared" si="8"/>
        <v>42019</v>
      </c>
      <c r="H118" s="20">
        <f t="shared" si="10"/>
        <v>42024</v>
      </c>
      <c r="I118" s="20">
        <f>DATEVALUE(_xll.BDP($B118, "SETTLE_DT"))</f>
        <v>42389</v>
      </c>
      <c r="J118" s="21">
        <f t="shared" si="9"/>
        <v>365</v>
      </c>
      <c r="K118" s="100" t="e">
        <f>_xll.BCountPeriods($H118, $I118, "CDR=" &amp;#REF! &amp; " " &amp; $F$94)</f>
        <v>#REF!</v>
      </c>
    </row>
    <row r="119" spans="2:11" ht="15" hidden="1" customHeight="1" x14ac:dyDescent="0.2">
      <c r="B119" s="285" t="str">
        <f t="shared" si="7"/>
        <v>EUR/JPY R 020213@011515 Curncy</v>
      </c>
      <c r="C119" s="286"/>
      <c r="D119" s="287"/>
      <c r="E119" s="89" t="s">
        <v>41</v>
      </c>
      <c r="F119" s="101" t="s">
        <v>76</v>
      </c>
      <c r="G119" s="102">
        <f t="shared" si="8"/>
        <v>42019</v>
      </c>
      <c r="H119" s="103">
        <f t="shared" si="10"/>
        <v>42024</v>
      </c>
      <c r="I119" s="103">
        <f>DATEVALUE(_xll.BDP($B119, "SETTLE_DT"))</f>
        <v>41309</v>
      </c>
      <c r="J119" s="104">
        <f t="shared" si="9"/>
        <v>-715</v>
      </c>
      <c r="K119" s="105" t="e">
        <f>_xll.BCountPeriods($H119, $I119, "CDR=" &amp;#REF! &amp; " " &amp; $F$94)</f>
        <v>#REF!</v>
      </c>
    </row>
    <row r="120" spans="2:11" ht="15" customHeight="1" x14ac:dyDescent="0.2">
      <c r="B120" s="152" t="str">
        <f>_xll.BFxCurve(D94&amp;E94,"output=TENOR,DAYS,SETTLEMENTDATE,ASKPOINTS,BIDPOINTS,ASKOUTRIGHT,BIDOUTRIGHT","LEG1MARKETTYPE",$M$96,"PRICINGDATE",D96,"USEIMMTENORS",H94,"LEG2MARKETTYPE",$O$96,"VIA",$H$95,"cols=7;rows=41")</f>
        <v>Tenor</v>
      </c>
      <c r="C120" s="147" t="s">
        <v>16</v>
      </c>
      <c r="D120" s="153" t="s">
        <v>152</v>
      </c>
      <c r="E120" s="145" t="s">
        <v>133</v>
      </c>
      <c r="F120" s="145" t="s">
        <v>153</v>
      </c>
      <c r="G120" s="146" t="s">
        <v>135</v>
      </c>
      <c r="H120" s="147" t="s">
        <v>134</v>
      </c>
    </row>
    <row r="121" spans="2:11" ht="15" customHeight="1" x14ac:dyDescent="0.2">
      <c r="B121" s="136" t="s">
        <v>50</v>
      </c>
      <c r="C121" s="51">
        <v>1</v>
      </c>
      <c r="D121" s="50">
        <v>42020</v>
      </c>
      <c r="E121" s="43">
        <v>2.0510000000000002</v>
      </c>
      <c r="F121" s="43">
        <v>-1.9930000000000001</v>
      </c>
      <c r="G121" s="149">
        <v>135.15948</v>
      </c>
      <c r="H121" s="43">
        <v>135.11311000000001</v>
      </c>
    </row>
    <row r="122" spans="2:11" ht="15" customHeight="1" x14ac:dyDescent="0.2">
      <c r="B122" s="136" t="s">
        <v>51</v>
      </c>
      <c r="C122" s="141">
        <v>4</v>
      </c>
      <c r="D122" s="140">
        <v>42024</v>
      </c>
      <c r="E122" s="151">
        <v>0.63800000000000001</v>
      </c>
      <c r="F122" s="151">
        <v>4.4999999999999998E-2</v>
      </c>
      <c r="G122" s="150">
        <v>135.13955000000001</v>
      </c>
      <c r="H122" s="151">
        <v>135.13362000000001</v>
      </c>
    </row>
    <row r="123" spans="2:11" x14ac:dyDescent="0.2">
      <c r="B123" s="136" t="s">
        <v>136</v>
      </c>
      <c r="C123" s="141">
        <v>0</v>
      </c>
      <c r="D123" s="140">
        <v>42024</v>
      </c>
      <c r="E123" s="151">
        <v>135.13999999999999</v>
      </c>
      <c r="F123" s="151">
        <v>135.13999999999999</v>
      </c>
      <c r="G123" s="150">
        <v>135.13999999999999</v>
      </c>
      <c r="H123" s="151">
        <v>135.13999999999999</v>
      </c>
    </row>
    <row r="124" spans="2:11" x14ac:dyDescent="0.2">
      <c r="B124" s="136" t="s">
        <v>52</v>
      </c>
      <c r="C124" s="141">
        <v>1</v>
      </c>
      <c r="D124" s="140">
        <v>42025</v>
      </c>
      <c r="E124" s="151">
        <v>6.8000000000000005E-2</v>
      </c>
      <c r="F124" s="151">
        <v>-0.10100000000000001</v>
      </c>
      <c r="G124" s="150">
        <v>135.14068</v>
      </c>
      <c r="H124" s="151">
        <v>135.13899000000001</v>
      </c>
    </row>
    <row r="125" spans="2:11" x14ac:dyDescent="0.2">
      <c r="B125" s="136" t="s">
        <v>53</v>
      </c>
      <c r="C125" s="141">
        <v>7</v>
      </c>
      <c r="D125" s="140">
        <v>42031</v>
      </c>
      <c r="E125" s="151">
        <v>0.22</v>
      </c>
      <c r="F125" s="151">
        <v>-0.22</v>
      </c>
      <c r="G125" s="150">
        <v>135.1422</v>
      </c>
      <c r="H125" s="151">
        <v>135.1378</v>
      </c>
    </row>
    <row r="126" spans="2:11" x14ac:dyDescent="0.2">
      <c r="B126" s="136" t="s">
        <v>170</v>
      </c>
      <c r="C126" s="141">
        <v>10</v>
      </c>
      <c r="D126" s="140">
        <v>42034</v>
      </c>
      <c r="E126" s="151">
        <v>0.16</v>
      </c>
      <c r="F126" s="151">
        <v>-0.22</v>
      </c>
      <c r="G126" s="150">
        <v>135.14160000000001</v>
      </c>
      <c r="H126" s="151">
        <v>135.1378</v>
      </c>
    </row>
    <row r="127" spans="2:11" x14ac:dyDescent="0.2">
      <c r="B127" s="136" t="s">
        <v>171</v>
      </c>
      <c r="C127" s="141">
        <v>13</v>
      </c>
      <c r="D127" s="140">
        <v>42037</v>
      </c>
      <c r="E127" s="151">
        <v>0.11</v>
      </c>
      <c r="F127" s="151">
        <v>-0.24</v>
      </c>
      <c r="G127" s="150">
        <v>135.14109999999999</v>
      </c>
      <c r="H127" s="151">
        <v>135.13759999999999</v>
      </c>
    </row>
    <row r="128" spans="2:11" x14ac:dyDescent="0.2">
      <c r="B128" s="136" t="s">
        <v>54</v>
      </c>
      <c r="C128" s="141">
        <v>14</v>
      </c>
      <c r="D128" s="140">
        <v>42038</v>
      </c>
      <c r="E128" s="151">
        <v>0.09</v>
      </c>
      <c r="F128" s="151">
        <v>-0.24</v>
      </c>
      <c r="G128" s="150">
        <v>135.14089999999999</v>
      </c>
      <c r="H128" s="151">
        <v>135.13759999999999</v>
      </c>
    </row>
    <row r="129" spans="2:8" x14ac:dyDescent="0.2">
      <c r="B129" s="136" t="s">
        <v>55</v>
      </c>
      <c r="C129" s="141">
        <v>21</v>
      </c>
      <c r="D129" s="140">
        <v>42045</v>
      </c>
      <c r="E129" s="151">
        <v>0.25</v>
      </c>
      <c r="F129" s="151">
        <v>-0.17</v>
      </c>
      <c r="G129" s="150">
        <v>135.14250000000001</v>
      </c>
      <c r="H129" s="151">
        <v>135.13829999999999</v>
      </c>
    </row>
    <row r="130" spans="2:8" x14ac:dyDescent="0.2">
      <c r="B130" s="136" t="s">
        <v>56</v>
      </c>
      <c r="C130" s="141">
        <v>31</v>
      </c>
      <c r="D130" s="140">
        <v>42055</v>
      </c>
      <c r="E130" s="151">
        <v>0.52</v>
      </c>
      <c r="F130" s="151">
        <v>-0.33</v>
      </c>
      <c r="G130" s="150">
        <v>135.14519999999999</v>
      </c>
      <c r="H130" s="151">
        <v>135.13669999999999</v>
      </c>
    </row>
    <row r="131" spans="2:8" x14ac:dyDescent="0.2">
      <c r="B131" s="136" t="s">
        <v>172</v>
      </c>
      <c r="C131" s="141">
        <v>38</v>
      </c>
      <c r="D131" s="140">
        <v>42062</v>
      </c>
      <c r="E131" s="151">
        <v>0.44</v>
      </c>
      <c r="F131" s="151">
        <v>-0.38</v>
      </c>
      <c r="G131" s="150">
        <v>135.14439999999999</v>
      </c>
      <c r="H131" s="151">
        <v>135.1362</v>
      </c>
    </row>
    <row r="132" spans="2:8" x14ac:dyDescent="0.2">
      <c r="B132" s="136" t="s">
        <v>173</v>
      </c>
      <c r="C132" s="141">
        <v>41</v>
      </c>
      <c r="D132" s="140">
        <v>42065</v>
      </c>
      <c r="E132" s="151">
        <v>0.41</v>
      </c>
      <c r="F132" s="151">
        <v>-0.42</v>
      </c>
      <c r="G132" s="150">
        <v>135.14410000000001</v>
      </c>
      <c r="H132" s="151">
        <v>135.13579999999999</v>
      </c>
    </row>
    <row r="133" spans="2:8" x14ac:dyDescent="0.2">
      <c r="B133" s="136" t="s">
        <v>131</v>
      </c>
      <c r="C133" s="141">
        <v>57</v>
      </c>
      <c r="D133" s="140">
        <v>42081</v>
      </c>
      <c r="E133" s="151">
        <v>0.25</v>
      </c>
      <c r="F133" s="151">
        <v>-0.55000000000000004</v>
      </c>
      <c r="G133" s="150">
        <v>135.14250000000001</v>
      </c>
      <c r="H133" s="151">
        <v>135.1345</v>
      </c>
    </row>
    <row r="134" spans="2:8" x14ac:dyDescent="0.2">
      <c r="B134" s="136" t="s">
        <v>57</v>
      </c>
      <c r="C134" s="141">
        <v>59</v>
      </c>
      <c r="D134" s="140">
        <v>42083</v>
      </c>
      <c r="E134" s="151">
        <v>0.23</v>
      </c>
      <c r="F134" s="151">
        <v>-0.56999999999999995</v>
      </c>
      <c r="G134" s="150">
        <v>135.14230000000001</v>
      </c>
      <c r="H134" s="151">
        <v>135.1343</v>
      </c>
    </row>
    <row r="135" spans="2:8" x14ac:dyDescent="0.2">
      <c r="B135" s="136" t="s">
        <v>174</v>
      </c>
      <c r="C135" s="141">
        <v>70</v>
      </c>
      <c r="D135" s="140">
        <v>42094</v>
      </c>
      <c r="E135" s="151">
        <v>0.13</v>
      </c>
      <c r="F135" s="151">
        <v>-0.79</v>
      </c>
      <c r="G135" s="150">
        <v>135.1413</v>
      </c>
      <c r="H135" s="151">
        <v>135.13210000000001</v>
      </c>
    </row>
    <row r="136" spans="2:8" x14ac:dyDescent="0.2">
      <c r="B136" s="136" t="s">
        <v>175</v>
      </c>
      <c r="C136" s="141">
        <v>71</v>
      </c>
      <c r="D136" s="140">
        <v>42095</v>
      </c>
      <c r="E136" s="151">
        <v>0.13</v>
      </c>
      <c r="F136" s="151">
        <v>-0.8</v>
      </c>
      <c r="G136" s="150">
        <v>135.1413</v>
      </c>
      <c r="H136" s="151">
        <v>135.13200000000001</v>
      </c>
    </row>
    <row r="137" spans="2:8" x14ac:dyDescent="0.2">
      <c r="B137" s="136" t="s">
        <v>58</v>
      </c>
      <c r="C137" s="141">
        <v>90</v>
      </c>
      <c r="D137" s="140">
        <v>42114</v>
      </c>
      <c r="E137" s="151">
        <v>-0.03</v>
      </c>
      <c r="F137" s="151">
        <v>-1.18</v>
      </c>
      <c r="G137" s="150">
        <v>135.1397</v>
      </c>
      <c r="H137" s="151">
        <v>135.12819999999999</v>
      </c>
    </row>
    <row r="138" spans="2:8" x14ac:dyDescent="0.2">
      <c r="B138" s="136" t="s">
        <v>59</v>
      </c>
      <c r="C138" s="141">
        <v>120</v>
      </c>
      <c r="D138" s="140">
        <v>42144</v>
      </c>
      <c r="E138" s="151">
        <v>0.36</v>
      </c>
      <c r="F138" s="151">
        <v>-1.17</v>
      </c>
      <c r="G138" s="150">
        <v>135.14359999999999</v>
      </c>
      <c r="H138" s="151">
        <v>135.1283</v>
      </c>
    </row>
    <row r="139" spans="2:8" x14ac:dyDescent="0.2">
      <c r="B139" s="136" t="s">
        <v>132</v>
      </c>
      <c r="C139" s="141">
        <v>148</v>
      </c>
      <c r="D139" s="140">
        <v>42172</v>
      </c>
      <c r="E139" s="151">
        <v>1.23</v>
      </c>
      <c r="F139" s="151">
        <v>-0.56000000000000005</v>
      </c>
      <c r="G139" s="150">
        <v>135.1523</v>
      </c>
      <c r="H139" s="151">
        <v>135.1344</v>
      </c>
    </row>
    <row r="140" spans="2:8" x14ac:dyDescent="0.2">
      <c r="B140" s="136" t="s">
        <v>60</v>
      </c>
      <c r="C140" s="141">
        <v>153</v>
      </c>
      <c r="D140" s="140">
        <v>42177</v>
      </c>
      <c r="E140" s="151">
        <v>1.37</v>
      </c>
      <c r="F140" s="151">
        <v>-0.45</v>
      </c>
      <c r="G140" s="150">
        <v>135.15369999999999</v>
      </c>
      <c r="H140" s="151">
        <v>135.13550000000001</v>
      </c>
    </row>
    <row r="141" spans="2:8" x14ac:dyDescent="0.2">
      <c r="B141" s="136" t="s">
        <v>61</v>
      </c>
      <c r="C141" s="141">
        <v>182</v>
      </c>
      <c r="D141" s="140">
        <v>42206</v>
      </c>
      <c r="E141" s="151">
        <v>1.98</v>
      </c>
      <c r="F141" s="151">
        <v>-0.38</v>
      </c>
      <c r="G141" s="150">
        <v>135.15979999999999</v>
      </c>
      <c r="H141" s="151">
        <v>135.1362</v>
      </c>
    </row>
    <row r="142" spans="2:8" x14ac:dyDescent="0.2">
      <c r="B142" s="136" t="s">
        <v>156</v>
      </c>
      <c r="C142" s="141">
        <v>239</v>
      </c>
      <c r="D142" s="140">
        <v>42263</v>
      </c>
      <c r="E142" s="151">
        <v>4.3499999999999996</v>
      </c>
      <c r="F142" s="151">
        <v>1.07</v>
      </c>
      <c r="G142" s="150">
        <v>135.18350000000001</v>
      </c>
      <c r="H142" s="151">
        <v>135.1507</v>
      </c>
    </row>
    <row r="143" spans="2:8" x14ac:dyDescent="0.2">
      <c r="B143" s="136" t="s">
        <v>64</v>
      </c>
      <c r="C143" s="141">
        <v>273</v>
      </c>
      <c r="D143" s="140">
        <v>42297</v>
      </c>
      <c r="E143" s="151">
        <v>4.22</v>
      </c>
      <c r="F143" s="151">
        <v>0.6</v>
      </c>
      <c r="G143" s="150">
        <v>135.18219999999999</v>
      </c>
      <c r="H143" s="151">
        <v>135.14599999999999</v>
      </c>
    </row>
    <row r="144" spans="2:8" x14ac:dyDescent="0.2">
      <c r="B144" s="136" t="s">
        <v>157</v>
      </c>
      <c r="C144" s="141">
        <v>330</v>
      </c>
      <c r="D144" s="140">
        <v>42354</v>
      </c>
      <c r="E144" s="151">
        <v>5.38</v>
      </c>
      <c r="F144" s="151">
        <v>1.55</v>
      </c>
      <c r="G144" s="150">
        <v>135.19380000000001</v>
      </c>
      <c r="H144" s="151">
        <v>135.15549999999999</v>
      </c>
    </row>
    <row r="145" spans="2:8" x14ac:dyDescent="0.2">
      <c r="B145" s="136" t="s">
        <v>130</v>
      </c>
      <c r="C145" s="141">
        <v>365</v>
      </c>
      <c r="D145" s="140">
        <v>42389</v>
      </c>
      <c r="E145" s="151">
        <v>2.85</v>
      </c>
      <c r="F145" s="151">
        <v>-1.47</v>
      </c>
      <c r="G145" s="150">
        <v>135.16849999999999</v>
      </c>
      <c r="H145" s="151">
        <v>135.12530000000001</v>
      </c>
    </row>
    <row r="146" spans="2:8" x14ac:dyDescent="0.2">
      <c r="B146" s="136" t="s">
        <v>137</v>
      </c>
      <c r="C146" s="141">
        <v>456</v>
      </c>
      <c r="D146" s="140">
        <v>42480</v>
      </c>
      <c r="E146" s="151">
        <v>3.6</v>
      </c>
      <c r="F146" s="151">
        <v>-3.88</v>
      </c>
      <c r="G146" s="150">
        <v>135.17599999999999</v>
      </c>
      <c r="H146" s="151">
        <v>135.10120000000001</v>
      </c>
    </row>
    <row r="147" spans="2:8" x14ac:dyDescent="0.2">
      <c r="B147" s="136" t="s">
        <v>138</v>
      </c>
      <c r="C147" s="141">
        <v>547</v>
      </c>
      <c r="D147" s="140">
        <v>42571</v>
      </c>
      <c r="E147" s="151">
        <v>4.79</v>
      </c>
      <c r="F147" s="151">
        <v>-6.96</v>
      </c>
      <c r="G147" s="150">
        <v>135.18790000000001</v>
      </c>
      <c r="H147" s="151">
        <v>135.07040000000001</v>
      </c>
    </row>
    <row r="148" spans="2:8" x14ac:dyDescent="0.2">
      <c r="B148" s="136" t="s">
        <v>139</v>
      </c>
      <c r="C148" s="141">
        <v>731</v>
      </c>
      <c r="D148" s="140">
        <v>42755</v>
      </c>
      <c r="E148" s="151">
        <v>-2.66</v>
      </c>
      <c r="F148" s="151">
        <v>-21.15</v>
      </c>
      <c r="G148" s="150">
        <v>135.11340000000001</v>
      </c>
      <c r="H148" s="151">
        <v>134.92850000000001</v>
      </c>
    </row>
    <row r="149" spans="2:8" x14ac:dyDescent="0.2">
      <c r="B149" s="136" t="s">
        <v>140</v>
      </c>
      <c r="C149" s="141">
        <v>1098</v>
      </c>
      <c r="D149" s="140">
        <v>43122</v>
      </c>
      <c r="E149" s="151">
        <v>-51.13</v>
      </c>
      <c r="F149" s="151">
        <v>-76.52</v>
      </c>
      <c r="G149" s="150">
        <v>134.62870000000001</v>
      </c>
      <c r="H149" s="151">
        <v>134.37479999999999</v>
      </c>
    </row>
    <row r="150" spans="2:8" x14ac:dyDescent="0.2">
      <c r="B150" s="136" t="s">
        <v>141</v>
      </c>
      <c r="C150" s="141">
        <v>1463</v>
      </c>
      <c r="D150" s="140">
        <v>43487</v>
      </c>
      <c r="E150" s="151">
        <v>-107.84</v>
      </c>
      <c r="F150" s="151">
        <v>-145.66999999999999</v>
      </c>
      <c r="G150" s="150">
        <v>134.0616</v>
      </c>
      <c r="H150" s="151">
        <v>133.6833</v>
      </c>
    </row>
    <row r="151" spans="2:8" x14ac:dyDescent="0.2">
      <c r="B151" s="136" t="s">
        <v>142</v>
      </c>
      <c r="C151" s="141">
        <v>1827</v>
      </c>
      <c r="D151" s="140">
        <v>43851</v>
      </c>
      <c r="E151" s="151">
        <v>-177.04</v>
      </c>
      <c r="F151" s="151">
        <v>-226.25</v>
      </c>
      <c r="G151" s="150">
        <v>133.36959999999999</v>
      </c>
      <c r="H151" s="151">
        <v>132.8775</v>
      </c>
    </row>
    <row r="152" spans="2:8" x14ac:dyDescent="0.2">
      <c r="B152" s="136" t="s">
        <v>143</v>
      </c>
      <c r="C152" s="141">
        <v>2192</v>
      </c>
      <c r="D152" s="140">
        <v>44216</v>
      </c>
      <c r="E152" s="151">
        <v>-233.64</v>
      </c>
      <c r="F152" s="151">
        <v>-346.37</v>
      </c>
      <c r="G152" s="150">
        <v>132.80359999999999</v>
      </c>
      <c r="H152" s="151">
        <v>131.6763</v>
      </c>
    </row>
    <row r="153" spans="2:8" x14ac:dyDescent="0.2">
      <c r="B153" s="136" t="s">
        <v>144</v>
      </c>
      <c r="C153" s="141">
        <v>2557</v>
      </c>
      <c r="D153" s="140">
        <v>44581</v>
      </c>
      <c r="E153" s="151">
        <v>-361.7</v>
      </c>
      <c r="F153" s="151">
        <v>-507.93</v>
      </c>
      <c r="G153" s="150">
        <v>131.523</v>
      </c>
      <c r="H153" s="151">
        <v>130.0607</v>
      </c>
    </row>
    <row r="154" spans="2:8" x14ac:dyDescent="0.2">
      <c r="B154" s="136" t="s">
        <v>145</v>
      </c>
      <c r="C154" s="141">
        <v>2922</v>
      </c>
      <c r="D154" s="140">
        <v>44946</v>
      </c>
      <c r="E154" s="151">
        <v>-435.75</v>
      </c>
      <c r="F154" s="151">
        <v>-604.65</v>
      </c>
      <c r="G154" s="150">
        <v>130.7825</v>
      </c>
      <c r="H154" s="151">
        <v>129.09350000000001</v>
      </c>
    </row>
    <row r="155" spans="2:8" x14ac:dyDescent="0.2">
      <c r="B155" s="136" t="s">
        <v>146</v>
      </c>
      <c r="C155" s="141">
        <v>3289</v>
      </c>
      <c r="D155" s="140">
        <v>45313</v>
      </c>
      <c r="E155" s="151">
        <v>-551.01</v>
      </c>
      <c r="F155" s="151">
        <v>-736.04</v>
      </c>
      <c r="G155" s="150">
        <v>129.62989999999999</v>
      </c>
      <c r="H155" s="151">
        <v>127.7796</v>
      </c>
    </row>
    <row r="156" spans="2:8" x14ac:dyDescent="0.2">
      <c r="B156" s="136" t="s">
        <v>147</v>
      </c>
      <c r="C156" s="141">
        <v>3654</v>
      </c>
      <c r="D156" s="140">
        <v>45678</v>
      </c>
      <c r="E156" s="151">
        <v>-675.89</v>
      </c>
      <c r="F156" s="151">
        <v>-868.79</v>
      </c>
      <c r="G156" s="150">
        <v>128.3811</v>
      </c>
      <c r="H156" s="151">
        <v>126.4521</v>
      </c>
    </row>
    <row r="157" spans="2:8" x14ac:dyDescent="0.2">
      <c r="B157" s="136" t="s">
        <v>148</v>
      </c>
      <c r="C157" s="141">
        <v>5481</v>
      </c>
      <c r="D157" s="140">
        <v>47505</v>
      </c>
      <c r="E157" s="151">
        <v>-1069.81</v>
      </c>
      <c r="F157" s="151">
        <v>-1141.29</v>
      </c>
      <c r="G157" s="150">
        <v>124.4419</v>
      </c>
      <c r="H157" s="151">
        <v>123.72709999999999</v>
      </c>
    </row>
    <row r="158" spans="2:8" x14ac:dyDescent="0.2">
      <c r="B158" s="136" t="s">
        <v>149</v>
      </c>
      <c r="C158" s="141">
        <v>7307</v>
      </c>
      <c r="D158" s="140">
        <v>49331</v>
      </c>
      <c r="E158" s="151">
        <v>-1149.8499999999999</v>
      </c>
      <c r="F158" s="151">
        <v>-1152.82</v>
      </c>
      <c r="G158" s="150">
        <v>123.64149999999999</v>
      </c>
      <c r="H158" s="151">
        <v>123.6118</v>
      </c>
    </row>
    <row r="159" spans="2:8" x14ac:dyDescent="0.2">
      <c r="B159" s="136" t="s">
        <v>150</v>
      </c>
      <c r="C159" s="141">
        <v>9131</v>
      </c>
      <c r="D159" s="140">
        <v>51155</v>
      </c>
      <c r="E159" s="151">
        <v>-1078.42</v>
      </c>
      <c r="F159" s="151">
        <v>-1206.24</v>
      </c>
      <c r="G159" s="150">
        <v>124.3558</v>
      </c>
      <c r="H159" s="151">
        <v>123.0776</v>
      </c>
    </row>
    <row r="160" spans="2:8" x14ac:dyDescent="0.2">
      <c r="B160" s="155" t="s">
        <v>151</v>
      </c>
      <c r="C160" s="159">
        <v>10958</v>
      </c>
      <c r="D160" s="157">
        <v>52982</v>
      </c>
      <c r="E160" s="156">
        <v>-1010.49</v>
      </c>
      <c r="F160" s="156">
        <v>-1255.54</v>
      </c>
      <c r="G160" s="158">
        <v>125.0351</v>
      </c>
      <c r="H160" s="156">
        <v>122.58459999999999</v>
      </c>
    </row>
    <row r="161" spans="2:8" hidden="1" x14ac:dyDescent="0.2">
      <c r="B161" s="136"/>
      <c r="C161" s="51"/>
      <c r="D161" s="50"/>
      <c r="E161" s="43"/>
      <c r="F161" s="43"/>
      <c r="G161" s="149"/>
      <c r="H161" s="43"/>
    </row>
    <row r="162" spans="2:8" hidden="1" x14ac:dyDescent="0.2">
      <c r="B162" s="136"/>
      <c r="C162" s="141"/>
      <c r="D162" s="140"/>
      <c r="E162" s="151"/>
      <c r="F162" s="151"/>
      <c r="G162" s="150"/>
      <c r="H162" s="151"/>
    </row>
    <row r="163" spans="2:8" hidden="1" x14ac:dyDescent="0.2">
      <c r="B163" s="136"/>
      <c r="C163" s="141"/>
      <c r="D163" s="140"/>
      <c r="E163" s="151"/>
      <c r="F163" s="151"/>
      <c r="G163" s="150"/>
      <c r="H163" s="151"/>
    </row>
    <row r="164" spans="2:8" hidden="1" x14ac:dyDescent="0.2">
      <c r="B164" s="136"/>
      <c r="C164" s="141"/>
      <c r="D164" s="140"/>
      <c r="E164" s="151"/>
      <c r="F164" s="151"/>
      <c r="G164" s="150"/>
      <c r="H164" s="151"/>
    </row>
    <row r="165" spans="2:8" hidden="1" x14ac:dyDescent="0.2">
      <c r="B165" s="136"/>
      <c r="C165" s="141"/>
      <c r="D165" s="140"/>
      <c r="E165" s="151"/>
      <c r="F165" s="151"/>
      <c r="G165" s="150"/>
      <c r="H165" s="151"/>
    </row>
    <row r="166" spans="2:8" hidden="1" x14ac:dyDescent="0.2">
      <c r="B166" s="136"/>
      <c r="C166" s="141"/>
      <c r="D166" s="140"/>
      <c r="E166" s="151"/>
      <c r="F166" s="151"/>
      <c r="G166" s="150"/>
      <c r="H166" s="151"/>
    </row>
    <row r="167" spans="2:8" hidden="1" x14ac:dyDescent="0.2">
      <c r="B167" s="136"/>
      <c r="C167" s="141"/>
      <c r="D167" s="140"/>
      <c r="E167" s="151"/>
      <c r="F167" s="151"/>
      <c r="G167" s="150"/>
      <c r="H167" s="151"/>
    </row>
    <row r="168" spans="2:8" hidden="1" x14ac:dyDescent="0.2">
      <c r="B168" s="136"/>
      <c r="C168" s="141"/>
      <c r="D168" s="140"/>
      <c r="E168" s="151"/>
      <c r="F168" s="151"/>
      <c r="G168" s="150"/>
      <c r="H168" s="151"/>
    </row>
    <row r="169" spans="2:8" hidden="1" x14ac:dyDescent="0.2">
      <c r="B169" s="136"/>
      <c r="C169" s="141"/>
      <c r="D169" s="140"/>
      <c r="E169" s="151"/>
      <c r="F169" s="151"/>
      <c r="G169" s="150"/>
      <c r="H169" s="151"/>
    </row>
    <row r="170" spans="2:8" hidden="1" x14ac:dyDescent="0.2">
      <c r="B170" s="136"/>
      <c r="C170" s="141"/>
      <c r="D170" s="140"/>
      <c r="E170" s="151"/>
      <c r="F170" s="151"/>
      <c r="G170" s="150"/>
      <c r="H170" s="151"/>
    </row>
    <row r="171" spans="2:8" hidden="1" x14ac:dyDescent="0.2">
      <c r="B171" s="136"/>
      <c r="C171" s="141"/>
      <c r="D171" s="140"/>
      <c r="E171" s="151"/>
      <c r="F171" s="151"/>
      <c r="G171" s="150"/>
      <c r="H171" s="151"/>
    </row>
    <row r="172" spans="2:8" hidden="1" x14ac:dyDescent="0.2">
      <c r="B172" s="136"/>
      <c r="C172" s="141"/>
      <c r="D172" s="140"/>
      <c r="E172" s="151"/>
      <c r="F172" s="151"/>
      <c r="G172" s="150"/>
      <c r="H172" s="151"/>
    </row>
    <row r="173" spans="2:8" hidden="1" x14ac:dyDescent="0.2">
      <c r="B173" s="136"/>
      <c r="C173" s="141"/>
      <c r="D173" s="140"/>
      <c r="E173" s="151"/>
      <c r="F173" s="151"/>
      <c r="G173" s="150"/>
      <c r="H173" s="151"/>
    </row>
    <row r="174" spans="2:8" hidden="1" x14ac:dyDescent="0.2">
      <c r="B174" s="136"/>
      <c r="C174" s="141"/>
      <c r="D174" s="140"/>
      <c r="E174" s="151"/>
      <c r="F174" s="151"/>
      <c r="G174" s="150"/>
      <c r="H174" s="151"/>
    </row>
    <row r="175" spans="2:8" hidden="1" x14ac:dyDescent="0.2">
      <c r="B175" s="136"/>
      <c r="C175" s="141"/>
      <c r="D175" s="140"/>
      <c r="E175" s="151"/>
      <c r="F175" s="151"/>
      <c r="G175" s="150"/>
      <c r="H175" s="151"/>
    </row>
    <row r="176" spans="2:8" hidden="1" x14ac:dyDescent="0.2">
      <c r="B176" s="136"/>
      <c r="C176" s="141"/>
      <c r="D176" s="140"/>
      <c r="E176" s="151"/>
      <c r="F176" s="151"/>
      <c r="G176" s="150"/>
      <c r="H176" s="151"/>
    </row>
    <row r="177" spans="2:8" hidden="1" x14ac:dyDescent="0.2">
      <c r="B177" s="136"/>
      <c r="C177" s="141"/>
      <c r="D177" s="140"/>
      <c r="E177" s="151"/>
      <c r="F177" s="151"/>
      <c r="G177" s="150"/>
      <c r="H177" s="151"/>
    </row>
    <row r="178" spans="2:8" hidden="1" x14ac:dyDescent="0.2">
      <c r="B178" s="136"/>
      <c r="C178" s="141"/>
      <c r="D178" s="140"/>
      <c r="E178" s="151"/>
      <c r="F178" s="151"/>
      <c r="G178" s="150"/>
      <c r="H178" s="151"/>
    </row>
    <row r="179" spans="2:8" hidden="1" x14ac:dyDescent="0.2">
      <c r="B179" s="136"/>
      <c r="C179" s="141"/>
      <c r="D179" s="140"/>
      <c r="E179" s="151"/>
      <c r="F179" s="151"/>
      <c r="G179" s="150"/>
      <c r="H179" s="151"/>
    </row>
    <row r="180" spans="2:8" hidden="1" x14ac:dyDescent="0.2">
      <c r="B180" s="136"/>
      <c r="C180" s="141"/>
      <c r="D180" s="140"/>
      <c r="E180" s="151"/>
      <c r="F180" s="151"/>
      <c r="G180" s="150"/>
      <c r="H180" s="151"/>
    </row>
  </sheetData>
  <mergeCells count="78">
    <mergeCell ref="Q7:R7"/>
    <mergeCell ref="Q8:R8"/>
    <mergeCell ref="B116:D116"/>
    <mergeCell ref="B117:D117"/>
    <mergeCell ref="B118:D118"/>
    <mergeCell ref="J98:J99"/>
    <mergeCell ref="K98:K99"/>
    <mergeCell ref="B101:D101"/>
    <mergeCell ref="B102:D102"/>
    <mergeCell ref="B103:D103"/>
    <mergeCell ref="B98:D99"/>
    <mergeCell ref="E98:E99"/>
    <mergeCell ref="F98:F99"/>
    <mergeCell ref="G98:G99"/>
    <mergeCell ref="H98:H99"/>
    <mergeCell ref="I98:I99"/>
    <mergeCell ref="B119:D119"/>
    <mergeCell ref="F7:G7"/>
    <mergeCell ref="F8:G8"/>
    <mergeCell ref="B110:D110"/>
    <mergeCell ref="B111:D111"/>
    <mergeCell ref="B112:D112"/>
    <mergeCell ref="B113:D113"/>
    <mergeCell ref="B114:D114"/>
    <mergeCell ref="B115:D115"/>
    <mergeCell ref="B104:D104"/>
    <mergeCell ref="B105:D105"/>
    <mergeCell ref="B106:D106"/>
    <mergeCell ref="B107:D107"/>
    <mergeCell ref="B108:D108"/>
    <mergeCell ref="B109:D109"/>
    <mergeCell ref="B100:D100"/>
    <mergeCell ref="B95:C95"/>
    <mergeCell ref="B87:D87"/>
    <mergeCell ref="M87:O87"/>
    <mergeCell ref="B88:D88"/>
    <mergeCell ref="M88:O88"/>
    <mergeCell ref="B89:D89"/>
    <mergeCell ref="M89:O89"/>
    <mergeCell ref="M94:N94"/>
    <mergeCell ref="M95:N95"/>
    <mergeCell ref="B90:D90"/>
    <mergeCell ref="M90:O90"/>
    <mergeCell ref="B91:D91"/>
    <mergeCell ref="M91:O91"/>
    <mergeCell ref="B94:C94"/>
    <mergeCell ref="B84:D84"/>
    <mergeCell ref="M84:O84"/>
    <mergeCell ref="B85:D85"/>
    <mergeCell ref="M85:O85"/>
    <mergeCell ref="B86:D86"/>
    <mergeCell ref="M86:O86"/>
    <mergeCell ref="B81:D81"/>
    <mergeCell ref="M81:O81"/>
    <mergeCell ref="B82:D82"/>
    <mergeCell ref="M82:O82"/>
    <mergeCell ref="B83:D83"/>
    <mergeCell ref="M83:O83"/>
    <mergeCell ref="B78:D78"/>
    <mergeCell ref="M78:O78"/>
    <mergeCell ref="B79:D79"/>
    <mergeCell ref="M79:O79"/>
    <mergeCell ref="B80:D80"/>
    <mergeCell ref="M80:O80"/>
    <mergeCell ref="B75:D75"/>
    <mergeCell ref="M75:O75"/>
    <mergeCell ref="B76:D76"/>
    <mergeCell ref="M76:O76"/>
    <mergeCell ref="B77:D77"/>
    <mergeCell ref="M77:O77"/>
    <mergeCell ref="B73:D73"/>
    <mergeCell ref="M73:O73"/>
    <mergeCell ref="B74:D74"/>
    <mergeCell ref="M74:O74"/>
    <mergeCell ref="B7:C7"/>
    <mergeCell ref="M7:N7"/>
    <mergeCell ref="B8:C8"/>
    <mergeCell ref="M8:N8"/>
  </mergeCells>
  <dataValidations count="3">
    <dataValidation type="list" allowBlank="1" showInputMessage="1" showErrorMessage="1" sqref="E73:E91 E100:E119 P72:P91">
      <formula1>"Regular, NDF, Onshore"</formula1>
    </dataValidation>
    <dataValidation type="list" allowBlank="1" showInputMessage="1" showErrorMessage="1" sqref="H7 S7 O94:O95">
      <formula1>"Regular,Onshore,NDF,Offshore"</formula1>
    </dataValidation>
    <dataValidation type="list" allowBlank="1" showInputMessage="1" showErrorMessage="1" sqref="H8 S8 H94">
      <formula1>"Yes,No"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waps1"/>
  <dimension ref="A1:U53"/>
  <sheetViews>
    <sheetView showGridLines="0" showRowColHeaders="0" workbookViewId="0">
      <selection activeCell="B11" sqref="B11"/>
    </sheetView>
  </sheetViews>
  <sheetFormatPr defaultRowHeight="12.75" x14ac:dyDescent="0.2"/>
  <cols>
    <col min="1" max="1" width="1.7109375" customWidth="1"/>
    <col min="2" max="2" width="12.7109375" customWidth="1"/>
    <col min="3" max="3" width="12.7109375" style="122" hidden="1" customWidth="1"/>
    <col min="4" max="4" width="1.7109375" customWidth="1"/>
    <col min="5" max="6" width="12.7109375" customWidth="1"/>
    <col min="7" max="7" width="12.7109375" style="180" hidden="1" customWidth="1"/>
    <col min="8" max="13" width="12.7109375" customWidth="1"/>
    <col min="14" max="14" width="1.7109375" customWidth="1"/>
    <col min="15" max="17" width="12.7109375" customWidth="1"/>
    <col min="18" max="18" width="26.7109375" style="122" hidden="1" customWidth="1"/>
    <col min="19" max="19" width="20.42578125" style="122" hidden="1" customWidth="1"/>
    <col min="20" max="20" width="16.85546875" style="122" hidden="1" customWidth="1"/>
    <col min="21" max="21" width="19.140625" style="122" hidden="1" customWidth="1"/>
  </cols>
  <sheetData>
    <row r="1" spans="1:21" ht="5.0999999999999996" customHeight="1" x14ac:dyDescent="0.2"/>
    <row r="2" spans="1:21" ht="15" customHeight="1" x14ac:dyDescent="0.2"/>
    <row r="3" spans="1:21" ht="15" customHeight="1" x14ac:dyDescent="0.2"/>
    <row r="4" spans="1:21" ht="15" customHeight="1" x14ac:dyDescent="0.2"/>
    <row r="5" spans="1:21" ht="5.0999999999999996" customHeight="1" x14ac:dyDescent="0.2"/>
    <row r="6" spans="1:21" ht="5.0999999999999996" customHeight="1" x14ac:dyDescent="0.2"/>
    <row r="7" spans="1:21" ht="15" customHeight="1" x14ac:dyDescent="0.2"/>
    <row r="8" spans="1:21" ht="15" customHeight="1" x14ac:dyDescent="0.2"/>
    <row r="9" spans="1:21" s="122" customFormat="1" ht="15" hidden="1" customHeight="1" x14ac:dyDescent="0.2">
      <c r="G9" s="180"/>
      <c r="H9" s="123" t="s">
        <v>164</v>
      </c>
      <c r="I9" s="123" t="s">
        <v>165</v>
      </c>
      <c r="J9" s="123" t="s">
        <v>168</v>
      </c>
      <c r="K9" s="123" t="s">
        <v>169</v>
      </c>
      <c r="L9" s="123" t="s">
        <v>166</v>
      </c>
      <c r="M9" s="123" t="s">
        <v>167</v>
      </c>
      <c r="N9" s="180"/>
    </row>
    <row r="10" spans="1:21" ht="15" customHeight="1" x14ac:dyDescent="0.2">
      <c r="E10" s="17" t="s">
        <v>77</v>
      </c>
      <c r="F10" s="179" t="s">
        <v>78</v>
      </c>
      <c r="G10" s="223" t="s">
        <v>188</v>
      </c>
      <c r="H10" s="18" t="s">
        <v>79</v>
      </c>
      <c r="I10" s="18" t="s">
        <v>80</v>
      </c>
      <c r="J10" s="18" t="s">
        <v>81</v>
      </c>
      <c r="K10" s="18" t="s">
        <v>82</v>
      </c>
      <c r="L10" s="18" t="s">
        <v>83</v>
      </c>
      <c r="M10" s="41" t="s">
        <v>84</v>
      </c>
      <c r="N10" s="36"/>
      <c r="O10" s="17" t="s">
        <v>4</v>
      </c>
      <c r="P10" s="41" t="s">
        <v>85</v>
      </c>
      <c r="Q10" s="12"/>
      <c r="R10" s="123" t="s">
        <v>186</v>
      </c>
      <c r="S10" s="123" t="s">
        <v>187</v>
      </c>
      <c r="T10" s="222" t="s">
        <v>177</v>
      </c>
      <c r="U10" s="122" t="s">
        <v>178</v>
      </c>
    </row>
    <row r="11" spans="1:21" ht="15" customHeight="1" x14ac:dyDescent="0.2">
      <c r="A11" s="69"/>
      <c r="B11" s="39" t="s">
        <v>46</v>
      </c>
      <c r="C11" s="221" t="s">
        <v>185</v>
      </c>
      <c r="E11" s="112" t="s">
        <v>0</v>
      </c>
      <c r="F11" s="113">
        <v>42379</v>
      </c>
      <c r="G11" s="177">
        <f>IF(U11=1,WORKDAY(T11-1,1),IF(U11=7,WORKDAY(T11-1,0),T11))</f>
        <v>42380</v>
      </c>
      <c r="H11" s="42">
        <f>_xll.BFxForward($E11,$G11,H$9,"PRICINGDATE",$C12,"HOLIDAYVALUES=TRUE","MARKETTYPE",S11)</f>
        <v>69.81</v>
      </c>
      <c r="I11" s="43">
        <f>_xll.BFxForward($E11,$G11,I$9,"PRICINGDATE",$C12,"HOLIDAYVALUES=TRUE","MARKETTYPE",S11)</f>
        <v>71.63</v>
      </c>
      <c r="J11" s="43">
        <f>_xll.BFxForward($E11,$G11,J$9,"PRICINGDATE",$C12,"HOLIDAYVALUES=TRUE","MARKETTYPE",S11)</f>
        <v>1.2001809999999999</v>
      </c>
      <c r="K11" s="43">
        <f>_xll.BFxForward($E11,$G11,K$9,"PRICINGDATE",$C12,"HOLIDAYVALUES=TRUE","MARKETTYPE",S11)</f>
        <v>1.2004630000000001</v>
      </c>
      <c r="L11" s="43"/>
      <c r="M11" s="44"/>
      <c r="N11" s="19"/>
      <c r="O11" s="42">
        <f>_xll.BDP($R11, "PX_BID")</f>
        <v>1.1932</v>
      </c>
      <c r="P11" s="44">
        <f>_xll.BDP($R11, "PX_ASK")</f>
        <v>1.1933</v>
      </c>
      <c r="Q11" s="12"/>
      <c r="R11" s="122" t="str">
        <f>LEFT(E11, 3) &amp; "/" &amp; RIGHT(E11, 3) &amp; " @" &amp; TEXT(MONTH(B12),"00")&amp;TEXT(DAY(B12),"00")&amp;RIGHT(YEAR(B12),2) &amp; " CURNCY"</f>
        <v>EUR/USD @010315 CURNCY</v>
      </c>
      <c r="S11" s="122" t="str">
        <f>IF($E12="regular","",IF($E12="NDF","NDF",IF($E12="onshore","onshore","offshore")))</f>
        <v/>
      </c>
      <c r="T11" s="130">
        <f>_xll.BFxForward($E11,$F11,"SETTLEMENTDATE","PRICINGDATE",$C12)</f>
        <v>42379</v>
      </c>
      <c r="U11" s="122">
        <f>IFERROR(WEEKDAY(T11),"")</f>
        <v>1</v>
      </c>
    </row>
    <row r="12" spans="1:21" ht="15" customHeight="1" x14ac:dyDescent="0.2">
      <c r="B12" s="37">
        <v>42007</v>
      </c>
      <c r="C12" s="177">
        <f>_xll.BAddPeriods(B12,"busdayadj=-1")</f>
        <v>42009</v>
      </c>
      <c r="E12" s="37" t="s">
        <v>41</v>
      </c>
      <c r="F12" s="40">
        <v>42393</v>
      </c>
      <c r="G12" s="177">
        <f>IF(U12=1,WORKDAY(T12-1,1),IF(U12=7,WORKDAY(T12-1,0),T12))</f>
        <v>42394</v>
      </c>
      <c r="H12" s="45">
        <f>_xll.BFxForward($E11,$G12,H$9,"PRICINGDATE",$C12,"HOLIDAYVALUES=TRUE","MARKETTYPE",S11)</f>
        <v>74.959999999999994</v>
      </c>
      <c r="I12" s="46">
        <f>_xll.BFxForward($E11,$G12,I$9,"PRICINGDATE",$C12,"HOLIDAYVALUES=TRUE","MARKETTYPE",S11)</f>
        <v>76.97</v>
      </c>
      <c r="J12" s="46">
        <f>_xll.BFxForward($E11,$G12,J$9,"PRICINGDATE",$C12,"HOLIDAYVALUES=TRUE","MARKETTYPE",S11)</f>
        <v>1.200696</v>
      </c>
      <c r="K12" s="46">
        <f>_xll.BFxForward($E11,$G12,K$9,"PRICINGDATE",$C12,"HOLIDAYVALUES=TRUE","MARKETTYPE",S11)</f>
        <v>1.2009970000000001</v>
      </c>
      <c r="L12" s="47">
        <f>_xll.BFxSwap($E11,$G11,$G12,L$9,"PRICINGDATE",$C12,"HOLIDAYVALUES=TRUE","MARKETTYPE",S11)</f>
        <v>3.33</v>
      </c>
      <c r="M12" s="48">
        <f>_xll.BFxSwap($E11,$G11,$G12,M$9,"PRICINGDATE",$C12,"HOLIDAYVALUES=TRUE","MARKETTYPE",S11)</f>
        <v>7.16</v>
      </c>
      <c r="N12" s="13"/>
      <c r="O12" s="49"/>
      <c r="P12" s="48"/>
      <c r="Q12" s="12"/>
      <c r="R12" s="122" t="str">
        <f>_xll.BDP(R11, "SETTLE_DT")</f>
        <v>1/7/2015</v>
      </c>
      <c r="T12" s="130">
        <f>_xll.BFxForward($E11,$F12,"SETTLEMENTDATE","PRICINGDATE",$C12)</f>
        <v>42393</v>
      </c>
      <c r="U12" s="122">
        <f>IFERROR(WEEKDAY(T12),"")</f>
        <v>1</v>
      </c>
    </row>
    <row r="13" spans="1:21" ht="5.0999999999999996" customHeight="1" x14ac:dyDescent="0.2">
      <c r="Q13" s="12"/>
    </row>
    <row r="14" spans="1:21" ht="15" customHeight="1" x14ac:dyDescent="0.2">
      <c r="A14" s="69"/>
      <c r="B14" s="39" t="s">
        <v>46</v>
      </c>
      <c r="C14" s="176"/>
      <c r="E14" s="112" t="s">
        <v>27</v>
      </c>
      <c r="F14" s="113">
        <v>42125</v>
      </c>
      <c r="G14" s="177">
        <f>IF(U14=1,WORKDAY(T14-1,1),IF(U14=7,WORKDAY(T14-1,0),T14))</f>
        <v>42125</v>
      </c>
      <c r="H14" s="42">
        <f>_xll.BFxForward($E14,$G14,H$9,"PRICINGDATE",$C15,"HOLIDAYVALUES=TRUE","MARKETTYPE",S14)</f>
        <v>-26.25</v>
      </c>
      <c r="I14" s="43">
        <f>_xll.BFxForward($E14,$G14,I$9,"PRICINGDATE",$C15,"HOLIDAYVALUES=TRUE","MARKETTYPE",S14)</f>
        <v>-25.25</v>
      </c>
      <c r="J14" s="43">
        <f>_xll.BFxForward($E14,$G14,J$9,"PRICINGDATE",$C15,"HOLIDAYVALUES=TRUE","MARKETTYPE",S14)</f>
        <v>102.33750000000001</v>
      </c>
      <c r="K14" s="43">
        <f>_xll.BFxForward($E14,$G14,K$9,"PRICINGDATE",$C15,"HOLIDAYVALUES=TRUE","MARKETTYPE",S14)</f>
        <v>102.36750000000001</v>
      </c>
      <c r="L14" s="43"/>
      <c r="M14" s="44"/>
      <c r="N14" s="19"/>
      <c r="O14" s="42">
        <f>_xll.BDP($R14, "PX_BID")</f>
        <v>102.6</v>
      </c>
      <c r="P14" s="44">
        <f>_xll.BDP($R14, "PX_ASK")</f>
        <v>102.62</v>
      </c>
      <c r="Q14" s="12"/>
      <c r="R14" s="122" t="str">
        <f>LEFT($E14, 3) &amp; "/" &amp; RIGHT($E14, 3) &amp; " @" &amp; TEXT(MONTH($B15),"00")&amp;TEXT(DAY($B15),"00")&amp;RIGHT(YEAR($B15),2) &amp; " CURNCY"</f>
        <v>USD/JPY @080114 CURNCY</v>
      </c>
      <c r="S14" s="122" t="str">
        <f>IF($E15="regular","",IF($E15="NDF","NDF",IF($E15="onshore","onshore","offshore")))</f>
        <v/>
      </c>
      <c r="T14" s="130">
        <f>_xll.BFxForward($E14,$F14,"SETTLEMENTDATE","PRICINGDATE",$C15)</f>
        <v>42125</v>
      </c>
      <c r="U14" s="122">
        <f>IFERROR(WEEKDAY(T14),"")</f>
        <v>6</v>
      </c>
    </row>
    <row r="15" spans="1:21" ht="15" customHeight="1" x14ac:dyDescent="0.2">
      <c r="B15" s="37">
        <v>41852</v>
      </c>
      <c r="C15" s="177">
        <f>_xll.BAddPeriods(B15,"busdayadj=-1")</f>
        <v>41852</v>
      </c>
      <c r="E15" s="37" t="s">
        <v>41</v>
      </c>
      <c r="F15" s="40">
        <v>42515</v>
      </c>
      <c r="G15" s="177">
        <f>IF(U15=1,WORKDAY(T15-1,1),IF(U15=7,WORKDAY(T15-1,0),T15))</f>
        <v>42515</v>
      </c>
      <c r="H15" s="45">
        <f>_xll.BFxForward($E14,$G15,H$9,"PRICINGDATE",$C15,"HOLIDAYVALUES=TRUE","MARKETTYPE",S14)</f>
        <v>-135.65</v>
      </c>
      <c r="I15" s="46">
        <f>_xll.BFxForward($E14,$G15,I$9,"PRICINGDATE",$C15,"HOLIDAYVALUES=TRUE","MARKETTYPE",S14)</f>
        <v>-131.84</v>
      </c>
      <c r="J15" s="46">
        <f>_xll.BFxForward($E14,$G15,J$9,"PRICINGDATE",$C15,"HOLIDAYVALUES=TRUE","MARKETTYPE",S14)</f>
        <v>101.2435</v>
      </c>
      <c r="K15" s="46">
        <f>_xll.BFxForward($E14,$G15,K$9,"PRICINGDATE",$C15,"HOLIDAYVALUES=TRUE","MARKETTYPE",S14)</f>
        <v>101.30159999999999</v>
      </c>
      <c r="L15" s="47">
        <f>_xll.BFxSwap($E14,$G14,$G15,L$9,"PRICINGDATE",$C15,"HOLIDAYVALUES=TRUE","MARKETTYPE",S14)</f>
        <v>-110.4</v>
      </c>
      <c r="M15" s="48">
        <f>_xll.BFxSwap($E14,$G14,$G15,M$9,"PRICINGDATE",$C15,"HOLIDAYVALUES=TRUE","MARKETTYPE",S14)</f>
        <v>-105.59</v>
      </c>
      <c r="N15" s="13"/>
      <c r="O15" s="49"/>
      <c r="P15" s="48"/>
      <c r="Q15" s="12"/>
      <c r="R15" s="122" t="str">
        <f>_xll.BDP(R14, "SETTLE_DT")</f>
        <v>8/5/2014</v>
      </c>
      <c r="T15" s="130">
        <f>_xll.BFxForward($E14,$F15,"SETTLEMENTDATE","PRICINGDATE",$C15)</f>
        <v>42515</v>
      </c>
      <c r="U15" s="122">
        <f>IFERROR(WEEKDAY(T15),"")</f>
        <v>4</v>
      </c>
    </row>
    <row r="16" spans="1:21" ht="5.0999999999999996" customHeight="1" x14ac:dyDescent="0.2">
      <c r="Q16" s="12"/>
    </row>
    <row r="17" spans="1:21" ht="15" customHeight="1" x14ac:dyDescent="0.2">
      <c r="A17" s="69"/>
      <c r="B17" s="72" t="s">
        <v>46</v>
      </c>
      <c r="C17" s="176"/>
      <c r="E17" s="112" t="s">
        <v>86</v>
      </c>
      <c r="F17" s="113">
        <v>42393</v>
      </c>
      <c r="G17" s="177">
        <f>IF(U17=1,WORKDAY(T17-1,1),IF(U17=7,WORKDAY(T17-1,0),T17))</f>
        <v>42394</v>
      </c>
      <c r="H17" s="42">
        <f>_xll.BFxForward($E17,$G17,H$9,"PRICINGDATE",$C18,"HOLIDAYVALUES=TRUE","MARKETTYPE",S17)</f>
        <v>-31.93</v>
      </c>
      <c r="I17" s="43">
        <f>_xll.BFxForward($E17,$G17,I$9,"PRICINGDATE",$C18,"HOLIDAYVALUES=TRUE","MARKETTYPE",S17)</f>
        <v>-27.15</v>
      </c>
      <c r="J17" s="43">
        <f>_xll.BFxForward($E17,$G17,J$9,"PRICINGDATE",$C18,"HOLIDAYVALUES=TRUE","MARKETTYPE",S17)</f>
        <v>1.553007</v>
      </c>
      <c r="K17" s="43">
        <f>_xll.BFxForward($E17,$G17,K$9,"PRICINGDATE",$C18,"HOLIDAYVALUES=TRUE","MARKETTYPE",S17)</f>
        <v>1.553585</v>
      </c>
      <c r="L17" s="43"/>
      <c r="M17" s="44"/>
      <c r="N17" s="19"/>
      <c r="O17" s="42">
        <f>_xll.BDP($R17, "PX_BID")</f>
        <v>1.5562</v>
      </c>
      <c r="P17" s="44">
        <f>_xll.BDP($R17, "PX_ASK")</f>
        <v>1.5563</v>
      </c>
      <c r="Q17" s="12"/>
      <c r="R17" s="122" t="str">
        <f>LEFT($E17, 3) &amp; "/" &amp; RIGHT($E17, 3) &amp; " @" &amp; TEXT(MONTH($B18),"00")&amp;TEXT(DAY($B18),"00")&amp;RIGHT(YEAR($B18),2) &amp; " CURNCY"</f>
        <v>GBP/USD @123014 CURNCY</v>
      </c>
      <c r="S17" s="122" t="str">
        <f>IF($E18="regular","",IF($E18="NDF","NDF",IF($E18="onshore","onshore","offshore")))</f>
        <v/>
      </c>
      <c r="T17" s="130">
        <f>_xll.BFxForward($E17,$F17,"SETTLEMENTDATE","PRICINGDATE",$C18)</f>
        <v>42393</v>
      </c>
      <c r="U17" s="122">
        <f>IFERROR(WEEKDAY(T17),"")</f>
        <v>1</v>
      </c>
    </row>
    <row r="18" spans="1:21" ht="15" customHeight="1" x14ac:dyDescent="0.2">
      <c r="A18" s="69"/>
      <c r="B18" s="73">
        <v>42003</v>
      </c>
      <c r="C18" s="177">
        <f>_xll.BAddPeriods(B18,"busdayadj=-1")</f>
        <v>42003</v>
      </c>
      <c r="E18" s="37" t="s">
        <v>41</v>
      </c>
      <c r="F18" s="40">
        <v>42430</v>
      </c>
      <c r="G18" s="177">
        <f>IF(U18=1,WORKDAY(T18-1,1),IF(U18=7,WORKDAY(T18-1,0),T18))</f>
        <v>42430</v>
      </c>
      <c r="H18" s="45">
        <f>_xll.BFxForward($E17,$G18,H$9,"PRICINGDATE",$C18,"HOLIDAYVALUES=TRUE","MARKETTYPE",S17)</f>
        <v>-31.06</v>
      </c>
      <c r="I18" s="46">
        <f>_xll.BFxForward($E17,$G18,I$9,"PRICINGDATE",$C18,"HOLIDAYVALUES=TRUE","MARKETTYPE",S17)</f>
        <v>-23.86</v>
      </c>
      <c r="J18" s="46">
        <f>_xll.BFxForward($E17,$G18,J$9,"PRICINGDATE",$C18,"HOLIDAYVALUES=TRUE","MARKETTYPE",S17)</f>
        <v>1.553094</v>
      </c>
      <c r="K18" s="46">
        <f>_xll.BFxForward($E17,$G18,K$9,"PRICINGDATE",$C18,"HOLIDAYVALUES=TRUE","MARKETTYPE",S17)</f>
        <v>1.553914</v>
      </c>
      <c r="L18" s="47">
        <f>_xll.BFxSwap($E17,$G17,$G18,L$9,"PRICINGDATE",$C18,"HOLIDAYVALUES=TRUE","MARKETTYPE",S17)</f>
        <v>-3.91</v>
      </c>
      <c r="M18" s="48">
        <f>_xll.BFxSwap($E17,$G17,$G18,M$9,"PRICINGDATE",$C18,"HOLIDAYVALUES=TRUE","MARKETTYPE",S17)</f>
        <v>8.07</v>
      </c>
      <c r="N18" s="13"/>
      <c r="O18" s="49"/>
      <c r="P18" s="48"/>
      <c r="Q18" s="12"/>
      <c r="R18" s="122" t="str">
        <f>_xll.BDP(R17, "SETTLE_DT")</f>
        <v>1/2/2015</v>
      </c>
      <c r="T18" s="130">
        <f>_xll.BFxForward($E17,$F18,"SETTLEMENTDATE","PRICINGDATE",$C18)</f>
        <v>42430</v>
      </c>
      <c r="U18" s="122">
        <f>IFERROR(WEEKDAY(T18),"")</f>
        <v>3</v>
      </c>
    </row>
    <row r="19" spans="1:21" ht="5.0999999999999996" customHeight="1" x14ac:dyDescent="0.2">
      <c r="E19" s="38"/>
      <c r="F19" s="38"/>
      <c r="G19" s="178"/>
      <c r="H19" s="13"/>
      <c r="I19" s="13"/>
      <c r="J19" s="13"/>
      <c r="K19" s="13"/>
      <c r="L19" s="14"/>
      <c r="M19" s="14"/>
      <c r="N19" s="13"/>
      <c r="O19" s="13"/>
      <c r="P19" s="13"/>
      <c r="Q19" s="12"/>
    </row>
    <row r="20" spans="1:21" ht="15" customHeight="1" x14ac:dyDescent="0.2">
      <c r="A20" s="69"/>
      <c r="B20" s="39" t="s">
        <v>46</v>
      </c>
      <c r="C20" s="176"/>
      <c r="E20" s="112" t="s">
        <v>20</v>
      </c>
      <c r="F20" s="113">
        <v>42412</v>
      </c>
      <c r="G20" s="177">
        <f>IF(U20=1,WORKDAY(T20-1,1),IF(U20=7,WORKDAY(T20-1,0),T20))</f>
        <v>42412</v>
      </c>
      <c r="H20" s="42">
        <f>_xll.BFxForward($E20,$G20,H$9,"PRICINGDATE",$C21,"HOLIDAYVALUES=TRUE","MARKETTYPE",S20)</f>
        <v>-359.35</v>
      </c>
      <c r="I20" s="43">
        <f>_xll.BFxForward($E20,$G20,I$9,"PRICINGDATE",$C21,"HOLIDAYVALUES=TRUE","MARKETTYPE",S20)</f>
        <v>-353.61</v>
      </c>
      <c r="J20" s="43">
        <f>_xll.BFxForward($E20,$G20,J$9,"PRICINGDATE",$C21,"HOLIDAYVALUES=TRUE","MARKETTYPE",S20)</f>
        <v>0.90726499999999999</v>
      </c>
      <c r="K20" s="43">
        <f>_xll.BFxForward($E20,$G20,K$9,"PRICINGDATE",$C21,"HOLIDAYVALUES=TRUE","MARKETTYPE",S20)</f>
        <v>0.90793900000000005</v>
      </c>
      <c r="L20" s="43"/>
      <c r="M20" s="44"/>
      <c r="N20" s="19"/>
      <c r="O20" s="42">
        <f>_xll.BDP($R20, "PX_BID")</f>
        <v>0.94320000000000004</v>
      </c>
      <c r="P20" s="44">
        <f>_xll.BDP($R20, "PX_ASK")</f>
        <v>0.94330000000000003</v>
      </c>
      <c r="Q20" s="12"/>
      <c r="R20" s="122" t="str">
        <f>LEFT($E20, 3) &amp; "/" &amp; RIGHT($E20, 3) &amp; " @" &amp; TEXT(MONTH($B21),"00")&amp;TEXT(DAY($B21),"00")&amp;RIGHT(YEAR($B21),2) &amp; " CURNCY"</f>
        <v>AUD/USD @063014 CURNCY</v>
      </c>
      <c r="S20" s="122" t="str">
        <f>IF($E21="regular","",IF($E21="NDF","NDF",IF($E21="onshore","onshore","offshore")))</f>
        <v/>
      </c>
      <c r="T20" s="130">
        <f>_xll.BFxForward($E20,$F20,"SETTLEMENTDATE","PRICINGDATE",$C21)</f>
        <v>42412</v>
      </c>
      <c r="U20" s="122">
        <f>IFERROR(WEEKDAY(T20),"")</f>
        <v>6</v>
      </c>
    </row>
    <row r="21" spans="1:21" ht="15" customHeight="1" x14ac:dyDescent="0.2">
      <c r="B21" s="37">
        <v>41820</v>
      </c>
      <c r="C21" s="177">
        <f>_xll.BAddPeriods(B21,"busdayadj=-1")</f>
        <v>41820</v>
      </c>
      <c r="E21" s="37" t="s">
        <v>41</v>
      </c>
      <c r="F21" s="40">
        <v>42523</v>
      </c>
      <c r="G21" s="177">
        <f>IF(U21=1,WORKDAY(T21-1,1),IF(U21=7,WORKDAY(T21-1,0),T21))</f>
        <v>42523</v>
      </c>
      <c r="H21" s="45">
        <f>_xll.BFxForward($E20,$G21,H$9,"PRICINGDATE",$C21,"HOLIDAYVALUES=TRUE","MARKETTYPE",S20)</f>
        <v>-416.76</v>
      </c>
      <c r="I21" s="46">
        <f>_xll.BFxForward($E20,$G21,I$9,"PRICINGDATE",$C21,"HOLIDAYVALUES=TRUE","MARKETTYPE",S20)</f>
        <v>-411.08</v>
      </c>
      <c r="J21" s="46">
        <f>_xll.BFxForward($E20,$G21,J$9,"PRICINGDATE",$C21,"HOLIDAYVALUES=TRUE","MARKETTYPE",S20)</f>
        <v>0.90152399999999999</v>
      </c>
      <c r="K21" s="46">
        <f>_xll.BFxForward($E20,$G21,K$9,"PRICINGDATE",$C21,"HOLIDAYVALUES=TRUE","MARKETTYPE",S20)</f>
        <v>0.90219199999999999</v>
      </c>
      <c r="L21" s="47">
        <f>_xll.BFxSwap($E20,$G20,$G21,L$9,"PRICINGDATE",$C21,"HOLIDAYVALUES=TRUE","MARKETTYPE",S20)</f>
        <v>-63.15</v>
      </c>
      <c r="M21" s="48">
        <f>_xll.BFxSwap($E20,$G20,$G21,M$9,"PRICINGDATE",$C21,"HOLIDAYVALUES=TRUE","MARKETTYPE",S20)</f>
        <v>-51.73</v>
      </c>
      <c r="N21" s="13"/>
      <c r="O21" s="49"/>
      <c r="P21" s="48"/>
      <c r="Q21" s="12"/>
      <c r="R21" s="122" t="str">
        <f>_xll.BDP(R20, "SETTLE_DT")</f>
        <v>7/2/2014</v>
      </c>
      <c r="T21" s="130">
        <f>_xll.BFxForward($E20,$F21,"SETTLEMENTDATE","PRICINGDATE",$C21)</f>
        <v>42523</v>
      </c>
      <c r="U21" s="122">
        <f>IFERROR(WEEKDAY(T21),"")</f>
        <v>5</v>
      </c>
    </row>
    <row r="22" spans="1:21" ht="5.0999999999999996" customHeight="1" x14ac:dyDescent="0.2">
      <c r="E22" s="38"/>
      <c r="F22" s="38"/>
      <c r="G22" s="178"/>
      <c r="H22" s="13"/>
      <c r="I22" s="13"/>
      <c r="J22" s="13"/>
      <c r="K22" s="13"/>
      <c r="L22" s="14"/>
      <c r="M22" s="14"/>
      <c r="N22" s="13"/>
      <c r="O22" s="13"/>
      <c r="P22" s="13"/>
      <c r="Q22" s="12"/>
    </row>
    <row r="23" spans="1:21" ht="15" customHeight="1" x14ac:dyDescent="0.2">
      <c r="A23" s="69"/>
      <c r="B23" s="39" t="s">
        <v>46</v>
      </c>
      <c r="C23" s="176"/>
      <c r="E23" s="112" t="s">
        <v>87</v>
      </c>
      <c r="F23" s="113">
        <v>43103</v>
      </c>
      <c r="G23" s="177">
        <f>IF(U23=1,WORKDAY(T23-1,1),IF(U23=7,WORKDAY(T23-1,0),T23))</f>
        <v>43103</v>
      </c>
      <c r="H23" s="42">
        <f>_xll.BFxForward($E23,$G23,H$9,"PRICINGDATE",$C24,"HOLIDAYVALUES=TRUE","MARKETTYPE",S23)</f>
        <v>-763.73</v>
      </c>
      <c r="I23" s="43">
        <f>_xll.BFxForward($E23,$G23,I$9,"PRICINGDATE",$C24,"HOLIDAYVALUES=TRUE","MARKETTYPE",S23)</f>
        <v>-716.29</v>
      </c>
      <c r="J23" s="43">
        <f>_xll.BFxForward($E23,$G23,J$9,"PRICINGDATE",$C24,"HOLIDAYVALUES=TRUE","MARKETTYPE",S23)</f>
        <v>0.77112700000000001</v>
      </c>
      <c r="K23" s="43">
        <f>_xll.BFxForward($E23,$G23,K$9,"PRICINGDATE",$C24,"HOLIDAYVALUES=TRUE","MARKETTYPE",S23)</f>
        <v>0.77697099999999997</v>
      </c>
      <c r="L23" s="43"/>
      <c r="M23" s="44"/>
      <c r="N23" s="13"/>
      <c r="O23" s="42">
        <f>_xll.BDP($R23, "PX_BID")</f>
        <v>0.84750000000000003</v>
      </c>
      <c r="P23" s="44">
        <f>_xll.BDP($R23, "PX_ASK")</f>
        <v>0.84860000000000002</v>
      </c>
      <c r="Q23" s="12"/>
      <c r="R23" s="122" t="str">
        <f>LEFT($E23, 3) &amp; "/" &amp; RIGHT($E23, 3) &amp; " @" &amp; TEXT(MONTH($B24),"00")&amp;TEXT(DAY($B24),"00")&amp;RIGHT(YEAR($B24),2) &amp; " CURNCY"</f>
        <v>USD/CHF @070211 CURNCY</v>
      </c>
      <c r="S23" s="122" t="str">
        <f>IF($E24="regular","",IF($E24="NDF","NDF",IF($E24="onshore","onshore","offshore")))</f>
        <v/>
      </c>
      <c r="T23" s="130">
        <f>_xll.BFxForward($E23,$F23,"SETTLEMENTDATE","PRICINGDATE",$C24)</f>
        <v>43103</v>
      </c>
      <c r="U23" s="122">
        <f>IFERROR(WEEKDAY(T23),"")</f>
        <v>4</v>
      </c>
    </row>
    <row r="24" spans="1:21" ht="15" customHeight="1" x14ac:dyDescent="0.2">
      <c r="B24" s="37">
        <v>40726</v>
      </c>
      <c r="C24" s="177">
        <f>_xll.BAddPeriods(B24,"busdayadj=-1")</f>
        <v>40728</v>
      </c>
      <c r="E24" s="37" t="s">
        <v>41</v>
      </c>
      <c r="F24" s="40">
        <v>43293</v>
      </c>
      <c r="G24" s="177">
        <f>IF(U24=1,WORKDAY(T24-1,1),IF(U24=7,WORKDAY(T24-1,0),T24))</f>
        <v>43293</v>
      </c>
      <c r="H24" s="45">
        <f>_xll.BFxForward($E23,$G24,H$9,"PRICINGDATE",$C24,"HOLIDAYVALUES=TRUE","MARKETTYPE",S23)</f>
        <v>-867.17</v>
      </c>
      <c r="I24" s="46">
        <f>_xll.BFxForward($E23,$G24,I$9,"PRICINGDATE",$C24,"HOLIDAYVALUES=TRUE","MARKETTYPE",S23)</f>
        <v>-811.84</v>
      </c>
      <c r="J24" s="46">
        <f>_xll.BFxForward($E23,$G24,J$9,"PRICINGDATE",$C24,"HOLIDAYVALUES=TRUE","MARKETTYPE",S23)</f>
        <v>0.76078299999999999</v>
      </c>
      <c r="K24" s="46">
        <f>_xll.BFxForward($E23,$G24,K$9,"PRICINGDATE",$C24,"HOLIDAYVALUES=TRUE","MARKETTYPE",S23)</f>
        <v>0.76741599999999999</v>
      </c>
      <c r="L24" s="47">
        <f>_xll.BFxSwap($E23,$G23,$G24,L$9,"PRICINGDATE",$C24,"HOLIDAYVALUES=TRUE","MARKETTYPE",S23)</f>
        <v>-150.88</v>
      </c>
      <c r="M24" s="48">
        <f>_xll.BFxSwap($E23,$G23,$G24,M$9,"PRICINGDATE",$C24,"HOLIDAYVALUES=TRUE","MARKETTYPE",S23)</f>
        <v>-48.11</v>
      </c>
      <c r="N24" s="13"/>
      <c r="O24" s="49"/>
      <c r="P24" s="48"/>
      <c r="Q24" s="12"/>
      <c r="R24" s="122" t="str">
        <f>_xll.BDP(R23, "SETTLE_DT")</f>
        <v>7/6/2011</v>
      </c>
      <c r="T24" s="130">
        <f>_xll.BFxForward($E23,$F24,"SETTLEMENTDATE","PRICINGDATE",$C24)</f>
        <v>43293</v>
      </c>
      <c r="U24" s="122">
        <f>IFERROR(WEEKDAY(T24),"")</f>
        <v>5</v>
      </c>
    </row>
    <row r="25" spans="1:21" ht="5.0999999999999996" customHeight="1" x14ac:dyDescent="0.2">
      <c r="E25" s="38"/>
      <c r="F25" s="38"/>
      <c r="G25" s="178"/>
      <c r="H25" s="13"/>
      <c r="I25" s="13"/>
      <c r="J25" s="13"/>
      <c r="K25" s="13"/>
      <c r="L25" s="14"/>
      <c r="M25" s="14"/>
      <c r="N25" s="13"/>
      <c r="O25" s="13"/>
      <c r="P25" s="13"/>
      <c r="Q25" s="12"/>
    </row>
    <row r="26" spans="1:21" ht="15" customHeight="1" x14ac:dyDescent="0.2">
      <c r="A26" s="69"/>
      <c r="B26" s="74" t="s">
        <v>46</v>
      </c>
      <c r="C26" s="176"/>
      <c r="E26" s="112" t="s">
        <v>88</v>
      </c>
      <c r="F26" s="113">
        <v>42402</v>
      </c>
      <c r="G26" s="177">
        <f>IF(U26=1,WORKDAY(T26-1,1),IF(U26=7,WORKDAY(T26-1,0),T26))</f>
        <v>42402</v>
      </c>
      <c r="H26" s="42">
        <f>_xll.BFxForward($E26,$G26,H$9,"PRICINGDATE",$C27,"HOLIDAYVALUES=TRUE","MARKETTYPE",S26)</f>
        <v>-620.55999999999995</v>
      </c>
      <c r="I26" s="43">
        <f>_xll.BFxForward($E26,$G26,I$9,"PRICINGDATE",$C27,"HOLIDAYVALUES=TRUE","MARKETTYPE",S26)</f>
        <v>-503.37</v>
      </c>
      <c r="J26" s="43">
        <f>_xll.BFxForward($E26,$G26,J$9,"PRICINGDATE",$C27,"HOLIDAYVALUES=TRUE","MARKETTYPE",S26)</f>
        <v>5.6473440000000004</v>
      </c>
      <c r="K26" s="43">
        <f>_xll.BFxForward($E26,$G26,K$9,"PRICINGDATE",$C27,"HOLIDAYVALUES=TRUE","MARKETTYPE",S26)</f>
        <v>5.6595630000000003</v>
      </c>
      <c r="L26" s="43"/>
      <c r="M26" s="44"/>
      <c r="N26" s="19"/>
      <c r="O26" s="42">
        <f>_xll.BDP($R26, "PX_BID")</f>
        <v>5.7093999999999996</v>
      </c>
      <c r="P26" s="44">
        <f>_xll.BDP($R26, "PX_ASK")</f>
        <v>5.7099000000000002</v>
      </c>
      <c r="Q26" s="12"/>
      <c r="R26" s="122" t="str">
        <f>LEFT($E26, 3) &amp; "/" &amp; RIGHT($E26, 3) &amp; " @" &amp; TEXT(MONTH($B27),"00")&amp;TEXT(DAY($B27),"00")&amp;RIGHT(YEAR($B27),2) &amp; " CURNCY"</f>
        <v>USD/DKK @063013 CURNCY</v>
      </c>
      <c r="S26" s="122" t="str">
        <f>IF($E27="regular","",IF($E27="NDF","NDF",IF($E27="onshore","onshore","offshore")))</f>
        <v/>
      </c>
      <c r="T26" s="130">
        <f>_xll.BFxForward($E26,$F26,"SETTLEMENTDATE","PRICINGDATE",$C27)</f>
        <v>42402</v>
      </c>
      <c r="U26" s="122">
        <f>IFERROR(WEEKDAY(T26),"")</f>
        <v>3</v>
      </c>
    </row>
    <row r="27" spans="1:21" ht="15" customHeight="1" x14ac:dyDescent="0.2">
      <c r="B27" s="37">
        <v>41455</v>
      </c>
      <c r="C27" s="177">
        <f>_xll.BAddPeriods(B27,"busdayadj=-1")</f>
        <v>41456</v>
      </c>
      <c r="E27" s="37" t="s">
        <v>41</v>
      </c>
      <c r="F27" s="40">
        <v>42583</v>
      </c>
      <c r="G27" s="177">
        <f>IF(U27=1,WORKDAY(T27-1,1),IF(U27=7,WORKDAY(T27-1,0),T27))</f>
        <v>42583</v>
      </c>
      <c r="H27" s="45">
        <f>_xll.BFxForward($E26,$G27,H$9,"PRICINGDATE",$C27,"HOLIDAYVALUES=TRUE","MARKETTYPE",S26)</f>
        <v>-813.4</v>
      </c>
      <c r="I27" s="46">
        <f>_xll.BFxForward($E26,$G27,I$9,"PRICINGDATE",$C27,"HOLIDAYVALUES=TRUE","MARKETTYPE",S26)</f>
        <v>-674.14</v>
      </c>
      <c r="J27" s="46">
        <f>_xll.BFxForward($E26,$G27,J$9,"PRICINGDATE",$C27,"HOLIDAYVALUES=TRUE","MARKETTYPE",S26)</f>
        <v>5.6280599999999996</v>
      </c>
      <c r="K27" s="46">
        <f>_xll.BFxForward($E26,$G27,K$9,"PRICINGDATE",$C27,"HOLIDAYVALUES=TRUE","MARKETTYPE",S26)</f>
        <v>5.6424859999999999</v>
      </c>
      <c r="L27" s="47">
        <f>_xll.BFxSwap($E26,$G26,$G27,L$9,"PRICINGDATE",$C27,"HOLIDAYVALUES=TRUE","MARKETTYPE",S26)</f>
        <v>-310.02999999999997</v>
      </c>
      <c r="M27" s="48">
        <f>_xll.BFxSwap($E26,$G26,$G27,M$9,"PRICINGDATE",$C27,"HOLIDAYVALUES=TRUE","MARKETTYPE",S26)</f>
        <v>-53.58</v>
      </c>
      <c r="N27" s="13"/>
      <c r="O27" s="49"/>
      <c r="P27" s="48"/>
      <c r="Q27" s="12"/>
      <c r="R27" s="122" t="str">
        <f>_xll.BDP(R26, "SETTLE_DT")</f>
        <v>7/3/2013</v>
      </c>
      <c r="T27" s="130">
        <f>_xll.BFxForward($E26,$F27,"SETTLEMENTDATE","PRICINGDATE",$C27)</f>
        <v>42583</v>
      </c>
      <c r="U27" s="122">
        <f>IFERROR(WEEKDAY(T27),"")</f>
        <v>2</v>
      </c>
    </row>
    <row r="28" spans="1:21" ht="5.0999999999999996" customHeight="1" x14ac:dyDescent="0.2">
      <c r="E28" s="38"/>
      <c r="F28" s="38"/>
      <c r="G28" s="178"/>
      <c r="H28" s="13"/>
      <c r="I28" s="13"/>
      <c r="J28" s="13"/>
      <c r="K28" s="13"/>
      <c r="L28" s="14"/>
      <c r="M28" s="14"/>
      <c r="N28" s="13"/>
      <c r="O28" s="13"/>
      <c r="P28" s="13"/>
      <c r="Q28" s="12"/>
    </row>
    <row r="29" spans="1:21" ht="15" customHeight="1" x14ac:dyDescent="0.2">
      <c r="A29" s="69"/>
      <c r="B29" s="39" t="s">
        <v>46</v>
      </c>
      <c r="C29" s="176"/>
      <c r="E29" s="112" t="s">
        <v>89</v>
      </c>
      <c r="F29" s="113">
        <v>44409</v>
      </c>
      <c r="G29" s="177">
        <f>IF(U29=1,WORKDAY(T29-1,1),IF(U29=7,WORKDAY(T29-1,0),T29))</f>
        <v>44410</v>
      </c>
      <c r="H29" s="42">
        <f>_xll.BFxForward($E29,$G29,H$9,"PRICINGDATE",$C30,"HOLIDAYVALUES=TRUE","MARKETTYPE",S29)</f>
        <v>4782.43</v>
      </c>
      <c r="I29" s="43">
        <f>_xll.BFxForward($E29,$G29,I$9,"PRICINGDATE",$C30,"HOLIDAYVALUES=TRUE","MARKETTYPE",S29)</f>
        <v>5118.6099999999997</v>
      </c>
      <c r="J29" s="43">
        <f>_xll.BFxForward($E29,$G29,J$9,"PRICINGDATE",$C30,"HOLIDAYVALUES=TRUE","MARKETTYPE",S29)</f>
        <v>5.7252429999999999</v>
      </c>
      <c r="K29" s="43">
        <f>_xll.BFxForward($E29,$G29,K$9,"PRICINGDATE",$C30,"HOLIDAYVALUES=TRUE","MARKETTYPE",S29)</f>
        <v>5.7638610000000003</v>
      </c>
      <c r="L29" s="43"/>
      <c r="M29" s="44"/>
      <c r="N29" s="13"/>
      <c r="O29" s="42">
        <f>_xll.BDP($R29, "PX_BID")</f>
        <v>5.2469999999999999</v>
      </c>
      <c r="P29" s="44">
        <f>_xll.BDP($R29, "PX_ASK")</f>
        <v>5.2519999999999998</v>
      </c>
      <c r="Q29" s="12"/>
      <c r="R29" s="122" t="str">
        <f>LEFT($E29, 3) &amp; "/" &amp; RIGHT($E29, 3) &amp; " @" &amp; TEXT(MONTH($B30),"00")&amp;TEXT(DAY($B30),"00")&amp;RIGHT(YEAR($B30),2) &amp; " CURNCY"</f>
        <v>USD/NOK @050211 CURNCY</v>
      </c>
      <c r="S29" s="122" t="str">
        <f>IF($E30="regular","",IF($E30="NDF","NDF",IF($E30="onshore","onshore","offshore")))</f>
        <v/>
      </c>
      <c r="T29" s="130">
        <f>_xll.BFxForward($E29,$F29,"SETTLEMENTDATE","PRICINGDATE",$C30)</f>
        <v>44409</v>
      </c>
      <c r="U29" s="122">
        <f>IFERROR(WEEKDAY(T29),"")</f>
        <v>1</v>
      </c>
    </row>
    <row r="30" spans="1:21" ht="15" customHeight="1" x14ac:dyDescent="0.2">
      <c r="B30" s="37">
        <v>40665</v>
      </c>
      <c r="C30" s="177">
        <f>_xll.BAddPeriods(B30,"busdayadj=-1")</f>
        <v>40665</v>
      </c>
      <c r="E30" s="37" t="s">
        <v>41</v>
      </c>
      <c r="F30" s="40">
        <v>44501</v>
      </c>
      <c r="G30" s="177">
        <f>IF(U30=1,WORKDAY(T30-1,1),IF(U30=7,WORKDAY(T30-1,0),T30))</f>
        <v>44501</v>
      </c>
      <c r="H30" s="45">
        <f>_xll.BFxForward($E29,$G30,H$9,"PRICINGDATE",$C30,"HOLIDAYVALUES=TRUE","MARKETTYPE",S29)</f>
        <v>4801.18</v>
      </c>
      <c r="I30" s="46">
        <f>_xll.BFxForward($E29,$G30,I$9,"PRICINGDATE",$C30,"HOLIDAYVALUES=TRUE","MARKETTYPE",S29)</f>
        <v>5145.75</v>
      </c>
      <c r="J30" s="46">
        <f>_xll.BFxForward($E29,$G30,J$9,"PRICINGDATE",$C30,"HOLIDAYVALUES=TRUE","MARKETTYPE",S29)</f>
        <v>5.7271179999999999</v>
      </c>
      <c r="K30" s="46">
        <f>_xll.BFxForward($E29,$G30,K$9,"PRICINGDATE",$C30,"HOLIDAYVALUES=TRUE","MARKETTYPE",S29)</f>
        <v>5.7665749999999996</v>
      </c>
      <c r="L30" s="47">
        <f>_xll.BFxSwap($E29,$G29,$G30,L$9,"PRICINGDATE",$C30,"HOLIDAYVALUES=TRUE","MARKETTYPE",S29)</f>
        <v>-317.43</v>
      </c>
      <c r="M30" s="48">
        <f>_xll.BFxSwap($E29,$G29,$G30,M$9,"PRICINGDATE",$C30,"HOLIDAYVALUES=TRUE","MARKETTYPE",S29)</f>
        <v>363.32</v>
      </c>
      <c r="N30" s="13"/>
      <c r="O30" s="49"/>
      <c r="P30" s="48"/>
      <c r="Q30" s="12"/>
      <c r="R30" s="122" t="str">
        <f>_xll.BDP(R29, "SETTLE_DT")</f>
        <v>5/4/2011</v>
      </c>
      <c r="T30" s="130">
        <f>_xll.BFxForward($E29,$F30,"SETTLEMENTDATE","PRICINGDATE",$C30)</f>
        <v>44501</v>
      </c>
      <c r="U30" s="122">
        <f>IFERROR(WEEKDAY(T30),"")</f>
        <v>2</v>
      </c>
    </row>
    <row r="31" spans="1:21" ht="5.0999999999999996" customHeight="1" x14ac:dyDescent="0.2">
      <c r="E31" s="38"/>
      <c r="F31" s="38"/>
      <c r="G31" s="178"/>
      <c r="H31" s="13"/>
      <c r="I31" s="13"/>
      <c r="J31" s="13"/>
      <c r="K31" s="13"/>
      <c r="L31" s="14"/>
      <c r="M31" s="14"/>
      <c r="N31" s="13"/>
      <c r="O31" s="13"/>
      <c r="P31" s="13"/>
      <c r="Q31" s="12"/>
    </row>
    <row r="32" spans="1:21" ht="15" customHeight="1" x14ac:dyDescent="0.2">
      <c r="A32" s="69"/>
      <c r="B32" s="74" t="s">
        <v>46</v>
      </c>
      <c r="C32" s="176"/>
      <c r="E32" s="112" t="s">
        <v>90</v>
      </c>
      <c r="F32" s="113">
        <v>42259</v>
      </c>
      <c r="G32" s="177">
        <f>IF(U32=1,WORKDAY(T32-1,1),IF(U32=7,WORKDAY(T32-1,0),T32))</f>
        <v>42258</v>
      </c>
      <c r="H32" s="42">
        <f>_xll.BFxForward($E32,$G32,H$9,"PRICINGDATE",$C33,"HOLIDAYVALUES=TRUE","MARKETTYPE",S32)</f>
        <v>565.11</v>
      </c>
      <c r="I32" s="43">
        <f>_xll.BFxForward($E32,$G32,I$9,"PRICINGDATE",$C33,"HOLIDAYVALUES=TRUE","MARKETTYPE",S32)</f>
        <v>605.64</v>
      </c>
      <c r="J32" s="43">
        <f>_xll.BFxForward($E32,$G32,J$9,"PRICINGDATE",$C33,"HOLIDAYVALUES=TRUE","MARKETTYPE",S32)</f>
        <v>6.5307110000000002</v>
      </c>
      <c r="K32" s="43">
        <f>_xll.BFxForward($E32,$G32,K$9,"PRICINGDATE",$C33,"HOLIDAYVALUES=TRUE","MARKETTYPE",S32)</f>
        <v>6.5384640000000003</v>
      </c>
      <c r="L32" s="43"/>
      <c r="M32" s="44"/>
      <c r="N32" s="19"/>
      <c r="O32" s="42">
        <f>_xll.BDP($R32, "PX_BID")</f>
        <v>6.4741999999999997</v>
      </c>
      <c r="P32" s="44">
        <f>_xll.BDP($R32, "PX_ASK")</f>
        <v>6.4779</v>
      </c>
      <c r="Q32" s="12"/>
      <c r="R32" s="122" t="str">
        <f>LEFT($E32, 3) &amp; "/" &amp; RIGHT($E32, 3) &amp; " @" &amp; TEXT(MONTH($B33),"00")&amp;TEXT(DAY($B33),"00")&amp;RIGHT(YEAR($B33),2) &amp; " CURNCY"</f>
        <v>USD/SEK @030114 CURNCY</v>
      </c>
      <c r="S32" s="122" t="str">
        <f>IF($E33="regular","",IF($E33="NDF","NDF",IF($E33="onshore","onshore","offshore")))</f>
        <v/>
      </c>
      <c r="T32" s="130">
        <f>_xll.BFxForward($E32,$F32,"SETTLEMENTDATE","PRICINGDATE",$C33)</f>
        <v>42259</v>
      </c>
      <c r="U32" s="122">
        <f>IFERROR(WEEKDAY(T32),"")</f>
        <v>7</v>
      </c>
    </row>
    <row r="33" spans="1:21" ht="15" customHeight="1" x14ac:dyDescent="0.2">
      <c r="B33" s="37">
        <v>41699</v>
      </c>
      <c r="C33" s="177">
        <f>_xll.BAddPeriods(B33,"busdayadj=-1")</f>
        <v>41701</v>
      </c>
      <c r="E33" s="37" t="s">
        <v>41</v>
      </c>
      <c r="F33" s="40">
        <v>42272</v>
      </c>
      <c r="G33" s="177">
        <f>IF(U33=1,WORKDAY(T33-1,1),IF(U33=7,WORKDAY(T33-1,0),T33))</f>
        <v>42272</v>
      </c>
      <c r="H33" s="45">
        <f>_xll.BFxForward($E32,$G33,H$9,"PRICINGDATE",$C33,"HOLIDAYVALUES=TRUE","MARKETTYPE",S32)</f>
        <v>580.04</v>
      </c>
      <c r="I33" s="46">
        <f>_xll.BFxForward($E32,$G33,I$9,"PRICINGDATE",$C33,"HOLIDAYVALUES=TRUE","MARKETTYPE",S32)</f>
        <v>622.19000000000005</v>
      </c>
      <c r="J33" s="46">
        <f>_xll.BFxForward($E32,$G33,J$9,"PRICINGDATE",$C33,"HOLIDAYVALUES=TRUE","MARKETTYPE",S32)</f>
        <v>6.5322040000000001</v>
      </c>
      <c r="K33" s="46">
        <f>_xll.BFxForward($E32,$G33,K$9,"PRICINGDATE",$C33,"HOLIDAYVALUES=TRUE","MARKETTYPE",S32)</f>
        <v>6.5401189999999998</v>
      </c>
      <c r="L33" s="47">
        <f>_xll.BFxSwap($E32,$G32,$G33,L$9,"PRICINGDATE",$C33,"HOLIDAYVALUES=TRUE","MARKETTYPE",S32)</f>
        <v>-25.6</v>
      </c>
      <c r="M33" s="48">
        <f>_xll.BFxSwap($E32,$G32,$G33,M$9,"PRICINGDATE",$C33,"HOLIDAYVALUES=TRUE","MARKETTYPE",S32)</f>
        <v>57.08</v>
      </c>
      <c r="N33" s="13"/>
      <c r="O33" s="49"/>
      <c r="P33" s="48"/>
      <c r="Q33" s="12"/>
      <c r="R33" s="122" t="str">
        <f>_xll.BDP(R32, "SETTLE_DT")</f>
        <v>3/5/2014</v>
      </c>
      <c r="T33" s="130">
        <f>_xll.BFxForward($E32,$F33,"SETTLEMENTDATE","PRICINGDATE",$C33)</f>
        <v>42272</v>
      </c>
      <c r="U33" s="122">
        <f>IFERROR(WEEKDAY(T33),"")</f>
        <v>6</v>
      </c>
    </row>
    <row r="34" spans="1:21" ht="5.0999999999999996" customHeight="1" x14ac:dyDescent="0.2">
      <c r="E34" s="38"/>
      <c r="F34" s="38"/>
      <c r="G34" s="178"/>
      <c r="H34" s="13"/>
      <c r="I34" s="13"/>
      <c r="J34" s="13"/>
      <c r="K34" s="13"/>
      <c r="L34" s="14"/>
      <c r="M34" s="14"/>
      <c r="N34" s="13"/>
      <c r="O34" s="13"/>
      <c r="P34" s="13"/>
      <c r="Q34" s="12"/>
    </row>
    <row r="35" spans="1:21" ht="15" customHeight="1" x14ac:dyDescent="0.2">
      <c r="A35" s="69"/>
      <c r="B35" s="74" t="s">
        <v>46</v>
      </c>
      <c r="C35" s="176"/>
      <c r="E35" s="112" t="s">
        <v>91</v>
      </c>
      <c r="F35" s="113">
        <v>40932</v>
      </c>
      <c r="G35" s="177">
        <f>IF(U35=1,WORKDAY(T35-1,1),IF(U35=7,WORKDAY(T35-1,0),T35))</f>
        <v>40932</v>
      </c>
      <c r="H35" s="42">
        <f>_xll.BFxForward($E35,$G35,H$9,"PRICINGDATE",$C36,"HOLIDAYVALUES=TRUE","MARKETTYPE",S35)</f>
        <v>-1734.99</v>
      </c>
      <c r="I35" s="43">
        <f>_xll.BFxForward($E35,$G35,I$9,"PRICINGDATE",$C36,"HOLIDAYVALUES=TRUE","MARKETTYPE",S35)</f>
        <v>-1625.41</v>
      </c>
      <c r="J35" s="43">
        <f>_xll.BFxForward($E35,$G35,J$9,"PRICINGDATE",$C36,"HOLIDAYVALUES=TRUE","MARKETTYPE",S35)</f>
        <v>140.89009999999999</v>
      </c>
      <c r="K35" s="43">
        <f>_xll.BFxForward($E35,$G35,K$9,"PRICINGDATE",$C36,"HOLIDAYVALUES=TRUE","MARKETTYPE",S35)</f>
        <v>142.02590000000001</v>
      </c>
      <c r="L35" s="43"/>
      <c r="M35" s="44"/>
      <c r="N35" s="13"/>
      <c r="O35" s="42">
        <f>_xll.BDP($R35, "PX_BID")</f>
        <v>158.21</v>
      </c>
      <c r="P35" s="44">
        <f>_xll.BDP($R35, "PX_ASK")</f>
        <v>158.28</v>
      </c>
      <c r="Q35" s="12"/>
      <c r="R35" s="122" t="str">
        <f>LEFT($E35, 3) &amp; "/" &amp; RIGHT($E35, 3) &amp; " @" &amp; TEXT(MONTH($B36),"00")&amp;TEXT(DAY($B36),"00")&amp;RIGHT(YEAR($B36),2) &amp; " CURNCY"</f>
        <v>EUR/JPY @020208 CURNCY</v>
      </c>
      <c r="S35" s="122" t="str">
        <f>IF($E36="regular","",IF($E36="NDF","NDF",IF($E36="onshore","onshore","offshore")))</f>
        <v/>
      </c>
      <c r="T35" s="130">
        <f>_xll.BFxForward($E35,$F35,"SETTLEMENTDATE","PRICINGDATE",$C36)</f>
        <v>40932</v>
      </c>
      <c r="U35" s="122">
        <f>IFERROR(WEEKDAY(T35),"")</f>
        <v>3</v>
      </c>
    </row>
    <row r="36" spans="1:21" ht="15" customHeight="1" x14ac:dyDescent="0.2">
      <c r="B36" s="37">
        <v>39480</v>
      </c>
      <c r="C36" s="177">
        <f>_xll.BAddPeriods(B36,"busdayadj=-1")</f>
        <v>39482</v>
      </c>
      <c r="E36" s="37" t="s">
        <v>41</v>
      </c>
      <c r="F36" s="40">
        <v>41330</v>
      </c>
      <c r="G36" s="177">
        <f>IF(U36=1,WORKDAY(T36-1,1),IF(U36=7,WORKDAY(T36-1,0),T36))</f>
        <v>41330</v>
      </c>
      <c r="H36" s="45">
        <f>_xll.BFxForward($E35,$G36,H$9,"PRICINGDATE",$C36,"HOLIDAYVALUES=TRUE","MARKETTYPE",S35)</f>
        <v>-2120.11</v>
      </c>
      <c r="I36" s="46">
        <f>_xll.BFxForward($E35,$G36,I$9,"PRICINGDATE",$C36,"HOLIDAYVALUES=TRUE","MARKETTYPE",S35)</f>
        <v>-2024.95</v>
      </c>
      <c r="J36" s="46">
        <f>_xll.BFxForward($E35,$G36,J$9,"PRICINGDATE",$C36,"HOLIDAYVALUES=TRUE","MARKETTYPE",S35)</f>
        <v>137.03890000000001</v>
      </c>
      <c r="K36" s="46">
        <f>_xll.BFxForward($E35,$G36,K$9,"PRICINGDATE",$C36,"HOLIDAYVALUES=TRUE","MARKETTYPE",S35)</f>
        <v>138.03049999999999</v>
      </c>
      <c r="L36" s="47">
        <f>_xll.BFxSwap($E35,$G35,$G36,L$9,"PRICINGDATE",$C36,"HOLIDAYVALUES=TRUE","MARKETTYPE",S35)</f>
        <v>-494.7</v>
      </c>
      <c r="M36" s="48">
        <f>_xll.BFxSwap($E35,$G35,$G36,M$9,"PRICINGDATE",$C36,"HOLIDAYVALUES=TRUE","MARKETTYPE",S35)</f>
        <v>-289.95999999999998</v>
      </c>
      <c r="N36" s="13"/>
      <c r="O36" s="49"/>
      <c r="P36" s="48"/>
      <c r="Q36" s="12"/>
      <c r="R36" s="122" t="str">
        <f>_xll.BDP(R35, "SETTLE_DT")</f>
        <v>2/6/2008</v>
      </c>
      <c r="T36" s="130">
        <f>_xll.BFxForward($E35,$F36,"SETTLEMENTDATE","PRICINGDATE",$C36)</f>
        <v>41330</v>
      </c>
      <c r="U36" s="122">
        <f>IFERROR(WEEKDAY(T36),"")</f>
        <v>2</v>
      </c>
    </row>
    <row r="37" spans="1:21" ht="5.0999999999999996" customHeight="1" x14ac:dyDescent="0.2">
      <c r="E37" s="38"/>
      <c r="F37" s="38"/>
      <c r="G37" s="178"/>
      <c r="H37" s="13"/>
      <c r="I37" s="13"/>
      <c r="J37" s="13"/>
      <c r="K37" s="13"/>
      <c r="L37" s="14"/>
      <c r="M37" s="14"/>
      <c r="N37" s="13"/>
      <c r="O37" s="13"/>
      <c r="P37" s="13"/>
      <c r="Q37" s="12"/>
    </row>
    <row r="38" spans="1:21" ht="15" customHeight="1" x14ac:dyDescent="0.2">
      <c r="A38" s="69"/>
      <c r="B38" s="39" t="s">
        <v>46</v>
      </c>
      <c r="C38" s="176"/>
      <c r="E38" s="112" t="s">
        <v>92</v>
      </c>
      <c r="F38" s="113">
        <v>40951</v>
      </c>
      <c r="G38" s="177">
        <f>IF(U38=1,WORKDAY(T38-1,1),IF(U38=7,WORKDAY(T38-1,0),T38))</f>
        <v>40952</v>
      </c>
      <c r="H38" s="42">
        <f>_xll.BFxForward($E38,$G38,H$9,"PRICINGDATE",$C39,"HOLIDAYVALUES=TRUE","MARKETTYPE",S38)</f>
        <v>37.81</v>
      </c>
      <c r="I38" s="43">
        <f>_xll.BFxForward($E38,$G38,I$9,"PRICINGDATE",$C39,"HOLIDAYVALUES=TRUE","MARKETTYPE",S38)</f>
        <v>47.98</v>
      </c>
      <c r="J38" s="43">
        <f>_xll.BFxForward($E38,$G38,J$9,"PRICINGDATE",$C39,"HOLIDAYVALUES=TRUE","MARKETTYPE",S38)</f>
        <v>0.89228099999999999</v>
      </c>
      <c r="K38" s="43">
        <f>_xll.BFxForward($E38,$G38,K$9,"PRICINGDATE",$C39,"HOLIDAYVALUES=TRUE","MARKETTYPE",S38)</f>
        <v>0.89361800000000002</v>
      </c>
      <c r="L38" s="43"/>
      <c r="M38" s="44"/>
      <c r="N38" s="19"/>
      <c r="O38" s="42">
        <f>_xll.BDP($R38, "PX_BID")</f>
        <v>0.88832999999999995</v>
      </c>
      <c r="P38" s="44">
        <f>_xll.BDP($R38, "PX_ASK")</f>
        <v>0.88882000000000005</v>
      </c>
      <c r="Q38" s="12"/>
      <c r="R38" s="122" t="str">
        <f>LEFT($E38, 3) &amp; "/" &amp; RIGHT($E38, 3) &amp; " @" &amp; TEXT(MONTH($B39),"00")&amp;TEXT(DAY($B39),"00")&amp;RIGHT(YEAR($B39),2) &amp; " CURNCY"</f>
        <v>EUR/GBP @040110 CURNCY</v>
      </c>
      <c r="S38" s="122" t="str">
        <f>IF($E39="regular","",IF($E39="NDF","NDF",IF($E39="onshore","onshore","offshore")))</f>
        <v/>
      </c>
      <c r="T38" s="130">
        <f>_xll.BFxForward($E38,$F38,"SETTLEMENTDATE","PRICINGDATE",$C39)</f>
        <v>40951</v>
      </c>
      <c r="U38" s="122">
        <f>IFERROR(WEEKDAY(T38),"")</f>
        <v>1</v>
      </c>
    </row>
    <row r="39" spans="1:21" ht="15" customHeight="1" x14ac:dyDescent="0.2">
      <c r="B39" s="75">
        <v>40269</v>
      </c>
      <c r="C39" s="177">
        <f>_xll.BAddPeriods(B39,"busdayadj=-1")</f>
        <v>40269</v>
      </c>
      <c r="E39" s="37" t="s">
        <v>41</v>
      </c>
      <c r="F39" s="40">
        <v>41330</v>
      </c>
      <c r="G39" s="177">
        <f>IF(U39=1,WORKDAY(T39-1,1),IF(U39=7,WORKDAY(T39-1,0),T39))</f>
        <v>41330</v>
      </c>
      <c r="H39" s="45">
        <f>_xll.BFxForward($E38,$G39,H$9,"PRICINGDATE",$C39,"HOLIDAYVALUES=TRUE","MARKETTYPE",S38)</f>
        <v>95</v>
      </c>
      <c r="I39" s="46">
        <f>_xll.BFxForward($E38,$G39,I$9,"PRICINGDATE",$C39,"HOLIDAYVALUES=TRUE","MARKETTYPE",S38)</f>
        <v>115.45</v>
      </c>
      <c r="J39" s="46">
        <f>_xll.BFxForward($E38,$G39,J$9,"PRICINGDATE",$C39,"HOLIDAYVALUES=TRUE","MARKETTYPE",S38)</f>
        <v>0.89800000000000002</v>
      </c>
      <c r="K39" s="46">
        <f>_xll.BFxForward($E38,$G39,K$9,"PRICINGDATE",$C39,"HOLIDAYVALUES=TRUE","MARKETTYPE",S38)</f>
        <v>0.90036499999999997</v>
      </c>
      <c r="L39" s="47">
        <f>_xll.BFxSwap($E38,$G38,$G39,L$9,"PRICINGDATE",$C39,"HOLIDAYVALUES=TRUE","MARKETTYPE",S38)</f>
        <v>47.02</v>
      </c>
      <c r="M39" s="48">
        <f>_xll.BFxSwap($E38,$G38,$G39,M$9,"PRICINGDATE",$C39,"HOLIDAYVALUES=TRUE","MARKETTYPE",S38)</f>
        <v>77.64</v>
      </c>
      <c r="N39" s="13"/>
      <c r="O39" s="49"/>
      <c r="P39" s="48"/>
      <c r="Q39" s="12"/>
      <c r="R39" s="122" t="str">
        <f>_xll.BDP(R38, "SETTLE_DT")</f>
        <v>4/7/2010</v>
      </c>
      <c r="T39" s="130">
        <f>_xll.BFxForward($E38,$F39,"SETTLEMENTDATE","PRICINGDATE",$C39)</f>
        <v>41330</v>
      </c>
      <c r="U39" s="122">
        <f>IFERROR(WEEKDAY(T39),"")</f>
        <v>2</v>
      </c>
    </row>
    <row r="40" spans="1:21" ht="5.0999999999999996" customHeight="1" x14ac:dyDescent="0.2">
      <c r="E40" s="38"/>
      <c r="F40" s="38"/>
      <c r="G40" s="178"/>
      <c r="H40" s="13"/>
      <c r="I40" s="13"/>
      <c r="J40" s="13"/>
      <c r="K40" s="13"/>
      <c r="L40" s="14"/>
      <c r="M40" s="14"/>
      <c r="N40" s="13"/>
      <c r="O40" s="13"/>
      <c r="P40" s="13"/>
      <c r="Q40" s="12"/>
    </row>
    <row r="41" spans="1:21" ht="15" customHeight="1" x14ac:dyDescent="0.2">
      <c r="B41" s="39" t="s">
        <v>46</v>
      </c>
      <c r="C41" s="176"/>
      <c r="E41" s="112" t="s">
        <v>93</v>
      </c>
      <c r="F41" s="113">
        <v>40932</v>
      </c>
      <c r="G41" s="177">
        <f>IF(U41=1,WORKDAY(T41-1,1),IF(U41=7,WORKDAY(T41-1,0),T41))</f>
        <v>40932</v>
      </c>
      <c r="H41" s="42">
        <f>_xll.BFxForward($E41,$G41,H$9,"PRICINGDATE",$C42,"HOLIDAYVALUES=TRUE","MARKETTYPE",S41)</f>
        <v>1944.08</v>
      </c>
      <c r="I41" s="43">
        <f>_xll.BFxForward($E41,$G41,I$9,"PRICINGDATE",$C42,"HOLIDAYVALUES=TRUE","MARKETTYPE",S41)</f>
        <v>2053.1</v>
      </c>
      <c r="J41" s="43">
        <f>_xll.BFxForward($E41,$G41,J$9,"PRICINGDATE",$C42,"HOLIDAYVALUES=TRUE","MARKETTYPE",S41)</f>
        <v>1.685908</v>
      </c>
      <c r="K41" s="43">
        <f>_xll.BFxForward($E41,$G41,K$9,"PRICINGDATE",$C42,"HOLIDAYVALUES=TRUE","MARKETTYPE",S41)</f>
        <v>1.69801</v>
      </c>
      <c r="L41" s="43"/>
      <c r="M41" s="44"/>
      <c r="N41" s="13"/>
      <c r="O41" s="42">
        <f>_xll.BDP($R41, "PX_BID")</f>
        <v>1.4915</v>
      </c>
      <c r="P41" s="44">
        <f>_xll.BDP($R41, "PX_ASK")</f>
        <v>1.4926999999999999</v>
      </c>
      <c r="Q41" s="12"/>
      <c r="R41" s="122" t="str">
        <f>LEFT($E41, 3) &amp; "/" &amp; RIGHT($E41, 3) &amp; " @" &amp; TEXT(MONTH($B42),"00")&amp;TEXT(DAY($B42),"00")&amp;RIGHT(YEAR($B42),2) &amp; " CURNCY"</f>
        <v>USD/TRY @050110 CURNCY</v>
      </c>
      <c r="S41" s="122" t="str">
        <f>IF($E42="regular","",IF($E42="NDF","NDF",IF($E42="onshore","onshore","offshore")))</f>
        <v/>
      </c>
      <c r="T41" s="130">
        <f>_xll.BFxForward($E41,$F41,"SETTLEMENTDATE","PRICINGDATE",$C42)</f>
        <v>40932</v>
      </c>
      <c r="U41" s="122">
        <f>IFERROR(WEEKDAY(T41),"")</f>
        <v>3</v>
      </c>
    </row>
    <row r="42" spans="1:21" ht="15" customHeight="1" x14ac:dyDescent="0.2">
      <c r="B42" s="75">
        <v>40299</v>
      </c>
      <c r="C42" s="177">
        <f>_xll.BAddPeriods(B42,"busdayadj=-1")</f>
        <v>40301</v>
      </c>
      <c r="E42" s="37" t="s">
        <v>41</v>
      </c>
      <c r="F42" s="40">
        <v>41330</v>
      </c>
      <c r="G42" s="177">
        <f>IF(U42=1,WORKDAY(T42-1,1),IF(U42=7,WORKDAY(T42-1,0),T42))</f>
        <v>41330</v>
      </c>
      <c r="H42" s="45">
        <f>_xll.BFxForward($E41,$G42,H$9,"PRICINGDATE",$C42,"HOLIDAYVALUES=TRUE","MARKETTYPE",S41)</f>
        <v>3274.05</v>
      </c>
      <c r="I42" s="46">
        <f>_xll.BFxForward($E41,$G42,I$9,"PRICINGDATE",$C42,"HOLIDAYVALUES=TRUE","MARKETTYPE",S41)</f>
        <v>3426.41</v>
      </c>
      <c r="J42" s="46">
        <f>_xll.BFxForward($E41,$G42,J$9,"PRICINGDATE",$C42,"HOLIDAYVALUES=TRUE","MARKETTYPE",S41)</f>
        <v>1.818905</v>
      </c>
      <c r="K42" s="46">
        <f>_xll.BFxForward($E41,$G42,K$9,"PRICINGDATE",$C42,"HOLIDAYVALUES=TRUE","MARKETTYPE",S41)</f>
        <v>1.8353409999999999</v>
      </c>
      <c r="L42" s="47">
        <f>_xll.BFxSwap($E41,$G41,$G42,L$9,"PRICINGDATE",$C42,"HOLIDAYVALUES=TRUE","MARKETTYPE",S41)</f>
        <v>1220.95</v>
      </c>
      <c r="M42" s="48">
        <f>_xll.BFxSwap($E41,$G41,$G42,M$9,"PRICINGDATE",$C42,"HOLIDAYVALUES=TRUE","MARKETTYPE",S41)</f>
        <v>1482.33</v>
      </c>
      <c r="N42" s="13"/>
      <c r="O42" s="49"/>
      <c r="P42" s="48"/>
      <c r="Q42" s="12"/>
      <c r="R42" s="122" t="str">
        <f>_xll.BDP(R41, "SETTLE_DT")</f>
        <v>5/4/2010</v>
      </c>
      <c r="T42" s="130">
        <f>_xll.BFxForward($E41,$F42,"SETTLEMENTDATE","PRICINGDATE",$C42)</f>
        <v>41330</v>
      </c>
      <c r="U42" s="122">
        <f>IFERROR(WEEKDAY(T42),"")</f>
        <v>2</v>
      </c>
    </row>
    <row r="43" spans="1:21" ht="5.0999999999999996" customHeight="1" x14ac:dyDescent="0.2">
      <c r="E43" s="38"/>
      <c r="F43" s="38"/>
      <c r="G43" s="178"/>
      <c r="H43" s="13"/>
      <c r="I43" s="13"/>
      <c r="J43" s="13"/>
      <c r="K43" s="13"/>
      <c r="L43" s="14"/>
      <c r="M43" s="14"/>
      <c r="N43" s="13"/>
      <c r="O43" s="13"/>
      <c r="P43" s="13"/>
      <c r="Q43" s="12"/>
    </row>
    <row r="44" spans="1:21" ht="15" customHeight="1" x14ac:dyDescent="0.2">
      <c r="A44" s="69"/>
      <c r="B44" s="74" t="s">
        <v>46</v>
      </c>
      <c r="C44" s="176"/>
      <c r="E44" s="112" t="s">
        <v>37</v>
      </c>
      <c r="F44" s="113">
        <v>43143</v>
      </c>
      <c r="G44" s="177">
        <f>IF(U44=1,WORKDAY(T44-1,1),IF(U44=7,WORKDAY(T44-1,0),T44))</f>
        <v>43143</v>
      </c>
      <c r="H44" s="42">
        <f>_xll.BFxForward($E44,$G44,H$9,"PRICINGDATE",$C45,"HOLIDAYVALUES=TRUE","MARKETTYPE",S44)</f>
        <v>-3.07</v>
      </c>
      <c r="I44" s="43">
        <f>_xll.BFxForward($E44,$G44,I$9,"PRICINGDATE",$C45,"HOLIDAYVALUES=TRUE","MARKETTYPE",S44)</f>
        <v>6.36</v>
      </c>
      <c r="J44" s="43">
        <f>_xll.BFxForward($E44,$G44,J$9,"PRICINGDATE",$C45,"HOLIDAYVALUES=TRUE","MARKETTYPE",S44)</f>
        <v>1090.8599999999999</v>
      </c>
      <c r="K44" s="43">
        <f>_xll.BFxForward($E44,$G44,K$9,"PRICINGDATE",$C45,"HOLIDAYVALUES=TRUE","MARKETTYPE",S44)</f>
        <v>1100.29</v>
      </c>
      <c r="L44" s="43"/>
      <c r="M44" s="44"/>
      <c r="N44" s="19"/>
      <c r="O44" s="42">
        <f>_xll.BDP($R44, "PX_BID")</f>
        <v>1093.93</v>
      </c>
      <c r="P44" s="44">
        <f>_xll.BDP($R44, "PX_ASK")</f>
        <v>1093.93</v>
      </c>
      <c r="Q44" s="12"/>
      <c r="R44" s="122" t="str">
        <f>LEFT($E44, 3) &amp; "/" &amp; RIGHT($E44, 3) &amp; " @" &amp; TEXT(MONTH($B45),"00")&amp;TEXT(DAY($B45),"00")&amp;RIGHT(YEAR($B45),2) &amp; " CURNCY"</f>
        <v>USD/KRW @010115 CURNCY</v>
      </c>
      <c r="S44" s="122" t="str">
        <f>IF($E45="regular","",IF($E45="NDF","NDF",IF($E45="onshore","onshore","offshore")))</f>
        <v>NDF</v>
      </c>
      <c r="T44" s="130">
        <f>_xll.BFxForward($E44,$F44,"SETTLEMENTDATE","PRICINGDATE",$C45)</f>
        <v>43143</v>
      </c>
      <c r="U44" s="122">
        <f>IFERROR(WEEKDAY(T44),"")</f>
        <v>2</v>
      </c>
    </row>
    <row r="45" spans="1:21" ht="15" customHeight="1" x14ac:dyDescent="0.2">
      <c r="B45" s="37">
        <v>42005</v>
      </c>
      <c r="C45" s="177">
        <f>_xll.BAddPeriods(B45,"busdayadj=-1")</f>
        <v>42005</v>
      </c>
      <c r="E45" s="37" t="s">
        <v>42</v>
      </c>
      <c r="F45" s="40">
        <v>43156</v>
      </c>
      <c r="G45" s="177">
        <f>IF(U45=1,WORKDAY(T45-1,1),IF(U45=7,WORKDAY(T45-1,0),T45))</f>
        <v>43157</v>
      </c>
      <c r="H45" s="45">
        <f>_xll.BFxForward($E44,$G45,H$9,"PRICINGDATE",$C45,"HOLIDAYVALUES=TRUE","MARKETTYPE",S44)</f>
        <v>-3.37</v>
      </c>
      <c r="I45" s="46">
        <f>_xll.BFxForward($E44,$G45,I$9,"PRICINGDATE",$C45,"HOLIDAYVALUES=TRUE","MARKETTYPE",S44)</f>
        <v>6.13</v>
      </c>
      <c r="J45" s="46">
        <f>_xll.BFxForward($E44,$G45,J$9,"PRICINGDATE",$C45,"HOLIDAYVALUES=TRUE","MARKETTYPE",S44)</f>
        <v>1090.56</v>
      </c>
      <c r="K45" s="46">
        <f>_xll.BFxForward($E44,$G45,K$9,"PRICINGDATE",$C45,"HOLIDAYVALUES=TRUE","MARKETTYPE",S44)</f>
        <v>1100.06</v>
      </c>
      <c r="L45" s="47">
        <f>_xll.BFxSwap($E44,$G44,$G45,L$9,"PRICINGDATE",$C45,"HOLIDAYVALUES=TRUE","MARKETTYPE",S44)</f>
        <v>-9.73</v>
      </c>
      <c r="M45" s="48">
        <f>_xll.BFxSwap($E44,$G44,$G45,M$9,"PRICINGDATE",$C45,"HOLIDAYVALUES=TRUE","MARKETTYPE",S44)</f>
        <v>9.1999999999999993</v>
      </c>
      <c r="N45" s="13"/>
      <c r="O45" s="49"/>
      <c r="P45" s="48"/>
      <c r="Q45" s="12"/>
      <c r="R45" s="122" t="str">
        <f>_xll.BDP(R44, "SETTLE_DT")</f>
        <v>1/5/2015</v>
      </c>
      <c r="T45" s="130">
        <f>_xll.BFxForward($E44,$F45,"SETTLEMENTDATE","PRICINGDATE",$C45)</f>
        <v>43156</v>
      </c>
      <c r="U45" s="122">
        <f>IFERROR(WEEKDAY(T45),"")</f>
        <v>1</v>
      </c>
    </row>
    <row r="46" spans="1:21" ht="15" customHeight="1" x14ac:dyDescent="0.2"/>
    <row r="47" spans="1:21" ht="15" customHeight="1" x14ac:dyDescent="0.2"/>
    <row r="48" spans="1:21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</sheetData>
  <dataValidations count="1">
    <dataValidation type="list" allowBlank="1" showInputMessage="1" showErrorMessage="1" sqref="E12 E15 E18 E21 E24 E27 E30 E33 E36 E39 E42 E45">
      <formula1>"Regular,NDF,Onshore,Offshore"</formula1>
    </dataValidation>
  </dataValidations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B1:X50"/>
  <sheetViews>
    <sheetView showGridLines="0" showRowColHeaders="0" workbookViewId="0">
      <pane ySplit="5" topLeftCell="A6" activePane="bottomLeft" state="frozenSplit"/>
      <selection pane="bottomLeft" activeCell="D38" sqref="D38:R41"/>
    </sheetView>
  </sheetViews>
  <sheetFormatPr defaultRowHeight="12.75" x14ac:dyDescent="0.2"/>
  <cols>
    <col min="1" max="1" width="1.7109375" customWidth="1"/>
  </cols>
  <sheetData>
    <row r="1" spans="2:24" ht="5.0999999999999996" customHeight="1" x14ac:dyDescent="0.2"/>
    <row r="2" spans="2:24" ht="15" customHeight="1" x14ac:dyDescent="0.2"/>
    <row r="3" spans="2:24" ht="15" customHeight="1" x14ac:dyDescent="0.2"/>
    <row r="4" spans="2:24" ht="15" customHeight="1" x14ac:dyDescent="0.2"/>
    <row r="5" spans="2:24" ht="5.0999999999999996" customHeight="1" x14ac:dyDescent="0.2"/>
    <row r="6" spans="2:24" x14ac:dyDescent="0.2">
      <c r="B6" s="304"/>
      <c r="C6" s="300"/>
      <c r="D6" s="302"/>
      <c r="E6" s="300"/>
      <c r="F6" s="300"/>
      <c r="G6" s="300"/>
      <c r="H6" s="300"/>
      <c r="I6" s="300"/>
      <c r="J6" s="300"/>
      <c r="K6" s="300"/>
      <c r="L6" s="300"/>
      <c r="M6" s="300"/>
      <c r="N6" s="300"/>
      <c r="O6" s="300"/>
      <c r="P6" s="300"/>
      <c r="Q6" s="300"/>
      <c r="R6" s="300"/>
      <c r="S6" s="305"/>
      <c r="T6" s="300"/>
      <c r="U6" s="301"/>
      <c r="V6" s="300"/>
      <c r="W6" s="300"/>
      <c r="X6" s="300"/>
    </row>
    <row r="7" spans="2:24" x14ac:dyDescent="0.2">
      <c r="B7" s="300"/>
      <c r="C7" s="300"/>
      <c r="D7" s="300"/>
      <c r="E7" s="300"/>
      <c r="F7" s="300"/>
      <c r="G7" s="300"/>
      <c r="H7" s="300"/>
      <c r="I7" s="300"/>
      <c r="J7" s="300"/>
      <c r="K7" s="300"/>
      <c r="L7" s="300"/>
      <c r="M7" s="300"/>
      <c r="N7" s="300"/>
      <c r="O7" s="300"/>
      <c r="P7" s="300"/>
      <c r="Q7" s="300"/>
      <c r="R7" s="300"/>
      <c r="S7" s="300"/>
      <c r="T7" s="300"/>
      <c r="U7" s="300"/>
      <c r="V7" s="300"/>
      <c r="W7" s="300"/>
      <c r="X7" s="300"/>
    </row>
    <row r="8" spans="2:24" x14ac:dyDescent="0.2">
      <c r="B8" s="300"/>
      <c r="C8" s="300"/>
      <c r="D8" s="300"/>
      <c r="E8" s="300"/>
      <c r="F8" s="300"/>
      <c r="G8" s="300"/>
      <c r="H8" s="300"/>
      <c r="I8" s="300"/>
      <c r="J8" s="300"/>
      <c r="K8" s="300"/>
      <c r="L8" s="300"/>
      <c r="M8" s="300"/>
      <c r="N8" s="300"/>
      <c r="O8" s="300"/>
      <c r="P8" s="300"/>
      <c r="Q8" s="300"/>
      <c r="R8" s="300"/>
      <c r="S8" s="300"/>
      <c r="T8" s="300"/>
      <c r="U8" s="300"/>
      <c r="V8" s="300"/>
      <c r="W8" s="300"/>
      <c r="X8" s="300"/>
    </row>
    <row r="9" spans="2:24" x14ac:dyDescent="0.2">
      <c r="B9" s="300"/>
      <c r="C9" s="300"/>
      <c r="D9" s="300"/>
      <c r="E9" s="300"/>
      <c r="F9" s="300"/>
      <c r="G9" s="300"/>
      <c r="H9" s="300"/>
      <c r="I9" s="300"/>
      <c r="J9" s="300"/>
      <c r="K9" s="300"/>
      <c r="L9" s="300"/>
      <c r="M9" s="300"/>
      <c r="N9" s="300"/>
      <c r="O9" s="300"/>
      <c r="P9" s="300"/>
      <c r="Q9" s="300"/>
      <c r="R9" s="300"/>
      <c r="S9" s="300"/>
      <c r="T9" s="300"/>
      <c r="U9" s="300"/>
      <c r="V9" s="300"/>
      <c r="W9" s="300"/>
      <c r="X9" s="300"/>
    </row>
    <row r="10" spans="2:24" ht="15" x14ac:dyDescent="0.25">
      <c r="B10" s="301"/>
      <c r="C10" s="300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303"/>
      <c r="T10" s="300"/>
      <c r="U10" s="300"/>
      <c r="V10" s="300"/>
      <c r="W10" s="300"/>
      <c r="X10" s="300"/>
    </row>
    <row r="11" spans="2:24" x14ac:dyDescent="0.2">
      <c r="B11" s="300"/>
      <c r="C11" s="300"/>
      <c r="S11" s="300"/>
      <c r="T11" s="300"/>
      <c r="U11" s="300"/>
      <c r="V11" s="300"/>
      <c r="W11" s="300"/>
      <c r="X11" s="300"/>
    </row>
    <row r="12" spans="2:24" x14ac:dyDescent="0.2">
      <c r="B12" s="300"/>
      <c r="C12" s="300"/>
      <c r="D12" s="309" t="s">
        <v>26</v>
      </c>
      <c r="E12" s="309"/>
      <c r="F12" s="309"/>
      <c r="G12" s="309"/>
      <c r="H12" s="309"/>
      <c r="I12" s="309"/>
      <c r="J12" s="309"/>
      <c r="K12" s="309"/>
      <c r="L12" s="309"/>
      <c r="M12" s="309"/>
      <c r="N12" s="309"/>
      <c r="O12" s="309"/>
      <c r="P12" s="309"/>
      <c r="Q12" s="309"/>
      <c r="R12" s="309"/>
      <c r="S12" s="300"/>
      <c r="T12" s="300"/>
      <c r="U12" s="300"/>
      <c r="V12" s="300"/>
      <c r="W12" s="300"/>
      <c r="X12" s="300"/>
    </row>
    <row r="13" spans="2:24" x14ac:dyDescent="0.2">
      <c r="B13" s="300"/>
      <c r="C13" s="300"/>
      <c r="S13" s="300"/>
      <c r="T13" s="300"/>
      <c r="U13" s="300"/>
      <c r="V13" s="300"/>
      <c r="W13" s="300"/>
      <c r="X13" s="300"/>
    </row>
    <row r="14" spans="2:24" ht="15.75" thickBot="1" x14ac:dyDescent="0.3">
      <c r="B14" s="300"/>
      <c r="C14" s="300"/>
      <c r="D14" s="81" t="s">
        <v>123</v>
      </c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80"/>
      <c r="S14" s="300"/>
      <c r="T14" s="300"/>
      <c r="U14" s="300"/>
      <c r="V14" s="300"/>
      <c r="W14" s="300"/>
      <c r="X14" s="300"/>
    </row>
    <row r="15" spans="2:24" x14ac:dyDescent="0.2">
      <c r="B15" s="300"/>
      <c r="C15" s="300"/>
      <c r="S15" s="300"/>
      <c r="T15" s="300"/>
      <c r="U15" s="300"/>
      <c r="V15" s="300"/>
      <c r="W15" s="300"/>
      <c r="X15" s="300"/>
    </row>
    <row r="16" spans="2:24" x14ac:dyDescent="0.2">
      <c r="B16" s="300"/>
      <c r="C16" s="300"/>
      <c r="D16" s="16" t="s">
        <v>96</v>
      </c>
      <c r="S16" s="300"/>
      <c r="T16" s="300"/>
      <c r="U16" s="300"/>
      <c r="V16" s="300"/>
      <c r="W16" s="300"/>
      <c r="X16" s="300"/>
    </row>
    <row r="17" spans="2:24" x14ac:dyDescent="0.2">
      <c r="B17" s="300"/>
      <c r="C17" s="300"/>
      <c r="D17" s="3" t="s">
        <v>94</v>
      </c>
      <c r="S17" s="300"/>
      <c r="T17" s="300"/>
      <c r="U17" s="300"/>
      <c r="V17" s="300"/>
      <c r="W17" s="300"/>
      <c r="X17" s="300"/>
    </row>
    <row r="18" spans="2:24" x14ac:dyDescent="0.2">
      <c r="B18" s="300"/>
      <c r="C18" s="300"/>
      <c r="D18" s="3" t="s">
        <v>95</v>
      </c>
      <c r="S18" s="300"/>
      <c r="T18" s="300"/>
      <c r="U18" s="300"/>
      <c r="V18" s="300"/>
      <c r="W18" s="300"/>
      <c r="X18" s="300"/>
    </row>
    <row r="19" spans="2:24" x14ac:dyDescent="0.2">
      <c r="B19" s="300"/>
      <c r="C19" s="300"/>
      <c r="D19" s="15"/>
      <c r="S19" s="300"/>
      <c r="T19" s="300"/>
      <c r="U19" s="300"/>
      <c r="V19" s="300"/>
      <c r="W19" s="300"/>
      <c r="X19" s="300"/>
    </row>
    <row r="20" spans="2:24" x14ac:dyDescent="0.2">
      <c r="B20" s="300"/>
      <c r="C20" s="300"/>
      <c r="D20" s="16" t="s">
        <v>97</v>
      </c>
      <c r="S20" s="300"/>
      <c r="T20" s="300"/>
      <c r="U20" s="300"/>
      <c r="V20" s="300"/>
      <c r="W20" s="300"/>
      <c r="X20" s="300"/>
    </row>
    <row r="21" spans="2:24" x14ac:dyDescent="0.2">
      <c r="B21" s="300"/>
      <c r="C21" s="300"/>
      <c r="D21" s="3" t="s">
        <v>101</v>
      </c>
      <c r="S21" s="300"/>
      <c r="T21" s="300"/>
      <c r="U21" s="300"/>
      <c r="V21" s="300"/>
      <c r="W21" s="300"/>
      <c r="X21" s="300"/>
    </row>
    <row r="22" spans="2:24" x14ac:dyDescent="0.2">
      <c r="B22" s="300"/>
      <c r="C22" s="300"/>
      <c r="D22" s="3" t="s">
        <v>23</v>
      </c>
      <c r="S22" s="300"/>
      <c r="T22" s="300"/>
      <c r="U22" s="300"/>
      <c r="V22" s="300"/>
      <c r="W22" s="300"/>
      <c r="X22" s="300"/>
    </row>
    <row r="23" spans="2:24" x14ac:dyDescent="0.2">
      <c r="B23" s="300"/>
      <c r="C23" s="300"/>
      <c r="D23" s="15"/>
      <c r="S23" s="300"/>
      <c r="T23" s="300"/>
      <c r="U23" s="300"/>
      <c r="V23" s="300"/>
      <c r="W23" s="300"/>
      <c r="X23" s="300"/>
    </row>
    <row r="24" spans="2:24" x14ac:dyDescent="0.2">
      <c r="B24" s="300"/>
      <c r="C24" s="300"/>
      <c r="D24" s="16" t="s">
        <v>98</v>
      </c>
      <c r="S24" s="300"/>
      <c r="T24" s="300"/>
      <c r="U24" s="300"/>
      <c r="V24" s="300"/>
      <c r="W24" s="300"/>
      <c r="X24" s="300"/>
    </row>
    <row r="25" spans="2:24" x14ac:dyDescent="0.2">
      <c r="B25" s="300"/>
      <c r="C25" s="300"/>
      <c r="D25" s="3" t="s">
        <v>99</v>
      </c>
      <c r="S25" s="300"/>
      <c r="T25" s="300"/>
      <c r="U25" s="300"/>
      <c r="V25" s="300"/>
      <c r="W25" s="300"/>
      <c r="X25" s="300"/>
    </row>
    <row r="26" spans="2:24" x14ac:dyDescent="0.2">
      <c r="B26" s="300"/>
      <c r="C26" s="300"/>
      <c r="D26" s="3" t="s">
        <v>100</v>
      </c>
      <c r="S26" s="300"/>
      <c r="T26" s="300"/>
      <c r="U26" s="300"/>
      <c r="V26" s="300"/>
      <c r="W26" s="300"/>
      <c r="X26" s="300"/>
    </row>
    <row r="27" spans="2:24" x14ac:dyDescent="0.2">
      <c r="B27" s="300"/>
      <c r="C27" s="300"/>
      <c r="D27" s="3"/>
      <c r="S27" s="300"/>
      <c r="T27" s="300"/>
      <c r="U27" s="300"/>
      <c r="V27" s="300"/>
      <c r="W27" s="300"/>
      <c r="X27" s="300"/>
    </row>
    <row r="28" spans="2:24" x14ac:dyDescent="0.2">
      <c r="B28" s="300"/>
      <c r="C28" s="300"/>
      <c r="D28" s="16" t="s">
        <v>102</v>
      </c>
      <c r="S28" s="300"/>
      <c r="T28" s="300"/>
      <c r="U28" s="300"/>
      <c r="V28" s="300"/>
      <c r="W28" s="300"/>
      <c r="X28" s="300"/>
    </row>
    <row r="29" spans="2:24" x14ac:dyDescent="0.2">
      <c r="B29" s="300"/>
      <c r="C29" s="300"/>
      <c r="D29" s="3" t="s">
        <v>103</v>
      </c>
      <c r="S29" s="300"/>
      <c r="T29" s="300"/>
      <c r="U29" s="300"/>
      <c r="V29" s="300"/>
      <c r="W29" s="300"/>
      <c r="X29" s="300"/>
    </row>
    <row r="30" spans="2:24" x14ac:dyDescent="0.2">
      <c r="B30" s="300"/>
      <c r="C30" s="300"/>
      <c r="S30" s="300"/>
      <c r="T30" s="300"/>
      <c r="U30" s="300"/>
      <c r="V30" s="300"/>
      <c r="W30" s="300"/>
      <c r="X30" s="300"/>
    </row>
    <row r="31" spans="2:24" x14ac:dyDescent="0.2">
      <c r="B31" s="300"/>
      <c r="C31" s="300"/>
      <c r="S31" s="300"/>
      <c r="T31" s="300"/>
      <c r="U31" s="300"/>
      <c r="V31" s="300"/>
      <c r="W31" s="300"/>
      <c r="X31" s="300"/>
    </row>
    <row r="32" spans="2:24" ht="15.75" thickBot="1" x14ac:dyDescent="0.3">
      <c r="B32" s="300"/>
      <c r="C32" s="300"/>
      <c r="D32" s="81" t="s">
        <v>124</v>
      </c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80"/>
      <c r="S32" s="300"/>
      <c r="T32" s="300"/>
      <c r="U32" s="300"/>
      <c r="V32" s="300"/>
      <c r="W32" s="300"/>
      <c r="X32" s="300"/>
    </row>
    <row r="33" spans="2:24" x14ac:dyDescent="0.2">
      <c r="B33" s="300"/>
      <c r="C33" s="300"/>
      <c r="S33" s="300"/>
      <c r="T33" s="300"/>
      <c r="U33" s="300"/>
      <c r="V33" s="300"/>
      <c r="W33" s="300"/>
      <c r="X33" s="300"/>
    </row>
    <row r="34" spans="2:24" x14ac:dyDescent="0.2">
      <c r="B34" s="300"/>
      <c r="C34" s="300"/>
      <c r="D34" s="4" t="s">
        <v>25</v>
      </c>
      <c r="S34" s="300"/>
      <c r="T34" s="300"/>
      <c r="U34" s="300"/>
      <c r="V34" s="300"/>
      <c r="W34" s="300"/>
      <c r="X34" s="300"/>
    </row>
    <row r="35" spans="2:24" x14ac:dyDescent="0.2">
      <c r="B35" s="300"/>
      <c r="C35" s="300"/>
      <c r="S35" s="300"/>
      <c r="T35" s="300"/>
      <c r="U35" s="300"/>
      <c r="V35" s="300"/>
      <c r="W35" s="300"/>
      <c r="X35" s="300"/>
    </row>
    <row r="36" spans="2:24" x14ac:dyDescent="0.2">
      <c r="B36" s="300"/>
      <c r="C36" s="300"/>
      <c r="D36" s="4" t="s">
        <v>24</v>
      </c>
      <c r="S36" s="300"/>
      <c r="T36" s="300"/>
      <c r="U36" s="300"/>
      <c r="V36" s="300"/>
      <c r="W36" s="300"/>
      <c r="X36" s="300"/>
    </row>
    <row r="37" spans="2:24" x14ac:dyDescent="0.2">
      <c r="B37" s="300"/>
      <c r="C37" s="300"/>
      <c r="S37" s="300"/>
      <c r="T37" s="300"/>
      <c r="U37" s="300"/>
      <c r="V37" s="300"/>
      <c r="W37" s="300"/>
      <c r="X37" s="300"/>
    </row>
    <row r="38" spans="2:24" x14ac:dyDescent="0.2">
      <c r="B38" s="307"/>
      <c r="C38" s="300"/>
      <c r="D38" s="306"/>
      <c r="E38" s="300"/>
      <c r="F38" s="300"/>
      <c r="G38" s="300"/>
      <c r="H38" s="300"/>
      <c r="I38" s="300"/>
      <c r="J38" s="300"/>
      <c r="K38" s="300"/>
      <c r="L38" s="300"/>
      <c r="M38" s="300"/>
      <c r="N38" s="300"/>
      <c r="O38" s="300"/>
      <c r="P38" s="300"/>
      <c r="Q38" s="300"/>
      <c r="R38" s="300"/>
      <c r="S38" s="308"/>
      <c r="T38" s="300"/>
      <c r="U38" s="300"/>
      <c r="V38" s="300"/>
      <c r="W38" s="300"/>
      <c r="X38" s="300"/>
    </row>
    <row r="39" spans="2:24" x14ac:dyDescent="0.2">
      <c r="B39" s="300"/>
      <c r="C39" s="300"/>
      <c r="D39" s="300"/>
      <c r="E39" s="300"/>
      <c r="F39" s="300"/>
      <c r="G39" s="300"/>
      <c r="H39" s="300"/>
      <c r="I39" s="300"/>
      <c r="J39" s="300"/>
      <c r="K39" s="300"/>
      <c r="L39" s="300"/>
      <c r="M39" s="300"/>
      <c r="N39" s="300"/>
      <c r="O39" s="300"/>
      <c r="P39" s="300"/>
      <c r="Q39" s="300"/>
      <c r="R39" s="300"/>
      <c r="S39" s="300"/>
      <c r="T39" s="300"/>
      <c r="U39" s="300"/>
      <c r="V39" s="300"/>
      <c r="W39" s="300"/>
      <c r="X39" s="300"/>
    </row>
    <row r="40" spans="2:24" x14ac:dyDescent="0.2">
      <c r="B40" s="300"/>
      <c r="C40" s="300"/>
      <c r="D40" s="300"/>
      <c r="E40" s="300"/>
      <c r="F40" s="300"/>
      <c r="G40" s="300"/>
      <c r="H40" s="300"/>
      <c r="I40" s="300"/>
      <c r="J40" s="300"/>
      <c r="K40" s="300"/>
      <c r="L40" s="300"/>
      <c r="M40" s="300"/>
      <c r="N40" s="300"/>
      <c r="O40" s="300"/>
      <c r="P40" s="300"/>
      <c r="Q40" s="300"/>
      <c r="R40" s="300"/>
      <c r="S40" s="300"/>
      <c r="T40" s="300"/>
      <c r="U40" s="300"/>
      <c r="V40" s="300"/>
      <c r="W40" s="300"/>
      <c r="X40" s="300"/>
    </row>
    <row r="41" spans="2:24" x14ac:dyDescent="0.2">
      <c r="B41" s="300"/>
      <c r="C41" s="300"/>
      <c r="D41" s="300"/>
      <c r="E41" s="300"/>
      <c r="F41" s="300"/>
      <c r="G41" s="300"/>
      <c r="H41" s="300"/>
      <c r="I41" s="300"/>
      <c r="J41" s="300"/>
      <c r="K41" s="300"/>
      <c r="L41" s="300"/>
      <c r="M41" s="300"/>
      <c r="N41" s="300"/>
      <c r="O41" s="300"/>
      <c r="P41" s="300"/>
      <c r="Q41" s="300"/>
      <c r="R41" s="300"/>
      <c r="S41" s="300"/>
      <c r="T41" s="300"/>
      <c r="U41" s="300"/>
      <c r="V41" s="300"/>
      <c r="W41" s="300"/>
      <c r="X41" s="300"/>
    </row>
    <row r="42" spans="2:24" x14ac:dyDescent="0.2">
      <c r="B42" s="302"/>
      <c r="C42" s="300"/>
      <c r="D42" s="300"/>
      <c r="E42" s="300"/>
      <c r="F42" s="300"/>
      <c r="G42" s="300"/>
      <c r="H42" s="300"/>
      <c r="I42" s="300"/>
      <c r="J42" s="300"/>
      <c r="K42" s="300"/>
      <c r="L42" s="300"/>
      <c r="M42" s="300"/>
      <c r="N42" s="300"/>
      <c r="O42" s="300"/>
      <c r="P42" s="300"/>
      <c r="Q42" s="300"/>
      <c r="R42" s="300"/>
      <c r="S42" s="300"/>
      <c r="T42" s="300"/>
      <c r="U42" s="299"/>
      <c r="V42" s="300"/>
      <c r="W42" s="300"/>
      <c r="X42" s="300"/>
    </row>
    <row r="43" spans="2:24" x14ac:dyDescent="0.2">
      <c r="B43" s="300"/>
      <c r="C43" s="300"/>
      <c r="D43" s="300"/>
      <c r="E43" s="300"/>
      <c r="F43" s="300"/>
      <c r="G43" s="300"/>
      <c r="H43" s="300"/>
      <c r="I43" s="300"/>
      <c r="J43" s="300"/>
      <c r="K43" s="300"/>
      <c r="L43" s="300"/>
      <c r="M43" s="300"/>
      <c r="N43" s="300"/>
      <c r="O43" s="300"/>
      <c r="P43" s="300"/>
      <c r="Q43" s="300"/>
      <c r="R43" s="300"/>
      <c r="S43" s="300"/>
      <c r="T43" s="300"/>
      <c r="U43" s="300"/>
      <c r="V43" s="300"/>
      <c r="W43" s="300"/>
      <c r="X43" s="300"/>
    </row>
    <row r="44" spans="2:24" x14ac:dyDescent="0.2">
      <c r="B44" s="300"/>
      <c r="C44" s="300"/>
      <c r="D44" s="300"/>
      <c r="E44" s="300"/>
      <c r="F44" s="300"/>
      <c r="G44" s="300"/>
      <c r="H44" s="300"/>
      <c r="I44" s="300"/>
      <c r="J44" s="300"/>
      <c r="K44" s="300"/>
      <c r="L44" s="300"/>
      <c r="M44" s="300"/>
      <c r="N44" s="300"/>
      <c r="O44" s="300"/>
      <c r="P44" s="300"/>
      <c r="Q44" s="300"/>
      <c r="R44" s="300"/>
      <c r="S44" s="300"/>
      <c r="T44" s="300"/>
      <c r="U44" s="300"/>
      <c r="V44" s="300"/>
      <c r="W44" s="300"/>
      <c r="X44" s="300"/>
    </row>
    <row r="45" spans="2:24" x14ac:dyDescent="0.2">
      <c r="B45" s="300"/>
      <c r="C45" s="300"/>
      <c r="D45" s="300"/>
      <c r="E45" s="300"/>
      <c r="F45" s="300"/>
      <c r="G45" s="300"/>
      <c r="H45" s="300"/>
      <c r="I45" s="300"/>
      <c r="J45" s="300"/>
      <c r="K45" s="300"/>
      <c r="L45" s="300"/>
      <c r="M45" s="300"/>
      <c r="N45" s="300"/>
      <c r="O45" s="300"/>
      <c r="P45" s="300"/>
      <c r="Q45" s="300"/>
      <c r="R45" s="300"/>
      <c r="S45" s="300"/>
      <c r="T45" s="300"/>
      <c r="U45" s="300"/>
      <c r="V45" s="300"/>
      <c r="W45" s="300"/>
      <c r="X45" s="300"/>
    </row>
    <row r="46" spans="2:24" x14ac:dyDescent="0.2">
      <c r="B46" s="300"/>
      <c r="C46" s="300"/>
      <c r="D46" s="300"/>
      <c r="E46" s="300"/>
      <c r="F46" s="300"/>
      <c r="G46" s="300"/>
      <c r="H46" s="300"/>
      <c r="I46" s="300"/>
      <c r="J46" s="300"/>
      <c r="K46" s="300"/>
      <c r="L46" s="300"/>
      <c r="M46" s="300"/>
      <c r="N46" s="300"/>
      <c r="O46" s="300"/>
      <c r="P46" s="300"/>
      <c r="Q46" s="300"/>
      <c r="R46" s="300"/>
      <c r="S46" s="300"/>
      <c r="T46" s="300"/>
      <c r="U46" s="300"/>
      <c r="V46" s="300"/>
      <c r="W46" s="300"/>
      <c r="X46" s="300"/>
    </row>
    <row r="47" spans="2:24" x14ac:dyDescent="0.2">
      <c r="B47" s="300"/>
      <c r="C47" s="300"/>
      <c r="D47" s="300"/>
      <c r="E47" s="300"/>
      <c r="F47" s="300"/>
      <c r="G47" s="300"/>
      <c r="H47" s="300"/>
      <c r="I47" s="300"/>
      <c r="J47" s="300"/>
      <c r="K47" s="300"/>
      <c r="L47" s="300"/>
      <c r="M47" s="300"/>
      <c r="N47" s="300"/>
      <c r="O47" s="300"/>
      <c r="P47" s="300"/>
      <c r="Q47" s="300"/>
      <c r="R47" s="300"/>
      <c r="S47" s="300"/>
      <c r="T47" s="300"/>
      <c r="U47" s="300"/>
      <c r="V47" s="300"/>
      <c r="W47" s="300"/>
      <c r="X47" s="300"/>
    </row>
    <row r="48" spans="2:24" x14ac:dyDescent="0.2">
      <c r="B48" s="300"/>
      <c r="C48" s="300"/>
      <c r="D48" s="300"/>
      <c r="E48" s="300"/>
      <c r="F48" s="300"/>
      <c r="G48" s="300"/>
      <c r="H48" s="300"/>
      <c r="I48" s="300"/>
      <c r="J48" s="300"/>
      <c r="K48" s="300"/>
      <c r="L48" s="300"/>
      <c r="M48" s="300"/>
      <c r="N48" s="300"/>
      <c r="O48" s="300"/>
      <c r="P48" s="300"/>
      <c r="Q48" s="300"/>
      <c r="R48" s="300"/>
      <c r="S48" s="300"/>
      <c r="T48" s="300"/>
      <c r="U48" s="300"/>
      <c r="V48" s="300"/>
      <c r="W48" s="300"/>
      <c r="X48" s="300"/>
    </row>
    <row r="49" spans="2:24" x14ac:dyDescent="0.2">
      <c r="B49" s="300"/>
      <c r="C49" s="300"/>
      <c r="D49" s="300"/>
      <c r="E49" s="300"/>
      <c r="F49" s="300"/>
      <c r="G49" s="300"/>
      <c r="H49" s="300"/>
      <c r="I49" s="300"/>
      <c r="J49" s="300"/>
      <c r="K49" s="300"/>
      <c r="L49" s="300"/>
      <c r="M49" s="300"/>
      <c r="N49" s="300"/>
      <c r="O49" s="300"/>
      <c r="P49" s="300"/>
      <c r="Q49" s="300"/>
      <c r="R49" s="300"/>
      <c r="S49" s="300"/>
      <c r="T49" s="300"/>
      <c r="U49" s="300"/>
      <c r="V49" s="300"/>
      <c r="W49" s="300"/>
      <c r="X49" s="300"/>
    </row>
    <row r="50" spans="2:24" x14ac:dyDescent="0.2">
      <c r="B50" s="300"/>
      <c r="C50" s="300"/>
      <c r="D50" s="300"/>
      <c r="E50" s="300"/>
      <c r="F50" s="300"/>
      <c r="G50" s="300"/>
      <c r="H50" s="300"/>
      <c r="I50" s="300"/>
      <c r="J50" s="300"/>
      <c r="K50" s="300"/>
      <c r="L50" s="300"/>
      <c r="M50" s="300"/>
      <c r="N50" s="300"/>
      <c r="O50" s="300"/>
      <c r="P50" s="300"/>
      <c r="Q50" s="300"/>
      <c r="R50" s="300"/>
      <c r="S50" s="300"/>
      <c r="T50" s="300"/>
      <c r="U50" s="300"/>
      <c r="V50" s="300"/>
      <c r="W50" s="300"/>
      <c r="X50" s="300"/>
    </row>
  </sheetData>
  <mergeCells count="12">
    <mergeCell ref="U42:X50"/>
    <mergeCell ref="U6:X41"/>
    <mergeCell ref="B42:T50"/>
    <mergeCell ref="B10:C37"/>
    <mergeCell ref="S10:T37"/>
    <mergeCell ref="B6:C9"/>
    <mergeCell ref="S6:T9"/>
    <mergeCell ref="D38:R41"/>
    <mergeCell ref="B38:C41"/>
    <mergeCell ref="S38:T41"/>
    <mergeCell ref="D12:R12"/>
    <mergeCell ref="D6:R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btnFRD">
          <controlPr defaultSize="0" autoLine="0" r:id="rId5">
            <anchor moveWithCells="1">
              <from>
                <xdr:col>10</xdr:col>
                <xdr:colOff>0</xdr:colOff>
                <xdr:row>33</xdr:row>
                <xdr:rowOff>0</xdr:rowOff>
              </from>
              <to>
                <xdr:col>11</xdr:col>
                <xdr:colOff>342900</xdr:colOff>
                <xdr:row>34</xdr:row>
                <xdr:rowOff>152400</xdr:rowOff>
              </to>
            </anchor>
          </controlPr>
        </control>
      </mc:Choice>
      <mc:Fallback>
        <control shapeId="6145" r:id="rId4" name="btnFRD"/>
      </mc:Fallback>
    </mc:AlternateContent>
    <mc:AlternateContent xmlns:mc="http://schemas.openxmlformats.org/markup-compatibility/2006">
      <mc:Choice Requires="x14">
        <control shapeId="6146" r:id="rId6" name="CommandButton1">
          <controlPr defaultSize="0" autoLine="0" r:id="rId7">
            <anchor moveWithCells="1">
              <from>
                <xdr:col>10</xdr:col>
                <xdr:colOff>0</xdr:colOff>
                <xdr:row>35</xdr:row>
                <xdr:rowOff>9525</xdr:rowOff>
              </from>
              <to>
                <xdr:col>11</xdr:col>
                <xdr:colOff>342900</xdr:colOff>
                <xdr:row>37</xdr:row>
                <xdr:rowOff>0</xdr:rowOff>
              </to>
            </anchor>
          </controlPr>
        </control>
      </mc:Choice>
      <mc:Fallback>
        <control shapeId="6146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FXTK-Forwards (1)</vt:lpstr>
      <vt:lpstr>FXTK-Forwards (2)</vt:lpstr>
      <vt:lpstr>FXTK-Forward Dates</vt:lpstr>
      <vt:lpstr>FXTK-Swaps</vt:lpstr>
      <vt:lpstr>Help Page</vt:lpstr>
      <vt:lpstr>'FXTK-Forwards (1)'!Input_Range_BrokenDates</vt:lpstr>
      <vt:lpstr>'FXTK-Forwards (2)'!Input_Range_Forwards</vt:lpstr>
      <vt:lpstr>'FXTK-Swaps'!Input_Range_Swaps</vt:lpstr>
      <vt:lpstr>'FXTK-Forwards (1)'!Input_Source_BrokenDates</vt:lpstr>
      <vt:lpstr>'FXTK-Forwards (2)'!Input_Source_Forwards</vt:lpstr>
    </vt:vector>
  </TitlesOfParts>
  <Company>Bloomberg L.P.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Raghu</dc:creator>
  <cp:lastModifiedBy>gyu</cp:lastModifiedBy>
  <dcterms:created xsi:type="dcterms:W3CDTF">2010-04-13T15:22:40Z</dcterms:created>
  <dcterms:modified xsi:type="dcterms:W3CDTF">2016-09-16T15:46:40Z</dcterms:modified>
</cp:coreProperties>
</file>